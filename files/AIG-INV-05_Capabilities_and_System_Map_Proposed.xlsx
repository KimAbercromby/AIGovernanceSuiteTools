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RT HERE" sheetId="1" state="visible" r:id="rId1"/>
    <sheet xmlns:r="http://schemas.openxmlformats.org/officeDocument/2006/relationships" name="System map" sheetId="2" state="visible" r:id="rId2"/>
    <sheet xmlns:r="http://schemas.openxmlformats.org/officeDocument/2006/relationships" name="Use cases" sheetId="3" state="visible" r:id="rId3"/>
    <sheet xmlns:r="http://schemas.openxmlformats.org/officeDocument/2006/relationships" name="Capabilities" sheetId="4" state="visible" r:id="rId4"/>
    <sheet xmlns:r="http://schemas.openxmlformats.org/officeDocument/2006/relationships" name="Components" sheetId="5" state="visible" r:id="rId5"/>
    <sheet xmlns:r="http://schemas.openxmlformats.org/officeDocument/2006/relationships" name="Relationships" sheetId="6" state="visible" r:id="rId6"/>
    <sheet xmlns:r="http://schemas.openxmlformats.org/officeDocument/2006/relationships" name="Dependency concentration" sheetId="7" state="visible" r:id="rId7"/>
    <sheet xmlns:r="http://schemas.openxmlformats.org/officeDocument/2006/relationships" name="Gaps and actions" sheetId="8" state="visible" r:id="rId8"/>
    <sheet xmlns:r="http://schemas.openxmlformats.org/officeDocument/2006/relationships" name="Map changes" sheetId="9" state="visible" r:id="rId9"/>
    <sheet xmlns:r="http://schemas.openxmlformats.org/officeDocument/2006/relationships" name="ID and source rules" sheetId="10" state="visible" r:id="rId10"/>
    <sheet xmlns:r="http://schemas.openxmlformats.org/officeDocument/2006/relationships" name="Document Control" sheetId="11" state="visible" r:id="rId11"/>
  </sheets>
  <definedNames>
    <definedName name="_xlnm.Print_Titles" localSheetId="6">'Dependency concentration'!$13:$14</definedName>
    <definedName name="_xlnm.Print_Area" localSheetId="6">'Dependency concentration'!$A$1:$O$264</definedName>
  </definedNames>
</workbook>
</file>

<file path=xl/styles.xml><?xml version="1.0" encoding="utf-8"?>
<styleSheet xmlns="http://schemas.openxmlformats.org/spreadsheetml/2006/main">
  <numFmts count="1">
    <numFmt numFmtId="164" formatCode="dd mmm yyyy"/>
  </numFmts>
  <fonts count="25">
    <font>
      <name val="Calibri"/>
      <color theme="1"/>
      <sz val="11"/>
    </font>
    <font>
      <name val="Aptos Display"/>
      <b val="1"/>
      <color rgb="FF17324F"/>
      <sz val="19"/>
    </font>
    <font>
      <name val="Aptos"/>
      <b val="1"/>
      <color rgb="FF17324F"/>
      <sz val="11"/>
    </font>
    <font>
      <name val="Aptos"/>
      <color rgb="FF17324F"/>
      <sz val="11"/>
    </font>
    <font>
      <name val="Aptos Display"/>
      <b val="1"/>
      <color rgb="FFFFFFFF"/>
      <sz val="17"/>
    </font>
    <font>
      <name val="Aptos"/>
      <i val="1"/>
      <color rgb="FF17324F"/>
      <sz val="10"/>
    </font>
    <font>
      <name val="Aptos"/>
      <b val="1"/>
      <color rgb="FFFFFFFF"/>
      <sz val="10"/>
    </font>
    <font>
      <name val="Aptos"/>
      <color rgb="FF17324F"/>
      <sz val="10"/>
    </font>
    <font>
      <name val="Aptos"/>
      <b val="1"/>
      <color rgb="FFFFFFFF"/>
    </font>
    <font>
      <name val="Arial"/>
      <b val="1"/>
      <color rgb="FF17324F"/>
      <sz val="19"/>
    </font>
    <font>
      <name val="Arial"/>
      <color theme="1"/>
      <sz val="11"/>
    </font>
    <font>
      <name val="Arial"/>
      <b val="1"/>
      <color rgb="FF17324F"/>
      <sz val="11"/>
    </font>
    <font>
      <name val="Arial"/>
      <color rgb="FF17324F"/>
      <sz val="11"/>
    </font>
    <font>
      <name val="Arial"/>
      <b val="1"/>
      <color rgb="FFFFFFFF"/>
      <sz val="17"/>
    </font>
    <font>
      <name val="Arial"/>
      <i val="1"/>
      <color rgb="FF17324F"/>
      <sz val="10"/>
    </font>
    <font>
      <name val="Arial"/>
      <b val="1"/>
      <color rgb="FFFFFFFF"/>
      <sz val="10"/>
    </font>
    <font>
      <name val="Arial"/>
      <color rgb="FF17324F"/>
      <sz val="10"/>
    </font>
    <font>
      <name val="Arial"/>
      <b val="1"/>
      <color rgb="FFFFFFFF"/>
    </font>
    <font>
      <name val="Arial"/>
      <b val="1"/>
      <color rgb="FFFFFFFF"/>
      <sz val="16"/>
    </font>
    <font>
      <name val="Arial"/>
      <i val="1"/>
      <color rgb="FF222222"/>
      <sz val="9"/>
    </font>
    <font>
      <name val="Arial"/>
      <b val="1"/>
      <color rgb="FFFFFFFF"/>
      <sz val="9"/>
    </font>
    <font>
      <name val="Arial"/>
      <b val="1"/>
      <color rgb="FF0A2342"/>
      <sz val="9"/>
    </font>
    <font>
      <name val="Arial"/>
      <color rgb="FF222222"/>
      <sz val="9"/>
    </font>
    <font>
      <name val="Arial"/>
      <b val="1"/>
      <color rgb="FF0A2342"/>
      <sz val="11"/>
    </font>
    <font>
      <name val="Arial"/>
      <b val="1"/>
      <color rgb="FF17324F"/>
      <sz val="10"/>
    </font>
  </fonts>
  <fills count="10">
    <fill>
      <patternFill/>
    </fill>
    <fill>
      <patternFill patternType="gray125"/>
    </fill>
    <fill>
      <patternFill patternType="solid">
        <fgColor rgb="FFEAF4F3"/>
      </patternFill>
    </fill>
    <fill>
      <patternFill patternType="solid">
        <fgColor rgb="FFF5F9FA"/>
      </patternFill>
    </fill>
    <fill>
      <patternFill patternType="solid">
        <fgColor rgb="FF17324F"/>
      </patternFill>
    </fill>
    <fill>
      <patternFill patternType="solid">
        <fgColor rgb="FF087D83"/>
      </patternFill>
    </fill>
    <fill>
      <patternFill patternType="solid">
        <fgColor rgb="FFFFFFFF"/>
      </patternFill>
    </fill>
    <fill>
      <patternFill patternType="solid">
        <fgColor rgb="FF0B2848"/>
      </patternFill>
    </fill>
    <fill>
      <patternFill patternType="solid">
        <fgColor rgb="FFFFF4CC"/>
      </patternFill>
    </fill>
    <fill>
      <patternFill patternType="solid">
        <fgColor rgb="FFEEF1F5"/>
      </patternFill>
    </fill>
  </fills>
  <borders count="6">
    <border/>
    <border>
      <left style="thin">
        <color rgb="FFC9D0D8"/>
      </left>
      <right style="thin">
        <color rgb="FFC9D0D8"/>
      </right>
      <top style="thin">
        <color rgb="FFC9D0D8"/>
      </top>
      <bottom style="thin">
        <color rgb="FFC9D0D8"/>
      </bottom>
    </border>
    <border>
      <top style="thin">
        <color rgb="FFC9D0D8"/>
      </top>
    </border>
    <border>
      <right style="thin">
        <color rgb="FFC9D0D8"/>
      </right>
      <top style="thin">
        <color rgb="FFC9D0D8"/>
      </top>
    </border>
    <border>
      <top style="thin">
        <color rgb="FFC9D0D8"/>
      </top>
      <bottom style="thin">
        <color rgb="FFC9D0D8"/>
      </bottom>
    </border>
    <border>
      <right style="thin">
        <color rgb="FFC9D0D8"/>
      </right>
      <top style="thin">
        <color rgb="FFC9D0D8"/>
      </top>
      <bottom style="thin">
        <color rgb="FFC9D0D8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pivotButton="0" quotePrefix="0" xfId="0"/>
    <xf numFmtId="0" fontId="5" fillId="2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top"/>
    </xf>
    <xf numFmtId="164" fontId="7" fillId="3" borderId="0" applyAlignment="1" pivotButton="0" quotePrefix="0" xfId="0">
      <alignment vertical="top"/>
    </xf>
    <xf numFmtId="0" fontId="7" fillId="6" borderId="0" applyAlignment="1" pivotButton="0" quotePrefix="0" xfId="0">
      <alignment vertical="top"/>
    </xf>
    <xf numFmtId="164" fontId="7" fillId="6" borderId="0" applyAlignment="1" pivotButton="0" quotePrefix="0" xfId="0">
      <alignment vertical="top"/>
    </xf>
    <xf numFmtId="0" fontId="8" fillId="4" borderId="0" pivotButton="0" quotePrefix="0" xfId="0"/>
    <xf numFmtId="0" fontId="7" fillId="2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vertical="top" wrapText="1"/>
    </xf>
    <xf numFmtId="0" fontId="12" fillId="2" borderId="0" applyAlignment="1" pivotButton="0" quotePrefix="0" xfId="0">
      <alignment vertical="top" wrapText="1"/>
    </xf>
    <xf numFmtId="0" fontId="11" fillId="3" borderId="0" applyAlignment="1" pivotButton="0" quotePrefix="0" xfId="0">
      <alignment vertical="top" wrapText="1"/>
    </xf>
    <xf numFmtId="0" fontId="12" fillId="3" borderId="0" applyAlignment="1" pivotButton="0" quotePrefix="0" xfId="0">
      <alignment vertical="top" wrapText="1"/>
    </xf>
    <xf numFmtId="0" fontId="13" fillId="4" borderId="0" pivotButton="0" quotePrefix="0" xfId="0"/>
    <xf numFmtId="0" fontId="14" fillId="2" borderId="0" applyAlignment="1" pivotButton="0" quotePrefix="0" xfId="0">
      <alignment vertical="center" wrapText="1"/>
    </xf>
    <xf numFmtId="0" fontId="15" fillId="5" borderId="0" applyAlignment="1" pivotButton="0" quotePrefix="0" xfId="0">
      <alignment vertical="center" wrapText="1"/>
    </xf>
    <xf numFmtId="0" fontId="16" fillId="3" borderId="0" applyAlignment="1" pivotButton="0" quotePrefix="0" xfId="0">
      <alignment vertical="top"/>
    </xf>
    <xf numFmtId="164" fontId="16" fillId="3" borderId="0" applyAlignment="1" pivotButton="0" quotePrefix="0" xfId="0">
      <alignment vertical="top"/>
    </xf>
    <xf numFmtId="0" fontId="16" fillId="6" borderId="0" applyAlignment="1" pivotButton="0" quotePrefix="0" xfId="0">
      <alignment vertical="top"/>
    </xf>
    <xf numFmtId="164" fontId="16" fillId="6" borderId="0" applyAlignment="1" pivotButton="0" quotePrefix="0" xfId="0">
      <alignment vertical="top"/>
    </xf>
    <xf numFmtId="0" fontId="17" fillId="4" borderId="0" pivotButton="0" quotePrefix="0" xfId="0"/>
    <xf numFmtId="0" fontId="16" fillId="2" borderId="0" applyAlignment="1" pivotButton="0" quotePrefix="0" xfId="0">
      <alignment vertical="top" wrapText="1"/>
    </xf>
    <xf numFmtId="0" fontId="16" fillId="6" borderId="0" applyAlignment="1" pivotButton="0" quotePrefix="0" xfId="0">
      <alignment vertical="top" wrapText="1"/>
    </xf>
    <xf numFmtId="0" fontId="18" fillId="7" borderId="0" applyAlignment="1" pivotButton="0" quotePrefix="0" xfId="0">
      <alignment horizontal="general" vertical="center"/>
    </xf>
    <xf numFmtId="0" fontId="19" fillId="8" borderId="0" applyAlignment="1" pivotButton="0" quotePrefix="0" xfId="0">
      <alignment horizontal="general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general" vertical="top" wrapText="1"/>
    </xf>
    <xf numFmtId="0" fontId="22" fillId="6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23" fillId="9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top" wrapText="1"/>
    </xf>
    <xf numFmtId="9" fontId="11" fillId="8" borderId="0" applyAlignment="1" pivotButton="0" quotePrefix="0" xfId="0">
      <alignment horizontal="center" vertical="top"/>
    </xf>
    <xf numFmtId="1" fontId="11" fillId="3" borderId="0" applyAlignment="1" pivotButton="0" quotePrefix="0" xfId="0">
      <alignment horizontal="center" vertical="top"/>
    </xf>
    <xf numFmtId="0" fontId="16" fillId="3" borderId="0" applyAlignment="1" pivotButton="0" quotePrefix="0" xfId="0">
      <alignment vertical="top" wrapText="1"/>
    </xf>
    <xf numFmtId="9" fontId="11" fillId="2" borderId="0" applyAlignment="1" pivotButton="0" quotePrefix="0" xfId="0">
      <alignment horizontal="center" vertical="top"/>
    </xf>
    <xf numFmtId="9" fontId="11" fillId="3" borderId="0" applyAlignment="1" pivotButton="0" quotePrefix="0" xfId="0">
      <alignment horizontal="center" vertical="top"/>
    </xf>
    <xf numFmtId="1" fontId="11" fillId="2" borderId="0" applyAlignment="1" pivotButton="0" quotePrefix="0" xfId="0">
      <alignment horizontal="center" vertical="top"/>
    </xf>
    <xf numFmtId="0" fontId="24" fillId="2" borderId="0" applyAlignment="1" pivotButton="0" quotePrefix="0" xfId="0">
      <alignment vertical="center" wrapText="1"/>
    </xf>
    <xf numFmtId="9" fontId="16" fillId="3" borderId="0" applyAlignment="1" pivotButton="0" quotePrefix="0" xfId="0">
      <alignment vertical="top"/>
    </xf>
    <xf numFmtId="9" fontId="16" fillId="6" borderId="0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6" t="inlineStr">
        <is>
          <t>AIG-INV-05 | CAPABILITIES + SYSTEM MAP</t>
        </is>
      </c>
      <c r="B1" s="17" t="n"/>
    </row>
    <row r="2">
      <c r="A2" s="17" t="n"/>
      <c r="B2" s="17" t="n"/>
    </row>
    <row r="3" ht="48" customHeight="1">
      <c r="A3" s="18" t="inlineStr">
        <is>
          <t>Status</t>
        </is>
      </c>
      <c r="B3" s="19" t="inlineStr">
        <is>
          <t>Draft for Council review. AIG-INV-05 is the controlled-artefact ID assigned in this proposed suite. This remains an empty draft, not approved, effective or operational. Proposed control designation does not itself confer adoption or approval.</t>
        </is>
      </c>
    </row>
    <row r="4" ht="45" customHeight="1">
      <c r="A4" s="20" t="inlineStr">
        <is>
          <t>Version</t>
        </is>
      </c>
      <c r="B4" s="21" t="inlineStr">
        <is>
          <t>v0.3 proposed design draft (see Document Control); formal version control begins only if adopted.</t>
        </is>
      </c>
    </row>
    <row r="5" ht="45" customHeight="1">
      <c r="A5" s="18" t="inlineStr">
        <is>
          <t>Owner / custodian</t>
        </is>
      </c>
      <c r="B5" s="19" t="inlineStr">
        <is>
          <t>To be confirmed by the competent authority; proposed day-to-day custodianship is shared between the Governance function and authorised service/architecture data owners.</t>
        </is>
      </c>
    </row>
    <row r="6" ht="45" customHeight="1">
      <c r="A6" s="20" t="inlineStr">
        <is>
          <t>Approving authority</t>
        </is>
      </c>
      <c r="B6" s="21" t="inlineStr">
        <is>
          <t>Not yet confirmed. Competent delegated Council authority and publication route must be verified; Governance Lead custody or assurance oversight is not approval.</t>
        </is>
      </c>
    </row>
    <row r="7" ht="45" customHeight="1">
      <c r="A7" s="18" t="inlineStr">
        <is>
          <t>Approval / effective date</t>
        </is>
      </c>
      <c r="B7" s="19" t="inlineStr">
        <is>
          <t>Not approved; no effective date.</t>
        </is>
      </c>
    </row>
    <row r="8" ht="45" customHeight="1">
      <c r="A8" s="20" t="inlineStr">
        <is>
          <t>Access and retention</t>
        </is>
      </c>
      <c r="B8" s="21" t="inlineStr">
        <is>
          <t>Proposed controlled access, confidentiality classification, retention period and disposal route remain to be confirmed before any real system or component records are entered.</t>
        </is>
      </c>
    </row>
    <row r="9" ht="45" customHeight="1">
      <c r="A9" s="18" t="inlineStr">
        <is>
          <t>Change control</t>
        </is>
      </c>
      <c r="B9" s="19" t="inlineStr">
        <is>
          <t>Proposed changes require a dated change record, reason, owner validation, version update and delegated approval where the schema or control rules change. Design changes are recorded on the Document Control sheet; no live data change history is included.</t>
        </is>
      </c>
    </row>
    <row r="10" ht="45" customHeight="1">
      <c r="A10" s="20" t="inlineStr">
        <is>
          <t>Question it answers</t>
        </is>
      </c>
      <c r="B10" s="21" t="inlineStr">
        <is>
          <t>Which outcome-led use cases need which atomic capabilities; which governed AI systems provide them; and which model, data, interface, agent and tool references those systems depend on.</t>
        </is>
      </c>
    </row>
    <row r="11" ht="64" customHeight="1">
      <c r="A11" s="18" t="inlineStr">
        <is>
          <t>Workflow route</t>
        </is>
      </c>
      <c r="B11" s="19" t="inlineStr">
        <is>
          <t>1. Discover and complete Intake (AIG-INV-03).  2. Governance issues/reconciles the stable AIR-ID in the Register (AIG-INV-04).  3. Complete risk triage and triggered assessments.  4. Record gate plans/events/conditions in AIG-DEC-04; the delegated Council forum decides and records its decision in AIG-DEC-03 or approved minutes.  5. Operate under AIG-OPS-01 and monitor through AIG-OPS-02.</t>
        </is>
      </c>
    </row>
    <row r="12" ht="48" customHeight="1">
      <c r="A12" s="20" t="inlineStr">
        <is>
          <t>ID rule</t>
        </is>
      </c>
      <c r="B12" s="21" t="inlineStr">
        <is>
          <t>AIG-… IDs label suite documents; AIR-ID identifies one governed system and remains stable when documents change. AIG-INV-05 is the controlled-artefact slot in this proposed edition, but its map is descriptive only—not an approval, access grant or decision source.</t>
        </is>
      </c>
    </row>
    <row r="13" ht="48" customHeight="1">
      <c r="A13" s="18" t="inlineStr">
        <is>
          <t>Read in order</t>
        </is>
      </c>
      <c r="B13" s="19" t="inlineStr">
        <is>
          <t>For map work, start with Use cases and Capabilities; enter only AIR-IDs reconciled to AIG-INV-04; record sourced component pointers in Components; link them in Relationships; review the derived System map; track uncertainty in Gaps and actions and changes in Map changes; use Dependency concentration for the whole-portfolio view of shared components and suppliers.</t>
        </is>
      </c>
    </row>
    <row r="14" ht="48" customHeight="1">
      <c r="A14" s="20" t="inlineStr">
        <is>
          <t>No second Register</t>
        </is>
      </c>
      <c r="B14" s="21" t="inlineStr">
        <is>
          <t>AIG-INV-04 remains the authoritative record of AIR-ID, purpose, Service Owner and current status. System map includes only a manually reconciled label/pointer and confirmed relationship counts, not another approval status.</t>
        </is>
      </c>
    </row>
    <row r="15" ht="48" customHeight="1">
      <c r="A15" s="18" t="inlineStr">
        <is>
          <t>No inferred authority</t>
        </is>
      </c>
      <c r="B15" s="19" t="inlineStr">
        <is>
          <t>AIG-DEC-04 contains plans, actual gate events and conditions; AIG-DEC-01 routes governance forums. AIG-AGT-04 is authoritative for agent scope and tool permissions, AIG-AGT-05 for derived delegation paths. A map link grants no access, approval or decision right.</t>
        </is>
      </c>
    </row>
    <row r="16" ht="48" customHeight="1">
      <c r="A16" s="20" t="inlineStr">
        <is>
          <t>Reference rules</t>
        </is>
      </c>
      <c r="B16" s="21" t="inlineStr">
        <is>
          <t>AIG-INV-03 describes use cases; AIG-ASS-09 documents models where applicable; AIG-AGT-04 and AIG-AGT-05 cover agent and authority specifics; other assessments, AIG-DEC-03 decisions and AIG-OPS-02 monitoring stay in their own records. Cite source version/row rather than copying controls.</t>
        </is>
      </c>
    </row>
    <row r="17" ht="48" customHeight="1">
      <c r="A17" s="18" t="inlineStr">
        <is>
          <t>Evidence standard</t>
        </is>
      </c>
      <c r="B17" s="19" t="inlineStr">
        <is>
          <t>A Confirmed relationship requires a named owner, source reference, High/Medium confidence and verification date, plus confirmed, source-reconciled endpoints. The QA checks are structural prompts only; source facts and applicability require human verification.</t>
        </is>
      </c>
    </row>
    <row r="18" ht="45" customHeight="1">
      <c r="A18" s="20" t="inlineStr">
        <is>
          <t>Zero is not absence</t>
        </is>
      </c>
      <c r="B18" s="21" t="inlineStr">
        <is>
          <t>A zero on System map means no confirmed, QA-clean link has been recorded. It does NOT prove that a capability, agent, model, data asset, interface or tool is absent. Record N/A with rationale in review notes.</t>
        </is>
      </c>
    </row>
    <row r="19" ht="48" customHeight="1">
      <c r="A19" s="18" t="inlineStr">
        <is>
          <t>Access changes</t>
        </is>
      </c>
      <c r="B19" s="19" t="inlineStr">
        <is>
          <t>A new or expanded system/tool access edge requires owner review and reassessment; record the change and link AIG-AGT-04/AIG-AGT-05/AIG-AGT-03, AIG-INV-04/AIG-DEC-04 or specialist evidence as appropriate. A spreadsheet cannot detect an unreported production edit.</t>
        </is>
      </c>
    </row>
    <row r="20" ht="48" customHeight="1">
      <c r="A20" s="20" t="inlineStr">
        <is>
          <t>Before adoption</t>
        </is>
      </c>
      <c r="B20" s="21" t="inlineStr">
        <is>
          <t>Agree node/edge granularity, source catalogue reuse, ID allocation and ownership; trial contrasting real cases, reconcile official AIG-INV-04/AIG-AGT-04 sources, test in Excel, and confirm document control, access, retention, approval and migration arrangements.</t>
        </is>
      </c>
    </row>
    <row r="21" ht="60" customHeight="1">
      <c r="A21" s="18" t="inlineStr">
        <is>
          <t>Dependency concentration</t>
        </is>
      </c>
      <c r="B21" s="19" t="inlineStr">
        <is>
          <t>Proposed — for Council confirmation. Whole-portfolio view (Playbook §4.5.8; AIG-AIMS-10 M-16): distinct AIR-IDs relying on each component (confirmed, QA-clean links only) and on each supplier from the controlled AIG-INV-04 extract, with share and a flag against a threshold the Council sets (blank = no flag). Zero is not absence; AIG-INV-04 does not change.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20" customWidth="1" min="1" max="1"/>
    <col width="30" customWidth="1" min="2" max="2"/>
    <col width="27" customWidth="1" min="3" max="3"/>
    <col width="18" customWidth="1" min="4" max="4"/>
    <col width="17" customWidth="1" min="5" max="5"/>
    <col width="14" customWidth="1" min="6" max="6"/>
    <col width="16" customWidth="1" min="7" max="7"/>
    <col width="16" customWidth="1" min="8" max="8"/>
    <col width="14" customWidth="1" min="9" max="9"/>
    <col width="14" customWidth="1" min="10" max="10"/>
    <col width="18" customWidth="1" min="11" max="11"/>
    <col width="21" customWidth="1" min="12" max="12"/>
    <col width="22" customWidth="1" min="13" max="13"/>
    <col width="55" customWidth="1" min="14" max="14"/>
    <col width="36" customWidth="1" min="15" max="15"/>
  </cols>
  <sheetData>
    <row r="1" ht="34" customHeight="1">
      <c r="A1" s="22" t="inlineStr">
        <is>
          <t>SYSTEM MAP / CONFIRMED COVERAGE</t>
        </is>
      </c>
    </row>
    <row r="2" ht="44" customHeight="1">
      <c r="A2" s="23" t="inlineStr">
        <is>
          <t>Enter only official AIR-IDs issued through AIG-INV-04. Labels are a dated snapshot; counts use confirmed, QA-clean links only. Zero means not mapped or unconfirmed, not absent.</t>
        </is>
      </c>
    </row>
    <row r="3" ht="36" customHeight="1">
      <c r="A3" s="24" t="inlineStr">
        <is>
          <t>AIR-ID (from AIG-INV-04)</t>
        </is>
      </c>
      <c r="B3" s="24" t="inlineStr">
        <is>
          <t>System label (AIG-INV-04 snapshot)</t>
        </is>
      </c>
      <c r="C3" s="24" t="inlineStr">
        <is>
          <t>AIG-INV-04 source / version</t>
        </is>
      </c>
      <c r="D3" s="24" t="inlineStr">
        <is>
          <t>AIG-INV-04 reconciled on</t>
        </is>
      </c>
      <c r="E3" s="24" t="inlineStr">
        <is>
          <t>Capabilities</t>
        </is>
      </c>
      <c r="F3" s="24" t="inlineStr">
        <is>
          <t>Models</t>
        </is>
      </c>
      <c r="G3" s="24" t="inlineStr">
        <is>
          <t>Data assets</t>
        </is>
      </c>
      <c r="H3" s="24" t="inlineStr">
        <is>
          <t>Interfaces</t>
        </is>
      </c>
      <c r="I3" s="24" t="inlineStr">
        <is>
          <t>Agents</t>
        </is>
      </c>
      <c r="J3" s="24" t="inlineStr">
        <is>
          <t>Tools</t>
        </is>
      </c>
      <c r="K3" s="24" t="inlineStr">
        <is>
          <t>Proposed links</t>
        </is>
      </c>
      <c r="L3" s="24" t="inlineStr">
        <is>
          <t>Links needing review</t>
        </is>
      </c>
      <c r="M3" s="24" t="inlineStr">
        <is>
          <t>Review state</t>
        </is>
      </c>
      <c r="N3" s="24" t="inlineStr">
        <is>
          <t>Review notes / N-A rationale</t>
        </is>
      </c>
      <c r="O3" s="24" t="inlineStr">
        <is>
          <t>Row check</t>
        </is>
      </c>
    </row>
    <row r="4">
      <c r="A4" s="25" t="n"/>
      <c r="B4" s="25" t="n"/>
      <c r="C4" s="25" t="n"/>
      <c r="D4" s="26" t="n"/>
      <c r="E4" s="25">
        <f>IF(A4="","",COUNTIFS(Relationships!$B$4:$B$1003,"CAP",Relationships!$E$4:$E$1003,"AIR",Relationships!$F$4:$F$1003,A4,Relationships!$M$4:$M$1003,"Confirmed",Relationships!$N$4:$N$1003,"OK — verify source"))</f>
        <v/>
      </c>
      <c r="F4" s="25">
        <f>IF(A4="","",COUNTIFS(Relationships!$B$4:$B$1003,"AIR",Relationships!$C$4:$C$1003,A4,Relationships!$E$4:$E$1003,"MOD",Relationships!$M$4:$M$1003,"Confirmed",Relationships!$N$4:$N$1003,"OK — verify source"))</f>
        <v/>
      </c>
      <c r="G4" s="25">
        <f>IF(A4="","",COUNTIFS(Relationships!$B$4:$B$1003,"AIR",Relationships!$C$4:$C$1003,A4,Relationships!$E$4:$E$1003,"DATA",Relationships!$M$4:$M$1003,"Confirmed",Relationships!$N$4:$N$1003,"OK — verify source"))</f>
        <v/>
      </c>
      <c r="H4" s="25">
        <f>IF(A4="","",COUNTIFS(Relationships!$B$4:$B$1003,"AIR",Relationships!$C$4:$C$1003,A4,Relationships!$E$4:$E$1003,"IF",Relationships!$M$4:$M$1003,"Confirmed",Relationships!$N$4:$N$1003,"OK — verify source"))</f>
        <v/>
      </c>
      <c r="I4" s="25">
        <f>IF(A4="","",COUNTIFS(Relationships!$B$4:$B$1003,"AIR",Relationships!$C$4:$C$1003,A4,Relationships!$E$4:$E$1003,"AG",Relationships!$M$4:$M$1003,"Confirmed",Relationships!$N$4:$N$1003,"OK — verify source"))</f>
        <v/>
      </c>
      <c r="J4" s="25">
        <f>IF(A4="","",COUNTIFS(Relationships!$B$4:$B$1003,"AIR",Relationships!$C$4:$C$1003,A4,Relationships!$E$4:$E$1003,"TOOL",Relationships!$M$4:$M$1003,"Confirmed",Relationships!$N$4:$N$1003,"OK — verify source"))</f>
        <v/>
      </c>
      <c r="K4" s="25">
        <f>IF(A4="","",COUNTIFS(Relationships!$G$4:$G$1003,A4,Relationships!$M$4:$M$1003,"Proposed"))</f>
        <v/>
      </c>
      <c r="L4" s="25">
        <f>IF(A4="","",COUNTIFS(Relationships!$G$4:$G$1003,A4,Relationships!$A$4:$A$1003,"&lt;&gt;",Relationships!$N$4:$N$1003,"&lt;&gt;OK — verify source"))</f>
        <v/>
      </c>
      <c r="M4" s="25" t="n"/>
      <c r="N4" s="25" t="n"/>
      <c r="O4" s="25">
        <f>IF(COUNTA(A4:D4,M4:N4)=0,"",IF(A4="","AIR-ID missing",IF(COUNTIF($A$4:$A$203,A4)&gt;1,"Duplicate AIR-ID",IF(OR(B4="",C4="",D4=""),"Label / source / reconciled-on missing",IF(NOT(ISNUMBER(D4)),"Reconciled-on is not a date","OK — verify source")))))</f>
        <v/>
      </c>
    </row>
    <row r="5">
      <c r="A5" s="27" t="n"/>
      <c r="B5" s="27" t="n"/>
      <c r="C5" s="27" t="n"/>
      <c r="D5" s="28" t="n"/>
      <c r="E5" s="27">
        <f>IF(A5="","",COUNTIFS(Relationships!$B$4:$B$1003,"CAP",Relationships!$E$4:$E$1003,"AIR",Relationships!$F$4:$F$1003,A5,Relationships!$M$4:$M$1003,"Confirmed",Relationships!$N$4:$N$1003,"OK — verify source"))</f>
        <v/>
      </c>
      <c r="F5" s="27">
        <f>IF(A5="","",COUNTIFS(Relationships!$B$4:$B$1003,"AIR",Relationships!$C$4:$C$1003,A5,Relationships!$E$4:$E$1003,"MOD",Relationships!$M$4:$M$1003,"Confirmed",Relationships!$N$4:$N$1003,"OK — verify source"))</f>
        <v/>
      </c>
      <c r="G5" s="27">
        <f>IF(A5="","",COUNTIFS(Relationships!$B$4:$B$1003,"AIR",Relationships!$C$4:$C$1003,A5,Relationships!$E$4:$E$1003,"DATA",Relationships!$M$4:$M$1003,"Confirmed",Relationships!$N$4:$N$1003,"OK — verify source"))</f>
        <v/>
      </c>
      <c r="H5" s="27">
        <f>IF(A5="","",COUNTIFS(Relationships!$B$4:$B$1003,"AIR",Relationships!$C$4:$C$1003,A5,Relationships!$E$4:$E$1003,"IF",Relationships!$M$4:$M$1003,"Confirmed",Relationships!$N$4:$N$1003,"OK — verify source"))</f>
        <v/>
      </c>
      <c r="I5" s="27">
        <f>IF(A5="","",COUNTIFS(Relationships!$B$4:$B$1003,"AIR",Relationships!$C$4:$C$1003,A5,Relationships!$E$4:$E$1003,"AG",Relationships!$M$4:$M$1003,"Confirmed",Relationships!$N$4:$N$1003,"OK — verify source"))</f>
        <v/>
      </c>
      <c r="J5" s="27">
        <f>IF(A5="","",COUNTIFS(Relationships!$B$4:$B$1003,"AIR",Relationships!$C$4:$C$1003,A5,Relationships!$E$4:$E$1003,"TOOL",Relationships!$M$4:$M$1003,"Confirmed",Relationships!$N$4:$N$1003,"OK — verify source"))</f>
        <v/>
      </c>
      <c r="K5" s="27">
        <f>IF(A5="","",COUNTIFS(Relationships!$G$4:$G$1003,A5,Relationships!$M$4:$M$1003,"Proposed"))</f>
        <v/>
      </c>
      <c r="L5" s="27">
        <f>IF(A5="","",COUNTIFS(Relationships!$G$4:$G$1003,A5,Relationships!$A$4:$A$1003,"&lt;&gt;",Relationships!$N$4:$N$1003,"&lt;&gt;OK — verify source"))</f>
        <v/>
      </c>
      <c r="M5" s="27" t="n"/>
      <c r="N5" s="27" t="n"/>
      <c r="O5" s="27">
        <f>IF(COUNTA(A5:D5,M5:N5)=0,"",IF(A5="","AIR-ID missing",IF(COUNTIF($A$4:$A$203,A5)&gt;1,"Duplicate AIR-ID",IF(OR(B5="",C5="",D5=""),"Label / source / reconciled-on missing",IF(NOT(ISNUMBER(D5)),"Reconciled-on is not a date","OK — verify source")))))</f>
        <v/>
      </c>
    </row>
    <row r="6">
      <c r="A6" s="25" t="n"/>
      <c r="B6" s="25" t="n"/>
      <c r="C6" s="25" t="n"/>
      <c r="D6" s="26" t="n"/>
      <c r="E6" s="25">
        <f>IF(A6="","",COUNTIFS(Relationships!$B$4:$B$1003,"CAP",Relationships!$E$4:$E$1003,"AIR",Relationships!$F$4:$F$1003,A6,Relationships!$M$4:$M$1003,"Confirmed",Relationships!$N$4:$N$1003,"OK — verify source"))</f>
        <v/>
      </c>
      <c r="F6" s="25">
        <f>IF(A6="","",COUNTIFS(Relationships!$B$4:$B$1003,"AIR",Relationships!$C$4:$C$1003,A6,Relationships!$E$4:$E$1003,"MOD",Relationships!$M$4:$M$1003,"Confirmed",Relationships!$N$4:$N$1003,"OK — verify source"))</f>
        <v/>
      </c>
      <c r="G6" s="25">
        <f>IF(A6="","",COUNTIFS(Relationships!$B$4:$B$1003,"AIR",Relationships!$C$4:$C$1003,A6,Relationships!$E$4:$E$1003,"DATA",Relationships!$M$4:$M$1003,"Confirmed",Relationships!$N$4:$N$1003,"OK — verify source"))</f>
        <v/>
      </c>
      <c r="H6" s="25">
        <f>IF(A6="","",COUNTIFS(Relationships!$B$4:$B$1003,"AIR",Relationships!$C$4:$C$1003,A6,Relationships!$E$4:$E$1003,"IF",Relationships!$M$4:$M$1003,"Confirmed",Relationships!$N$4:$N$1003,"OK — verify source"))</f>
        <v/>
      </c>
      <c r="I6" s="25">
        <f>IF(A6="","",COUNTIFS(Relationships!$B$4:$B$1003,"AIR",Relationships!$C$4:$C$1003,A6,Relationships!$E$4:$E$1003,"AG",Relationships!$M$4:$M$1003,"Confirmed",Relationships!$N$4:$N$1003,"OK — verify source"))</f>
        <v/>
      </c>
      <c r="J6" s="25">
        <f>IF(A6="","",COUNTIFS(Relationships!$B$4:$B$1003,"AIR",Relationships!$C$4:$C$1003,A6,Relationships!$E$4:$E$1003,"TOOL",Relationships!$M$4:$M$1003,"Confirmed",Relationships!$N$4:$N$1003,"OK — verify source"))</f>
        <v/>
      </c>
      <c r="K6" s="25">
        <f>IF(A6="","",COUNTIFS(Relationships!$G$4:$G$1003,A6,Relationships!$M$4:$M$1003,"Proposed"))</f>
        <v/>
      </c>
      <c r="L6" s="25">
        <f>IF(A6="","",COUNTIFS(Relationships!$G$4:$G$1003,A6,Relationships!$A$4:$A$1003,"&lt;&gt;",Relationships!$N$4:$N$1003,"&lt;&gt;OK — verify source"))</f>
        <v/>
      </c>
      <c r="M6" s="25" t="n"/>
      <c r="N6" s="25" t="n"/>
      <c r="O6" s="25">
        <f>IF(COUNTA(A6:D6,M6:N6)=0,"",IF(A6="","AIR-ID missing",IF(COUNTIF($A$4:$A$203,A6)&gt;1,"Duplicate AIR-ID",IF(OR(B6="",C6="",D6=""),"Label / source / reconciled-on missing",IF(NOT(ISNUMBER(D6)),"Reconciled-on is not a date","OK — verify source")))))</f>
        <v/>
      </c>
    </row>
    <row r="7">
      <c r="A7" s="27" t="n"/>
      <c r="B7" s="27" t="n"/>
      <c r="C7" s="27" t="n"/>
      <c r="D7" s="28" t="n"/>
      <c r="E7" s="27">
        <f>IF(A7="","",COUNTIFS(Relationships!$B$4:$B$1003,"CAP",Relationships!$E$4:$E$1003,"AIR",Relationships!$F$4:$F$1003,A7,Relationships!$M$4:$M$1003,"Confirmed",Relationships!$N$4:$N$1003,"OK — verify source"))</f>
        <v/>
      </c>
      <c r="F7" s="27">
        <f>IF(A7="","",COUNTIFS(Relationships!$B$4:$B$1003,"AIR",Relationships!$C$4:$C$1003,A7,Relationships!$E$4:$E$1003,"MOD",Relationships!$M$4:$M$1003,"Confirmed",Relationships!$N$4:$N$1003,"OK — verify source"))</f>
        <v/>
      </c>
      <c r="G7" s="27">
        <f>IF(A7="","",COUNTIFS(Relationships!$B$4:$B$1003,"AIR",Relationships!$C$4:$C$1003,A7,Relationships!$E$4:$E$1003,"DATA",Relationships!$M$4:$M$1003,"Confirmed",Relationships!$N$4:$N$1003,"OK — verify source"))</f>
        <v/>
      </c>
      <c r="H7" s="27">
        <f>IF(A7="","",COUNTIFS(Relationships!$B$4:$B$1003,"AIR",Relationships!$C$4:$C$1003,A7,Relationships!$E$4:$E$1003,"IF",Relationships!$M$4:$M$1003,"Confirmed",Relationships!$N$4:$N$1003,"OK — verify source"))</f>
        <v/>
      </c>
      <c r="I7" s="27">
        <f>IF(A7="","",COUNTIFS(Relationships!$B$4:$B$1003,"AIR",Relationships!$C$4:$C$1003,A7,Relationships!$E$4:$E$1003,"AG",Relationships!$M$4:$M$1003,"Confirmed",Relationships!$N$4:$N$1003,"OK — verify source"))</f>
        <v/>
      </c>
      <c r="J7" s="27">
        <f>IF(A7="","",COUNTIFS(Relationships!$B$4:$B$1003,"AIR",Relationships!$C$4:$C$1003,A7,Relationships!$E$4:$E$1003,"TOOL",Relationships!$M$4:$M$1003,"Confirmed",Relationships!$N$4:$N$1003,"OK — verify source"))</f>
        <v/>
      </c>
      <c r="K7" s="27">
        <f>IF(A7="","",COUNTIFS(Relationships!$G$4:$G$1003,A7,Relationships!$M$4:$M$1003,"Proposed"))</f>
        <v/>
      </c>
      <c r="L7" s="27">
        <f>IF(A7="","",COUNTIFS(Relationships!$G$4:$G$1003,A7,Relationships!$A$4:$A$1003,"&lt;&gt;",Relationships!$N$4:$N$1003,"&lt;&gt;OK — verify source"))</f>
        <v/>
      </c>
      <c r="M7" s="27" t="n"/>
      <c r="N7" s="27" t="n"/>
      <c r="O7" s="27">
        <f>IF(COUNTA(A7:D7,M7:N7)=0,"",IF(A7="","AIR-ID missing",IF(COUNTIF($A$4:$A$203,A7)&gt;1,"Duplicate AIR-ID",IF(OR(B7="",C7="",D7=""),"Label / source / reconciled-on missing",IF(NOT(ISNUMBER(D7)),"Reconciled-on is not a date","OK — verify source")))))</f>
        <v/>
      </c>
    </row>
    <row r="8">
      <c r="A8" s="25" t="n"/>
      <c r="B8" s="25" t="n"/>
      <c r="C8" s="25" t="n"/>
      <c r="D8" s="26" t="n"/>
      <c r="E8" s="25">
        <f>IF(A8="","",COUNTIFS(Relationships!$B$4:$B$1003,"CAP",Relationships!$E$4:$E$1003,"AIR",Relationships!$F$4:$F$1003,A8,Relationships!$M$4:$M$1003,"Confirmed",Relationships!$N$4:$N$1003,"OK — verify source"))</f>
        <v/>
      </c>
      <c r="F8" s="25">
        <f>IF(A8="","",COUNTIFS(Relationships!$B$4:$B$1003,"AIR",Relationships!$C$4:$C$1003,A8,Relationships!$E$4:$E$1003,"MOD",Relationships!$M$4:$M$1003,"Confirmed",Relationships!$N$4:$N$1003,"OK — verify source"))</f>
        <v/>
      </c>
      <c r="G8" s="25">
        <f>IF(A8="","",COUNTIFS(Relationships!$B$4:$B$1003,"AIR",Relationships!$C$4:$C$1003,A8,Relationships!$E$4:$E$1003,"DATA",Relationships!$M$4:$M$1003,"Confirmed",Relationships!$N$4:$N$1003,"OK — verify source"))</f>
        <v/>
      </c>
      <c r="H8" s="25">
        <f>IF(A8="","",COUNTIFS(Relationships!$B$4:$B$1003,"AIR",Relationships!$C$4:$C$1003,A8,Relationships!$E$4:$E$1003,"IF",Relationships!$M$4:$M$1003,"Confirmed",Relationships!$N$4:$N$1003,"OK — verify source"))</f>
        <v/>
      </c>
      <c r="I8" s="25">
        <f>IF(A8="","",COUNTIFS(Relationships!$B$4:$B$1003,"AIR",Relationships!$C$4:$C$1003,A8,Relationships!$E$4:$E$1003,"AG",Relationships!$M$4:$M$1003,"Confirmed",Relationships!$N$4:$N$1003,"OK — verify source"))</f>
        <v/>
      </c>
      <c r="J8" s="25">
        <f>IF(A8="","",COUNTIFS(Relationships!$B$4:$B$1003,"AIR",Relationships!$C$4:$C$1003,A8,Relationships!$E$4:$E$1003,"TOOL",Relationships!$M$4:$M$1003,"Confirmed",Relationships!$N$4:$N$1003,"OK — verify source"))</f>
        <v/>
      </c>
      <c r="K8" s="25">
        <f>IF(A8="","",COUNTIFS(Relationships!$G$4:$G$1003,A8,Relationships!$M$4:$M$1003,"Proposed"))</f>
        <v/>
      </c>
      <c r="L8" s="25">
        <f>IF(A8="","",COUNTIFS(Relationships!$G$4:$G$1003,A8,Relationships!$A$4:$A$1003,"&lt;&gt;",Relationships!$N$4:$N$1003,"&lt;&gt;OK — verify source"))</f>
        <v/>
      </c>
      <c r="M8" s="25" t="n"/>
      <c r="N8" s="25" t="n"/>
      <c r="O8" s="25">
        <f>IF(COUNTA(A8:D8,M8:N8)=0,"",IF(A8="","AIR-ID missing",IF(COUNTIF($A$4:$A$203,A8)&gt;1,"Duplicate AIR-ID",IF(OR(B8="",C8="",D8=""),"Label / source / reconciled-on missing",IF(NOT(ISNUMBER(D8)),"Reconciled-on is not a date","OK — verify source")))))</f>
        <v/>
      </c>
    </row>
    <row r="9">
      <c r="A9" s="27" t="n"/>
      <c r="B9" s="27" t="n"/>
      <c r="C9" s="27" t="n"/>
      <c r="D9" s="28" t="n"/>
      <c r="E9" s="27">
        <f>IF(A9="","",COUNTIFS(Relationships!$B$4:$B$1003,"CAP",Relationships!$E$4:$E$1003,"AIR",Relationships!$F$4:$F$1003,A9,Relationships!$M$4:$M$1003,"Confirmed",Relationships!$N$4:$N$1003,"OK — verify source"))</f>
        <v/>
      </c>
      <c r="F9" s="27">
        <f>IF(A9="","",COUNTIFS(Relationships!$B$4:$B$1003,"AIR",Relationships!$C$4:$C$1003,A9,Relationships!$E$4:$E$1003,"MOD",Relationships!$M$4:$M$1003,"Confirmed",Relationships!$N$4:$N$1003,"OK — verify source"))</f>
        <v/>
      </c>
      <c r="G9" s="27">
        <f>IF(A9="","",COUNTIFS(Relationships!$B$4:$B$1003,"AIR",Relationships!$C$4:$C$1003,A9,Relationships!$E$4:$E$1003,"DATA",Relationships!$M$4:$M$1003,"Confirmed",Relationships!$N$4:$N$1003,"OK — verify source"))</f>
        <v/>
      </c>
      <c r="H9" s="27">
        <f>IF(A9="","",COUNTIFS(Relationships!$B$4:$B$1003,"AIR",Relationships!$C$4:$C$1003,A9,Relationships!$E$4:$E$1003,"IF",Relationships!$M$4:$M$1003,"Confirmed",Relationships!$N$4:$N$1003,"OK — verify source"))</f>
        <v/>
      </c>
      <c r="I9" s="27">
        <f>IF(A9="","",COUNTIFS(Relationships!$B$4:$B$1003,"AIR",Relationships!$C$4:$C$1003,A9,Relationships!$E$4:$E$1003,"AG",Relationships!$M$4:$M$1003,"Confirmed",Relationships!$N$4:$N$1003,"OK — verify source"))</f>
        <v/>
      </c>
      <c r="J9" s="27">
        <f>IF(A9="","",COUNTIFS(Relationships!$B$4:$B$1003,"AIR",Relationships!$C$4:$C$1003,A9,Relationships!$E$4:$E$1003,"TOOL",Relationships!$M$4:$M$1003,"Confirmed",Relationships!$N$4:$N$1003,"OK — verify source"))</f>
        <v/>
      </c>
      <c r="K9" s="27">
        <f>IF(A9="","",COUNTIFS(Relationships!$G$4:$G$1003,A9,Relationships!$M$4:$M$1003,"Proposed"))</f>
        <v/>
      </c>
      <c r="L9" s="27">
        <f>IF(A9="","",COUNTIFS(Relationships!$G$4:$G$1003,A9,Relationships!$A$4:$A$1003,"&lt;&gt;",Relationships!$N$4:$N$1003,"&lt;&gt;OK — verify source"))</f>
        <v/>
      </c>
      <c r="M9" s="27" t="n"/>
      <c r="N9" s="27" t="n"/>
      <c r="O9" s="27">
        <f>IF(COUNTA(A9:D9,M9:N9)=0,"",IF(A9="","AIR-ID missing",IF(COUNTIF($A$4:$A$203,A9)&gt;1,"Duplicate AIR-ID",IF(OR(B9="",C9="",D9=""),"Label / source / reconciled-on missing",IF(NOT(ISNUMBER(D9)),"Reconciled-on is not a date","OK — verify source")))))</f>
        <v/>
      </c>
    </row>
    <row r="10">
      <c r="A10" s="25" t="n"/>
      <c r="B10" s="25" t="n"/>
      <c r="C10" s="25" t="n"/>
      <c r="D10" s="26" t="n"/>
      <c r="E10" s="25">
        <f>IF(A10="","",COUNTIFS(Relationships!$B$4:$B$1003,"CAP",Relationships!$E$4:$E$1003,"AIR",Relationships!$F$4:$F$1003,A10,Relationships!$M$4:$M$1003,"Confirmed",Relationships!$N$4:$N$1003,"OK — verify source"))</f>
        <v/>
      </c>
      <c r="F10" s="25">
        <f>IF(A10="","",COUNTIFS(Relationships!$B$4:$B$1003,"AIR",Relationships!$C$4:$C$1003,A10,Relationships!$E$4:$E$1003,"MOD",Relationships!$M$4:$M$1003,"Confirmed",Relationships!$N$4:$N$1003,"OK — verify source"))</f>
        <v/>
      </c>
      <c r="G10" s="25">
        <f>IF(A10="","",COUNTIFS(Relationships!$B$4:$B$1003,"AIR",Relationships!$C$4:$C$1003,A10,Relationships!$E$4:$E$1003,"DATA",Relationships!$M$4:$M$1003,"Confirmed",Relationships!$N$4:$N$1003,"OK — verify source"))</f>
        <v/>
      </c>
      <c r="H10" s="25">
        <f>IF(A10="","",COUNTIFS(Relationships!$B$4:$B$1003,"AIR",Relationships!$C$4:$C$1003,A10,Relationships!$E$4:$E$1003,"IF",Relationships!$M$4:$M$1003,"Confirmed",Relationships!$N$4:$N$1003,"OK — verify source"))</f>
        <v/>
      </c>
      <c r="I10" s="25">
        <f>IF(A10="","",COUNTIFS(Relationships!$B$4:$B$1003,"AIR",Relationships!$C$4:$C$1003,A10,Relationships!$E$4:$E$1003,"AG",Relationships!$M$4:$M$1003,"Confirmed",Relationships!$N$4:$N$1003,"OK — verify source"))</f>
        <v/>
      </c>
      <c r="J10" s="25">
        <f>IF(A10="","",COUNTIFS(Relationships!$B$4:$B$1003,"AIR",Relationships!$C$4:$C$1003,A10,Relationships!$E$4:$E$1003,"TOOL",Relationships!$M$4:$M$1003,"Confirmed",Relationships!$N$4:$N$1003,"OK — verify source"))</f>
        <v/>
      </c>
      <c r="K10" s="25">
        <f>IF(A10="","",COUNTIFS(Relationships!$G$4:$G$1003,A10,Relationships!$M$4:$M$1003,"Proposed"))</f>
        <v/>
      </c>
      <c r="L10" s="25">
        <f>IF(A10="","",COUNTIFS(Relationships!$G$4:$G$1003,A10,Relationships!$A$4:$A$1003,"&lt;&gt;",Relationships!$N$4:$N$1003,"&lt;&gt;OK — verify source"))</f>
        <v/>
      </c>
      <c r="M10" s="25" t="n"/>
      <c r="N10" s="25" t="n"/>
      <c r="O10" s="25">
        <f>IF(COUNTA(A10:D10,M10:N10)=0,"",IF(A10="","AIR-ID missing",IF(COUNTIF($A$4:$A$203,A10)&gt;1,"Duplicate AIR-ID",IF(OR(B10="",C10="",D10=""),"Label / source / reconciled-on missing",IF(NOT(ISNUMBER(D10)),"Reconciled-on is not a date","OK — verify source")))))</f>
        <v/>
      </c>
    </row>
    <row r="11">
      <c r="A11" s="27" t="n"/>
      <c r="B11" s="27" t="n"/>
      <c r="C11" s="27" t="n"/>
      <c r="D11" s="28" t="n"/>
      <c r="E11" s="27">
        <f>IF(A11="","",COUNTIFS(Relationships!$B$4:$B$1003,"CAP",Relationships!$E$4:$E$1003,"AIR",Relationships!$F$4:$F$1003,A11,Relationships!$M$4:$M$1003,"Confirmed",Relationships!$N$4:$N$1003,"OK — verify source"))</f>
        <v/>
      </c>
      <c r="F11" s="27">
        <f>IF(A11="","",COUNTIFS(Relationships!$B$4:$B$1003,"AIR",Relationships!$C$4:$C$1003,A11,Relationships!$E$4:$E$1003,"MOD",Relationships!$M$4:$M$1003,"Confirmed",Relationships!$N$4:$N$1003,"OK — verify source"))</f>
        <v/>
      </c>
      <c r="G11" s="27">
        <f>IF(A11="","",COUNTIFS(Relationships!$B$4:$B$1003,"AIR",Relationships!$C$4:$C$1003,A11,Relationships!$E$4:$E$1003,"DATA",Relationships!$M$4:$M$1003,"Confirmed",Relationships!$N$4:$N$1003,"OK — verify source"))</f>
        <v/>
      </c>
      <c r="H11" s="27">
        <f>IF(A11="","",COUNTIFS(Relationships!$B$4:$B$1003,"AIR",Relationships!$C$4:$C$1003,A11,Relationships!$E$4:$E$1003,"IF",Relationships!$M$4:$M$1003,"Confirmed",Relationships!$N$4:$N$1003,"OK — verify source"))</f>
        <v/>
      </c>
      <c r="I11" s="27">
        <f>IF(A11="","",COUNTIFS(Relationships!$B$4:$B$1003,"AIR",Relationships!$C$4:$C$1003,A11,Relationships!$E$4:$E$1003,"AG",Relationships!$M$4:$M$1003,"Confirmed",Relationships!$N$4:$N$1003,"OK — verify source"))</f>
        <v/>
      </c>
      <c r="J11" s="27">
        <f>IF(A11="","",COUNTIFS(Relationships!$B$4:$B$1003,"AIR",Relationships!$C$4:$C$1003,A11,Relationships!$E$4:$E$1003,"TOOL",Relationships!$M$4:$M$1003,"Confirmed",Relationships!$N$4:$N$1003,"OK — verify source"))</f>
        <v/>
      </c>
      <c r="K11" s="27">
        <f>IF(A11="","",COUNTIFS(Relationships!$G$4:$G$1003,A11,Relationships!$M$4:$M$1003,"Proposed"))</f>
        <v/>
      </c>
      <c r="L11" s="27">
        <f>IF(A11="","",COUNTIFS(Relationships!$G$4:$G$1003,A11,Relationships!$A$4:$A$1003,"&lt;&gt;",Relationships!$N$4:$N$1003,"&lt;&gt;OK — verify source"))</f>
        <v/>
      </c>
      <c r="M11" s="27" t="n"/>
      <c r="N11" s="27" t="n"/>
      <c r="O11" s="27">
        <f>IF(COUNTA(A11:D11,M11:N11)=0,"",IF(A11="","AIR-ID missing",IF(COUNTIF($A$4:$A$203,A11)&gt;1,"Duplicate AIR-ID",IF(OR(B11="",C11="",D11=""),"Label / source / reconciled-on missing",IF(NOT(ISNUMBER(D11)),"Reconciled-on is not a date","OK — verify source")))))</f>
        <v/>
      </c>
    </row>
    <row r="12">
      <c r="A12" s="25" t="n"/>
      <c r="B12" s="25" t="n"/>
      <c r="C12" s="25" t="n"/>
      <c r="D12" s="26" t="n"/>
      <c r="E12" s="25">
        <f>IF(A12="","",COUNTIFS(Relationships!$B$4:$B$1003,"CAP",Relationships!$E$4:$E$1003,"AIR",Relationships!$F$4:$F$1003,A12,Relationships!$M$4:$M$1003,"Confirmed",Relationships!$N$4:$N$1003,"OK — verify source"))</f>
        <v/>
      </c>
      <c r="F12" s="25">
        <f>IF(A12="","",COUNTIFS(Relationships!$B$4:$B$1003,"AIR",Relationships!$C$4:$C$1003,A12,Relationships!$E$4:$E$1003,"MOD",Relationships!$M$4:$M$1003,"Confirmed",Relationships!$N$4:$N$1003,"OK — verify source"))</f>
        <v/>
      </c>
      <c r="G12" s="25">
        <f>IF(A12="","",COUNTIFS(Relationships!$B$4:$B$1003,"AIR",Relationships!$C$4:$C$1003,A12,Relationships!$E$4:$E$1003,"DATA",Relationships!$M$4:$M$1003,"Confirmed",Relationships!$N$4:$N$1003,"OK — verify source"))</f>
        <v/>
      </c>
      <c r="H12" s="25">
        <f>IF(A12="","",COUNTIFS(Relationships!$B$4:$B$1003,"AIR",Relationships!$C$4:$C$1003,A12,Relationships!$E$4:$E$1003,"IF",Relationships!$M$4:$M$1003,"Confirmed",Relationships!$N$4:$N$1003,"OK — verify source"))</f>
        <v/>
      </c>
      <c r="I12" s="25">
        <f>IF(A12="","",COUNTIFS(Relationships!$B$4:$B$1003,"AIR",Relationships!$C$4:$C$1003,A12,Relationships!$E$4:$E$1003,"AG",Relationships!$M$4:$M$1003,"Confirmed",Relationships!$N$4:$N$1003,"OK — verify source"))</f>
        <v/>
      </c>
      <c r="J12" s="25">
        <f>IF(A12="","",COUNTIFS(Relationships!$B$4:$B$1003,"AIR",Relationships!$C$4:$C$1003,A12,Relationships!$E$4:$E$1003,"TOOL",Relationships!$M$4:$M$1003,"Confirmed",Relationships!$N$4:$N$1003,"OK — verify source"))</f>
        <v/>
      </c>
      <c r="K12" s="25">
        <f>IF(A12="","",COUNTIFS(Relationships!$G$4:$G$1003,A12,Relationships!$M$4:$M$1003,"Proposed"))</f>
        <v/>
      </c>
      <c r="L12" s="25">
        <f>IF(A12="","",COUNTIFS(Relationships!$G$4:$G$1003,A12,Relationships!$A$4:$A$1003,"&lt;&gt;",Relationships!$N$4:$N$1003,"&lt;&gt;OK — verify source"))</f>
        <v/>
      </c>
      <c r="M12" s="25" t="n"/>
      <c r="N12" s="25" t="n"/>
      <c r="O12" s="25">
        <f>IF(COUNTA(A12:D12,M12:N12)=0,"",IF(A12="","AIR-ID missing",IF(COUNTIF($A$4:$A$203,A12)&gt;1,"Duplicate AIR-ID",IF(OR(B12="",C12="",D12=""),"Label / source / reconciled-on missing",IF(NOT(ISNUMBER(D12)),"Reconciled-on is not a date","OK — verify source")))))</f>
        <v/>
      </c>
    </row>
    <row r="13">
      <c r="A13" s="27" t="n"/>
      <c r="B13" s="27" t="n"/>
      <c r="C13" s="27" t="n"/>
      <c r="D13" s="28" t="n"/>
      <c r="E13" s="27">
        <f>IF(A13="","",COUNTIFS(Relationships!$B$4:$B$1003,"CAP",Relationships!$E$4:$E$1003,"AIR",Relationships!$F$4:$F$1003,A13,Relationships!$M$4:$M$1003,"Confirmed",Relationships!$N$4:$N$1003,"OK — verify source"))</f>
        <v/>
      </c>
      <c r="F13" s="27">
        <f>IF(A13="","",COUNTIFS(Relationships!$B$4:$B$1003,"AIR",Relationships!$C$4:$C$1003,A13,Relationships!$E$4:$E$1003,"MOD",Relationships!$M$4:$M$1003,"Confirmed",Relationships!$N$4:$N$1003,"OK — verify source"))</f>
        <v/>
      </c>
      <c r="G13" s="27">
        <f>IF(A13="","",COUNTIFS(Relationships!$B$4:$B$1003,"AIR",Relationships!$C$4:$C$1003,A13,Relationships!$E$4:$E$1003,"DATA",Relationships!$M$4:$M$1003,"Confirmed",Relationships!$N$4:$N$1003,"OK — verify source"))</f>
        <v/>
      </c>
      <c r="H13" s="27">
        <f>IF(A13="","",COUNTIFS(Relationships!$B$4:$B$1003,"AIR",Relationships!$C$4:$C$1003,A13,Relationships!$E$4:$E$1003,"IF",Relationships!$M$4:$M$1003,"Confirmed",Relationships!$N$4:$N$1003,"OK — verify source"))</f>
        <v/>
      </c>
      <c r="I13" s="27">
        <f>IF(A13="","",COUNTIFS(Relationships!$B$4:$B$1003,"AIR",Relationships!$C$4:$C$1003,A13,Relationships!$E$4:$E$1003,"AG",Relationships!$M$4:$M$1003,"Confirmed",Relationships!$N$4:$N$1003,"OK — verify source"))</f>
        <v/>
      </c>
      <c r="J13" s="27">
        <f>IF(A13="","",COUNTIFS(Relationships!$B$4:$B$1003,"AIR",Relationships!$C$4:$C$1003,A13,Relationships!$E$4:$E$1003,"TOOL",Relationships!$M$4:$M$1003,"Confirmed",Relationships!$N$4:$N$1003,"OK — verify source"))</f>
        <v/>
      </c>
      <c r="K13" s="27">
        <f>IF(A13="","",COUNTIFS(Relationships!$G$4:$G$1003,A13,Relationships!$M$4:$M$1003,"Proposed"))</f>
        <v/>
      </c>
      <c r="L13" s="27">
        <f>IF(A13="","",COUNTIFS(Relationships!$G$4:$G$1003,A13,Relationships!$A$4:$A$1003,"&lt;&gt;",Relationships!$N$4:$N$1003,"&lt;&gt;OK — verify source"))</f>
        <v/>
      </c>
      <c r="M13" s="27" t="n"/>
      <c r="N13" s="27" t="n"/>
      <c r="O13" s="27">
        <f>IF(COUNTA(A13:D13,M13:N13)=0,"",IF(A13="","AIR-ID missing",IF(COUNTIF($A$4:$A$203,A13)&gt;1,"Duplicate AIR-ID",IF(OR(B13="",C13="",D13=""),"Label / source / reconciled-on missing",IF(NOT(ISNUMBER(D13)),"Reconciled-on is not a date","OK — verify source")))))</f>
        <v/>
      </c>
    </row>
    <row r="14">
      <c r="A14" s="25" t="n"/>
      <c r="B14" s="25" t="n"/>
      <c r="C14" s="25" t="n"/>
      <c r="D14" s="26" t="n"/>
      <c r="E14" s="25">
        <f>IF(A14="","",COUNTIFS(Relationships!$B$4:$B$1003,"CAP",Relationships!$E$4:$E$1003,"AIR",Relationships!$F$4:$F$1003,A14,Relationships!$M$4:$M$1003,"Confirmed",Relationships!$N$4:$N$1003,"OK — verify source"))</f>
        <v/>
      </c>
      <c r="F14" s="25">
        <f>IF(A14="","",COUNTIFS(Relationships!$B$4:$B$1003,"AIR",Relationships!$C$4:$C$1003,A14,Relationships!$E$4:$E$1003,"MOD",Relationships!$M$4:$M$1003,"Confirmed",Relationships!$N$4:$N$1003,"OK — verify source"))</f>
        <v/>
      </c>
      <c r="G14" s="25">
        <f>IF(A14="","",COUNTIFS(Relationships!$B$4:$B$1003,"AIR",Relationships!$C$4:$C$1003,A14,Relationships!$E$4:$E$1003,"DATA",Relationships!$M$4:$M$1003,"Confirmed",Relationships!$N$4:$N$1003,"OK — verify source"))</f>
        <v/>
      </c>
      <c r="H14" s="25">
        <f>IF(A14="","",COUNTIFS(Relationships!$B$4:$B$1003,"AIR",Relationships!$C$4:$C$1003,A14,Relationships!$E$4:$E$1003,"IF",Relationships!$M$4:$M$1003,"Confirmed",Relationships!$N$4:$N$1003,"OK — verify source"))</f>
        <v/>
      </c>
      <c r="I14" s="25">
        <f>IF(A14="","",COUNTIFS(Relationships!$B$4:$B$1003,"AIR",Relationships!$C$4:$C$1003,A14,Relationships!$E$4:$E$1003,"AG",Relationships!$M$4:$M$1003,"Confirmed",Relationships!$N$4:$N$1003,"OK — verify source"))</f>
        <v/>
      </c>
      <c r="J14" s="25">
        <f>IF(A14="","",COUNTIFS(Relationships!$B$4:$B$1003,"AIR",Relationships!$C$4:$C$1003,A14,Relationships!$E$4:$E$1003,"TOOL",Relationships!$M$4:$M$1003,"Confirmed",Relationships!$N$4:$N$1003,"OK — verify source"))</f>
        <v/>
      </c>
      <c r="K14" s="25">
        <f>IF(A14="","",COUNTIFS(Relationships!$G$4:$G$1003,A14,Relationships!$M$4:$M$1003,"Proposed"))</f>
        <v/>
      </c>
      <c r="L14" s="25">
        <f>IF(A14="","",COUNTIFS(Relationships!$G$4:$G$1003,A14,Relationships!$A$4:$A$1003,"&lt;&gt;",Relationships!$N$4:$N$1003,"&lt;&gt;OK — verify source"))</f>
        <v/>
      </c>
      <c r="M14" s="25" t="n"/>
      <c r="N14" s="25" t="n"/>
      <c r="O14" s="25">
        <f>IF(COUNTA(A14:D14,M14:N14)=0,"",IF(A14="","AIR-ID missing",IF(COUNTIF($A$4:$A$203,A14)&gt;1,"Duplicate AIR-ID",IF(OR(B14="",C14="",D14=""),"Label / source / reconciled-on missing",IF(NOT(ISNUMBER(D14)),"Reconciled-on is not a date","OK — verify source")))))</f>
        <v/>
      </c>
    </row>
    <row r="15">
      <c r="A15" s="27" t="n"/>
      <c r="B15" s="27" t="n"/>
      <c r="C15" s="27" t="n"/>
      <c r="D15" s="28" t="n"/>
      <c r="E15" s="27">
        <f>IF(A15="","",COUNTIFS(Relationships!$B$4:$B$1003,"CAP",Relationships!$E$4:$E$1003,"AIR",Relationships!$F$4:$F$1003,A15,Relationships!$M$4:$M$1003,"Confirmed",Relationships!$N$4:$N$1003,"OK — verify source"))</f>
        <v/>
      </c>
      <c r="F15" s="27">
        <f>IF(A15="","",COUNTIFS(Relationships!$B$4:$B$1003,"AIR",Relationships!$C$4:$C$1003,A15,Relationships!$E$4:$E$1003,"MOD",Relationships!$M$4:$M$1003,"Confirmed",Relationships!$N$4:$N$1003,"OK — verify source"))</f>
        <v/>
      </c>
      <c r="G15" s="27">
        <f>IF(A15="","",COUNTIFS(Relationships!$B$4:$B$1003,"AIR",Relationships!$C$4:$C$1003,A15,Relationships!$E$4:$E$1003,"DATA",Relationships!$M$4:$M$1003,"Confirmed",Relationships!$N$4:$N$1003,"OK — verify source"))</f>
        <v/>
      </c>
      <c r="H15" s="27">
        <f>IF(A15="","",COUNTIFS(Relationships!$B$4:$B$1003,"AIR",Relationships!$C$4:$C$1003,A15,Relationships!$E$4:$E$1003,"IF",Relationships!$M$4:$M$1003,"Confirmed",Relationships!$N$4:$N$1003,"OK — verify source"))</f>
        <v/>
      </c>
      <c r="I15" s="27">
        <f>IF(A15="","",COUNTIFS(Relationships!$B$4:$B$1003,"AIR",Relationships!$C$4:$C$1003,A15,Relationships!$E$4:$E$1003,"AG",Relationships!$M$4:$M$1003,"Confirmed",Relationships!$N$4:$N$1003,"OK — verify source"))</f>
        <v/>
      </c>
      <c r="J15" s="27">
        <f>IF(A15="","",COUNTIFS(Relationships!$B$4:$B$1003,"AIR",Relationships!$C$4:$C$1003,A15,Relationships!$E$4:$E$1003,"TOOL",Relationships!$M$4:$M$1003,"Confirmed",Relationships!$N$4:$N$1003,"OK — verify source"))</f>
        <v/>
      </c>
      <c r="K15" s="27">
        <f>IF(A15="","",COUNTIFS(Relationships!$G$4:$G$1003,A15,Relationships!$M$4:$M$1003,"Proposed"))</f>
        <v/>
      </c>
      <c r="L15" s="27">
        <f>IF(A15="","",COUNTIFS(Relationships!$G$4:$G$1003,A15,Relationships!$A$4:$A$1003,"&lt;&gt;",Relationships!$N$4:$N$1003,"&lt;&gt;OK — verify source"))</f>
        <v/>
      </c>
      <c r="M15" s="27" t="n"/>
      <c r="N15" s="27" t="n"/>
      <c r="O15" s="27">
        <f>IF(COUNTA(A15:D15,M15:N15)=0,"",IF(A15="","AIR-ID missing",IF(COUNTIF($A$4:$A$203,A15)&gt;1,"Duplicate AIR-ID",IF(OR(B15="",C15="",D15=""),"Label / source / reconciled-on missing",IF(NOT(ISNUMBER(D15)),"Reconciled-on is not a date","OK — verify source")))))</f>
        <v/>
      </c>
    </row>
    <row r="16">
      <c r="A16" s="25" t="n"/>
      <c r="B16" s="25" t="n"/>
      <c r="C16" s="25" t="n"/>
      <c r="D16" s="26" t="n"/>
      <c r="E16" s="25">
        <f>IF(A16="","",COUNTIFS(Relationships!$B$4:$B$1003,"CAP",Relationships!$E$4:$E$1003,"AIR",Relationships!$F$4:$F$1003,A16,Relationships!$M$4:$M$1003,"Confirmed",Relationships!$N$4:$N$1003,"OK — verify source"))</f>
        <v/>
      </c>
      <c r="F16" s="25">
        <f>IF(A16="","",COUNTIFS(Relationships!$B$4:$B$1003,"AIR",Relationships!$C$4:$C$1003,A16,Relationships!$E$4:$E$1003,"MOD",Relationships!$M$4:$M$1003,"Confirmed",Relationships!$N$4:$N$1003,"OK — verify source"))</f>
        <v/>
      </c>
      <c r="G16" s="25">
        <f>IF(A16="","",COUNTIFS(Relationships!$B$4:$B$1003,"AIR",Relationships!$C$4:$C$1003,A16,Relationships!$E$4:$E$1003,"DATA",Relationships!$M$4:$M$1003,"Confirmed",Relationships!$N$4:$N$1003,"OK — verify source"))</f>
        <v/>
      </c>
      <c r="H16" s="25">
        <f>IF(A16="","",COUNTIFS(Relationships!$B$4:$B$1003,"AIR",Relationships!$C$4:$C$1003,A16,Relationships!$E$4:$E$1003,"IF",Relationships!$M$4:$M$1003,"Confirmed",Relationships!$N$4:$N$1003,"OK — verify source"))</f>
        <v/>
      </c>
      <c r="I16" s="25">
        <f>IF(A16="","",COUNTIFS(Relationships!$B$4:$B$1003,"AIR",Relationships!$C$4:$C$1003,A16,Relationships!$E$4:$E$1003,"AG",Relationships!$M$4:$M$1003,"Confirmed",Relationships!$N$4:$N$1003,"OK — verify source"))</f>
        <v/>
      </c>
      <c r="J16" s="25">
        <f>IF(A16="","",COUNTIFS(Relationships!$B$4:$B$1003,"AIR",Relationships!$C$4:$C$1003,A16,Relationships!$E$4:$E$1003,"TOOL",Relationships!$M$4:$M$1003,"Confirmed",Relationships!$N$4:$N$1003,"OK — verify source"))</f>
        <v/>
      </c>
      <c r="K16" s="25">
        <f>IF(A16="","",COUNTIFS(Relationships!$G$4:$G$1003,A16,Relationships!$M$4:$M$1003,"Proposed"))</f>
        <v/>
      </c>
      <c r="L16" s="25">
        <f>IF(A16="","",COUNTIFS(Relationships!$G$4:$G$1003,A16,Relationships!$A$4:$A$1003,"&lt;&gt;",Relationships!$N$4:$N$1003,"&lt;&gt;OK — verify source"))</f>
        <v/>
      </c>
      <c r="M16" s="25" t="n"/>
      <c r="N16" s="25" t="n"/>
      <c r="O16" s="25">
        <f>IF(COUNTA(A16:D16,M16:N16)=0,"",IF(A16="","AIR-ID missing",IF(COUNTIF($A$4:$A$203,A16)&gt;1,"Duplicate AIR-ID",IF(OR(B16="",C16="",D16=""),"Label / source / reconciled-on missing",IF(NOT(ISNUMBER(D16)),"Reconciled-on is not a date","OK — verify source")))))</f>
        <v/>
      </c>
    </row>
    <row r="17">
      <c r="A17" s="27" t="n"/>
      <c r="B17" s="27" t="n"/>
      <c r="C17" s="27" t="n"/>
      <c r="D17" s="28" t="n"/>
      <c r="E17" s="27">
        <f>IF(A17="","",COUNTIFS(Relationships!$B$4:$B$1003,"CAP",Relationships!$E$4:$E$1003,"AIR",Relationships!$F$4:$F$1003,A17,Relationships!$M$4:$M$1003,"Confirmed",Relationships!$N$4:$N$1003,"OK — verify source"))</f>
        <v/>
      </c>
      <c r="F17" s="27">
        <f>IF(A17="","",COUNTIFS(Relationships!$B$4:$B$1003,"AIR",Relationships!$C$4:$C$1003,A17,Relationships!$E$4:$E$1003,"MOD",Relationships!$M$4:$M$1003,"Confirmed",Relationships!$N$4:$N$1003,"OK — verify source"))</f>
        <v/>
      </c>
      <c r="G17" s="27">
        <f>IF(A17="","",COUNTIFS(Relationships!$B$4:$B$1003,"AIR",Relationships!$C$4:$C$1003,A17,Relationships!$E$4:$E$1003,"DATA",Relationships!$M$4:$M$1003,"Confirmed",Relationships!$N$4:$N$1003,"OK — verify source"))</f>
        <v/>
      </c>
      <c r="H17" s="27">
        <f>IF(A17="","",COUNTIFS(Relationships!$B$4:$B$1003,"AIR",Relationships!$C$4:$C$1003,A17,Relationships!$E$4:$E$1003,"IF",Relationships!$M$4:$M$1003,"Confirmed",Relationships!$N$4:$N$1003,"OK — verify source"))</f>
        <v/>
      </c>
      <c r="I17" s="27">
        <f>IF(A17="","",COUNTIFS(Relationships!$B$4:$B$1003,"AIR",Relationships!$C$4:$C$1003,A17,Relationships!$E$4:$E$1003,"AG",Relationships!$M$4:$M$1003,"Confirmed",Relationships!$N$4:$N$1003,"OK — verify source"))</f>
        <v/>
      </c>
      <c r="J17" s="27">
        <f>IF(A17="","",COUNTIFS(Relationships!$B$4:$B$1003,"AIR",Relationships!$C$4:$C$1003,A17,Relationships!$E$4:$E$1003,"TOOL",Relationships!$M$4:$M$1003,"Confirmed",Relationships!$N$4:$N$1003,"OK — verify source"))</f>
        <v/>
      </c>
      <c r="K17" s="27">
        <f>IF(A17="","",COUNTIFS(Relationships!$G$4:$G$1003,A17,Relationships!$M$4:$M$1003,"Proposed"))</f>
        <v/>
      </c>
      <c r="L17" s="27">
        <f>IF(A17="","",COUNTIFS(Relationships!$G$4:$G$1003,A17,Relationships!$A$4:$A$1003,"&lt;&gt;",Relationships!$N$4:$N$1003,"&lt;&gt;OK — verify source"))</f>
        <v/>
      </c>
      <c r="M17" s="27" t="n"/>
      <c r="N17" s="27" t="n"/>
      <c r="O17" s="27">
        <f>IF(COUNTA(A17:D17,M17:N17)=0,"",IF(A17="","AIR-ID missing",IF(COUNTIF($A$4:$A$203,A17)&gt;1,"Duplicate AIR-ID",IF(OR(B17="",C17="",D17=""),"Label / source / reconciled-on missing",IF(NOT(ISNUMBER(D17)),"Reconciled-on is not a date","OK — verify source")))))</f>
        <v/>
      </c>
    </row>
    <row r="18">
      <c r="A18" s="25" t="n"/>
      <c r="B18" s="25" t="n"/>
      <c r="C18" s="25" t="n"/>
      <c r="D18" s="26" t="n"/>
      <c r="E18" s="25">
        <f>IF(A18="","",COUNTIFS(Relationships!$B$4:$B$1003,"CAP",Relationships!$E$4:$E$1003,"AIR",Relationships!$F$4:$F$1003,A18,Relationships!$M$4:$M$1003,"Confirmed",Relationships!$N$4:$N$1003,"OK — verify source"))</f>
        <v/>
      </c>
      <c r="F18" s="25">
        <f>IF(A18="","",COUNTIFS(Relationships!$B$4:$B$1003,"AIR",Relationships!$C$4:$C$1003,A18,Relationships!$E$4:$E$1003,"MOD",Relationships!$M$4:$M$1003,"Confirmed",Relationships!$N$4:$N$1003,"OK — verify source"))</f>
        <v/>
      </c>
      <c r="G18" s="25">
        <f>IF(A18="","",COUNTIFS(Relationships!$B$4:$B$1003,"AIR",Relationships!$C$4:$C$1003,A18,Relationships!$E$4:$E$1003,"DATA",Relationships!$M$4:$M$1003,"Confirmed",Relationships!$N$4:$N$1003,"OK — verify source"))</f>
        <v/>
      </c>
      <c r="H18" s="25">
        <f>IF(A18="","",COUNTIFS(Relationships!$B$4:$B$1003,"AIR",Relationships!$C$4:$C$1003,A18,Relationships!$E$4:$E$1003,"IF",Relationships!$M$4:$M$1003,"Confirmed",Relationships!$N$4:$N$1003,"OK — verify source"))</f>
        <v/>
      </c>
      <c r="I18" s="25">
        <f>IF(A18="","",COUNTIFS(Relationships!$B$4:$B$1003,"AIR",Relationships!$C$4:$C$1003,A18,Relationships!$E$4:$E$1003,"AG",Relationships!$M$4:$M$1003,"Confirmed",Relationships!$N$4:$N$1003,"OK — verify source"))</f>
        <v/>
      </c>
      <c r="J18" s="25">
        <f>IF(A18="","",COUNTIFS(Relationships!$B$4:$B$1003,"AIR",Relationships!$C$4:$C$1003,A18,Relationships!$E$4:$E$1003,"TOOL",Relationships!$M$4:$M$1003,"Confirmed",Relationships!$N$4:$N$1003,"OK — verify source"))</f>
        <v/>
      </c>
      <c r="K18" s="25">
        <f>IF(A18="","",COUNTIFS(Relationships!$G$4:$G$1003,A18,Relationships!$M$4:$M$1003,"Proposed"))</f>
        <v/>
      </c>
      <c r="L18" s="25">
        <f>IF(A18="","",COUNTIFS(Relationships!$G$4:$G$1003,A18,Relationships!$A$4:$A$1003,"&lt;&gt;",Relationships!$N$4:$N$1003,"&lt;&gt;OK — verify source"))</f>
        <v/>
      </c>
      <c r="M18" s="25" t="n"/>
      <c r="N18" s="25" t="n"/>
      <c r="O18" s="25">
        <f>IF(COUNTA(A18:D18,M18:N18)=0,"",IF(A18="","AIR-ID missing",IF(COUNTIF($A$4:$A$203,A18)&gt;1,"Duplicate AIR-ID",IF(OR(B18="",C18="",D18=""),"Label / source / reconciled-on missing",IF(NOT(ISNUMBER(D18)),"Reconciled-on is not a date","OK — verify source")))))</f>
        <v/>
      </c>
    </row>
    <row r="19">
      <c r="A19" s="27" t="n"/>
      <c r="B19" s="27" t="n"/>
      <c r="C19" s="27" t="n"/>
      <c r="D19" s="28" t="n"/>
      <c r="E19" s="27">
        <f>IF(A19="","",COUNTIFS(Relationships!$B$4:$B$1003,"CAP",Relationships!$E$4:$E$1003,"AIR",Relationships!$F$4:$F$1003,A19,Relationships!$M$4:$M$1003,"Confirmed",Relationships!$N$4:$N$1003,"OK — verify source"))</f>
        <v/>
      </c>
      <c r="F19" s="27">
        <f>IF(A19="","",COUNTIFS(Relationships!$B$4:$B$1003,"AIR",Relationships!$C$4:$C$1003,A19,Relationships!$E$4:$E$1003,"MOD",Relationships!$M$4:$M$1003,"Confirmed",Relationships!$N$4:$N$1003,"OK — verify source"))</f>
        <v/>
      </c>
      <c r="G19" s="27">
        <f>IF(A19="","",COUNTIFS(Relationships!$B$4:$B$1003,"AIR",Relationships!$C$4:$C$1003,A19,Relationships!$E$4:$E$1003,"DATA",Relationships!$M$4:$M$1003,"Confirmed",Relationships!$N$4:$N$1003,"OK — verify source"))</f>
        <v/>
      </c>
      <c r="H19" s="27">
        <f>IF(A19="","",COUNTIFS(Relationships!$B$4:$B$1003,"AIR",Relationships!$C$4:$C$1003,A19,Relationships!$E$4:$E$1003,"IF",Relationships!$M$4:$M$1003,"Confirmed",Relationships!$N$4:$N$1003,"OK — verify source"))</f>
        <v/>
      </c>
      <c r="I19" s="27">
        <f>IF(A19="","",COUNTIFS(Relationships!$B$4:$B$1003,"AIR",Relationships!$C$4:$C$1003,A19,Relationships!$E$4:$E$1003,"AG",Relationships!$M$4:$M$1003,"Confirmed",Relationships!$N$4:$N$1003,"OK — verify source"))</f>
        <v/>
      </c>
      <c r="J19" s="27">
        <f>IF(A19="","",COUNTIFS(Relationships!$B$4:$B$1003,"AIR",Relationships!$C$4:$C$1003,A19,Relationships!$E$4:$E$1003,"TOOL",Relationships!$M$4:$M$1003,"Confirmed",Relationships!$N$4:$N$1003,"OK — verify source"))</f>
        <v/>
      </c>
      <c r="K19" s="27">
        <f>IF(A19="","",COUNTIFS(Relationships!$G$4:$G$1003,A19,Relationships!$M$4:$M$1003,"Proposed"))</f>
        <v/>
      </c>
      <c r="L19" s="27">
        <f>IF(A19="","",COUNTIFS(Relationships!$G$4:$G$1003,A19,Relationships!$A$4:$A$1003,"&lt;&gt;",Relationships!$N$4:$N$1003,"&lt;&gt;OK — verify source"))</f>
        <v/>
      </c>
      <c r="M19" s="27" t="n"/>
      <c r="N19" s="27" t="n"/>
      <c r="O19" s="27">
        <f>IF(COUNTA(A19:D19,M19:N19)=0,"",IF(A19="","AIR-ID missing",IF(COUNTIF($A$4:$A$203,A19)&gt;1,"Duplicate AIR-ID",IF(OR(B19="",C19="",D19=""),"Label / source / reconciled-on missing",IF(NOT(ISNUMBER(D19)),"Reconciled-on is not a date","OK — verify source")))))</f>
        <v/>
      </c>
    </row>
    <row r="20">
      <c r="A20" s="25" t="n"/>
      <c r="B20" s="25" t="n"/>
      <c r="C20" s="25" t="n"/>
      <c r="D20" s="26" t="n"/>
      <c r="E20" s="25">
        <f>IF(A20="","",COUNTIFS(Relationships!$B$4:$B$1003,"CAP",Relationships!$E$4:$E$1003,"AIR",Relationships!$F$4:$F$1003,A20,Relationships!$M$4:$M$1003,"Confirmed",Relationships!$N$4:$N$1003,"OK — verify source"))</f>
        <v/>
      </c>
      <c r="F20" s="25">
        <f>IF(A20="","",COUNTIFS(Relationships!$B$4:$B$1003,"AIR",Relationships!$C$4:$C$1003,A20,Relationships!$E$4:$E$1003,"MOD",Relationships!$M$4:$M$1003,"Confirmed",Relationships!$N$4:$N$1003,"OK — verify source"))</f>
        <v/>
      </c>
      <c r="G20" s="25">
        <f>IF(A20="","",COUNTIFS(Relationships!$B$4:$B$1003,"AIR",Relationships!$C$4:$C$1003,A20,Relationships!$E$4:$E$1003,"DATA",Relationships!$M$4:$M$1003,"Confirmed",Relationships!$N$4:$N$1003,"OK — verify source"))</f>
        <v/>
      </c>
      <c r="H20" s="25">
        <f>IF(A20="","",COUNTIFS(Relationships!$B$4:$B$1003,"AIR",Relationships!$C$4:$C$1003,A20,Relationships!$E$4:$E$1003,"IF",Relationships!$M$4:$M$1003,"Confirmed",Relationships!$N$4:$N$1003,"OK — verify source"))</f>
        <v/>
      </c>
      <c r="I20" s="25">
        <f>IF(A20="","",COUNTIFS(Relationships!$B$4:$B$1003,"AIR",Relationships!$C$4:$C$1003,A20,Relationships!$E$4:$E$1003,"AG",Relationships!$M$4:$M$1003,"Confirmed",Relationships!$N$4:$N$1003,"OK — verify source"))</f>
        <v/>
      </c>
      <c r="J20" s="25">
        <f>IF(A20="","",COUNTIFS(Relationships!$B$4:$B$1003,"AIR",Relationships!$C$4:$C$1003,A20,Relationships!$E$4:$E$1003,"TOOL",Relationships!$M$4:$M$1003,"Confirmed",Relationships!$N$4:$N$1003,"OK — verify source"))</f>
        <v/>
      </c>
      <c r="K20" s="25">
        <f>IF(A20="","",COUNTIFS(Relationships!$G$4:$G$1003,A20,Relationships!$M$4:$M$1003,"Proposed"))</f>
        <v/>
      </c>
      <c r="L20" s="25">
        <f>IF(A20="","",COUNTIFS(Relationships!$G$4:$G$1003,A20,Relationships!$A$4:$A$1003,"&lt;&gt;",Relationships!$N$4:$N$1003,"&lt;&gt;OK — verify source"))</f>
        <v/>
      </c>
      <c r="M20" s="25" t="n"/>
      <c r="N20" s="25" t="n"/>
      <c r="O20" s="25">
        <f>IF(COUNTA(A20:D20,M20:N20)=0,"",IF(A20="","AIR-ID missing",IF(COUNTIF($A$4:$A$203,A20)&gt;1,"Duplicate AIR-ID",IF(OR(B20="",C20="",D20=""),"Label / source / reconciled-on missing",IF(NOT(ISNUMBER(D20)),"Reconciled-on is not a date","OK — verify source")))))</f>
        <v/>
      </c>
    </row>
    <row r="21">
      <c r="A21" s="27" t="n"/>
      <c r="B21" s="27" t="n"/>
      <c r="C21" s="27" t="n"/>
      <c r="D21" s="28" t="n"/>
      <c r="E21" s="27">
        <f>IF(A21="","",COUNTIFS(Relationships!$B$4:$B$1003,"CAP",Relationships!$E$4:$E$1003,"AIR",Relationships!$F$4:$F$1003,A21,Relationships!$M$4:$M$1003,"Confirmed",Relationships!$N$4:$N$1003,"OK — verify source"))</f>
        <v/>
      </c>
      <c r="F21" s="27">
        <f>IF(A21="","",COUNTIFS(Relationships!$B$4:$B$1003,"AIR",Relationships!$C$4:$C$1003,A21,Relationships!$E$4:$E$1003,"MOD",Relationships!$M$4:$M$1003,"Confirmed",Relationships!$N$4:$N$1003,"OK — verify source"))</f>
        <v/>
      </c>
      <c r="G21" s="27">
        <f>IF(A21="","",COUNTIFS(Relationships!$B$4:$B$1003,"AIR",Relationships!$C$4:$C$1003,A21,Relationships!$E$4:$E$1003,"DATA",Relationships!$M$4:$M$1003,"Confirmed",Relationships!$N$4:$N$1003,"OK — verify source"))</f>
        <v/>
      </c>
      <c r="H21" s="27">
        <f>IF(A21="","",COUNTIFS(Relationships!$B$4:$B$1003,"AIR",Relationships!$C$4:$C$1003,A21,Relationships!$E$4:$E$1003,"IF",Relationships!$M$4:$M$1003,"Confirmed",Relationships!$N$4:$N$1003,"OK — verify source"))</f>
        <v/>
      </c>
      <c r="I21" s="27">
        <f>IF(A21="","",COUNTIFS(Relationships!$B$4:$B$1003,"AIR",Relationships!$C$4:$C$1003,A21,Relationships!$E$4:$E$1003,"AG",Relationships!$M$4:$M$1003,"Confirmed",Relationships!$N$4:$N$1003,"OK — verify source"))</f>
        <v/>
      </c>
      <c r="J21" s="27">
        <f>IF(A21="","",COUNTIFS(Relationships!$B$4:$B$1003,"AIR",Relationships!$C$4:$C$1003,A21,Relationships!$E$4:$E$1003,"TOOL",Relationships!$M$4:$M$1003,"Confirmed",Relationships!$N$4:$N$1003,"OK — verify source"))</f>
        <v/>
      </c>
      <c r="K21" s="27">
        <f>IF(A21="","",COUNTIFS(Relationships!$G$4:$G$1003,A21,Relationships!$M$4:$M$1003,"Proposed"))</f>
        <v/>
      </c>
      <c r="L21" s="27">
        <f>IF(A21="","",COUNTIFS(Relationships!$G$4:$G$1003,A21,Relationships!$A$4:$A$1003,"&lt;&gt;",Relationships!$N$4:$N$1003,"&lt;&gt;OK — verify source"))</f>
        <v/>
      </c>
      <c r="M21" s="27" t="n"/>
      <c r="N21" s="27" t="n"/>
      <c r="O21" s="27">
        <f>IF(COUNTA(A21:D21,M21:N21)=0,"",IF(A21="","AIR-ID missing",IF(COUNTIF($A$4:$A$203,A21)&gt;1,"Duplicate AIR-ID",IF(OR(B21="",C21="",D21=""),"Label / source / reconciled-on missing",IF(NOT(ISNUMBER(D21)),"Reconciled-on is not a date","OK — verify source")))))</f>
        <v/>
      </c>
    </row>
    <row r="22">
      <c r="A22" s="25" t="n"/>
      <c r="B22" s="25" t="n"/>
      <c r="C22" s="25" t="n"/>
      <c r="D22" s="26" t="n"/>
      <c r="E22" s="25">
        <f>IF(A22="","",COUNTIFS(Relationships!$B$4:$B$1003,"CAP",Relationships!$E$4:$E$1003,"AIR",Relationships!$F$4:$F$1003,A22,Relationships!$M$4:$M$1003,"Confirmed",Relationships!$N$4:$N$1003,"OK — verify source"))</f>
        <v/>
      </c>
      <c r="F22" s="25">
        <f>IF(A22="","",COUNTIFS(Relationships!$B$4:$B$1003,"AIR",Relationships!$C$4:$C$1003,A22,Relationships!$E$4:$E$1003,"MOD",Relationships!$M$4:$M$1003,"Confirmed",Relationships!$N$4:$N$1003,"OK — verify source"))</f>
        <v/>
      </c>
      <c r="G22" s="25">
        <f>IF(A22="","",COUNTIFS(Relationships!$B$4:$B$1003,"AIR",Relationships!$C$4:$C$1003,A22,Relationships!$E$4:$E$1003,"DATA",Relationships!$M$4:$M$1003,"Confirmed",Relationships!$N$4:$N$1003,"OK — verify source"))</f>
        <v/>
      </c>
      <c r="H22" s="25">
        <f>IF(A22="","",COUNTIFS(Relationships!$B$4:$B$1003,"AIR",Relationships!$C$4:$C$1003,A22,Relationships!$E$4:$E$1003,"IF",Relationships!$M$4:$M$1003,"Confirmed",Relationships!$N$4:$N$1003,"OK — verify source"))</f>
        <v/>
      </c>
      <c r="I22" s="25">
        <f>IF(A22="","",COUNTIFS(Relationships!$B$4:$B$1003,"AIR",Relationships!$C$4:$C$1003,A22,Relationships!$E$4:$E$1003,"AG",Relationships!$M$4:$M$1003,"Confirmed",Relationships!$N$4:$N$1003,"OK — verify source"))</f>
        <v/>
      </c>
      <c r="J22" s="25">
        <f>IF(A22="","",COUNTIFS(Relationships!$B$4:$B$1003,"AIR",Relationships!$C$4:$C$1003,A22,Relationships!$E$4:$E$1003,"TOOL",Relationships!$M$4:$M$1003,"Confirmed",Relationships!$N$4:$N$1003,"OK — verify source"))</f>
        <v/>
      </c>
      <c r="K22" s="25">
        <f>IF(A22="","",COUNTIFS(Relationships!$G$4:$G$1003,A22,Relationships!$M$4:$M$1003,"Proposed"))</f>
        <v/>
      </c>
      <c r="L22" s="25">
        <f>IF(A22="","",COUNTIFS(Relationships!$G$4:$G$1003,A22,Relationships!$A$4:$A$1003,"&lt;&gt;",Relationships!$N$4:$N$1003,"&lt;&gt;OK — verify source"))</f>
        <v/>
      </c>
      <c r="M22" s="25" t="n"/>
      <c r="N22" s="25" t="n"/>
      <c r="O22" s="25">
        <f>IF(COUNTA(A22:D22,M22:N22)=0,"",IF(A22="","AIR-ID missing",IF(COUNTIF($A$4:$A$203,A22)&gt;1,"Duplicate AIR-ID",IF(OR(B22="",C22="",D22=""),"Label / source / reconciled-on missing",IF(NOT(ISNUMBER(D22)),"Reconciled-on is not a date","OK — verify source")))))</f>
        <v/>
      </c>
    </row>
    <row r="23">
      <c r="A23" s="27" t="n"/>
      <c r="B23" s="27" t="n"/>
      <c r="C23" s="27" t="n"/>
      <c r="D23" s="28" t="n"/>
      <c r="E23" s="27">
        <f>IF(A23="","",COUNTIFS(Relationships!$B$4:$B$1003,"CAP",Relationships!$E$4:$E$1003,"AIR",Relationships!$F$4:$F$1003,A23,Relationships!$M$4:$M$1003,"Confirmed",Relationships!$N$4:$N$1003,"OK — verify source"))</f>
        <v/>
      </c>
      <c r="F23" s="27">
        <f>IF(A23="","",COUNTIFS(Relationships!$B$4:$B$1003,"AIR",Relationships!$C$4:$C$1003,A23,Relationships!$E$4:$E$1003,"MOD",Relationships!$M$4:$M$1003,"Confirmed",Relationships!$N$4:$N$1003,"OK — verify source"))</f>
        <v/>
      </c>
      <c r="G23" s="27">
        <f>IF(A23="","",COUNTIFS(Relationships!$B$4:$B$1003,"AIR",Relationships!$C$4:$C$1003,A23,Relationships!$E$4:$E$1003,"DATA",Relationships!$M$4:$M$1003,"Confirmed",Relationships!$N$4:$N$1003,"OK — verify source"))</f>
        <v/>
      </c>
      <c r="H23" s="27">
        <f>IF(A23="","",COUNTIFS(Relationships!$B$4:$B$1003,"AIR",Relationships!$C$4:$C$1003,A23,Relationships!$E$4:$E$1003,"IF",Relationships!$M$4:$M$1003,"Confirmed",Relationships!$N$4:$N$1003,"OK — verify source"))</f>
        <v/>
      </c>
      <c r="I23" s="27">
        <f>IF(A23="","",COUNTIFS(Relationships!$B$4:$B$1003,"AIR",Relationships!$C$4:$C$1003,A23,Relationships!$E$4:$E$1003,"AG",Relationships!$M$4:$M$1003,"Confirmed",Relationships!$N$4:$N$1003,"OK — verify source"))</f>
        <v/>
      </c>
      <c r="J23" s="27">
        <f>IF(A23="","",COUNTIFS(Relationships!$B$4:$B$1003,"AIR",Relationships!$C$4:$C$1003,A23,Relationships!$E$4:$E$1003,"TOOL",Relationships!$M$4:$M$1003,"Confirmed",Relationships!$N$4:$N$1003,"OK — verify source"))</f>
        <v/>
      </c>
      <c r="K23" s="27">
        <f>IF(A23="","",COUNTIFS(Relationships!$G$4:$G$1003,A23,Relationships!$M$4:$M$1003,"Proposed"))</f>
        <v/>
      </c>
      <c r="L23" s="27">
        <f>IF(A23="","",COUNTIFS(Relationships!$G$4:$G$1003,A23,Relationships!$A$4:$A$1003,"&lt;&gt;",Relationships!$N$4:$N$1003,"&lt;&gt;OK — verify source"))</f>
        <v/>
      </c>
      <c r="M23" s="27" t="n"/>
      <c r="N23" s="27" t="n"/>
      <c r="O23" s="27">
        <f>IF(COUNTA(A23:D23,M23:N23)=0,"",IF(A23="","AIR-ID missing",IF(COUNTIF($A$4:$A$203,A23)&gt;1,"Duplicate AIR-ID",IF(OR(B23="",C23="",D23=""),"Label / source / reconciled-on missing",IF(NOT(ISNUMBER(D23)),"Reconciled-on is not a date","OK — verify source")))))</f>
        <v/>
      </c>
    </row>
    <row r="24">
      <c r="A24" s="25" t="n"/>
      <c r="B24" s="25" t="n"/>
      <c r="C24" s="25" t="n"/>
      <c r="D24" s="26" t="n"/>
      <c r="E24" s="25">
        <f>IF(A24="","",COUNTIFS(Relationships!$B$4:$B$1003,"CAP",Relationships!$E$4:$E$1003,"AIR",Relationships!$F$4:$F$1003,A24,Relationships!$M$4:$M$1003,"Confirmed",Relationships!$N$4:$N$1003,"OK — verify source"))</f>
        <v/>
      </c>
      <c r="F24" s="25">
        <f>IF(A24="","",COUNTIFS(Relationships!$B$4:$B$1003,"AIR",Relationships!$C$4:$C$1003,A24,Relationships!$E$4:$E$1003,"MOD",Relationships!$M$4:$M$1003,"Confirmed",Relationships!$N$4:$N$1003,"OK — verify source"))</f>
        <v/>
      </c>
      <c r="G24" s="25">
        <f>IF(A24="","",COUNTIFS(Relationships!$B$4:$B$1003,"AIR",Relationships!$C$4:$C$1003,A24,Relationships!$E$4:$E$1003,"DATA",Relationships!$M$4:$M$1003,"Confirmed",Relationships!$N$4:$N$1003,"OK — verify source"))</f>
        <v/>
      </c>
      <c r="H24" s="25">
        <f>IF(A24="","",COUNTIFS(Relationships!$B$4:$B$1003,"AIR",Relationships!$C$4:$C$1003,A24,Relationships!$E$4:$E$1003,"IF",Relationships!$M$4:$M$1003,"Confirmed",Relationships!$N$4:$N$1003,"OK — verify source"))</f>
        <v/>
      </c>
      <c r="I24" s="25">
        <f>IF(A24="","",COUNTIFS(Relationships!$B$4:$B$1003,"AIR",Relationships!$C$4:$C$1003,A24,Relationships!$E$4:$E$1003,"AG",Relationships!$M$4:$M$1003,"Confirmed",Relationships!$N$4:$N$1003,"OK — verify source"))</f>
        <v/>
      </c>
      <c r="J24" s="25">
        <f>IF(A24="","",COUNTIFS(Relationships!$B$4:$B$1003,"AIR",Relationships!$C$4:$C$1003,A24,Relationships!$E$4:$E$1003,"TOOL",Relationships!$M$4:$M$1003,"Confirmed",Relationships!$N$4:$N$1003,"OK — verify source"))</f>
        <v/>
      </c>
      <c r="K24" s="25">
        <f>IF(A24="","",COUNTIFS(Relationships!$G$4:$G$1003,A24,Relationships!$M$4:$M$1003,"Proposed"))</f>
        <v/>
      </c>
      <c r="L24" s="25">
        <f>IF(A24="","",COUNTIFS(Relationships!$G$4:$G$1003,A24,Relationships!$A$4:$A$1003,"&lt;&gt;",Relationships!$N$4:$N$1003,"&lt;&gt;OK — verify source"))</f>
        <v/>
      </c>
      <c r="M24" s="25" t="n"/>
      <c r="N24" s="25" t="n"/>
      <c r="O24" s="25">
        <f>IF(COUNTA(A24:D24,M24:N24)=0,"",IF(A24="","AIR-ID missing",IF(COUNTIF($A$4:$A$203,A24)&gt;1,"Duplicate AIR-ID",IF(OR(B24="",C24="",D24=""),"Label / source / reconciled-on missing",IF(NOT(ISNUMBER(D24)),"Reconciled-on is not a date","OK — verify source")))))</f>
        <v/>
      </c>
    </row>
    <row r="25">
      <c r="A25" s="27" t="n"/>
      <c r="B25" s="27" t="n"/>
      <c r="C25" s="27" t="n"/>
      <c r="D25" s="28" t="n"/>
      <c r="E25" s="27">
        <f>IF(A25="","",COUNTIFS(Relationships!$B$4:$B$1003,"CAP",Relationships!$E$4:$E$1003,"AIR",Relationships!$F$4:$F$1003,A25,Relationships!$M$4:$M$1003,"Confirmed",Relationships!$N$4:$N$1003,"OK — verify source"))</f>
        <v/>
      </c>
      <c r="F25" s="27">
        <f>IF(A25="","",COUNTIFS(Relationships!$B$4:$B$1003,"AIR",Relationships!$C$4:$C$1003,A25,Relationships!$E$4:$E$1003,"MOD",Relationships!$M$4:$M$1003,"Confirmed",Relationships!$N$4:$N$1003,"OK — verify source"))</f>
        <v/>
      </c>
      <c r="G25" s="27">
        <f>IF(A25="","",COUNTIFS(Relationships!$B$4:$B$1003,"AIR",Relationships!$C$4:$C$1003,A25,Relationships!$E$4:$E$1003,"DATA",Relationships!$M$4:$M$1003,"Confirmed",Relationships!$N$4:$N$1003,"OK — verify source"))</f>
        <v/>
      </c>
      <c r="H25" s="27">
        <f>IF(A25="","",COUNTIFS(Relationships!$B$4:$B$1003,"AIR",Relationships!$C$4:$C$1003,A25,Relationships!$E$4:$E$1003,"IF",Relationships!$M$4:$M$1003,"Confirmed",Relationships!$N$4:$N$1003,"OK — verify source"))</f>
        <v/>
      </c>
      <c r="I25" s="27">
        <f>IF(A25="","",COUNTIFS(Relationships!$B$4:$B$1003,"AIR",Relationships!$C$4:$C$1003,A25,Relationships!$E$4:$E$1003,"AG",Relationships!$M$4:$M$1003,"Confirmed",Relationships!$N$4:$N$1003,"OK — verify source"))</f>
        <v/>
      </c>
      <c r="J25" s="27">
        <f>IF(A25="","",COUNTIFS(Relationships!$B$4:$B$1003,"AIR",Relationships!$C$4:$C$1003,A25,Relationships!$E$4:$E$1003,"TOOL",Relationships!$M$4:$M$1003,"Confirmed",Relationships!$N$4:$N$1003,"OK — verify source"))</f>
        <v/>
      </c>
      <c r="K25" s="27">
        <f>IF(A25="","",COUNTIFS(Relationships!$G$4:$G$1003,A25,Relationships!$M$4:$M$1003,"Proposed"))</f>
        <v/>
      </c>
      <c r="L25" s="27">
        <f>IF(A25="","",COUNTIFS(Relationships!$G$4:$G$1003,A25,Relationships!$A$4:$A$1003,"&lt;&gt;",Relationships!$N$4:$N$1003,"&lt;&gt;OK — verify source"))</f>
        <v/>
      </c>
      <c r="M25" s="27" t="n"/>
      <c r="N25" s="27" t="n"/>
      <c r="O25" s="27">
        <f>IF(COUNTA(A25:D25,M25:N25)=0,"",IF(A25="","AIR-ID missing",IF(COUNTIF($A$4:$A$203,A25)&gt;1,"Duplicate AIR-ID",IF(OR(B25="",C25="",D25=""),"Label / source / reconciled-on missing",IF(NOT(ISNUMBER(D25)),"Reconciled-on is not a date","OK — verify source")))))</f>
        <v/>
      </c>
    </row>
    <row r="26">
      <c r="A26" s="25" t="n"/>
      <c r="B26" s="25" t="n"/>
      <c r="C26" s="25" t="n"/>
      <c r="D26" s="26" t="n"/>
      <c r="E26" s="25">
        <f>IF(A26="","",COUNTIFS(Relationships!$B$4:$B$1003,"CAP",Relationships!$E$4:$E$1003,"AIR",Relationships!$F$4:$F$1003,A26,Relationships!$M$4:$M$1003,"Confirmed",Relationships!$N$4:$N$1003,"OK — verify source"))</f>
        <v/>
      </c>
      <c r="F26" s="25">
        <f>IF(A26="","",COUNTIFS(Relationships!$B$4:$B$1003,"AIR",Relationships!$C$4:$C$1003,A26,Relationships!$E$4:$E$1003,"MOD",Relationships!$M$4:$M$1003,"Confirmed",Relationships!$N$4:$N$1003,"OK — verify source"))</f>
        <v/>
      </c>
      <c r="G26" s="25">
        <f>IF(A26="","",COUNTIFS(Relationships!$B$4:$B$1003,"AIR",Relationships!$C$4:$C$1003,A26,Relationships!$E$4:$E$1003,"DATA",Relationships!$M$4:$M$1003,"Confirmed",Relationships!$N$4:$N$1003,"OK — verify source"))</f>
        <v/>
      </c>
      <c r="H26" s="25">
        <f>IF(A26="","",COUNTIFS(Relationships!$B$4:$B$1003,"AIR",Relationships!$C$4:$C$1003,A26,Relationships!$E$4:$E$1003,"IF",Relationships!$M$4:$M$1003,"Confirmed",Relationships!$N$4:$N$1003,"OK — verify source"))</f>
        <v/>
      </c>
      <c r="I26" s="25">
        <f>IF(A26="","",COUNTIFS(Relationships!$B$4:$B$1003,"AIR",Relationships!$C$4:$C$1003,A26,Relationships!$E$4:$E$1003,"AG",Relationships!$M$4:$M$1003,"Confirmed",Relationships!$N$4:$N$1003,"OK — verify source"))</f>
        <v/>
      </c>
      <c r="J26" s="25">
        <f>IF(A26="","",COUNTIFS(Relationships!$B$4:$B$1003,"AIR",Relationships!$C$4:$C$1003,A26,Relationships!$E$4:$E$1003,"TOOL",Relationships!$M$4:$M$1003,"Confirmed",Relationships!$N$4:$N$1003,"OK — verify source"))</f>
        <v/>
      </c>
      <c r="K26" s="25">
        <f>IF(A26="","",COUNTIFS(Relationships!$G$4:$G$1003,A26,Relationships!$M$4:$M$1003,"Proposed"))</f>
        <v/>
      </c>
      <c r="L26" s="25">
        <f>IF(A26="","",COUNTIFS(Relationships!$G$4:$G$1003,A26,Relationships!$A$4:$A$1003,"&lt;&gt;",Relationships!$N$4:$N$1003,"&lt;&gt;OK — verify source"))</f>
        <v/>
      </c>
      <c r="M26" s="25" t="n"/>
      <c r="N26" s="25" t="n"/>
      <c r="O26" s="25">
        <f>IF(COUNTA(A26:D26,M26:N26)=0,"",IF(A26="","AIR-ID missing",IF(COUNTIF($A$4:$A$203,A26)&gt;1,"Duplicate AIR-ID",IF(OR(B26="",C26="",D26=""),"Label / source / reconciled-on missing",IF(NOT(ISNUMBER(D26)),"Reconciled-on is not a date","OK — verify source")))))</f>
        <v/>
      </c>
    </row>
    <row r="27">
      <c r="A27" s="27" t="n"/>
      <c r="B27" s="27" t="n"/>
      <c r="C27" s="27" t="n"/>
      <c r="D27" s="28" t="n"/>
      <c r="E27" s="27">
        <f>IF(A27="","",COUNTIFS(Relationships!$B$4:$B$1003,"CAP",Relationships!$E$4:$E$1003,"AIR",Relationships!$F$4:$F$1003,A27,Relationships!$M$4:$M$1003,"Confirmed",Relationships!$N$4:$N$1003,"OK — verify source"))</f>
        <v/>
      </c>
      <c r="F27" s="27">
        <f>IF(A27="","",COUNTIFS(Relationships!$B$4:$B$1003,"AIR",Relationships!$C$4:$C$1003,A27,Relationships!$E$4:$E$1003,"MOD",Relationships!$M$4:$M$1003,"Confirmed",Relationships!$N$4:$N$1003,"OK — verify source"))</f>
        <v/>
      </c>
      <c r="G27" s="27">
        <f>IF(A27="","",COUNTIFS(Relationships!$B$4:$B$1003,"AIR",Relationships!$C$4:$C$1003,A27,Relationships!$E$4:$E$1003,"DATA",Relationships!$M$4:$M$1003,"Confirmed",Relationships!$N$4:$N$1003,"OK — verify source"))</f>
        <v/>
      </c>
      <c r="H27" s="27">
        <f>IF(A27="","",COUNTIFS(Relationships!$B$4:$B$1003,"AIR",Relationships!$C$4:$C$1003,A27,Relationships!$E$4:$E$1003,"IF",Relationships!$M$4:$M$1003,"Confirmed",Relationships!$N$4:$N$1003,"OK — verify source"))</f>
        <v/>
      </c>
      <c r="I27" s="27">
        <f>IF(A27="","",COUNTIFS(Relationships!$B$4:$B$1003,"AIR",Relationships!$C$4:$C$1003,A27,Relationships!$E$4:$E$1003,"AG",Relationships!$M$4:$M$1003,"Confirmed",Relationships!$N$4:$N$1003,"OK — verify source"))</f>
        <v/>
      </c>
      <c r="J27" s="27">
        <f>IF(A27="","",COUNTIFS(Relationships!$B$4:$B$1003,"AIR",Relationships!$C$4:$C$1003,A27,Relationships!$E$4:$E$1003,"TOOL",Relationships!$M$4:$M$1003,"Confirmed",Relationships!$N$4:$N$1003,"OK — verify source"))</f>
        <v/>
      </c>
      <c r="K27" s="27">
        <f>IF(A27="","",COUNTIFS(Relationships!$G$4:$G$1003,A27,Relationships!$M$4:$M$1003,"Proposed"))</f>
        <v/>
      </c>
      <c r="L27" s="27">
        <f>IF(A27="","",COUNTIFS(Relationships!$G$4:$G$1003,A27,Relationships!$A$4:$A$1003,"&lt;&gt;",Relationships!$N$4:$N$1003,"&lt;&gt;OK — verify source"))</f>
        <v/>
      </c>
      <c r="M27" s="27" t="n"/>
      <c r="N27" s="27" t="n"/>
      <c r="O27" s="27">
        <f>IF(COUNTA(A27:D27,M27:N27)=0,"",IF(A27="","AIR-ID missing",IF(COUNTIF($A$4:$A$203,A27)&gt;1,"Duplicate AIR-ID",IF(OR(B27="",C27="",D27=""),"Label / source / reconciled-on missing",IF(NOT(ISNUMBER(D27)),"Reconciled-on is not a date","OK — verify source")))))</f>
        <v/>
      </c>
    </row>
    <row r="28">
      <c r="A28" s="25" t="n"/>
      <c r="B28" s="25" t="n"/>
      <c r="C28" s="25" t="n"/>
      <c r="D28" s="26" t="n"/>
      <c r="E28" s="25">
        <f>IF(A28="","",COUNTIFS(Relationships!$B$4:$B$1003,"CAP",Relationships!$E$4:$E$1003,"AIR",Relationships!$F$4:$F$1003,A28,Relationships!$M$4:$M$1003,"Confirmed",Relationships!$N$4:$N$1003,"OK — verify source"))</f>
        <v/>
      </c>
      <c r="F28" s="25">
        <f>IF(A28="","",COUNTIFS(Relationships!$B$4:$B$1003,"AIR",Relationships!$C$4:$C$1003,A28,Relationships!$E$4:$E$1003,"MOD",Relationships!$M$4:$M$1003,"Confirmed",Relationships!$N$4:$N$1003,"OK — verify source"))</f>
        <v/>
      </c>
      <c r="G28" s="25">
        <f>IF(A28="","",COUNTIFS(Relationships!$B$4:$B$1003,"AIR",Relationships!$C$4:$C$1003,A28,Relationships!$E$4:$E$1003,"DATA",Relationships!$M$4:$M$1003,"Confirmed",Relationships!$N$4:$N$1003,"OK — verify source"))</f>
        <v/>
      </c>
      <c r="H28" s="25">
        <f>IF(A28="","",COUNTIFS(Relationships!$B$4:$B$1003,"AIR",Relationships!$C$4:$C$1003,A28,Relationships!$E$4:$E$1003,"IF",Relationships!$M$4:$M$1003,"Confirmed",Relationships!$N$4:$N$1003,"OK — verify source"))</f>
        <v/>
      </c>
      <c r="I28" s="25">
        <f>IF(A28="","",COUNTIFS(Relationships!$B$4:$B$1003,"AIR",Relationships!$C$4:$C$1003,A28,Relationships!$E$4:$E$1003,"AG",Relationships!$M$4:$M$1003,"Confirmed",Relationships!$N$4:$N$1003,"OK — verify source"))</f>
        <v/>
      </c>
      <c r="J28" s="25">
        <f>IF(A28="","",COUNTIFS(Relationships!$B$4:$B$1003,"AIR",Relationships!$C$4:$C$1003,A28,Relationships!$E$4:$E$1003,"TOOL",Relationships!$M$4:$M$1003,"Confirmed",Relationships!$N$4:$N$1003,"OK — verify source"))</f>
        <v/>
      </c>
      <c r="K28" s="25">
        <f>IF(A28="","",COUNTIFS(Relationships!$G$4:$G$1003,A28,Relationships!$M$4:$M$1003,"Proposed"))</f>
        <v/>
      </c>
      <c r="L28" s="25">
        <f>IF(A28="","",COUNTIFS(Relationships!$G$4:$G$1003,A28,Relationships!$A$4:$A$1003,"&lt;&gt;",Relationships!$N$4:$N$1003,"&lt;&gt;OK — verify source"))</f>
        <v/>
      </c>
      <c r="M28" s="25" t="n"/>
      <c r="N28" s="25" t="n"/>
      <c r="O28" s="25">
        <f>IF(COUNTA(A28:D28,M28:N28)=0,"",IF(A28="","AIR-ID missing",IF(COUNTIF($A$4:$A$203,A28)&gt;1,"Duplicate AIR-ID",IF(OR(B28="",C28="",D28=""),"Label / source / reconciled-on missing",IF(NOT(ISNUMBER(D28)),"Reconciled-on is not a date","OK — verify source")))))</f>
        <v/>
      </c>
    </row>
    <row r="29">
      <c r="A29" s="27" t="n"/>
      <c r="B29" s="27" t="n"/>
      <c r="C29" s="27" t="n"/>
      <c r="D29" s="28" t="n"/>
      <c r="E29" s="27">
        <f>IF(A29="","",COUNTIFS(Relationships!$B$4:$B$1003,"CAP",Relationships!$E$4:$E$1003,"AIR",Relationships!$F$4:$F$1003,A29,Relationships!$M$4:$M$1003,"Confirmed",Relationships!$N$4:$N$1003,"OK — verify source"))</f>
        <v/>
      </c>
      <c r="F29" s="27">
        <f>IF(A29="","",COUNTIFS(Relationships!$B$4:$B$1003,"AIR",Relationships!$C$4:$C$1003,A29,Relationships!$E$4:$E$1003,"MOD",Relationships!$M$4:$M$1003,"Confirmed",Relationships!$N$4:$N$1003,"OK — verify source"))</f>
        <v/>
      </c>
      <c r="G29" s="27">
        <f>IF(A29="","",COUNTIFS(Relationships!$B$4:$B$1003,"AIR",Relationships!$C$4:$C$1003,A29,Relationships!$E$4:$E$1003,"DATA",Relationships!$M$4:$M$1003,"Confirmed",Relationships!$N$4:$N$1003,"OK — verify source"))</f>
        <v/>
      </c>
      <c r="H29" s="27">
        <f>IF(A29="","",COUNTIFS(Relationships!$B$4:$B$1003,"AIR",Relationships!$C$4:$C$1003,A29,Relationships!$E$4:$E$1003,"IF",Relationships!$M$4:$M$1003,"Confirmed",Relationships!$N$4:$N$1003,"OK — verify source"))</f>
        <v/>
      </c>
      <c r="I29" s="27">
        <f>IF(A29="","",COUNTIFS(Relationships!$B$4:$B$1003,"AIR",Relationships!$C$4:$C$1003,A29,Relationships!$E$4:$E$1003,"AG",Relationships!$M$4:$M$1003,"Confirmed",Relationships!$N$4:$N$1003,"OK — verify source"))</f>
        <v/>
      </c>
      <c r="J29" s="27">
        <f>IF(A29="","",COUNTIFS(Relationships!$B$4:$B$1003,"AIR",Relationships!$C$4:$C$1003,A29,Relationships!$E$4:$E$1003,"TOOL",Relationships!$M$4:$M$1003,"Confirmed",Relationships!$N$4:$N$1003,"OK — verify source"))</f>
        <v/>
      </c>
      <c r="K29" s="27">
        <f>IF(A29="","",COUNTIFS(Relationships!$G$4:$G$1003,A29,Relationships!$M$4:$M$1003,"Proposed"))</f>
        <v/>
      </c>
      <c r="L29" s="27">
        <f>IF(A29="","",COUNTIFS(Relationships!$G$4:$G$1003,A29,Relationships!$A$4:$A$1003,"&lt;&gt;",Relationships!$N$4:$N$1003,"&lt;&gt;OK — verify source"))</f>
        <v/>
      </c>
      <c r="M29" s="27" t="n"/>
      <c r="N29" s="27" t="n"/>
      <c r="O29" s="27">
        <f>IF(COUNTA(A29:D29,M29:N29)=0,"",IF(A29="","AIR-ID missing",IF(COUNTIF($A$4:$A$203,A29)&gt;1,"Duplicate AIR-ID",IF(OR(B29="",C29="",D29=""),"Label / source / reconciled-on missing",IF(NOT(ISNUMBER(D29)),"Reconciled-on is not a date","OK — verify source")))))</f>
        <v/>
      </c>
    </row>
    <row r="30">
      <c r="A30" s="25" t="n"/>
      <c r="B30" s="25" t="n"/>
      <c r="C30" s="25" t="n"/>
      <c r="D30" s="26" t="n"/>
      <c r="E30" s="25">
        <f>IF(A30="","",COUNTIFS(Relationships!$B$4:$B$1003,"CAP",Relationships!$E$4:$E$1003,"AIR",Relationships!$F$4:$F$1003,A30,Relationships!$M$4:$M$1003,"Confirmed",Relationships!$N$4:$N$1003,"OK — verify source"))</f>
        <v/>
      </c>
      <c r="F30" s="25">
        <f>IF(A30="","",COUNTIFS(Relationships!$B$4:$B$1003,"AIR",Relationships!$C$4:$C$1003,A30,Relationships!$E$4:$E$1003,"MOD",Relationships!$M$4:$M$1003,"Confirmed",Relationships!$N$4:$N$1003,"OK — verify source"))</f>
        <v/>
      </c>
      <c r="G30" s="25">
        <f>IF(A30="","",COUNTIFS(Relationships!$B$4:$B$1003,"AIR",Relationships!$C$4:$C$1003,A30,Relationships!$E$4:$E$1003,"DATA",Relationships!$M$4:$M$1003,"Confirmed",Relationships!$N$4:$N$1003,"OK — verify source"))</f>
        <v/>
      </c>
      <c r="H30" s="25">
        <f>IF(A30="","",COUNTIFS(Relationships!$B$4:$B$1003,"AIR",Relationships!$C$4:$C$1003,A30,Relationships!$E$4:$E$1003,"IF",Relationships!$M$4:$M$1003,"Confirmed",Relationships!$N$4:$N$1003,"OK — verify source"))</f>
        <v/>
      </c>
      <c r="I30" s="25">
        <f>IF(A30="","",COUNTIFS(Relationships!$B$4:$B$1003,"AIR",Relationships!$C$4:$C$1003,A30,Relationships!$E$4:$E$1003,"AG",Relationships!$M$4:$M$1003,"Confirmed",Relationships!$N$4:$N$1003,"OK — verify source"))</f>
        <v/>
      </c>
      <c r="J30" s="25">
        <f>IF(A30="","",COUNTIFS(Relationships!$B$4:$B$1003,"AIR",Relationships!$C$4:$C$1003,A30,Relationships!$E$4:$E$1003,"TOOL",Relationships!$M$4:$M$1003,"Confirmed",Relationships!$N$4:$N$1003,"OK — verify source"))</f>
        <v/>
      </c>
      <c r="K30" s="25">
        <f>IF(A30="","",COUNTIFS(Relationships!$G$4:$G$1003,A30,Relationships!$M$4:$M$1003,"Proposed"))</f>
        <v/>
      </c>
      <c r="L30" s="25">
        <f>IF(A30="","",COUNTIFS(Relationships!$G$4:$G$1003,A30,Relationships!$A$4:$A$1003,"&lt;&gt;",Relationships!$N$4:$N$1003,"&lt;&gt;OK — verify source"))</f>
        <v/>
      </c>
      <c r="M30" s="25" t="n"/>
      <c r="N30" s="25" t="n"/>
      <c r="O30" s="25">
        <f>IF(COUNTA(A30:D30,M30:N30)=0,"",IF(A30="","AIR-ID missing",IF(COUNTIF($A$4:$A$203,A30)&gt;1,"Duplicate AIR-ID",IF(OR(B30="",C30="",D30=""),"Label / source / reconciled-on missing",IF(NOT(ISNUMBER(D30)),"Reconciled-on is not a date","OK — verify source")))))</f>
        <v/>
      </c>
    </row>
    <row r="31">
      <c r="A31" s="27" t="n"/>
      <c r="B31" s="27" t="n"/>
      <c r="C31" s="27" t="n"/>
      <c r="D31" s="28" t="n"/>
      <c r="E31" s="27">
        <f>IF(A31="","",COUNTIFS(Relationships!$B$4:$B$1003,"CAP",Relationships!$E$4:$E$1003,"AIR",Relationships!$F$4:$F$1003,A31,Relationships!$M$4:$M$1003,"Confirmed",Relationships!$N$4:$N$1003,"OK — verify source"))</f>
        <v/>
      </c>
      <c r="F31" s="27">
        <f>IF(A31="","",COUNTIFS(Relationships!$B$4:$B$1003,"AIR",Relationships!$C$4:$C$1003,A31,Relationships!$E$4:$E$1003,"MOD",Relationships!$M$4:$M$1003,"Confirmed",Relationships!$N$4:$N$1003,"OK — verify source"))</f>
        <v/>
      </c>
      <c r="G31" s="27">
        <f>IF(A31="","",COUNTIFS(Relationships!$B$4:$B$1003,"AIR",Relationships!$C$4:$C$1003,A31,Relationships!$E$4:$E$1003,"DATA",Relationships!$M$4:$M$1003,"Confirmed",Relationships!$N$4:$N$1003,"OK — verify source"))</f>
        <v/>
      </c>
      <c r="H31" s="27">
        <f>IF(A31="","",COUNTIFS(Relationships!$B$4:$B$1003,"AIR",Relationships!$C$4:$C$1003,A31,Relationships!$E$4:$E$1003,"IF",Relationships!$M$4:$M$1003,"Confirmed",Relationships!$N$4:$N$1003,"OK — verify source"))</f>
        <v/>
      </c>
      <c r="I31" s="27">
        <f>IF(A31="","",COUNTIFS(Relationships!$B$4:$B$1003,"AIR",Relationships!$C$4:$C$1003,A31,Relationships!$E$4:$E$1003,"AG",Relationships!$M$4:$M$1003,"Confirmed",Relationships!$N$4:$N$1003,"OK — verify source"))</f>
        <v/>
      </c>
      <c r="J31" s="27">
        <f>IF(A31="","",COUNTIFS(Relationships!$B$4:$B$1003,"AIR",Relationships!$C$4:$C$1003,A31,Relationships!$E$4:$E$1003,"TOOL",Relationships!$M$4:$M$1003,"Confirmed",Relationships!$N$4:$N$1003,"OK — verify source"))</f>
        <v/>
      </c>
      <c r="K31" s="27">
        <f>IF(A31="","",COUNTIFS(Relationships!$G$4:$G$1003,A31,Relationships!$M$4:$M$1003,"Proposed"))</f>
        <v/>
      </c>
      <c r="L31" s="27">
        <f>IF(A31="","",COUNTIFS(Relationships!$G$4:$G$1003,A31,Relationships!$A$4:$A$1003,"&lt;&gt;",Relationships!$N$4:$N$1003,"&lt;&gt;OK — verify source"))</f>
        <v/>
      </c>
      <c r="M31" s="27" t="n"/>
      <c r="N31" s="27" t="n"/>
      <c r="O31" s="27">
        <f>IF(COUNTA(A31:D31,M31:N31)=0,"",IF(A31="","AIR-ID missing",IF(COUNTIF($A$4:$A$203,A31)&gt;1,"Duplicate AIR-ID",IF(OR(B31="",C31="",D31=""),"Label / source / reconciled-on missing",IF(NOT(ISNUMBER(D31)),"Reconciled-on is not a date","OK — verify source")))))</f>
        <v/>
      </c>
    </row>
    <row r="32">
      <c r="A32" s="25" t="n"/>
      <c r="B32" s="25" t="n"/>
      <c r="C32" s="25" t="n"/>
      <c r="D32" s="26" t="n"/>
      <c r="E32" s="25">
        <f>IF(A32="","",COUNTIFS(Relationships!$B$4:$B$1003,"CAP",Relationships!$E$4:$E$1003,"AIR",Relationships!$F$4:$F$1003,A32,Relationships!$M$4:$M$1003,"Confirmed",Relationships!$N$4:$N$1003,"OK — verify source"))</f>
        <v/>
      </c>
      <c r="F32" s="25">
        <f>IF(A32="","",COUNTIFS(Relationships!$B$4:$B$1003,"AIR",Relationships!$C$4:$C$1003,A32,Relationships!$E$4:$E$1003,"MOD",Relationships!$M$4:$M$1003,"Confirmed",Relationships!$N$4:$N$1003,"OK — verify source"))</f>
        <v/>
      </c>
      <c r="G32" s="25">
        <f>IF(A32="","",COUNTIFS(Relationships!$B$4:$B$1003,"AIR",Relationships!$C$4:$C$1003,A32,Relationships!$E$4:$E$1003,"DATA",Relationships!$M$4:$M$1003,"Confirmed",Relationships!$N$4:$N$1003,"OK — verify source"))</f>
        <v/>
      </c>
      <c r="H32" s="25">
        <f>IF(A32="","",COUNTIFS(Relationships!$B$4:$B$1003,"AIR",Relationships!$C$4:$C$1003,A32,Relationships!$E$4:$E$1003,"IF",Relationships!$M$4:$M$1003,"Confirmed",Relationships!$N$4:$N$1003,"OK — verify source"))</f>
        <v/>
      </c>
      <c r="I32" s="25">
        <f>IF(A32="","",COUNTIFS(Relationships!$B$4:$B$1003,"AIR",Relationships!$C$4:$C$1003,A32,Relationships!$E$4:$E$1003,"AG",Relationships!$M$4:$M$1003,"Confirmed",Relationships!$N$4:$N$1003,"OK — verify source"))</f>
        <v/>
      </c>
      <c r="J32" s="25">
        <f>IF(A32="","",COUNTIFS(Relationships!$B$4:$B$1003,"AIR",Relationships!$C$4:$C$1003,A32,Relationships!$E$4:$E$1003,"TOOL",Relationships!$M$4:$M$1003,"Confirmed",Relationships!$N$4:$N$1003,"OK — verify source"))</f>
        <v/>
      </c>
      <c r="K32" s="25">
        <f>IF(A32="","",COUNTIFS(Relationships!$G$4:$G$1003,A32,Relationships!$M$4:$M$1003,"Proposed"))</f>
        <v/>
      </c>
      <c r="L32" s="25">
        <f>IF(A32="","",COUNTIFS(Relationships!$G$4:$G$1003,A32,Relationships!$A$4:$A$1003,"&lt;&gt;",Relationships!$N$4:$N$1003,"&lt;&gt;OK — verify source"))</f>
        <v/>
      </c>
      <c r="M32" s="25" t="n"/>
      <c r="N32" s="25" t="n"/>
      <c r="O32" s="25">
        <f>IF(COUNTA(A32:D32,M32:N32)=0,"",IF(A32="","AIR-ID missing",IF(COUNTIF($A$4:$A$203,A32)&gt;1,"Duplicate AIR-ID",IF(OR(B32="",C32="",D32=""),"Label / source / reconciled-on missing",IF(NOT(ISNUMBER(D32)),"Reconciled-on is not a date","OK — verify source")))))</f>
        <v/>
      </c>
    </row>
    <row r="33">
      <c r="A33" s="27" t="n"/>
      <c r="B33" s="27" t="n"/>
      <c r="C33" s="27" t="n"/>
      <c r="D33" s="28" t="n"/>
      <c r="E33" s="27">
        <f>IF(A33="","",COUNTIFS(Relationships!$B$4:$B$1003,"CAP",Relationships!$E$4:$E$1003,"AIR",Relationships!$F$4:$F$1003,A33,Relationships!$M$4:$M$1003,"Confirmed",Relationships!$N$4:$N$1003,"OK — verify source"))</f>
        <v/>
      </c>
      <c r="F33" s="27">
        <f>IF(A33="","",COUNTIFS(Relationships!$B$4:$B$1003,"AIR",Relationships!$C$4:$C$1003,A33,Relationships!$E$4:$E$1003,"MOD",Relationships!$M$4:$M$1003,"Confirmed",Relationships!$N$4:$N$1003,"OK — verify source"))</f>
        <v/>
      </c>
      <c r="G33" s="27">
        <f>IF(A33="","",COUNTIFS(Relationships!$B$4:$B$1003,"AIR",Relationships!$C$4:$C$1003,A33,Relationships!$E$4:$E$1003,"DATA",Relationships!$M$4:$M$1003,"Confirmed",Relationships!$N$4:$N$1003,"OK — verify source"))</f>
        <v/>
      </c>
      <c r="H33" s="27">
        <f>IF(A33="","",COUNTIFS(Relationships!$B$4:$B$1003,"AIR",Relationships!$C$4:$C$1003,A33,Relationships!$E$4:$E$1003,"IF",Relationships!$M$4:$M$1003,"Confirmed",Relationships!$N$4:$N$1003,"OK — verify source"))</f>
        <v/>
      </c>
      <c r="I33" s="27">
        <f>IF(A33="","",COUNTIFS(Relationships!$B$4:$B$1003,"AIR",Relationships!$C$4:$C$1003,A33,Relationships!$E$4:$E$1003,"AG",Relationships!$M$4:$M$1003,"Confirmed",Relationships!$N$4:$N$1003,"OK — verify source"))</f>
        <v/>
      </c>
      <c r="J33" s="27">
        <f>IF(A33="","",COUNTIFS(Relationships!$B$4:$B$1003,"AIR",Relationships!$C$4:$C$1003,A33,Relationships!$E$4:$E$1003,"TOOL",Relationships!$M$4:$M$1003,"Confirmed",Relationships!$N$4:$N$1003,"OK — verify source"))</f>
        <v/>
      </c>
      <c r="K33" s="27">
        <f>IF(A33="","",COUNTIFS(Relationships!$G$4:$G$1003,A33,Relationships!$M$4:$M$1003,"Proposed"))</f>
        <v/>
      </c>
      <c r="L33" s="27">
        <f>IF(A33="","",COUNTIFS(Relationships!$G$4:$G$1003,A33,Relationships!$A$4:$A$1003,"&lt;&gt;",Relationships!$N$4:$N$1003,"&lt;&gt;OK — verify source"))</f>
        <v/>
      </c>
      <c r="M33" s="27" t="n"/>
      <c r="N33" s="27" t="n"/>
      <c r="O33" s="27">
        <f>IF(COUNTA(A33:D33,M33:N33)=0,"",IF(A33="","AIR-ID missing",IF(COUNTIF($A$4:$A$203,A33)&gt;1,"Duplicate AIR-ID",IF(OR(B33="",C33="",D33=""),"Label / source / reconciled-on missing",IF(NOT(ISNUMBER(D33)),"Reconciled-on is not a date","OK — verify source")))))</f>
        <v/>
      </c>
    </row>
    <row r="34">
      <c r="A34" s="25" t="n"/>
      <c r="B34" s="25" t="n"/>
      <c r="C34" s="25" t="n"/>
      <c r="D34" s="26" t="n"/>
      <c r="E34" s="25">
        <f>IF(A34="","",COUNTIFS(Relationships!$B$4:$B$1003,"CAP",Relationships!$E$4:$E$1003,"AIR",Relationships!$F$4:$F$1003,A34,Relationships!$M$4:$M$1003,"Confirmed",Relationships!$N$4:$N$1003,"OK — verify source"))</f>
        <v/>
      </c>
      <c r="F34" s="25">
        <f>IF(A34="","",COUNTIFS(Relationships!$B$4:$B$1003,"AIR",Relationships!$C$4:$C$1003,A34,Relationships!$E$4:$E$1003,"MOD",Relationships!$M$4:$M$1003,"Confirmed",Relationships!$N$4:$N$1003,"OK — verify source"))</f>
        <v/>
      </c>
      <c r="G34" s="25">
        <f>IF(A34="","",COUNTIFS(Relationships!$B$4:$B$1003,"AIR",Relationships!$C$4:$C$1003,A34,Relationships!$E$4:$E$1003,"DATA",Relationships!$M$4:$M$1003,"Confirmed",Relationships!$N$4:$N$1003,"OK — verify source"))</f>
        <v/>
      </c>
      <c r="H34" s="25">
        <f>IF(A34="","",COUNTIFS(Relationships!$B$4:$B$1003,"AIR",Relationships!$C$4:$C$1003,A34,Relationships!$E$4:$E$1003,"IF",Relationships!$M$4:$M$1003,"Confirmed",Relationships!$N$4:$N$1003,"OK — verify source"))</f>
        <v/>
      </c>
      <c r="I34" s="25">
        <f>IF(A34="","",COUNTIFS(Relationships!$B$4:$B$1003,"AIR",Relationships!$C$4:$C$1003,A34,Relationships!$E$4:$E$1003,"AG",Relationships!$M$4:$M$1003,"Confirmed",Relationships!$N$4:$N$1003,"OK — verify source"))</f>
        <v/>
      </c>
      <c r="J34" s="25">
        <f>IF(A34="","",COUNTIFS(Relationships!$B$4:$B$1003,"AIR",Relationships!$C$4:$C$1003,A34,Relationships!$E$4:$E$1003,"TOOL",Relationships!$M$4:$M$1003,"Confirmed",Relationships!$N$4:$N$1003,"OK — verify source"))</f>
        <v/>
      </c>
      <c r="K34" s="25">
        <f>IF(A34="","",COUNTIFS(Relationships!$G$4:$G$1003,A34,Relationships!$M$4:$M$1003,"Proposed"))</f>
        <v/>
      </c>
      <c r="L34" s="25">
        <f>IF(A34="","",COUNTIFS(Relationships!$G$4:$G$1003,A34,Relationships!$A$4:$A$1003,"&lt;&gt;",Relationships!$N$4:$N$1003,"&lt;&gt;OK — verify source"))</f>
        <v/>
      </c>
      <c r="M34" s="25" t="n"/>
      <c r="N34" s="25" t="n"/>
      <c r="O34" s="25">
        <f>IF(COUNTA(A34:D34,M34:N34)=0,"",IF(A34="","AIR-ID missing",IF(COUNTIF($A$4:$A$203,A34)&gt;1,"Duplicate AIR-ID",IF(OR(B34="",C34="",D34=""),"Label / source / reconciled-on missing",IF(NOT(ISNUMBER(D34)),"Reconciled-on is not a date","OK — verify source")))))</f>
        <v/>
      </c>
    </row>
    <row r="35">
      <c r="A35" s="27" t="n"/>
      <c r="B35" s="27" t="n"/>
      <c r="C35" s="27" t="n"/>
      <c r="D35" s="28" t="n"/>
      <c r="E35" s="27">
        <f>IF(A35="","",COUNTIFS(Relationships!$B$4:$B$1003,"CAP",Relationships!$E$4:$E$1003,"AIR",Relationships!$F$4:$F$1003,A35,Relationships!$M$4:$M$1003,"Confirmed",Relationships!$N$4:$N$1003,"OK — verify source"))</f>
        <v/>
      </c>
      <c r="F35" s="27">
        <f>IF(A35="","",COUNTIFS(Relationships!$B$4:$B$1003,"AIR",Relationships!$C$4:$C$1003,A35,Relationships!$E$4:$E$1003,"MOD",Relationships!$M$4:$M$1003,"Confirmed",Relationships!$N$4:$N$1003,"OK — verify source"))</f>
        <v/>
      </c>
      <c r="G35" s="27">
        <f>IF(A35="","",COUNTIFS(Relationships!$B$4:$B$1003,"AIR",Relationships!$C$4:$C$1003,A35,Relationships!$E$4:$E$1003,"DATA",Relationships!$M$4:$M$1003,"Confirmed",Relationships!$N$4:$N$1003,"OK — verify source"))</f>
        <v/>
      </c>
      <c r="H35" s="27">
        <f>IF(A35="","",COUNTIFS(Relationships!$B$4:$B$1003,"AIR",Relationships!$C$4:$C$1003,A35,Relationships!$E$4:$E$1003,"IF",Relationships!$M$4:$M$1003,"Confirmed",Relationships!$N$4:$N$1003,"OK — verify source"))</f>
        <v/>
      </c>
      <c r="I35" s="27">
        <f>IF(A35="","",COUNTIFS(Relationships!$B$4:$B$1003,"AIR",Relationships!$C$4:$C$1003,A35,Relationships!$E$4:$E$1003,"AG",Relationships!$M$4:$M$1003,"Confirmed",Relationships!$N$4:$N$1003,"OK — verify source"))</f>
        <v/>
      </c>
      <c r="J35" s="27">
        <f>IF(A35="","",COUNTIFS(Relationships!$B$4:$B$1003,"AIR",Relationships!$C$4:$C$1003,A35,Relationships!$E$4:$E$1003,"TOOL",Relationships!$M$4:$M$1003,"Confirmed",Relationships!$N$4:$N$1003,"OK — verify source"))</f>
        <v/>
      </c>
      <c r="K35" s="27">
        <f>IF(A35="","",COUNTIFS(Relationships!$G$4:$G$1003,A35,Relationships!$M$4:$M$1003,"Proposed"))</f>
        <v/>
      </c>
      <c r="L35" s="27">
        <f>IF(A35="","",COUNTIFS(Relationships!$G$4:$G$1003,A35,Relationships!$A$4:$A$1003,"&lt;&gt;",Relationships!$N$4:$N$1003,"&lt;&gt;OK — verify source"))</f>
        <v/>
      </c>
      <c r="M35" s="27" t="n"/>
      <c r="N35" s="27" t="n"/>
      <c r="O35" s="27">
        <f>IF(COUNTA(A35:D35,M35:N35)=0,"",IF(A35="","AIR-ID missing",IF(COUNTIF($A$4:$A$203,A35)&gt;1,"Duplicate AIR-ID",IF(OR(B35="",C35="",D35=""),"Label / source / reconciled-on missing",IF(NOT(ISNUMBER(D35)),"Reconciled-on is not a date","OK — verify source")))))</f>
        <v/>
      </c>
    </row>
    <row r="36">
      <c r="A36" s="25" t="n"/>
      <c r="B36" s="25" t="n"/>
      <c r="C36" s="25" t="n"/>
      <c r="D36" s="26" t="n"/>
      <c r="E36" s="25">
        <f>IF(A36="","",COUNTIFS(Relationships!$B$4:$B$1003,"CAP",Relationships!$E$4:$E$1003,"AIR",Relationships!$F$4:$F$1003,A36,Relationships!$M$4:$M$1003,"Confirmed",Relationships!$N$4:$N$1003,"OK — verify source"))</f>
        <v/>
      </c>
      <c r="F36" s="25">
        <f>IF(A36="","",COUNTIFS(Relationships!$B$4:$B$1003,"AIR",Relationships!$C$4:$C$1003,A36,Relationships!$E$4:$E$1003,"MOD",Relationships!$M$4:$M$1003,"Confirmed",Relationships!$N$4:$N$1003,"OK — verify source"))</f>
        <v/>
      </c>
      <c r="G36" s="25">
        <f>IF(A36="","",COUNTIFS(Relationships!$B$4:$B$1003,"AIR",Relationships!$C$4:$C$1003,A36,Relationships!$E$4:$E$1003,"DATA",Relationships!$M$4:$M$1003,"Confirmed",Relationships!$N$4:$N$1003,"OK — verify source"))</f>
        <v/>
      </c>
      <c r="H36" s="25">
        <f>IF(A36="","",COUNTIFS(Relationships!$B$4:$B$1003,"AIR",Relationships!$C$4:$C$1003,A36,Relationships!$E$4:$E$1003,"IF",Relationships!$M$4:$M$1003,"Confirmed",Relationships!$N$4:$N$1003,"OK — verify source"))</f>
        <v/>
      </c>
      <c r="I36" s="25">
        <f>IF(A36="","",COUNTIFS(Relationships!$B$4:$B$1003,"AIR",Relationships!$C$4:$C$1003,A36,Relationships!$E$4:$E$1003,"AG",Relationships!$M$4:$M$1003,"Confirmed",Relationships!$N$4:$N$1003,"OK — verify source"))</f>
        <v/>
      </c>
      <c r="J36" s="25">
        <f>IF(A36="","",COUNTIFS(Relationships!$B$4:$B$1003,"AIR",Relationships!$C$4:$C$1003,A36,Relationships!$E$4:$E$1003,"TOOL",Relationships!$M$4:$M$1003,"Confirmed",Relationships!$N$4:$N$1003,"OK — verify source"))</f>
        <v/>
      </c>
      <c r="K36" s="25">
        <f>IF(A36="","",COUNTIFS(Relationships!$G$4:$G$1003,A36,Relationships!$M$4:$M$1003,"Proposed"))</f>
        <v/>
      </c>
      <c r="L36" s="25">
        <f>IF(A36="","",COUNTIFS(Relationships!$G$4:$G$1003,A36,Relationships!$A$4:$A$1003,"&lt;&gt;",Relationships!$N$4:$N$1003,"&lt;&gt;OK — verify source"))</f>
        <v/>
      </c>
      <c r="M36" s="25" t="n"/>
      <c r="N36" s="25" t="n"/>
      <c r="O36" s="25">
        <f>IF(COUNTA(A36:D36,M36:N36)=0,"",IF(A36="","AIR-ID missing",IF(COUNTIF($A$4:$A$203,A36)&gt;1,"Duplicate AIR-ID",IF(OR(B36="",C36="",D36=""),"Label / source / reconciled-on missing",IF(NOT(ISNUMBER(D36)),"Reconciled-on is not a date","OK — verify source")))))</f>
        <v/>
      </c>
    </row>
    <row r="37">
      <c r="A37" s="27" t="n"/>
      <c r="B37" s="27" t="n"/>
      <c r="C37" s="27" t="n"/>
      <c r="D37" s="28" t="n"/>
      <c r="E37" s="27">
        <f>IF(A37="","",COUNTIFS(Relationships!$B$4:$B$1003,"CAP",Relationships!$E$4:$E$1003,"AIR",Relationships!$F$4:$F$1003,A37,Relationships!$M$4:$M$1003,"Confirmed",Relationships!$N$4:$N$1003,"OK — verify source"))</f>
        <v/>
      </c>
      <c r="F37" s="27">
        <f>IF(A37="","",COUNTIFS(Relationships!$B$4:$B$1003,"AIR",Relationships!$C$4:$C$1003,A37,Relationships!$E$4:$E$1003,"MOD",Relationships!$M$4:$M$1003,"Confirmed",Relationships!$N$4:$N$1003,"OK — verify source"))</f>
        <v/>
      </c>
      <c r="G37" s="27">
        <f>IF(A37="","",COUNTIFS(Relationships!$B$4:$B$1003,"AIR",Relationships!$C$4:$C$1003,A37,Relationships!$E$4:$E$1003,"DATA",Relationships!$M$4:$M$1003,"Confirmed",Relationships!$N$4:$N$1003,"OK — verify source"))</f>
        <v/>
      </c>
      <c r="H37" s="27">
        <f>IF(A37="","",COUNTIFS(Relationships!$B$4:$B$1003,"AIR",Relationships!$C$4:$C$1003,A37,Relationships!$E$4:$E$1003,"IF",Relationships!$M$4:$M$1003,"Confirmed",Relationships!$N$4:$N$1003,"OK — verify source"))</f>
        <v/>
      </c>
      <c r="I37" s="27">
        <f>IF(A37="","",COUNTIFS(Relationships!$B$4:$B$1003,"AIR",Relationships!$C$4:$C$1003,A37,Relationships!$E$4:$E$1003,"AG",Relationships!$M$4:$M$1003,"Confirmed",Relationships!$N$4:$N$1003,"OK — verify source"))</f>
        <v/>
      </c>
      <c r="J37" s="27">
        <f>IF(A37="","",COUNTIFS(Relationships!$B$4:$B$1003,"AIR",Relationships!$C$4:$C$1003,A37,Relationships!$E$4:$E$1003,"TOOL",Relationships!$M$4:$M$1003,"Confirmed",Relationships!$N$4:$N$1003,"OK — verify source"))</f>
        <v/>
      </c>
      <c r="K37" s="27">
        <f>IF(A37="","",COUNTIFS(Relationships!$G$4:$G$1003,A37,Relationships!$M$4:$M$1003,"Proposed"))</f>
        <v/>
      </c>
      <c r="L37" s="27">
        <f>IF(A37="","",COUNTIFS(Relationships!$G$4:$G$1003,A37,Relationships!$A$4:$A$1003,"&lt;&gt;",Relationships!$N$4:$N$1003,"&lt;&gt;OK — verify source"))</f>
        <v/>
      </c>
      <c r="M37" s="27" t="n"/>
      <c r="N37" s="27" t="n"/>
      <c r="O37" s="27">
        <f>IF(COUNTA(A37:D37,M37:N37)=0,"",IF(A37="","AIR-ID missing",IF(COUNTIF($A$4:$A$203,A37)&gt;1,"Duplicate AIR-ID",IF(OR(B37="",C37="",D37=""),"Label / source / reconciled-on missing",IF(NOT(ISNUMBER(D37)),"Reconciled-on is not a date","OK — verify source")))))</f>
        <v/>
      </c>
    </row>
    <row r="38">
      <c r="A38" s="25" t="n"/>
      <c r="B38" s="25" t="n"/>
      <c r="C38" s="25" t="n"/>
      <c r="D38" s="26" t="n"/>
      <c r="E38" s="25">
        <f>IF(A38="","",COUNTIFS(Relationships!$B$4:$B$1003,"CAP",Relationships!$E$4:$E$1003,"AIR",Relationships!$F$4:$F$1003,A38,Relationships!$M$4:$M$1003,"Confirmed",Relationships!$N$4:$N$1003,"OK — verify source"))</f>
        <v/>
      </c>
      <c r="F38" s="25">
        <f>IF(A38="","",COUNTIFS(Relationships!$B$4:$B$1003,"AIR",Relationships!$C$4:$C$1003,A38,Relationships!$E$4:$E$1003,"MOD",Relationships!$M$4:$M$1003,"Confirmed",Relationships!$N$4:$N$1003,"OK — verify source"))</f>
        <v/>
      </c>
      <c r="G38" s="25">
        <f>IF(A38="","",COUNTIFS(Relationships!$B$4:$B$1003,"AIR",Relationships!$C$4:$C$1003,A38,Relationships!$E$4:$E$1003,"DATA",Relationships!$M$4:$M$1003,"Confirmed",Relationships!$N$4:$N$1003,"OK — verify source"))</f>
        <v/>
      </c>
      <c r="H38" s="25">
        <f>IF(A38="","",COUNTIFS(Relationships!$B$4:$B$1003,"AIR",Relationships!$C$4:$C$1003,A38,Relationships!$E$4:$E$1003,"IF",Relationships!$M$4:$M$1003,"Confirmed",Relationships!$N$4:$N$1003,"OK — verify source"))</f>
        <v/>
      </c>
      <c r="I38" s="25">
        <f>IF(A38="","",COUNTIFS(Relationships!$B$4:$B$1003,"AIR",Relationships!$C$4:$C$1003,A38,Relationships!$E$4:$E$1003,"AG",Relationships!$M$4:$M$1003,"Confirmed",Relationships!$N$4:$N$1003,"OK — verify source"))</f>
        <v/>
      </c>
      <c r="J38" s="25">
        <f>IF(A38="","",COUNTIFS(Relationships!$B$4:$B$1003,"AIR",Relationships!$C$4:$C$1003,A38,Relationships!$E$4:$E$1003,"TOOL",Relationships!$M$4:$M$1003,"Confirmed",Relationships!$N$4:$N$1003,"OK — verify source"))</f>
        <v/>
      </c>
      <c r="K38" s="25">
        <f>IF(A38="","",COUNTIFS(Relationships!$G$4:$G$1003,A38,Relationships!$M$4:$M$1003,"Proposed"))</f>
        <v/>
      </c>
      <c r="L38" s="25">
        <f>IF(A38="","",COUNTIFS(Relationships!$G$4:$G$1003,A38,Relationships!$A$4:$A$1003,"&lt;&gt;",Relationships!$N$4:$N$1003,"&lt;&gt;OK — verify source"))</f>
        <v/>
      </c>
      <c r="M38" s="25" t="n"/>
      <c r="N38" s="25" t="n"/>
      <c r="O38" s="25">
        <f>IF(COUNTA(A38:D38,M38:N38)=0,"",IF(A38="","AIR-ID missing",IF(COUNTIF($A$4:$A$203,A38)&gt;1,"Duplicate AIR-ID",IF(OR(B38="",C38="",D38=""),"Label / source / reconciled-on missing",IF(NOT(ISNUMBER(D38)),"Reconciled-on is not a date","OK — verify source")))))</f>
        <v/>
      </c>
    </row>
    <row r="39">
      <c r="A39" s="27" t="n"/>
      <c r="B39" s="27" t="n"/>
      <c r="C39" s="27" t="n"/>
      <c r="D39" s="28" t="n"/>
      <c r="E39" s="27">
        <f>IF(A39="","",COUNTIFS(Relationships!$B$4:$B$1003,"CAP",Relationships!$E$4:$E$1003,"AIR",Relationships!$F$4:$F$1003,A39,Relationships!$M$4:$M$1003,"Confirmed",Relationships!$N$4:$N$1003,"OK — verify source"))</f>
        <v/>
      </c>
      <c r="F39" s="27">
        <f>IF(A39="","",COUNTIFS(Relationships!$B$4:$B$1003,"AIR",Relationships!$C$4:$C$1003,A39,Relationships!$E$4:$E$1003,"MOD",Relationships!$M$4:$M$1003,"Confirmed",Relationships!$N$4:$N$1003,"OK — verify source"))</f>
        <v/>
      </c>
      <c r="G39" s="27">
        <f>IF(A39="","",COUNTIFS(Relationships!$B$4:$B$1003,"AIR",Relationships!$C$4:$C$1003,A39,Relationships!$E$4:$E$1003,"DATA",Relationships!$M$4:$M$1003,"Confirmed",Relationships!$N$4:$N$1003,"OK — verify source"))</f>
        <v/>
      </c>
      <c r="H39" s="27">
        <f>IF(A39="","",COUNTIFS(Relationships!$B$4:$B$1003,"AIR",Relationships!$C$4:$C$1003,A39,Relationships!$E$4:$E$1003,"IF",Relationships!$M$4:$M$1003,"Confirmed",Relationships!$N$4:$N$1003,"OK — verify source"))</f>
        <v/>
      </c>
      <c r="I39" s="27">
        <f>IF(A39="","",COUNTIFS(Relationships!$B$4:$B$1003,"AIR",Relationships!$C$4:$C$1003,A39,Relationships!$E$4:$E$1003,"AG",Relationships!$M$4:$M$1003,"Confirmed",Relationships!$N$4:$N$1003,"OK — verify source"))</f>
        <v/>
      </c>
      <c r="J39" s="27">
        <f>IF(A39="","",COUNTIFS(Relationships!$B$4:$B$1003,"AIR",Relationships!$C$4:$C$1003,A39,Relationships!$E$4:$E$1003,"TOOL",Relationships!$M$4:$M$1003,"Confirmed",Relationships!$N$4:$N$1003,"OK — verify source"))</f>
        <v/>
      </c>
      <c r="K39" s="27">
        <f>IF(A39="","",COUNTIFS(Relationships!$G$4:$G$1003,A39,Relationships!$M$4:$M$1003,"Proposed"))</f>
        <v/>
      </c>
      <c r="L39" s="27">
        <f>IF(A39="","",COUNTIFS(Relationships!$G$4:$G$1003,A39,Relationships!$A$4:$A$1003,"&lt;&gt;",Relationships!$N$4:$N$1003,"&lt;&gt;OK — verify source"))</f>
        <v/>
      </c>
      <c r="M39" s="27" t="n"/>
      <c r="N39" s="27" t="n"/>
      <c r="O39" s="27">
        <f>IF(COUNTA(A39:D39,M39:N39)=0,"",IF(A39="","AIR-ID missing",IF(COUNTIF($A$4:$A$203,A39)&gt;1,"Duplicate AIR-ID",IF(OR(B39="",C39="",D39=""),"Label / source / reconciled-on missing",IF(NOT(ISNUMBER(D39)),"Reconciled-on is not a date","OK — verify source")))))</f>
        <v/>
      </c>
    </row>
    <row r="40">
      <c r="A40" s="25" t="n"/>
      <c r="B40" s="25" t="n"/>
      <c r="C40" s="25" t="n"/>
      <c r="D40" s="26" t="n"/>
      <c r="E40" s="25">
        <f>IF(A40="","",COUNTIFS(Relationships!$B$4:$B$1003,"CAP",Relationships!$E$4:$E$1003,"AIR",Relationships!$F$4:$F$1003,A40,Relationships!$M$4:$M$1003,"Confirmed",Relationships!$N$4:$N$1003,"OK — verify source"))</f>
        <v/>
      </c>
      <c r="F40" s="25">
        <f>IF(A40="","",COUNTIFS(Relationships!$B$4:$B$1003,"AIR",Relationships!$C$4:$C$1003,A40,Relationships!$E$4:$E$1003,"MOD",Relationships!$M$4:$M$1003,"Confirmed",Relationships!$N$4:$N$1003,"OK — verify source"))</f>
        <v/>
      </c>
      <c r="G40" s="25">
        <f>IF(A40="","",COUNTIFS(Relationships!$B$4:$B$1003,"AIR",Relationships!$C$4:$C$1003,A40,Relationships!$E$4:$E$1003,"DATA",Relationships!$M$4:$M$1003,"Confirmed",Relationships!$N$4:$N$1003,"OK — verify source"))</f>
        <v/>
      </c>
      <c r="H40" s="25">
        <f>IF(A40="","",COUNTIFS(Relationships!$B$4:$B$1003,"AIR",Relationships!$C$4:$C$1003,A40,Relationships!$E$4:$E$1003,"IF",Relationships!$M$4:$M$1003,"Confirmed",Relationships!$N$4:$N$1003,"OK — verify source"))</f>
        <v/>
      </c>
      <c r="I40" s="25">
        <f>IF(A40="","",COUNTIFS(Relationships!$B$4:$B$1003,"AIR",Relationships!$C$4:$C$1003,A40,Relationships!$E$4:$E$1003,"AG",Relationships!$M$4:$M$1003,"Confirmed",Relationships!$N$4:$N$1003,"OK — verify source"))</f>
        <v/>
      </c>
      <c r="J40" s="25">
        <f>IF(A40="","",COUNTIFS(Relationships!$B$4:$B$1003,"AIR",Relationships!$C$4:$C$1003,A40,Relationships!$E$4:$E$1003,"TOOL",Relationships!$M$4:$M$1003,"Confirmed",Relationships!$N$4:$N$1003,"OK — verify source"))</f>
        <v/>
      </c>
      <c r="K40" s="25">
        <f>IF(A40="","",COUNTIFS(Relationships!$G$4:$G$1003,A40,Relationships!$M$4:$M$1003,"Proposed"))</f>
        <v/>
      </c>
      <c r="L40" s="25">
        <f>IF(A40="","",COUNTIFS(Relationships!$G$4:$G$1003,A40,Relationships!$A$4:$A$1003,"&lt;&gt;",Relationships!$N$4:$N$1003,"&lt;&gt;OK — verify source"))</f>
        <v/>
      </c>
      <c r="M40" s="25" t="n"/>
      <c r="N40" s="25" t="n"/>
      <c r="O40" s="25">
        <f>IF(COUNTA(A40:D40,M40:N40)=0,"",IF(A40="","AIR-ID missing",IF(COUNTIF($A$4:$A$203,A40)&gt;1,"Duplicate AIR-ID",IF(OR(B40="",C40="",D40=""),"Label / source / reconciled-on missing",IF(NOT(ISNUMBER(D40)),"Reconciled-on is not a date","OK — verify source")))))</f>
        <v/>
      </c>
    </row>
    <row r="41">
      <c r="A41" s="27" t="n"/>
      <c r="B41" s="27" t="n"/>
      <c r="C41" s="27" t="n"/>
      <c r="D41" s="28" t="n"/>
      <c r="E41" s="27">
        <f>IF(A41="","",COUNTIFS(Relationships!$B$4:$B$1003,"CAP",Relationships!$E$4:$E$1003,"AIR",Relationships!$F$4:$F$1003,A41,Relationships!$M$4:$M$1003,"Confirmed",Relationships!$N$4:$N$1003,"OK — verify source"))</f>
        <v/>
      </c>
      <c r="F41" s="27">
        <f>IF(A41="","",COUNTIFS(Relationships!$B$4:$B$1003,"AIR",Relationships!$C$4:$C$1003,A41,Relationships!$E$4:$E$1003,"MOD",Relationships!$M$4:$M$1003,"Confirmed",Relationships!$N$4:$N$1003,"OK — verify source"))</f>
        <v/>
      </c>
      <c r="G41" s="27">
        <f>IF(A41="","",COUNTIFS(Relationships!$B$4:$B$1003,"AIR",Relationships!$C$4:$C$1003,A41,Relationships!$E$4:$E$1003,"DATA",Relationships!$M$4:$M$1003,"Confirmed",Relationships!$N$4:$N$1003,"OK — verify source"))</f>
        <v/>
      </c>
      <c r="H41" s="27">
        <f>IF(A41="","",COUNTIFS(Relationships!$B$4:$B$1003,"AIR",Relationships!$C$4:$C$1003,A41,Relationships!$E$4:$E$1003,"IF",Relationships!$M$4:$M$1003,"Confirmed",Relationships!$N$4:$N$1003,"OK — verify source"))</f>
        <v/>
      </c>
      <c r="I41" s="27">
        <f>IF(A41="","",COUNTIFS(Relationships!$B$4:$B$1003,"AIR",Relationships!$C$4:$C$1003,A41,Relationships!$E$4:$E$1003,"AG",Relationships!$M$4:$M$1003,"Confirmed",Relationships!$N$4:$N$1003,"OK — verify source"))</f>
        <v/>
      </c>
      <c r="J41" s="27">
        <f>IF(A41="","",COUNTIFS(Relationships!$B$4:$B$1003,"AIR",Relationships!$C$4:$C$1003,A41,Relationships!$E$4:$E$1003,"TOOL",Relationships!$M$4:$M$1003,"Confirmed",Relationships!$N$4:$N$1003,"OK — verify source"))</f>
        <v/>
      </c>
      <c r="K41" s="27">
        <f>IF(A41="","",COUNTIFS(Relationships!$G$4:$G$1003,A41,Relationships!$M$4:$M$1003,"Proposed"))</f>
        <v/>
      </c>
      <c r="L41" s="27">
        <f>IF(A41="","",COUNTIFS(Relationships!$G$4:$G$1003,A41,Relationships!$A$4:$A$1003,"&lt;&gt;",Relationships!$N$4:$N$1003,"&lt;&gt;OK — verify source"))</f>
        <v/>
      </c>
      <c r="M41" s="27" t="n"/>
      <c r="N41" s="27" t="n"/>
      <c r="O41" s="27">
        <f>IF(COUNTA(A41:D41,M41:N41)=0,"",IF(A41="","AIR-ID missing",IF(COUNTIF($A$4:$A$203,A41)&gt;1,"Duplicate AIR-ID",IF(OR(B41="",C41="",D41=""),"Label / source / reconciled-on missing",IF(NOT(ISNUMBER(D41)),"Reconciled-on is not a date","OK — verify source")))))</f>
        <v/>
      </c>
    </row>
    <row r="42">
      <c r="A42" s="25" t="n"/>
      <c r="B42" s="25" t="n"/>
      <c r="C42" s="25" t="n"/>
      <c r="D42" s="26" t="n"/>
      <c r="E42" s="25">
        <f>IF(A42="","",COUNTIFS(Relationships!$B$4:$B$1003,"CAP",Relationships!$E$4:$E$1003,"AIR",Relationships!$F$4:$F$1003,A42,Relationships!$M$4:$M$1003,"Confirmed",Relationships!$N$4:$N$1003,"OK — verify source"))</f>
        <v/>
      </c>
      <c r="F42" s="25">
        <f>IF(A42="","",COUNTIFS(Relationships!$B$4:$B$1003,"AIR",Relationships!$C$4:$C$1003,A42,Relationships!$E$4:$E$1003,"MOD",Relationships!$M$4:$M$1003,"Confirmed",Relationships!$N$4:$N$1003,"OK — verify source"))</f>
        <v/>
      </c>
      <c r="G42" s="25">
        <f>IF(A42="","",COUNTIFS(Relationships!$B$4:$B$1003,"AIR",Relationships!$C$4:$C$1003,A42,Relationships!$E$4:$E$1003,"DATA",Relationships!$M$4:$M$1003,"Confirmed",Relationships!$N$4:$N$1003,"OK — verify source"))</f>
        <v/>
      </c>
      <c r="H42" s="25">
        <f>IF(A42="","",COUNTIFS(Relationships!$B$4:$B$1003,"AIR",Relationships!$C$4:$C$1003,A42,Relationships!$E$4:$E$1003,"IF",Relationships!$M$4:$M$1003,"Confirmed",Relationships!$N$4:$N$1003,"OK — verify source"))</f>
        <v/>
      </c>
      <c r="I42" s="25">
        <f>IF(A42="","",COUNTIFS(Relationships!$B$4:$B$1003,"AIR",Relationships!$C$4:$C$1003,A42,Relationships!$E$4:$E$1003,"AG",Relationships!$M$4:$M$1003,"Confirmed",Relationships!$N$4:$N$1003,"OK — verify source"))</f>
        <v/>
      </c>
      <c r="J42" s="25">
        <f>IF(A42="","",COUNTIFS(Relationships!$B$4:$B$1003,"AIR",Relationships!$C$4:$C$1003,A42,Relationships!$E$4:$E$1003,"TOOL",Relationships!$M$4:$M$1003,"Confirmed",Relationships!$N$4:$N$1003,"OK — verify source"))</f>
        <v/>
      </c>
      <c r="K42" s="25">
        <f>IF(A42="","",COUNTIFS(Relationships!$G$4:$G$1003,A42,Relationships!$M$4:$M$1003,"Proposed"))</f>
        <v/>
      </c>
      <c r="L42" s="25">
        <f>IF(A42="","",COUNTIFS(Relationships!$G$4:$G$1003,A42,Relationships!$A$4:$A$1003,"&lt;&gt;",Relationships!$N$4:$N$1003,"&lt;&gt;OK — verify source"))</f>
        <v/>
      </c>
      <c r="M42" s="25" t="n"/>
      <c r="N42" s="25" t="n"/>
      <c r="O42" s="25">
        <f>IF(COUNTA(A42:D42,M42:N42)=0,"",IF(A42="","AIR-ID missing",IF(COUNTIF($A$4:$A$203,A42)&gt;1,"Duplicate AIR-ID",IF(OR(B42="",C42="",D42=""),"Label / source / reconciled-on missing",IF(NOT(ISNUMBER(D42)),"Reconciled-on is not a date","OK — verify source")))))</f>
        <v/>
      </c>
    </row>
    <row r="43">
      <c r="A43" s="27" t="n"/>
      <c r="B43" s="27" t="n"/>
      <c r="C43" s="27" t="n"/>
      <c r="D43" s="28" t="n"/>
      <c r="E43" s="27">
        <f>IF(A43="","",COUNTIFS(Relationships!$B$4:$B$1003,"CAP",Relationships!$E$4:$E$1003,"AIR",Relationships!$F$4:$F$1003,A43,Relationships!$M$4:$M$1003,"Confirmed",Relationships!$N$4:$N$1003,"OK — verify source"))</f>
        <v/>
      </c>
      <c r="F43" s="27">
        <f>IF(A43="","",COUNTIFS(Relationships!$B$4:$B$1003,"AIR",Relationships!$C$4:$C$1003,A43,Relationships!$E$4:$E$1003,"MOD",Relationships!$M$4:$M$1003,"Confirmed",Relationships!$N$4:$N$1003,"OK — verify source"))</f>
        <v/>
      </c>
      <c r="G43" s="27">
        <f>IF(A43="","",COUNTIFS(Relationships!$B$4:$B$1003,"AIR",Relationships!$C$4:$C$1003,A43,Relationships!$E$4:$E$1003,"DATA",Relationships!$M$4:$M$1003,"Confirmed",Relationships!$N$4:$N$1003,"OK — verify source"))</f>
        <v/>
      </c>
      <c r="H43" s="27">
        <f>IF(A43="","",COUNTIFS(Relationships!$B$4:$B$1003,"AIR",Relationships!$C$4:$C$1003,A43,Relationships!$E$4:$E$1003,"IF",Relationships!$M$4:$M$1003,"Confirmed",Relationships!$N$4:$N$1003,"OK — verify source"))</f>
        <v/>
      </c>
      <c r="I43" s="27">
        <f>IF(A43="","",COUNTIFS(Relationships!$B$4:$B$1003,"AIR",Relationships!$C$4:$C$1003,A43,Relationships!$E$4:$E$1003,"AG",Relationships!$M$4:$M$1003,"Confirmed",Relationships!$N$4:$N$1003,"OK — verify source"))</f>
        <v/>
      </c>
      <c r="J43" s="27">
        <f>IF(A43="","",COUNTIFS(Relationships!$B$4:$B$1003,"AIR",Relationships!$C$4:$C$1003,A43,Relationships!$E$4:$E$1003,"TOOL",Relationships!$M$4:$M$1003,"Confirmed",Relationships!$N$4:$N$1003,"OK — verify source"))</f>
        <v/>
      </c>
      <c r="K43" s="27">
        <f>IF(A43="","",COUNTIFS(Relationships!$G$4:$G$1003,A43,Relationships!$M$4:$M$1003,"Proposed"))</f>
        <v/>
      </c>
      <c r="L43" s="27">
        <f>IF(A43="","",COUNTIFS(Relationships!$G$4:$G$1003,A43,Relationships!$A$4:$A$1003,"&lt;&gt;",Relationships!$N$4:$N$1003,"&lt;&gt;OK — verify source"))</f>
        <v/>
      </c>
      <c r="M43" s="27" t="n"/>
      <c r="N43" s="27" t="n"/>
      <c r="O43" s="27">
        <f>IF(COUNTA(A43:D43,M43:N43)=0,"",IF(A43="","AIR-ID missing",IF(COUNTIF($A$4:$A$203,A43)&gt;1,"Duplicate AIR-ID",IF(OR(B43="",C43="",D43=""),"Label / source / reconciled-on missing",IF(NOT(ISNUMBER(D43)),"Reconciled-on is not a date","OK — verify source")))))</f>
        <v/>
      </c>
    </row>
    <row r="44">
      <c r="A44" s="25" t="n"/>
      <c r="B44" s="25" t="n"/>
      <c r="C44" s="25" t="n"/>
      <c r="D44" s="26" t="n"/>
      <c r="E44" s="25">
        <f>IF(A44="","",COUNTIFS(Relationships!$B$4:$B$1003,"CAP",Relationships!$E$4:$E$1003,"AIR",Relationships!$F$4:$F$1003,A44,Relationships!$M$4:$M$1003,"Confirmed",Relationships!$N$4:$N$1003,"OK — verify source"))</f>
        <v/>
      </c>
      <c r="F44" s="25">
        <f>IF(A44="","",COUNTIFS(Relationships!$B$4:$B$1003,"AIR",Relationships!$C$4:$C$1003,A44,Relationships!$E$4:$E$1003,"MOD",Relationships!$M$4:$M$1003,"Confirmed",Relationships!$N$4:$N$1003,"OK — verify source"))</f>
        <v/>
      </c>
      <c r="G44" s="25">
        <f>IF(A44="","",COUNTIFS(Relationships!$B$4:$B$1003,"AIR",Relationships!$C$4:$C$1003,A44,Relationships!$E$4:$E$1003,"DATA",Relationships!$M$4:$M$1003,"Confirmed",Relationships!$N$4:$N$1003,"OK — verify source"))</f>
        <v/>
      </c>
      <c r="H44" s="25">
        <f>IF(A44="","",COUNTIFS(Relationships!$B$4:$B$1003,"AIR",Relationships!$C$4:$C$1003,A44,Relationships!$E$4:$E$1003,"IF",Relationships!$M$4:$M$1003,"Confirmed",Relationships!$N$4:$N$1003,"OK — verify source"))</f>
        <v/>
      </c>
      <c r="I44" s="25">
        <f>IF(A44="","",COUNTIFS(Relationships!$B$4:$B$1003,"AIR",Relationships!$C$4:$C$1003,A44,Relationships!$E$4:$E$1003,"AG",Relationships!$M$4:$M$1003,"Confirmed",Relationships!$N$4:$N$1003,"OK — verify source"))</f>
        <v/>
      </c>
      <c r="J44" s="25">
        <f>IF(A44="","",COUNTIFS(Relationships!$B$4:$B$1003,"AIR",Relationships!$C$4:$C$1003,A44,Relationships!$E$4:$E$1003,"TOOL",Relationships!$M$4:$M$1003,"Confirmed",Relationships!$N$4:$N$1003,"OK — verify source"))</f>
        <v/>
      </c>
      <c r="K44" s="25">
        <f>IF(A44="","",COUNTIFS(Relationships!$G$4:$G$1003,A44,Relationships!$M$4:$M$1003,"Proposed"))</f>
        <v/>
      </c>
      <c r="L44" s="25">
        <f>IF(A44="","",COUNTIFS(Relationships!$G$4:$G$1003,A44,Relationships!$A$4:$A$1003,"&lt;&gt;",Relationships!$N$4:$N$1003,"&lt;&gt;OK — verify source"))</f>
        <v/>
      </c>
      <c r="M44" s="25" t="n"/>
      <c r="N44" s="25" t="n"/>
      <c r="O44" s="25">
        <f>IF(COUNTA(A44:D44,M44:N44)=0,"",IF(A44="","AIR-ID missing",IF(COUNTIF($A$4:$A$203,A44)&gt;1,"Duplicate AIR-ID",IF(OR(B44="",C44="",D44=""),"Label / source / reconciled-on missing",IF(NOT(ISNUMBER(D44)),"Reconciled-on is not a date","OK — verify source")))))</f>
        <v/>
      </c>
    </row>
    <row r="45">
      <c r="A45" s="27" t="n"/>
      <c r="B45" s="27" t="n"/>
      <c r="C45" s="27" t="n"/>
      <c r="D45" s="28" t="n"/>
      <c r="E45" s="27">
        <f>IF(A45="","",COUNTIFS(Relationships!$B$4:$B$1003,"CAP",Relationships!$E$4:$E$1003,"AIR",Relationships!$F$4:$F$1003,A45,Relationships!$M$4:$M$1003,"Confirmed",Relationships!$N$4:$N$1003,"OK — verify source"))</f>
        <v/>
      </c>
      <c r="F45" s="27">
        <f>IF(A45="","",COUNTIFS(Relationships!$B$4:$B$1003,"AIR",Relationships!$C$4:$C$1003,A45,Relationships!$E$4:$E$1003,"MOD",Relationships!$M$4:$M$1003,"Confirmed",Relationships!$N$4:$N$1003,"OK — verify source"))</f>
        <v/>
      </c>
      <c r="G45" s="27">
        <f>IF(A45="","",COUNTIFS(Relationships!$B$4:$B$1003,"AIR",Relationships!$C$4:$C$1003,A45,Relationships!$E$4:$E$1003,"DATA",Relationships!$M$4:$M$1003,"Confirmed",Relationships!$N$4:$N$1003,"OK — verify source"))</f>
        <v/>
      </c>
      <c r="H45" s="27">
        <f>IF(A45="","",COUNTIFS(Relationships!$B$4:$B$1003,"AIR",Relationships!$C$4:$C$1003,A45,Relationships!$E$4:$E$1003,"IF",Relationships!$M$4:$M$1003,"Confirmed",Relationships!$N$4:$N$1003,"OK — verify source"))</f>
        <v/>
      </c>
      <c r="I45" s="27">
        <f>IF(A45="","",COUNTIFS(Relationships!$B$4:$B$1003,"AIR",Relationships!$C$4:$C$1003,A45,Relationships!$E$4:$E$1003,"AG",Relationships!$M$4:$M$1003,"Confirmed",Relationships!$N$4:$N$1003,"OK — verify source"))</f>
        <v/>
      </c>
      <c r="J45" s="27">
        <f>IF(A45="","",COUNTIFS(Relationships!$B$4:$B$1003,"AIR",Relationships!$C$4:$C$1003,A45,Relationships!$E$4:$E$1003,"TOOL",Relationships!$M$4:$M$1003,"Confirmed",Relationships!$N$4:$N$1003,"OK — verify source"))</f>
        <v/>
      </c>
      <c r="K45" s="27">
        <f>IF(A45="","",COUNTIFS(Relationships!$G$4:$G$1003,A45,Relationships!$M$4:$M$1003,"Proposed"))</f>
        <v/>
      </c>
      <c r="L45" s="27">
        <f>IF(A45="","",COUNTIFS(Relationships!$G$4:$G$1003,A45,Relationships!$A$4:$A$1003,"&lt;&gt;",Relationships!$N$4:$N$1003,"&lt;&gt;OK — verify source"))</f>
        <v/>
      </c>
      <c r="M45" s="27" t="n"/>
      <c r="N45" s="27" t="n"/>
      <c r="O45" s="27">
        <f>IF(COUNTA(A45:D45,M45:N45)=0,"",IF(A45="","AIR-ID missing",IF(COUNTIF($A$4:$A$203,A45)&gt;1,"Duplicate AIR-ID",IF(OR(B45="",C45="",D45=""),"Label / source / reconciled-on missing",IF(NOT(ISNUMBER(D45)),"Reconciled-on is not a date","OK — verify source")))))</f>
        <v/>
      </c>
    </row>
    <row r="46">
      <c r="A46" s="25" t="n"/>
      <c r="B46" s="25" t="n"/>
      <c r="C46" s="25" t="n"/>
      <c r="D46" s="26" t="n"/>
      <c r="E46" s="25">
        <f>IF(A46="","",COUNTIFS(Relationships!$B$4:$B$1003,"CAP",Relationships!$E$4:$E$1003,"AIR",Relationships!$F$4:$F$1003,A46,Relationships!$M$4:$M$1003,"Confirmed",Relationships!$N$4:$N$1003,"OK — verify source"))</f>
        <v/>
      </c>
      <c r="F46" s="25">
        <f>IF(A46="","",COUNTIFS(Relationships!$B$4:$B$1003,"AIR",Relationships!$C$4:$C$1003,A46,Relationships!$E$4:$E$1003,"MOD",Relationships!$M$4:$M$1003,"Confirmed",Relationships!$N$4:$N$1003,"OK — verify source"))</f>
        <v/>
      </c>
      <c r="G46" s="25">
        <f>IF(A46="","",COUNTIFS(Relationships!$B$4:$B$1003,"AIR",Relationships!$C$4:$C$1003,A46,Relationships!$E$4:$E$1003,"DATA",Relationships!$M$4:$M$1003,"Confirmed",Relationships!$N$4:$N$1003,"OK — verify source"))</f>
        <v/>
      </c>
      <c r="H46" s="25">
        <f>IF(A46="","",COUNTIFS(Relationships!$B$4:$B$1003,"AIR",Relationships!$C$4:$C$1003,A46,Relationships!$E$4:$E$1003,"IF",Relationships!$M$4:$M$1003,"Confirmed",Relationships!$N$4:$N$1003,"OK — verify source"))</f>
        <v/>
      </c>
      <c r="I46" s="25">
        <f>IF(A46="","",COUNTIFS(Relationships!$B$4:$B$1003,"AIR",Relationships!$C$4:$C$1003,A46,Relationships!$E$4:$E$1003,"AG",Relationships!$M$4:$M$1003,"Confirmed",Relationships!$N$4:$N$1003,"OK — verify source"))</f>
        <v/>
      </c>
      <c r="J46" s="25">
        <f>IF(A46="","",COUNTIFS(Relationships!$B$4:$B$1003,"AIR",Relationships!$C$4:$C$1003,A46,Relationships!$E$4:$E$1003,"TOOL",Relationships!$M$4:$M$1003,"Confirmed",Relationships!$N$4:$N$1003,"OK — verify source"))</f>
        <v/>
      </c>
      <c r="K46" s="25">
        <f>IF(A46="","",COUNTIFS(Relationships!$G$4:$G$1003,A46,Relationships!$M$4:$M$1003,"Proposed"))</f>
        <v/>
      </c>
      <c r="L46" s="25">
        <f>IF(A46="","",COUNTIFS(Relationships!$G$4:$G$1003,A46,Relationships!$A$4:$A$1003,"&lt;&gt;",Relationships!$N$4:$N$1003,"&lt;&gt;OK — verify source"))</f>
        <v/>
      </c>
      <c r="M46" s="25" t="n"/>
      <c r="N46" s="25" t="n"/>
      <c r="O46" s="25">
        <f>IF(COUNTA(A46:D46,M46:N46)=0,"",IF(A46="","AIR-ID missing",IF(COUNTIF($A$4:$A$203,A46)&gt;1,"Duplicate AIR-ID",IF(OR(B46="",C46="",D46=""),"Label / source / reconciled-on missing",IF(NOT(ISNUMBER(D46)),"Reconciled-on is not a date","OK — verify source")))))</f>
        <v/>
      </c>
    </row>
    <row r="47">
      <c r="A47" s="27" t="n"/>
      <c r="B47" s="27" t="n"/>
      <c r="C47" s="27" t="n"/>
      <c r="D47" s="28" t="n"/>
      <c r="E47" s="27">
        <f>IF(A47="","",COUNTIFS(Relationships!$B$4:$B$1003,"CAP",Relationships!$E$4:$E$1003,"AIR",Relationships!$F$4:$F$1003,A47,Relationships!$M$4:$M$1003,"Confirmed",Relationships!$N$4:$N$1003,"OK — verify source"))</f>
        <v/>
      </c>
      <c r="F47" s="27">
        <f>IF(A47="","",COUNTIFS(Relationships!$B$4:$B$1003,"AIR",Relationships!$C$4:$C$1003,A47,Relationships!$E$4:$E$1003,"MOD",Relationships!$M$4:$M$1003,"Confirmed",Relationships!$N$4:$N$1003,"OK — verify source"))</f>
        <v/>
      </c>
      <c r="G47" s="27">
        <f>IF(A47="","",COUNTIFS(Relationships!$B$4:$B$1003,"AIR",Relationships!$C$4:$C$1003,A47,Relationships!$E$4:$E$1003,"DATA",Relationships!$M$4:$M$1003,"Confirmed",Relationships!$N$4:$N$1003,"OK — verify source"))</f>
        <v/>
      </c>
      <c r="H47" s="27">
        <f>IF(A47="","",COUNTIFS(Relationships!$B$4:$B$1003,"AIR",Relationships!$C$4:$C$1003,A47,Relationships!$E$4:$E$1003,"IF",Relationships!$M$4:$M$1003,"Confirmed",Relationships!$N$4:$N$1003,"OK — verify source"))</f>
        <v/>
      </c>
      <c r="I47" s="27">
        <f>IF(A47="","",COUNTIFS(Relationships!$B$4:$B$1003,"AIR",Relationships!$C$4:$C$1003,A47,Relationships!$E$4:$E$1003,"AG",Relationships!$M$4:$M$1003,"Confirmed",Relationships!$N$4:$N$1003,"OK — verify source"))</f>
        <v/>
      </c>
      <c r="J47" s="27">
        <f>IF(A47="","",COUNTIFS(Relationships!$B$4:$B$1003,"AIR",Relationships!$C$4:$C$1003,A47,Relationships!$E$4:$E$1003,"TOOL",Relationships!$M$4:$M$1003,"Confirmed",Relationships!$N$4:$N$1003,"OK — verify source"))</f>
        <v/>
      </c>
      <c r="K47" s="27">
        <f>IF(A47="","",COUNTIFS(Relationships!$G$4:$G$1003,A47,Relationships!$M$4:$M$1003,"Proposed"))</f>
        <v/>
      </c>
      <c r="L47" s="27">
        <f>IF(A47="","",COUNTIFS(Relationships!$G$4:$G$1003,A47,Relationships!$A$4:$A$1003,"&lt;&gt;",Relationships!$N$4:$N$1003,"&lt;&gt;OK — verify source"))</f>
        <v/>
      </c>
      <c r="M47" s="27" t="n"/>
      <c r="N47" s="27" t="n"/>
      <c r="O47" s="27">
        <f>IF(COUNTA(A47:D47,M47:N47)=0,"",IF(A47="","AIR-ID missing",IF(COUNTIF($A$4:$A$203,A47)&gt;1,"Duplicate AIR-ID",IF(OR(B47="",C47="",D47=""),"Label / source / reconciled-on missing",IF(NOT(ISNUMBER(D47)),"Reconciled-on is not a date","OK — verify source")))))</f>
        <v/>
      </c>
    </row>
    <row r="48">
      <c r="A48" s="25" t="n"/>
      <c r="B48" s="25" t="n"/>
      <c r="C48" s="25" t="n"/>
      <c r="D48" s="26" t="n"/>
      <c r="E48" s="25">
        <f>IF(A48="","",COUNTIFS(Relationships!$B$4:$B$1003,"CAP",Relationships!$E$4:$E$1003,"AIR",Relationships!$F$4:$F$1003,A48,Relationships!$M$4:$M$1003,"Confirmed",Relationships!$N$4:$N$1003,"OK — verify source"))</f>
        <v/>
      </c>
      <c r="F48" s="25">
        <f>IF(A48="","",COUNTIFS(Relationships!$B$4:$B$1003,"AIR",Relationships!$C$4:$C$1003,A48,Relationships!$E$4:$E$1003,"MOD",Relationships!$M$4:$M$1003,"Confirmed",Relationships!$N$4:$N$1003,"OK — verify source"))</f>
        <v/>
      </c>
      <c r="G48" s="25">
        <f>IF(A48="","",COUNTIFS(Relationships!$B$4:$B$1003,"AIR",Relationships!$C$4:$C$1003,A48,Relationships!$E$4:$E$1003,"DATA",Relationships!$M$4:$M$1003,"Confirmed",Relationships!$N$4:$N$1003,"OK — verify source"))</f>
        <v/>
      </c>
      <c r="H48" s="25">
        <f>IF(A48="","",COUNTIFS(Relationships!$B$4:$B$1003,"AIR",Relationships!$C$4:$C$1003,A48,Relationships!$E$4:$E$1003,"IF",Relationships!$M$4:$M$1003,"Confirmed",Relationships!$N$4:$N$1003,"OK — verify source"))</f>
        <v/>
      </c>
      <c r="I48" s="25">
        <f>IF(A48="","",COUNTIFS(Relationships!$B$4:$B$1003,"AIR",Relationships!$C$4:$C$1003,A48,Relationships!$E$4:$E$1003,"AG",Relationships!$M$4:$M$1003,"Confirmed",Relationships!$N$4:$N$1003,"OK — verify source"))</f>
        <v/>
      </c>
      <c r="J48" s="25">
        <f>IF(A48="","",COUNTIFS(Relationships!$B$4:$B$1003,"AIR",Relationships!$C$4:$C$1003,A48,Relationships!$E$4:$E$1003,"TOOL",Relationships!$M$4:$M$1003,"Confirmed",Relationships!$N$4:$N$1003,"OK — verify source"))</f>
        <v/>
      </c>
      <c r="K48" s="25">
        <f>IF(A48="","",COUNTIFS(Relationships!$G$4:$G$1003,A48,Relationships!$M$4:$M$1003,"Proposed"))</f>
        <v/>
      </c>
      <c r="L48" s="25">
        <f>IF(A48="","",COUNTIFS(Relationships!$G$4:$G$1003,A48,Relationships!$A$4:$A$1003,"&lt;&gt;",Relationships!$N$4:$N$1003,"&lt;&gt;OK — verify source"))</f>
        <v/>
      </c>
      <c r="M48" s="25" t="n"/>
      <c r="N48" s="25" t="n"/>
      <c r="O48" s="25">
        <f>IF(COUNTA(A48:D48,M48:N48)=0,"",IF(A48="","AIR-ID missing",IF(COUNTIF($A$4:$A$203,A48)&gt;1,"Duplicate AIR-ID",IF(OR(B48="",C48="",D48=""),"Label / source / reconciled-on missing",IF(NOT(ISNUMBER(D48)),"Reconciled-on is not a date","OK — verify source")))))</f>
        <v/>
      </c>
    </row>
    <row r="49">
      <c r="A49" s="27" t="n"/>
      <c r="B49" s="27" t="n"/>
      <c r="C49" s="27" t="n"/>
      <c r="D49" s="28" t="n"/>
      <c r="E49" s="27">
        <f>IF(A49="","",COUNTIFS(Relationships!$B$4:$B$1003,"CAP",Relationships!$E$4:$E$1003,"AIR",Relationships!$F$4:$F$1003,A49,Relationships!$M$4:$M$1003,"Confirmed",Relationships!$N$4:$N$1003,"OK — verify source"))</f>
        <v/>
      </c>
      <c r="F49" s="27">
        <f>IF(A49="","",COUNTIFS(Relationships!$B$4:$B$1003,"AIR",Relationships!$C$4:$C$1003,A49,Relationships!$E$4:$E$1003,"MOD",Relationships!$M$4:$M$1003,"Confirmed",Relationships!$N$4:$N$1003,"OK — verify source"))</f>
        <v/>
      </c>
      <c r="G49" s="27">
        <f>IF(A49="","",COUNTIFS(Relationships!$B$4:$B$1003,"AIR",Relationships!$C$4:$C$1003,A49,Relationships!$E$4:$E$1003,"DATA",Relationships!$M$4:$M$1003,"Confirmed",Relationships!$N$4:$N$1003,"OK — verify source"))</f>
        <v/>
      </c>
      <c r="H49" s="27">
        <f>IF(A49="","",COUNTIFS(Relationships!$B$4:$B$1003,"AIR",Relationships!$C$4:$C$1003,A49,Relationships!$E$4:$E$1003,"IF",Relationships!$M$4:$M$1003,"Confirmed",Relationships!$N$4:$N$1003,"OK — verify source"))</f>
        <v/>
      </c>
      <c r="I49" s="27">
        <f>IF(A49="","",COUNTIFS(Relationships!$B$4:$B$1003,"AIR",Relationships!$C$4:$C$1003,A49,Relationships!$E$4:$E$1003,"AG",Relationships!$M$4:$M$1003,"Confirmed",Relationships!$N$4:$N$1003,"OK — verify source"))</f>
        <v/>
      </c>
      <c r="J49" s="27">
        <f>IF(A49="","",COUNTIFS(Relationships!$B$4:$B$1003,"AIR",Relationships!$C$4:$C$1003,A49,Relationships!$E$4:$E$1003,"TOOL",Relationships!$M$4:$M$1003,"Confirmed",Relationships!$N$4:$N$1003,"OK — verify source"))</f>
        <v/>
      </c>
      <c r="K49" s="27">
        <f>IF(A49="","",COUNTIFS(Relationships!$G$4:$G$1003,A49,Relationships!$M$4:$M$1003,"Proposed"))</f>
        <v/>
      </c>
      <c r="L49" s="27">
        <f>IF(A49="","",COUNTIFS(Relationships!$G$4:$G$1003,A49,Relationships!$A$4:$A$1003,"&lt;&gt;",Relationships!$N$4:$N$1003,"&lt;&gt;OK — verify source"))</f>
        <v/>
      </c>
      <c r="M49" s="27" t="n"/>
      <c r="N49" s="27" t="n"/>
      <c r="O49" s="27">
        <f>IF(COUNTA(A49:D49,M49:N49)=0,"",IF(A49="","AIR-ID missing",IF(COUNTIF($A$4:$A$203,A49)&gt;1,"Duplicate AIR-ID",IF(OR(B49="",C49="",D49=""),"Label / source / reconciled-on missing",IF(NOT(ISNUMBER(D49)),"Reconciled-on is not a date","OK — verify source")))))</f>
        <v/>
      </c>
    </row>
    <row r="50">
      <c r="A50" s="25" t="n"/>
      <c r="B50" s="25" t="n"/>
      <c r="C50" s="25" t="n"/>
      <c r="D50" s="26" t="n"/>
      <c r="E50" s="25">
        <f>IF(A50="","",COUNTIFS(Relationships!$B$4:$B$1003,"CAP",Relationships!$E$4:$E$1003,"AIR",Relationships!$F$4:$F$1003,A50,Relationships!$M$4:$M$1003,"Confirmed",Relationships!$N$4:$N$1003,"OK — verify source"))</f>
        <v/>
      </c>
      <c r="F50" s="25">
        <f>IF(A50="","",COUNTIFS(Relationships!$B$4:$B$1003,"AIR",Relationships!$C$4:$C$1003,A50,Relationships!$E$4:$E$1003,"MOD",Relationships!$M$4:$M$1003,"Confirmed",Relationships!$N$4:$N$1003,"OK — verify source"))</f>
        <v/>
      </c>
      <c r="G50" s="25">
        <f>IF(A50="","",COUNTIFS(Relationships!$B$4:$B$1003,"AIR",Relationships!$C$4:$C$1003,A50,Relationships!$E$4:$E$1003,"DATA",Relationships!$M$4:$M$1003,"Confirmed",Relationships!$N$4:$N$1003,"OK — verify source"))</f>
        <v/>
      </c>
      <c r="H50" s="25">
        <f>IF(A50="","",COUNTIFS(Relationships!$B$4:$B$1003,"AIR",Relationships!$C$4:$C$1003,A50,Relationships!$E$4:$E$1003,"IF",Relationships!$M$4:$M$1003,"Confirmed",Relationships!$N$4:$N$1003,"OK — verify source"))</f>
        <v/>
      </c>
      <c r="I50" s="25">
        <f>IF(A50="","",COUNTIFS(Relationships!$B$4:$B$1003,"AIR",Relationships!$C$4:$C$1003,A50,Relationships!$E$4:$E$1003,"AG",Relationships!$M$4:$M$1003,"Confirmed",Relationships!$N$4:$N$1003,"OK — verify source"))</f>
        <v/>
      </c>
      <c r="J50" s="25">
        <f>IF(A50="","",COUNTIFS(Relationships!$B$4:$B$1003,"AIR",Relationships!$C$4:$C$1003,A50,Relationships!$E$4:$E$1003,"TOOL",Relationships!$M$4:$M$1003,"Confirmed",Relationships!$N$4:$N$1003,"OK — verify source"))</f>
        <v/>
      </c>
      <c r="K50" s="25">
        <f>IF(A50="","",COUNTIFS(Relationships!$G$4:$G$1003,A50,Relationships!$M$4:$M$1003,"Proposed"))</f>
        <v/>
      </c>
      <c r="L50" s="25">
        <f>IF(A50="","",COUNTIFS(Relationships!$G$4:$G$1003,A50,Relationships!$A$4:$A$1003,"&lt;&gt;",Relationships!$N$4:$N$1003,"&lt;&gt;OK — verify source"))</f>
        <v/>
      </c>
      <c r="M50" s="25" t="n"/>
      <c r="N50" s="25" t="n"/>
      <c r="O50" s="25">
        <f>IF(COUNTA(A50:D50,M50:N50)=0,"",IF(A50="","AIR-ID missing",IF(COUNTIF($A$4:$A$203,A50)&gt;1,"Duplicate AIR-ID",IF(OR(B50="",C50="",D50=""),"Label / source / reconciled-on missing",IF(NOT(ISNUMBER(D50)),"Reconciled-on is not a date","OK — verify source")))))</f>
        <v/>
      </c>
    </row>
    <row r="51">
      <c r="A51" s="27" t="n"/>
      <c r="B51" s="27" t="n"/>
      <c r="C51" s="27" t="n"/>
      <c r="D51" s="28" t="n"/>
      <c r="E51" s="27">
        <f>IF(A51="","",COUNTIFS(Relationships!$B$4:$B$1003,"CAP",Relationships!$E$4:$E$1003,"AIR",Relationships!$F$4:$F$1003,A51,Relationships!$M$4:$M$1003,"Confirmed",Relationships!$N$4:$N$1003,"OK — verify source"))</f>
        <v/>
      </c>
      <c r="F51" s="27">
        <f>IF(A51="","",COUNTIFS(Relationships!$B$4:$B$1003,"AIR",Relationships!$C$4:$C$1003,A51,Relationships!$E$4:$E$1003,"MOD",Relationships!$M$4:$M$1003,"Confirmed",Relationships!$N$4:$N$1003,"OK — verify source"))</f>
        <v/>
      </c>
      <c r="G51" s="27">
        <f>IF(A51="","",COUNTIFS(Relationships!$B$4:$B$1003,"AIR",Relationships!$C$4:$C$1003,A51,Relationships!$E$4:$E$1003,"DATA",Relationships!$M$4:$M$1003,"Confirmed",Relationships!$N$4:$N$1003,"OK — verify source"))</f>
        <v/>
      </c>
      <c r="H51" s="27">
        <f>IF(A51="","",COUNTIFS(Relationships!$B$4:$B$1003,"AIR",Relationships!$C$4:$C$1003,A51,Relationships!$E$4:$E$1003,"IF",Relationships!$M$4:$M$1003,"Confirmed",Relationships!$N$4:$N$1003,"OK — verify source"))</f>
        <v/>
      </c>
      <c r="I51" s="27">
        <f>IF(A51="","",COUNTIFS(Relationships!$B$4:$B$1003,"AIR",Relationships!$C$4:$C$1003,A51,Relationships!$E$4:$E$1003,"AG",Relationships!$M$4:$M$1003,"Confirmed",Relationships!$N$4:$N$1003,"OK — verify source"))</f>
        <v/>
      </c>
      <c r="J51" s="27">
        <f>IF(A51="","",COUNTIFS(Relationships!$B$4:$B$1003,"AIR",Relationships!$C$4:$C$1003,A51,Relationships!$E$4:$E$1003,"TOOL",Relationships!$M$4:$M$1003,"Confirmed",Relationships!$N$4:$N$1003,"OK — verify source"))</f>
        <v/>
      </c>
      <c r="K51" s="27">
        <f>IF(A51="","",COUNTIFS(Relationships!$G$4:$G$1003,A51,Relationships!$M$4:$M$1003,"Proposed"))</f>
        <v/>
      </c>
      <c r="L51" s="27">
        <f>IF(A51="","",COUNTIFS(Relationships!$G$4:$G$1003,A51,Relationships!$A$4:$A$1003,"&lt;&gt;",Relationships!$N$4:$N$1003,"&lt;&gt;OK — verify source"))</f>
        <v/>
      </c>
      <c r="M51" s="27" t="n"/>
      <c r="N51" s="27" t="n"/>
      <c r="O51" s="27">
        <f>IF(COUNTA(A51:D51,M51:N51)=0,"",IF(A51="","AIR-ID missing",IF(COUNTIF($A$4:$A$203,A51)&gt;1,"Duplicate AIR-ID",IF(OR(B51="",C51="",D51=""),"Label / source / reconciled-on missing",IF(NOT(ISNUMBER(D51)),"Reconciled-on is not a date","OK — verify source")))))</f>
        <v/>
      </c>
    </row>
    <row r="52">
      <c r="A52" s="25" t="n"/>
      <c r="B52" s="25" t="n"/>
      <c r="C52" s="25" t="n"/>
      <c r="D52" s="26" t="n"/>
      <c r="E52" s="25">
        <f>IF(A52="","",COUNTIFS(Relationships!$B$4:$B$1003,"CAP",Relationships!$E$4:$E$1003,"AIR",Relationships!$F$4:$F$1003,A52,Relationships!$M$4:$M$1003,"Confirmed",Relationships!$N$4:$N$1003,"OK — verify source"))</f>
        <v/>
      </c>
      <c r="F52" s="25">
        <f>IF(A52="","",COUNTIFS(Relationships!$B$4:$B$1003,"AIR",Relationships!$C$4:$C$1003,A52,Relationships!$E$4:$E$1003,"MOD",Relationships!$M$4:$M$1003,"Confirmed",Relationships!$N$4:$N$1003,"OK — verify source"))</f>
        <v/>
      </c>
      <c r="G52" s="25">
        <f>IF(A52="","",COUNTIFS(Relationships!$B$4:$B$1003,"AIR",Relationships!$C$4:$C$1003,A52,Relationships!$E$4:$E$1003,"DATA",Relationships!$M$4:$M$1003,"Confirmed",Relationships!$N$4:$N$1003,"OK — verify source"))</f>
        <v/>
      </c>
      <c r="H52" s="25">
        <f>IF(A52="","",COUNTIFS(Relationships!$B$4:$B$1003,"AIR",Relationships!$C$4:$C$1003,A52,Relationships!$E$4:$E$1003,"IF",Relationships!$M$4:$M$1003,"Confirmed",Relationships!$N$4:$N$1003,"OK — verify source"))</f>
        <v/>
      </c>
      <c r="I52" s="25">
        <f>IF(A52="","",COUNTIFS(Relationships!$B$4:$B$1003,"AIR",Relationships!$C$4:$C$1003,A52,Relationships!$E$4:$E$1003,"AG",Relationships!$M$4:$M$1003,"Confirmed",Relationships!$N$4:$N$1003,"OK — verify source"))</f>
        <v/>
      </c>
      <c r="J52" s="25">
        <f>IF(A52="","",COUNTIFS(Relationships!$B$4:$B$1003,"AIR",Relationships!$C$4:$C$1003,A52,Relationships!$E$4:$E$1003,"TOOL",Relationships!$M$4:$M$1003,"Confirmed",Relationships!$N$4:$N$1003,"OK — verify source"))</f>
        <v/>
      </c>
      <c r="K52" s="25">
        <f>IF(A52="","",COUNTIFS(Relationships!$G$4:$G$1003,A52,Relationships!$M$4:$M$1003,"Proposed"))</f>
        <v/>
      </c>
      <c r="L52" s="25">
        <f>IF(A52="","",COUNTIFS(Relationships!$G$4:$G$1003,A52,Relationships!$A$4:$A$1003,"&lt;&gt;",Relationships!$N$4:$N$1003,"&lt;&gt;OK — verify source"))</f>
        <v/>
      </c>
      <c r="M52" s="25" t="n"/>
      <c r="N52" s="25" t="n"/>
      <c r="O52" s="25">
        <f>IF(COUNTA(A52:D52,M52:N52)=0,"",IF(A52="","AIR-ID missing",IF(COUNTIF($A$4:$A$203,A52)&gt;1,"Duplicate AIR-ID",IF(OR(B52="",C52="",D52=""),"Label / source / reconciled-on missing",IF(NOT(ISNUMBER(D52)),"Reconciled-on is not a date","OK — verify source")))))</f>
        <v/>
      </c>
    </row>
    <row r="53">
      <c r="A53" s="27" t="n"/>
      <c r="B53" s="27" t="n"/>
      <c r="C53" s="27" t="n"/>
      <c r="D53" s="28" t="n"/>
      <c r="E53" s="27">
        <f>IF(A53="","",COUNTIFS(Relationships!$B$4:$B$1003,"CAP",Relationships!$E$4:$E$1003,"AIR",Relationships!$F$4:$F$1003,A53,Relationships!$M$4:$M$1003,"Confirmed",Relationships!$N$4:$N$1003,"OK — verify source"))</f>
        <v/>
      </c>
      <c r="F53" s="27">
        <f>IF(A53="","",COUNTIFS(Relationships!$B$4:$B$1003,"AIR",Relationships!$C$4:$C$1003,A53,Relationships!$E$4:$E$1003,"MOD",Relationships!$M$4:$M$1003,"Confirmed",Relationships!$N$4:$N$1003,"OK — verify source"))</f>
        <v/>
      </c>
      <c r="G53" s="27">
        <f>IF(A53="","",COUNTIFS(Relationships!$B$4:$B$1003,"AIR",Relationships!$C$4:$C$1003,A53,Relationships!$E$4:$E$1003,"DATA",Relationships!$M$4:$M$1003,"Confirmed",Relationships!$N$4:$N$1003,"OK — verify source"))</f>
        <v/>
      </c>
      <c r="H53" s="27">
        <f>IF(A53="","",COUNTIFS(Relationships!$B$4:$B$1003,"AIR",Relationships!$C$4:$C$1003,A53,Relationships!$E$4:$E$1003,"IF",Relationships!$M$4:$M$1003,"Confirmed",Relationships!$N$4:$N$1003,"OK — verify source"))</f>
        <v/>
      </c>
      <c r="I53" s="27">
        <f>IF(A53="","",COUNTIFS(Relationships!$B$4:$B$1003,"AIR",Relationships!$C$4:$C$1003,A53,Relationships!$E$4:$E$1003,"AG",Relationships!$M$4:$M$1003,"Confirmed",Relationships!$N$4:$N$1003,"OK — verify source"))</f>
        <v/>
      </c>
      <c r="J53" s="27">
        <f>IF(A53="","",COUNTIFS(Relationships!$B$4:$B$1003,"AIR",Relationships!$C$4:$C$1003,A53,Relationships!$E$4:$E$1003,"TOOL",Relationships!$M$4:$M$1003,"Confirmed",Relationships!$N$4:$N$1003,"OK — verify source"))</f>
        <v/>
      </c>
      <c r="K53" s="27">
        <f>IF(A53="","",COUNTIFS(Relationships!$G$4:$G$1003,A53,Relationships!$M$4:$M$1003,"Proposed"))</f>
        <v/>
      </c>
      <c r="L53" s="27">
        <f>IF(A53="","",COUNTIFS(Relationships!$G$4:$G$1003,A53,Relationships!$A$4:$A$1003,"&lt;&gt;",Relationships!$N$4:$N$1003,"&lt;&gt;OK — verify source"))</f>
        <v/>
      </c>
      <c r="M53" s="27" t="n"/>
      <c r="N53" s="27" t="n"/>
      <c r="O53" s="27">
        <f>IF(COUNTA(A53:D53,M53:N53)=0,"",IF(A53="","AIR-ID missing",IF(COUNTIF($A$4:$A$203,A53)&gt;1,"Duplicate AIR-ID",IF(OR(B53="",C53="",D53=""),"Label / source / reconciled-on missing",IF(NOT(ISNUMBER(D53)),"Reconciled-on is not a date","OK — verify source")))))</f>
        <v/>
      </c>
    </row>
    <row r="54">
      <c r="A54" s="25" t="n"/>
      <c r="B54" s="25" t="n"/>
      <c r="C54" s="25" t="n"/>
      <c r="D54" s="26" t="n"/>
      <c r="E54" s="25">
        <f>IF(A54="","",COUNTIFS(Relationships!$B$4:$B$1003,"CAP",Relationships!$E$4:$E$1003,"AIR",Relationships!$F$4:$F$1003,A54,Relationships!$M$4:$M$1003,"Confirmed",Relationships!$N$4:$N$1003,"OK — verify source"))</f>
        <v/>
      </c>
      <c r="F54" s="25">
        <f>IF(A54="","",COUNTIFS(Relationships!$B$4:$B$1003,"AIR",Relationships!$C$4:$C$1003,A54,Relationships!$E$4:$E$1003,"MOD",Relationships!$M$4:$M$1003,"Confirmed",Relationships!$N$4:$N$1003,"OK — verify source"))</f>
        <v/>
      </c>
      <c r="G54" s="25">
        <f>IF(A54="","",COUNTIFS(Relationships!$B$4:$B$1003,"AIR",Relationships!$C$4:$C$1003,A54,Relationships!$E$4:$E$1003,"DATA",Relationships!$M$4:$M$1003,"Confirmed",Relationships!$N$4:$N$1003,"OK — verify source"))</f>
        <v/>
      </c>
      <c r="H54" s="25">
        <f>IF(A54="","",COUNTIFS(Relationships!$B$4:$B$1003,"AIR",Relationships!$C$4:$C$1003,A54,Relationships!$E$4:$E$1003,"IF",Relationships!$M$4:$M$1003,"Confirmed",Relationships!$N$4:$N$1003,"OK — verify source"))</f>
        <v/>
      </c>
      <c r="I54" s="25">
        <f>IF(A54="","",COUNTIFS(Relationships!$B$4:$B$1003,"AIR",Relationships!$C$4:$C$1003,A54,Relationships!$E$4:$E$1003,"AG",Relationships!$M$4:$M$1003,"Confirmed",Relationships!$N$4:$N$1003,"OK — verify source"))</f>
        <v/>
      </c>
      <c r="J54" s="25">
        <f>IF(A54="","",COUNTIFS(Relationships!$B$4:$B$1003,"AIR",Relationships!$C$4:$C$1003,A54,Relationships!$E$4:$E$1003,"TOOL",Relationships!$M$4:$M$1003,"Confirmed",Relationships!$N$4:$N$1003,"OK — verify source"))</f>
        <v/>
      </c>
      <c r="K54" s="25">
        <f>IF(A54="","",COUNTIFS(Relationships!$G$4:$G$1003,A54,Relationships!$M$4:$M$1003,"Proposed"))</f>
        <v/>
      </c>
      <c r="L54" s="25">
        <f>IF(A54="","",COUNTIFS(Relationships!$G$4:$G$1003,A54,Relationships!$A$4:$A$1003,"&lt;&gt;",Relationships!$N$4:$N$1003,"&lt;&gt;OK — verify source"))</f>
        <v/>
      </c>
      <c r="M54" s="25" t="n"/>
      <c r="N54" s="25" t="n"/>
      <c r="O54" s="25">
        <f>IF(COUNTA(A54:D54,M54:N54)=0,"",IF(A54="","AIR-ID missing",IF(COUNTIF($A$4:$A$203,A54)&gt;1,"Duplicate AIR-ID",IF(OR(B54="",C54="",D54=""),"Label / source / reconciled-on missing",IF(NOT(ISNUMBER(D54)),"Reconciled-on is not a date","OK — verify source")))))</f>
        <v/>
      </c>
    </row>
    <row r="55">
      <c r="A55" s="27" t="n"/>
      <c r="B55" s="27" t="n"/>
      <c r="C55" s="27" t="n"/>
      <c r="D55" s="28" t="n"/>
      <c r="E55" s="27">
        <f>IF(A55="","",COUNTIFS(Relationships!$B$4:$B$1003,"CAP",Relationships!$E$4:$E$1003,"AIR",Relationships!$F$4:$F$1003,A55,Relationships!$M$4:$M$1003,"Confirmed",Relationships!$N$4:$N$1003,"OK — verify source"))</f>
        <v/>
      </c>
      <c r="F55" s="27">
        <f>IF(A55="","",COUNTIFS(Relationships!$B$4:$B$1003,"AIR",Relationships!$C$4:$C$1003,A55,Relationships!$E$4:$E$1003,"MOD",Relationships!$M$4:$M$1003,"Confirmed",Relationships!$N$4:$N$1003,"OK — verify source"))</f>
        <v/>
      </c>
      <c r="G55" s="27">
        <f>IF(A55="","",COUNTIFS(Relationships!$B$4:$B$1003,"AIR",Relationships!$C$4:$C$1003,A55,Relationships!$E$4:$E$1003,"DATA",Relationships!$M$4:$M$1003,"Confirmed",Relationships!$N$4:$N$1003,"OK — verify source"))</f>
        <v/>
      </c>
      <c r="H55" s="27">
        <f>IF(A55="","",COUNTIFS(Relationships!$B$4:$B$1003,"AIR",Relationships!$C$4:$C$1003,A55,Relationships!$E$4:$E$1003,"IF",Relationships!$M$4:$M$1003,"Confirmed",Relationships!$N$4:$N$1003,"OK — verify source"))</f>
        <v/>
      </c>
      <c r="I55" s="27">
        <f>IF(A55="","",COUNTIFS(Relationships!$B$4:$B$1003,"AIR",Relationships!$C$4:$C$1003,A55,Relationships!$E$4:$E$1003,"AG",Relationships!$M$4:$M$1003,"Confirmed",Relationships!$N$4:$N$1003,"OK — verify source"))</f>
        <v/>
      </c>
      <c r="J55" s="27">
        <f>IF(A55="","",COUNTIFS(Relationships!$B$4:$B$1003,"AIR",Relationships!$C$4:$C$1003,A55,Relationships!$E$4:$E$1003,"TOOL",Relationships!$M$4:$M$1003,"Confirmed",Relationships!$N$4:$N$1003,"OK — verify source"))</f>
        <v/>
      </c>
      <c r="K55" s="27">
        <f>IF(A55="","",COUNTIFS(Relationships!$G$4:$G$1003,A55,Relationships!$M$4:$M$1003,"Proposed"))</f>
        <v/>
      </c>
      <c r="L55" s="27">
        <f>IF(A55="","",COUNTIFS(Relationships!$G$4:$G$1003,A55,Relationships!$A$4:$A$1003,"&lt;&gt;",Relationships!$N$4:$N$1003,"&lt;&gt;OK — verify source"))</f>
        <v/>
      </c>
      <c r="M55" s="27" t="n"/>
      <c r="N55" s="27" t="n"/>
      <c r="O55" s="27">
        <f>IF(COUNTA(A55:D55,M55:N55)=0,"",IF(A55="","AIR-ID missing",IF(COUNTIF($A$4:$A$203,A55)&gt;1,"Duplicate AIR-ID",IF(OR(B55="",C55="",D55=""),"Label / source / reconciled-on missing",IF(NOT(ISNUMBER(D55)),"Reconciled-on is not a date","OK — verify source")))))</f>
        <v/>
      </c>
    </row>
    <row r="56">
      <c r="A56" s="25" t="n"/>
      <c r="B56" s="25" t="n"/>
      <c r="C56" s="25" t="n"/>
      <c r="D56" s="26" t="n"/>
      <c r="E56" s="25">
        <f>IF(A56="","",COUNTIFS(Relationships!$B$4:$B$1003,"CAP",Relationships!$E$4:$E$1003,"AIR",Relationships!$F$4:$F$1003,A56,Relationships!$M$4:$M$1003,"Confirmed",Relationships!$N$4:$N$1003,"OK — verify source"))</f>
        <v/>
      </c>
      <c r="F56" s="25">
        <f>IF(A56="","",COUNTIFS(Relationships!$B$4:$B$1003,"AIR",Relationships!$C$4:$C$1003,A56,Relationships!$E$4:$E$1003,"MOD",Relationships!$M$4:$M$1003,"Confirmed",Relationships!$N$4:$N$1003,"OK — verify source"))</f>
        <v/>
      </c>
      <c r="G56" s="25">
        <f>IF(A56="","",COUNTIFS(Relationships!$B$4:$B$1003,"AIR",Relationships!$C$4:$C$1003,A56,Relationships!$E$4:$E$1003,"DATA",Relationships!$M$4:$M$1003,"Confirmed",Relationships!$N$4:$N$1003,"OK — verify source"))</f>
        <v/>
      </c>
      <c r="H56" s="25">
        <f>IF(A56="","",COUNTIFS(Relationships!$B$4:$B$1003,"AIR",Relationships!$C$4:$C$1003,A56,Relationships!$E$4:$E$1003,"IF",Relationships!$M$4:$M$1003,"Confirmed",Relationships!$N$4:$N$1003,"OK — verify source"))</f>
        <v/>
      </c>
      <c r="I56" s="25">
        <f>IF(A56="","",COUNTIFS(Relationships!$B$4:$B$1003,"AIR",Relationships!$C$4:$C$1003,A56,Relationships!$E$4:$E$1003,"AG",Relationships!$M$4:$M$1003,"Confirmed",Relationships!$N$4:$N$1003,"OK — verify source"))</f>
        <v/>
      </c>
      <c r="J56" s="25">
        <f>IF(A56="","",COUNTIFS(Relationships!$B$4:$B$1003,"AIR",Relationships!$C$4:$C$1003,A56,Relationships!$E$4:$E$1003,"TOOL",Relationships!$M$4:$M$1003,"Confirmed",Relationships!$N$4:$N$1003,"OK — verify source"))</f>
        <v/>
      </c>
      <c r="K56" s="25">
        <f>IF(A56="","",COUNTIFS(Relationships!$G$4:$G$1003,A56,Relationships!$M$4:$M$1003,"Proposed"))</f>
        <v/>
      </c>
      <c r="L56" s="25">
        <f>IF(A56="","",COUNTIFS(Relationships!$G$4:$G$1003,A56,Relationships!$A$4:$A$1003,"&lt;&gt;",Relationships!$N$4:$N$1003,"&lt;&gt;OK — verify source"))</f>
        <v/>
      </c>
      <c r="M56" s="25" t="n"/>
      <c r="N56" s="25" t="n"/>
      <c r="O56" s="25">
        <f>IF(COUNTA(A56:D56,M56:N56)=0,"",IF(A56="","AIR-ID missing",IF(COUNTIF($A$4:$A$203,A56)&gt;1,"Duplicate AIR-ID",IF(OR(B56="",C56="",D56=""),"Label / source / reconciled-on missing",IF(NOT(ISNUMBER(D56)),"Reconciled-on is not a date","OK — verify source")))))</f>
        <v/>
      </c>
    </row>
    <row r="57">
      <c r="A57" s="27" t="n"/>
      <c r="B57" s="27" t="n"/>
      <c r="C57" s="27" t="n"/>
      <c r="D57" s="28" t="n"/>
      <c r="E57" s="27">
        <f>IF(A57="","",COUNTIFS(Relationships!$B$4:$B$1003,"CAP",Relationships!$E$4:$E$1003,"AIR",Relationships!$F$4:$F$1003,A57,Relationships!$M$4:$M$1003,"Confirmed",Relationships!$N$4:$N$1003,"OK — verify source"))</f>
        <v/>
      </c>
      <c r="F57" s="27">
        <f>IF(A57="","",COUNTIFS(Relationships!$B$4:$B$1003,"AIR",Relationships!$C$4:$C$1003,A57,Relationships!$E$4:$E$1003,"MOD",Relationships!$M$4:$M$1003,"Confirmed",Relationships!$N$4:$N$1003,"OK — verify source"))</f>
        <v/>
      </c>
      <c r="G57" s="27">
        <f>IF(A57="","",COUNTIFS(Relationships!$B$4:$B$1003,"AIR",Relationships!$C$4:$C$1003,A57,Relationships!$E$4:$E$1003,"DATA",Relationships!$M$4:$M$1003,"Confirmed",Relationships!$N$4:$N$1003,"OK — verify source"))</f>
        <v/>
      </c>
      <c r="H57" s="27">
        <f>IF(A57="","",COUNTIFS(Relationships!$B$4:$B$1003,"AIR",Relationships!$C$4:$C$1003,A57,Relationships!$E$4:$E$1003,"IF",Relationships!$M$4:$M$1003,"Confirmed",Relationships!$N$4:$N$1003,"OK — verify source"))</f>
        <v/>
      </c>
      <c r="I57" s="27">
        <f>IF(A57="","",COUNTIFS(Relationships!$B$4:$B$1003,"AIR",Relationships!$C$4:$C$1003,A57,Relationships!$E$4:$E$1003,"AG",Relationships!$M$4:$M$1003,"Confirmed",Relationships!$N$4:$N$1003,"OK — verify source"))</f>
        <v/>
      </c>
      <c r="J57" s="27">
        <f>IF(A57="","",COUNTIFS(Relationships!$B$4:$B$1003,"AIR",Relationships!$C$4:$C$1003,A57,Relationships!$E$4:$E$1003,"TOOL",Relationships!$M$4:$M$1003,"Confirmed",Relationships!$N$4:$N$1003,"OK — verify source"))</f>
        <v/>
      </c>
      <c r="K57" s="27">
        <f>IF(A57="","",COUNTIFS(Relationships!$G$4:$G$1003,A57,Relationships!$M$4:$M$1003,"Proposed"))</f>
        <v/>
      </c>
      <c r="L57" s="27">
        <f>IF(A57="","",COUNTIFS(Relationships!$G$4:$G$1003,A57,Relationships!$A$4:$A$1003,"&lt;&gt;",Relationships!$N$4:$N$1003,"&lt;&gt;OK — verify source"))</f>
        <v/>
      </c>
      <c r="M57" s="27" t="n"/>
      <c r="N57" s="27" t="n"/>
      <c r="O57" s="27">
        <f>IF(COUNTA(A57:D57,M57:N57)=0,"",IF(A57="","AIR-ID missing",IF(COUNTIF($A$4:$A$203,A57)&gt;1,"Duplicate AIR-ID",IF(OR(B57="",C57="",D57=""),"Label / source / reconciled-on missing",IF(NOT(ISNUMBER(D57)),"Reconciled-on is not a date","OK — verify source")))))</f>
        <v/>
      </c>
    </row>
    <row r="58">
      <c r="A58" s="25" t="n"/>
      <c r="B58" s="25" t="n"/>
      <c r="C58" s="25" t="n"/>
      <c r="D58" s="26" t="n"/>
      <c r="E58" s="25">
        <f>IF(A58="","",COUNTIFS(Relationships!$B$4:$B$1003,"CAP",Relationships!$E$4:$E$1003,"AIR",Relationships!$F$4:$F$1003,A58,Relationships!$M$4:$M$1003,"Confirmed",Relationships!$N$4:$N$1003,"OK — verify source"))</f>
        <v/>
      </c>
      <c r="F58" s="25">
        <f>IF(A58="","",COUNTIFS(Relationships!$B$4:$B$1003,"AIR",Relationships!$C$4:$C$1003,A58,Relationships!$E$4:$E$1003,"MOD",Relationships!$M$4:$M$1003,"Confirmed",Relationships!$N$4:$N$1003,"OK — verify source"))</f>
        <v/>
      </c>
      <c r="G58" s="25">
        <f>IF(A58="","",COUNTIFS(Relationships!$B$4:$B$1003,"AIR",Relationships!$C$4:$C$1003,A58,Relationships!$E$4:$E$1003,"DATA",Relationships!$M$4:$M$1003,"Confirmed",Relationships!$N$4:$N$1003,"OK — verify source"))</f>
        <v/>
      </c>
      <c r="H58" s="25">
        <f>IF(A58="","",COUNTIFS(Relationships!$B$4:$B$1003,"AIR",Relationships!$C$4:$C$1003,A58,Relationships!$E$4:$E$1003,"IF",Relationships!$M$4:$M$1003,"Confirmed",Relationships!$N$4:$N$1003,"OK — verify source"))</f>
        <v/>
      </c>
      <c r="I58" s="25">
        <f>IF(A58="","",COUNTIFS(Relationships!$B$4:$B$1003,"AIR",Relationships!$C$4:$C$1003,A58,Relationships!$E$4:$E$1003,"AG",Relationships!$M$4:$M$1003,"Confirmed",Relationships!$N$4:$N$1003,"OK — verify source"))</f>
        <v/>
      </c>
      <c r="J58" s="25">
        <f>IF(A58="","",COUNTIFS(Relationships!$B$4:$B$1003,"AIR",Relationships!$C$4:$C$1003,A58,Relationships!$E$4:$E$1003,"TOOL",Relationships!$M$4:$M$1003,"Confirmed",Relationships!$N$4:$N$1003,"OK — verify source"))</f>
        <v/>
      </c>
      <c r="K58" s="25">
        <f>IF(A58="","",COUNTIFS(Relationships!$G$4:$G$1003,A58,Relationships!$M$4:$M$1003,"Proposed"))</f>
        <v/>
      </c>
      <c r="L58" s="25">
        <f>IF(A58="","",COUNTIFS(Relationships!$G$4:$G$1003,A58,Relationships!$A$4:$A$1003,"&lt;&gt;",Relationships!$N$4:$N$1003,"&lt;&gt;OK — verify source"))</f>
        <v/>
      </c>
      <c r="M58" s="25" t="n"/>
      <c r="N58" s="25" t="n"/>
      <c r="O58" s="25">
        <f>IF(COUNTA(A58:D58,M58:N58)=0,"",IF(A58="","AIR-ID missing",IF(COUNTIF($A$4:$A$203,A58)&gt;1,"Duplicate AIR-ID",IF(OR(B58="",C58="",D58=""),"Label / source / reconciled-on missing",IF(NOT(ISNUMBER(D58)),"Reconciled-on is not a date","OK — verify source")))))</f>
        <v/>
      </c>
    </row>
    <row r="59">
      <c r="A59" s="27" t="n"/>
      <c r="B59" s="27" t="n"/>
      <c r="C59" s="27" t="n"/>
      <c r="D59" s="28" t="n"/>
      <c r="E59" s="27">
        <f>IF(A59="","",COUNTIFS(Relationships!$B$4:$B$1003,"CAP",Relationships!$E$4:$E$1003,"AIR",Relationships!$F$4:$F$1003,A59,Relationships!$M$4:$M$1003,"Confirmed",Relationships!$N$4:$N$1003,"OK — verify source"))</f>
        <v/>
      </c>
      <c r="F59" s="27">
        <f>IF(A59="","",COUNTIFS(Relationships!$B$4:$B$1003,"AIR",Relationships!$C$4:$C$1003,A59,Relationships!$E$4:$E$1003,"MOD",Relationships!$M$4:$M$1003,"Confirmed",Relationships!$N$4:$N$1003,"OK — verify source"))</f>
        <v/>
      </c>
      <c r="G59" s="27">
        <f>IF(A59="","",COUNTIFS(Relationships!$B$4:$B$1003,"AIR",Relationships!$C$4:$C$1003,A59,Relationships!$E$4:$E$1003,"DATA",Relationships!$M$4:$M$1003,"Confirmed",Relationships!$N$4:$N$1003,"OK — verify source"))</f>
        <v/>
      </c>
      <c r="H59" s="27">
        <f>IF(A59="","",COUNTIFS(Relationships!$B$4:$B$1003,"AIR",Relationships!$C$4:$C$1003,A59,Relationships!$E$4:$E$1003,"IF",Relationships!$M$4:$M$1003,"Confirmed",Relationships!$N$4:$N$1003,"OK — verify source"))</f>
        <v/>
      </c>
      <c r="I59" s="27">
        <f>IF(A59="","",COUNTIFS(Relationships!$B$4:$B$1003,"AIR",Relationships!$C$4:$C$1003,A59,Relationships!$E$4:$E$1003,"AG",Relationships!$M$4:$M$1003,"Confirmed",Relationships!$N$4:$N$1003,"OK — verify source"))</f>
        <v/>
      </c>
      <c r="J59" s="27">
        <f>IF(A59="","",COUNTIFS(Relationships!$B$4:$B$1003,"AIR",Relationships!$C$4:$C$1003,A59,Relationships!$E$4:$E$1003,"TOOL",Relationships!$M$4:$M$1003,"Confirmed",Relationships!$N$4:$N$1003,"OK — verify source"))</f>
        <v/>
      </c>
      <c r="K59" s="27">
        <f>IF(A59="","",COUNTIFS(Relationships!$G$4:$G$1003,A59,Relationships!$M$4:$M$1003,"Proposed"))</f>
        <v/>
      </c>
      <c r="L59" s="27">
        <f>IF(A59="","",COUNTIFS(Relationships!$G$4:$G$1003,A59,Relationships!$A$4:$A$1003,"&lt;&gt;",Relationships!$N$4:$N$1003,"&lt;&gt;OK — verify source"))</f>
        <v/>
      </c>
      <c r="M59" s="27" t="n"/>
      <c r="N59" s="27" t="n"/>
      <c r="O59" s="27">
        <f>IF(COUNTA(A59:D59,M59:N59)=0,"",IF(A59="","AIR-ID missing",IF(COUNTIF($A$4:$A$203,A59)&gt;1,"Duplicate AIR-ID",IF(OR(B59="",C59="",D59=""),"Label / source / reconciled-on missing",IF(NOT(ISNUMBER(D59)),"Reconciled-on is not a date","OK — verify source")))))</f>
        <v/>
      </c>
    </row>
    <row r="60">
      <c r="A60" s="25" t="n"/>
      <c r="B60" s="25" t="n"/>
      <c r="C60" s="25" t="n"/>
      <c r="D60" s="26" t="n"/>
      <c r="E60" s="25">
        <f>IF(A60="","",COUNTIFS(Relationships!$B$4:$B$1003,"CAP",Relationships!$E$4:$E$1003,"AIR",Relationships!$F$4:$F$1003,A60,Relationships!$M$4:$M$1003,"Confirmed",Relationships!$N$4:$N$1003,"OK — verify source"))</f>
        <v/>
      </c>
      <c r="F60" s="25">
        <f>IF(A60="","",COUNTIFS(Relationships!$B$4:$B$1003,"AIR",Relationships!$C$4:$C$1003,A60,Relationships!$E$4:$E$1003,"MOD",Relationships!$M$4:$M$1003,"Confirmed",Relationships!$N$4:$N$1003,"OK — verify source"))</f>
        <v/>
      </c>
      <c r="G60" s="25">
        <f>IF(A60="","",COUNTIFS(Relationships!$B$4:$B$1003,"AIR",Relationships!$C$4:$C$1003,A60,Relationships!$E$4:$E$1003,"DATA",Relationships!$M$4:$M$1003,"Confirmed",Relationships!$N$4:$N$1003,"OK — verify source"))</f>
        <v/>
      </c>
      <c r="H60" s="25">
        <f>IF(A60="","",COUNTIFS(Relationships!$B$4:$B$1003,"AIR",Relationships!$C$4:$C$1003,A60,Relationships!$E$4:$E$1003,"IF",Relationships!$M$4:$M$1003,"Confirmed",Relationships!$N$4:$N$1003,"OK — verify source"))</f>
        <v/>
      </c>
      <c r="I60" s="25">
        <f>IF(A60="","",COUNTIFS(Relationships!$B$4:$B$1003,"AIR",Relationships!$C$4:$C$1003,A60,Relationships!$E$4:$E$1003,"AG",Relationships!$M$4:$M$1003,"Confirmed",Relationships!$N$4:$N$1003,"OK — verify source"))</f>
        <v/>
      </c>
      <c r="J60" s="25">
        <f>IF(A60="","",COUNTIFS(Relationships!$B$4:$B$1003,"AIR",Relationships!$C$4:$C$1003,A60,Relationships!$E$4:$E$1003,"TOOL",Relationships!$M$4:$M$1003,"Confirmed",Relationships!$N$4:$N$1003,"OK — verify source"))</f>
        <v/>
      </c>
      <c r="K60" s="25">
        <f>IF(A60="","",COUNTIFS(Relationships!$G$4:$G$1003,A60,Relationships!$M$4:$M$1003,"Proposed"))</f>
        <v/>
      </c>
      <c r="L60" s="25">
        <f>IF(A60="","",COUNTIFS(Relationships!$G$4:$G$1003,A60,Relationships!$A$4:$A$1003,"&lt;&gt;",Relationships!$N$4:$N$1003,"&lt;&gt;OK — verify source"))</f>
        <v/>
      </c>
      <c r="M60" s="25" t="n"/>
      <c r="N60" s="25" t="n"/>
      <c r="O60" s="25">
        <f>IF(COUNTA(A60:D60,M60:N60)=0,"",IF(A60="","AIR-ID missing",IF(COUNTIF($A$4:$A$203,A60)&gt;1,"Duplicate AIR-ID",IF(OR(B60="",C60="",D60=""),"Label / source / reconciled-on missing",IF(NOT(ISNUMBER(D60)),"Reconciled-on is not a date","OK — verify source")))))</f>
        <v/>
      </c>
    </row>
    <row r="61">
      <c r="A61" s="27" t="n"/>
      <c r="B61" s="27" t="n"/>
      <c r="C61" s="27" t="n"/>
      <c r="D61" s="28" t="n"/>
      <c r="E61" s="27">
        <f>IF(A61="","",COUNTIFS(Relationships!$B$4:$B$1003,"CAP",Relationships!$E$4:$E$1003,"AIR",Relationships!$F$4:$F$1003,A61,Relationships!$M$4:$M$1003,"Confirmed",Relationships!$N$4:$N$1003,"OK — verify source"))</f>
        <v/>
      </c>
      <c r="F61" s="27">
        <f>IF(A61="","",COUNTIFS(Relationships!$B$4:$B$1003,"AIR",Relationships!$C$4:$C$1003,A61,Relationships!$E$4:$E$1003,"MOD",Relationships!$M$4:$M$1003,"Confirmed",Relationships!$N$4:$N$1003,"OK — verify source"))</f>
        <v/>
      </c>
      <c r="G61" s="27">
        <f>IF(A61="","",COUNTIFS(Relationships!$B$4:$B$1003,"AIR",Relationships!$C$4:$C$1003,A61,Relationships!$E$4:$E$1003,"DATA",Relationships!$M$4:$M$1003,"Confirmed",Relationships!$N$4:$N$1003,"OK — verify source"))</f>
        <v/>
      </c>
      <c r="H61" s="27">
        <f>IF(A61="","",COUNTIFS(Relationships!$B$4:$B$1003,"AIR",Relationships!$C$4:$C$1003,A61,Relationships!$E$4:$E$1003,"IF",Relationships!$M$4:$M$1003,"Confirmed",Relationships!$N$4:$N$1003,"OK — verify source"))</f>
        <v/>
      </c>
      <c r="I61" s="27">
        <f>IF(A61="","",COUNTIFS(Relationships!$B$4:$B$1003,"AIR",Relationships!$C$4:$C$1003,A61,Relationships!$E$4:$E$1003,"AG",Relationships!$M$4:$M$1003,"Confirmed",Relationships!$N$4:$N$1003,"OK — verify source"))</f>
        <v/>
      </c>
      <c r="J61" s="27">
        <f>IF(A61="","",COUNTIFS(Relationships!$B$4:$B$1003,"AIR",Relationships!$C$4:$C$1003,A61,Relationships!$E$4:$E$1003,"TOOL",Relationships!$M$4:$M$1003,"Confirmed",Relationships!$N$4:$N$1003,"OK — verify source"))</f>
        <v/>
      </c>
      <c r="K61" s="27">
        <f>IF(A61="","",COUNTIFS(Relationships!$G$4:$G$1003,A61,Relationships!$M$4:$M$1003,"Proposed"))</f>
        <v/>
      </c>
      <c r="L61" s="27">
        <f>IF(A61="","",COUNTIFS(Relationships!$G$4:$G$1003,A61,Relationships!$A$4:$A$1003,"&lt;&gt;",Relationships!$N$4:$N$1003,"&lt;&gt;OK — verify source"))</f>
        <v/>
      </c>
      <c r="M61" s="27" t="n"/>
      <c r="N61" s="27" t="n"/>
      <c r="O61" s="27">
        <f>IF(COUNTA(A61:D61,M61:N61)=0,"",IF(A61="","AIR-ID missing",IF(COUNTIF($A$4:$A$203,A61)&gt;1,"Duplicate AIR-ID",IF(OR(B61="",C61="",D61=""),"Label / source / reconciled-on missing",IF(NOT(ISNUMBER(D61)),"Reconciled-on is not a date","OK — verify source")))))</f>
        <v/>
      </c>
    </row>
    <row r="62">
      <c r="A62" s="25" t="n"/>
      <c r="B62" s="25" t="n"/>
      <c r="C62" s="25" t="n"/>
      <c r="D62" s="26" t="n"/>
      <c r="E62" s="25">
        <f>IF(A62="","",COUNTIFS(Relationships!$B$4:$B$1003,"CAP",Relationships!$E$4:$E$1003,"AIR",Relationships!$F$4:$F$1003,A62,Relationships!$M$4:$M$1003,"Confirmed",Relationships!$N$4:$N$1003,"OK — verify source"))</f>
        <v/>
      </c>
      <c r="F62" s="25">
        <f>IF(A62="","",COUNTIFS(Relationships!$B$4:$B$1003,"AIR",Relationships!$C$4:$C$1003,A62,Relationships!$E$4:$E$1003,"MOD",Relationships!$M$4:$M$1003,"Confirmed",Relationships!$N$4:$N$1003,"OK — verify source"))</f>
        <v/>
      </c>
      <c r="G62" s="25">
        <f>IF(A62="","",COUNTIFS(Relationships!$B$4:$B$1003,"AIR",Relationships!$C$4:$C$1003,A62,Relationships!$E$4:$E$1003,"DATA",Relationships!$M$4:$M$1003,"Confirmed",Relationships!$N$4:$N$1003,"OK — verify source"))</f>
        <v/>
      </c>
      <c r="H62" s="25">
        <f>IF(A62="","",COUNTIFS(Relationships!$B$4:$B$1003,"AIR",Relationships!$C$4:$C$1003,A62,Relationships!$E$4:$E$1003,"IF",Relationships!$M$4:$M$1003,"Confirmed",Relationships!$N$4:$N$1003,"OK — verify source"))</f>
        <v/>
      </c>
      <c r="I62" s="25">
        <f>IF(A62="","",COUNTIFS(Relationships!$B$4:$B$1003,"AIR",Relationships!$C$4:$C$1003,A62,Relationships!$E$4:$E$1003,"AG",Relationships!$M$4:$M$1003,"Confirmed",Relationships!$N$4:$N$1003,"OK — verify source"))</f>
        <v/>
      </c>
      <c r="J62" s="25">
        <f>IF(A62="","",COUNTIFS(Relationships!$B$4:$B$1003,"AIR",Relationships!$C$4:$C$1003,A62,Relationships!$E$4:$E$1003,"TOOL",Relationships!$M$4:$M$1003,"Confirmed",Relationships!$N$4:$N$1003,"OK — verify source"))</f>
        <v/>
      </c>
      <c r="K62" s="25">
        <f>IF(A62="","",COUNTIFS(Relationships!$G$4:$G$1003,A62,Relationships!$M$4:$M$1003,"Proposed"))</f>
        <v/>
      </c>
      <c r="L62" s="25">
        <f>IF(A62="","",COUNTIFS(Relationships!$G$4:$G$1003,A62,Relationships!$A$4:$A$1003,"&lt;&gt;",Relationships!$N$4:$N$1003,"&lt;&gt;OK — verify source"))</f>
        <v/>
      </c>
      <c r="M62" s="25" t="n"/>
      <c r="N62" s="25" t="n"/>
      <c r="O62" s="25">
        <f>IF(COUNTA(A62:D62,M62:N62)=0,"",IF(A62="","AIR-ID missing",IF(COUNTIF($A$4:$A$203,A62)&gt;1,"Duplicate AIR-ID",IF(OR(B62="",C62="",D62=""),"Label / source / reconciled-on missing",IF(NOT(ISNUMBER(D62)),"Reconciled-on is not a date","OK — verify source")))))</f>
        <v/>
      </c>
    </row>
    <row r="63">
      <c r="A63" s="27" t="n"/>
      <c r="B63" s="27" t="n"/>
      <c r="C63" s="27" t="n"/>
      <c r="D63" s="28" t="n"/>
      <c r="E63" s="27">
        <f>IF(A63="","",COUNTIFS(Relationships!$B$4:$B$1003,"CAP",Relationships!$E$4:$E$1003,"AIR",Relationships!$F$4:$F$1003,A63,Relationships!$M$4:$M$1003,"Confirmed",Relationships!$N$4:$N$1003,"OK — verify source"))</f>
        <v/>
      </c>
      <c r="F63" s="27">
        <f>IF(A63="","",COUNTIFS(Relationships!$B$4:$B$1003,"AIR",Relationships!$C$4:$C$1003,A63,Relationships!$E$4:$E$1003,"MOD",Relationships!$M$4:$M$1003,"Confirmed",Relationships!$N$4:$N$1003,"OK — verify source"))</f>
        <v/>
      </c>
      <c r="G63" s="27">
        <f>IF(A63="","",COUNTIFS(Relationships!$B$4:$B$1003,"AIR",Relationships!$C$4:$C$1003,A63,Relationships!$E$4:$E$1003,"DATA",Relationships!$M$4:$M$1003,"Confirmed",Relationships!$N$4:$N$1003,"OK — verify source"))</f>
        <v/>
      </c>
      <c r="H63" s="27">
        <f>IF(A63="","",COUNTIFS(Relationships!$B$4:$B$1003,"AIR",Relationships!$C$4:$C$1003,A63,Relationships!$E$4:$E$1003,"IF",Relationships!$M$4:$M$1003,"Confirmed",Relationships!$N$4:$N$1003,"OK — verify source"))</f>
        <v/>
      </c>
      <c r="I63" s="27">
        <f>IF(A63="","",COUNTIFS(Relationships!$B$4:$B$1003,"AIR",Relationships!$C$4:$C$1003,A63,Relationships!$E$4:$E$1003,"AG",Relationships!$M$4:$M$1003,"Confirmed",Relationships!$N$4:$N$1003,"OK — verify source"))</f>
        <v/>
      </c>
      <c r="J63" s="27">
        <f>IF(A63="","",COUNTIFS(Relationships!$B$4:$B$1003,"AIR",Relationships!$C$4:$C$1003,A63,Relationships!$E$4:$E$1003,"TOOL",Relationships!$M$4:$M$1003,"Confirmed",Relationships!$N$4:$N$1003,"OK — verify source"))</f>
        <v/>
      </c>
      <c r="K63" s="27">
        <f>IF(A63="","",COUNTIFS(Relationships!$G$4:$G$1003,A63,Relationships!$M$4:$M$1003,"Proposed"))</f>
        <v/>
      </c>
      <c r="L63" s="27">
        <f>IF(A63="","",COUNTIFS(Relationships!$G$4:$G$1003,A63,Relationships!$A$4:$A$1003,"&lt;&gt;",Relationships!$N$4:$N$1003,"&lt;&gt;OK — verify source"))</f>
        <v/>
      </c>
      <c r="M63" s="27" t="n"/>
      <c r="N63" s="27" t="n"/>
      <c r="O63" s="27">
        <f>IF(COUNTA(A63:D63,M63:N63)=0,"",IF(A63="","AIR-ID missing",IF(COUNTIF($A$4:$A$203,A63)&gt;1,"Duplicate AIR-ID",IF(OR(B63="",C63="",D63=""),"Label / source / reconciled-on missing",IF(NOT(ISNUMBER(D63)),"Reconciled-on is not a date","OK — verify source")))))</f>
        <v/>
      </c>
    </row>
    <row r="64">
      <c r="A64" s="25" t="n"/>
      <c r="B64" s="25" t="n"/>
      <c r="C64" s="25" t="n"/>
      <c r="D64" s="26" t="n"/>
      <c r="E64" s="25">
        <f>IF(A64="","",COUNTIFS(Relationships!$B$4:$B$1003,"CAP",Relationships!$E$4:$E$1003,"AIR",Relationships!$F$4:$F$1003,A64,Relationships!$M$4:$M$1003,"Confirmed",Relationships!$N$4:$N$1003,"OK — verify source"))</f>
        <v/>
      </c>
      <c r="F64" s="25">
        <f>IF(A64="","",COUNTIFS(Relationships!$B$4:$B$1003,"AIR",Relationships!$C$4:$C$1003,A64,Relationships!$E$4:$E$1003,"MOD",Relationships!$M$4:$M$1003,"Confirmed",Relationships!$N$4:$N$1003,"OK — verify source"))</f>
        <v/>
      </c>
      <c r="G64" s="25">
        <f>IF(A64="","",COUNTIFS(Relationships!$B$4:$B$1003,"AIR",Relationships!$C$4:$C$1003,A64,Relationships!$E$4:$E$1003,"DATA",Relationships!$M$4:$M$1003,"Confirmed",Relationships!$N$4:$N$1003,"OK — verify source"))</f>
        <v/>
      </c>
      <c r="H64" s="25">
        <f>IF(A64="","",COUNTIFS(Relationships!$B$4:$B$1003,"AIR",Relationships!$C$4:$C$1003,A64,Relationships!$E$4:$E$1003,"IF",Relationships!$M$4:$M$1003,"Confirmed",Relationships!$N$4:$N$1003,"OK — verify source"))</f>
        <v/>
      </c>
      <c r="I64" s="25">
        <f>IF(A64="","",COUNTIFS(Relationships!$B$4:$B$1003,"AIR",Relationships!$C$4:$C$1003,A64,Relationships!$E$4:$E$1003,"AG",Relationships!$M$4:$M$1003,"Confirmed",Relationships!$N$4:$N$1003,"OK — verify source"))</f>
        <v/>
      </c>
      <c r="J64" s="25">
        <f>IF(A64="","",COUNTIFS(Relationships!$B$4:$B$1003,"AIR",Relationships!$C$4:$C$1003,A64,Relationships!$E$4:$E$1003,"TOOL",Relationships!$M$4:$M$1003,"Confirmed",Relationships!$N$4:$N$1003,"OK — verify source"))</f>
        <v/>
      </c>
      <c r="K64" s="25">
        <f>IF(A64="","",COUNTIFS(Relationships!$G$4:$G$1003,A64,Relationships!$M$4:$M$1003,"Proposed"))</f>
        <v/>
      </c>
      <c r="L64" s="25">
        <f>IF(A64="","",COUNTIFS(Relationships!$G$4:$G$1003,A64,Relationships!$A$4:$A$1003,"&lt;&gt;",Relationships!$N$4:$N$1003,"&lt;&gt;OK — verify source"))</f>
        <v/>
      </c>
      <c r="M64" s="25" t="n"/>
      <c r="N64" s="25" t="n"/>
      <c r="O64" s="25">
        <f>IF(COUNTA(A64:D64,M64:N64)=0,"",IF(A64="","AIR-ID missing",IF(COUNTIF($A$4:$A$203,A64)&gt;1,"Duplicate AIR-ID",IF(OR(B64="",C64="",D64=""),"Label / source / reconciled-on missing",IF(NOT(ISNUMBER(D64)),"Reconciled-on is not a date","OK — verify source")))))</f>
        <v/>
      </c>
    </row>
    <row r="65">
      <c r="A65" s="27" t="n"/>
      <c r="B65" s="27" t="n"/>
      <c r="C65" s="27" t="n"/>
      <c r="D65" s="28" t="n"/>
      <c r="E65" s="27">
        <f>IF(A65="","",COUNTIFS(Relationships!$B$4:$B$1003,"CAP",Relationships!$E$4:$E$1003,"AIR",Relationships!$F$4:$F$1003,A65,Relationships!$M$4:$M$1003,"Confirmed",Relationships!$N$4:$N$1003,"OK — verify source"))</f>
        <v/>
      </c>
      <c r="F65" s="27">
        <f>IF(A65="","",COUNTIFS(Relationships!$B$4:$B$1003,"AIR",Relationships!$C$4:$C$1003,A65,Relationships!$E$4:$E$1003,"MOD",Relationships!$M$4:$M$1003,"Confirmed",Relationships!$N$4:$N$1003,"OK — verify source"))</f>
        <v/>
      </c>
      <c r="G65" s="27">
        <f>IF(A65="","",COUNTIFS(Relationships!$B$4:$B$1003,"AIR",Relationships!$C$4:$C$1003,A65,Relationships!$E$4:$E$1003,"DATA",Relationships!$M$4:$M$1003,"Confirmed",Relationships!$N$4:$N$1003,"OK — verify source"))</f>
        <v/>
      </c>
      <c r="H65" s="27">
        <f>IF(A65="","",COUNTIFS(Relationships!$B$4:$B$1003,"AIR",Relationships!$C$4:$C$1003,A65,Relationships!$E$4:$E$1003,"IF",Relationships!$M$4:$M$1003,"Confirmed",Relationships!$N$4:$N$1003,"OK — verify source"))</f>
        <v/>
      </c>
      <c r="I65" s="27">
        <f>IF(A65="","",COUNTIFS(Relationships!$B$4:$B$1003,"AIR",Relationships!$C$4:$C$1003,A65,Relationships!$E$4:$E$1003,"AG",Relationships!$M$4:$M$1003,"Confirmed",Relationships!$N$4:$N$1003,"OK — verify source"))</f>
        <v/>
      </c>
      <c r="J65" s="27">
        <f>IF(A65="","",COUNTIFS(Relationships!$B$4:$B$1003,"AIR",Relationships!$C$4:$C$1003,A65,Relationships!$E$4:$E$1003,"TOOL",Relationships!$M$4:$M$1003,"Confirmed",Relationships!$N$4:$N$1003,"OK — verify source"))</f>
        <v/>
      </c>
      <c r="K65" s="27">
        <f>IF(A65="","",COUNTIFS(Relationships!$G$4:$G$1003,A65,Relationships!$M$4:$M$1003,"Proposed"))</f>
        <v/>
      </c>
      <c r="L65" s="27">
        <f>IF(A65="","",COUNTIFS(Relationships!$G$4:$G$1003,A65,Relationships!$A$4:$A$1003,"&lt;&gt;",Relationships!$N$4:$N$1003,"&lt;&gt;OK — verify source"))</f>
        <v/>
      </c>
      <c r="M65" s="27" t="n"/>
      <c r="N65" s="27" t="n"/>
      <c r="O65" s="27">
        <f>IF(COUNTA(A65:D65,M65:N65)=0,"",IF(A65="","AIR-ID missing",IF(COUNTIF($A$4:$A$203,A65)&gt;1,"Duplicate AIR-ID",IF(OR(B65="",C65="",D65=""),"Label / source / reconciled-on missing",IF(NOT(ISNUMBER(D65)),"Reconciled-on is not a date","OK — verify source")))))</f>
        <v/>
      </c>
    </row>
    <row r="66">
      <c r="A66" s="25" t="n"/>
      <c r="B66" s="25" t="n"/>
      <c r="C66" s="25" t="n"/>
      <c r="D66" s="26" t="n"/>
      <c r="E66" s="25">
        <f>IF(A66="","",COUNTIFS(Relationships!$B$4:$B$1003,"CAP",Relationships!$E$4:$E$1003,"AIR",Relationships!$F$4:$F$1003,A66,Relationships!$M$4:$M$1003,"Confirmed",Relationships!$N$4:$N$1003,"OK — verify source"))</f>
        <v/>
      </c>
      <c r="F66" s="25">
        <f>IF(A66="","",COUNTIFS(Relationships!$B$4:$B$1003,"AIR",Relationships!$C$4:$C$1003,A66,Relationships!$E$4:$E$1003,"MOD",Relationships!$M$4:$M$1003,"Confirmed",Relationships!$N$4:$N$1003,"OK — verify source"))</f>
        <v/>
      </c>
      <c r="G66" s="25">
        <f>IF(A66="","",COUNTIFS(Relationships!$B$4:$B$1003,"AIR",Relationships!$C$4:$C$1003,A66,Relationships!$E$4:$E$1003,"DATA",Relationships!$M$4:$M$1003,"Confirmed",Relationships!$N$4:$N$1003,"OK — verify source"))</f>
        <v/>
      </c>
      <c r="H66" s="25">
        <f>IF(A66="","",COUNTIFS(Relationships!$B$4:$B$1003,"AIR",Relationships!$C$4:$C$1003,A66,Relationships!$E$4:$E$1003,"IF",Relationships!$M$4:$M$1003,"Confirmed",Relationships!$N$4:$N$1003,"OK — verify source"))</f>
        <v/>
      </c>
      <c r="I66" s="25">
        <f>IF(A66="","",COUNTIFS(Relationships!$B$4:$B$1003,"AIR",Relationships!$C$4:$C$1003,A66,Relationships!$E$4:$E$1003,"AG",Relationships!$M$4:$M$1003,"Confirmed",Relationships!$N$4:$N$1003,"OK — verify source"))</f>
        <v/>
      </c>
      <c r="J66" s="25">
        <f>IF(A66="","",COUNTIFS(Relationships!$B$4:$B$1003,"AIR",Relationships!$C$4:$C$1003,A66,Relationships!$E$4:$E$1003,"TOOL",Relationships!$M$4:$M$1003,"Confirmed",Relationships!$N$4:$N$1003,"OK — verify source"))</f>
        <v/>
      </c>
      <c r="K66" s="25">
        <f>IF(A66="","",COUNTIFS(Relationships!$G$4:$G$1003,A66,Relationships!$M$4:$M$1003,"Proposed"))</f>
        <v/>
      </c>
      <c r="L66" s="25">
        <f>IF(A66="","",COUNTIFS(Relationships!$G$4:$G$1003,A66,Relationships!$A$4:$A$1003,"&lt;&gt;",Relationships!$N$4:$N$1003,"&lt;&gt;OK — verify source"))</f>
        <v/>
      </c>
      <c r="M66" s="25" t="n"/>
      <c r="N66" s="25" t="n"/>
      <c r="O66" s="25">
        <f>IF(COUNTA(A66:D66,M66:N66)=0,"",IF(A66="","AIR-ID missing",IF(COUNTIF($A$4:$A$203,A66)&gt;1,"Duplicate AIR-ID",IF(OR(B66="",C66="",D66=""),"Label / source / reconciled-on missing",IF(NOT(ISNUMBER(D66)),"Reconciled-on is not a date","OK — verify source")))))</f>
        <v/>
      </c>
    </row>
    <row r="67">
      <c r="A67" s="27" t="n"/>
      <c r="B67" s="27" t="n"/>
      <c r="C67" s="27" t="n"/>
      <c r="D67" s="28" t="n"/>
      <c r="E67" s="27">
        <f>IF(A67="","",COUNTIFS(Relationships!$B$4:$B$1003,"CAP",Relationships!$E$4:$E$1003,"AIR",Relationships!$F$4:$F$1003,A67,Relationships!$M$4:$M$1003,"Confirmed",Relationships!$N$4:$N$1003,"OK — verify source"))</f>
        <v/>
      </c>
      <c r="F67" s="27">
        <f>IF(A67="","",COUNTIFS(Relationships!$B$4:$B$1003,"AIR",Relationships!$C$4:$C$1003,A67,Relationships!$E$4:$E$1003,"MOD",Relationships!$M$4:$M$1003,"Confirmed",Relationships!$N$4:$N$1003,"OK — verify source"))</f>
        <v/>
      </c>
      <c r="G67" s="27">
        <f>IF(A67="","",COUNTIFS(Relationships!$B$4:$B$1003,"AIR",Relationships!$C$4:$C$1003,A67,Relationships!$E$4:$E$1003,"DATA",Relationships!$M$4:$M$1003,"Confirmed",Relationships!$N$4:$N$1003,"OK — verify source"))</f>
        <v/>
      </c>
      <c r="H67" s="27">
        <f>IF(A67="","",COUNTIFS(Relationships!$B$4:$B$1003,"AIR",Relationships!$C$4:$C$1003,A67,Relationships!$E$4:$E$1003,"IF",Relationships!$M$4:$M$1003,"Confirmed",Relationships!$N$4:$N$1003,"OK — verify source"))</f>
        <v/>
      </c>
      <c r="I67" s="27">
        <f>IF(A67="","",COUNTIFS(Relationships!$B$4:$B$1003,"AIR",Relationships!$C$4:$C$1003,A67,Relationships!$E$4:$E$1003,"AG",Relationships!$M$4:$M$1003,"Confirmed",Relationships!$N$4:$N$1003,"OK — verify source"))</f>
        <v/>
      </c>
      <c r="J67" s="27">
        <f>IF(A67="","",COUNTIFS(Relationships!$B$4:$B$1003,"AIR",Relationships!$C$4:$C$1003,A67,Relationships!$E$4:$E$1003,"TOOL",Relationships!$M$4:$M$1003,"Confirmed",Relationships!$N$4:$N$1003,"OK — verify source"))</f>
        <v/>
      </c>
      <c r="K67" s="27">
        <f>IF(A67="","",COUNTIFS(Relationships!$G$4:$G$1003,A67,Relationships!$M$4:$M$1003,"Proposed"))</f>
        <v/>
      </c>
      <c r="L67" s="27">
        <f>IF(A67="","",COUNTIFS(Relationships!$G$4:$G$1003,A67,Relationships!$A$4:$A$1003,"&lt;&gt;",Relationships!$N$4:$N$1003,"&lt;&gt;OK — verify source"))</f>
        <v/>
      </c>
      <c r="M67" s="27" t="n"/>
      <c r="N67" s="27" t="n"/>
      <c r="O67" s="27">
        <f>IF(COUNTA(A67:D67,M67:N67)=0,"",IF(A67="","AIR-ID missing",IF(COUNTIF($A$4:$A$203,A67)&gt;1,"Duplicate AIR-ID",IF(OR(B67="",C67="",D67=""),"Label / source / reconciled-on missing",IF(NOT(ISNUMBER(D67)),"Reconciled-on is not a date","OK — verify source")))))</f>
        <v/>
      </c>
    </row>
    <row r="68">
      <c r="A68" s="25" t="n"/>
      <c r="B68" s="25" t="n"/>
      <c r="C68" s="25" t="n"/>
      <c r="D68" s="26" t="n"/>
      <c r="E68" s="25">
        <f>IF(A68="","",COUNTIFS(Relationships!$B$4:$B$1003,"CAP",Relationships!$E$4:$E$1003,"AIR",Relationships!$F$4:$F$1003,A68,Relationships!$M$4:$M$1003,"Confirmed",Relationships!$N$4:$N$1003,"OK — verify source"))</f>
        <v/>
      </c>
      <c r="F68" s="25">
        <f>IF(A68="","",COUNTIFS(Relationships!$B$4:$B$1003,"AIR",Relationships!$C$4:$C$1003,A68,Relationships!$E$4:$E$1003,"MOD",Relationships!$M$4:$M$1003,"Confirmed",Relationships!$N$4:$N$1003,"OK — verify source"))</f>
        <v/>
      </c>
      <c r="G68" s="25">
        <f>IF(A68="","",COUNTIFS(Relationships!$B$4:$B$1003,"AIR",Relationships!$C$4:$C$1003,A68,Relationships!$E$4:$E$1003,"DATA",Relationships!$M$4:$M$1003,"Confirmed",Relationships!$N$4:$N$1003,"OK — verify source"))</f>
        <v/>
      </c>
      <c r="H68" s="25">
        <f>IF(A68="","",COUNTIFS(Relationships!$B$4:$B$1003,"AIR",Relationships!$C$4:$C$1003,A68,Relationships!$E$4:$E$1003,"IF",Relationships!$M$4:$M$1003,"Confirmed",Relationships!$N$4:$N$1003,"OK — verify source"))</f>
        <v/>
      </c>
      <c r="I68" s="25">
        <f>IF(A68="","",COUNTIFS(Relationships!$B$4:$B$1003,"AIR",Relationships!$C$4:$C$1003,A68,Relationships!$E$4:$E$1003,"AG",Relationships!$M$4:$M$1003,"Confirmed",Relationships!$N$4:$N$1003,"OK — verify source"))</f>
        <v/>
      </c>
      <c r="J68" s="25">
        <f>IF(A68="","",COUNTIFS(Relationships!$B$4:$B$1003,"AIR",Relationships!$C$4:$C$1003,A68,Relationships!$E$4:$E$1003,"TOOL",Relationships!$M$4:$M$1003,"Confirmed",Relationships!$N$4:$N$1003,"OK — verify source"))</f>
        <v/>
      </c>
      <c r="K68" s="25">
        <f>IF(A68="","",COUNTIFS(Relationships!$G$4:$G$1003,A68,Relationships!$M$4:$M$1003,"Proposed"))</f>
        <v/>
      </c>
      <c r="L68" s="25">
        <f>IF(A68="","",COUNTIFS(Relationships!$G$4:$G$1003,A68,Relationships!$A$4:$A$1003,"&lt;&gt;",Relationships!$N$4:$N$1003,"&lt;&gt;OK — verify source"))</f>
        <v/>
      </c>
      <c r="M68" s="25" t="n"/>
      <c r="N68" s="25" t="n"/>
      <c r="O68" s="25">
        <f>IF(COUNTA(A68:D68,M68:N68)=0,"",IF(A68="","AIR-ID missing",IF(COUNTIF($A$4:$A$203,A68)&gt;1,"Duplicate AIR-ID",IF(OR(B68="",C68="",D68=""),"Label / source / reconciled-on missing",IF(NOT(ISNUMBER(D68)),"Reconciled-on is not a date","OK — verify source")))))</f>
        <v/>
      </c>
    </row>
    <row r="69">
      <c r="A69" s="27" t="n"/>
      <c r="B69" s="27" t="n"/>
      <c r="C69" s="27" t="n"/>
      <c r="D69" s="28" t="n"/>
      <c r="E69" s="27">
        <f>IF(A69="","",COUNTIFS(Relationships!$B$4:$B$1003,"CAP",Relationships!$E$4:$E$1003,"AIR",Relationships!$F$4:$F$1003,A69,Relationships!$M$4:$M$1003,"Confirmed",Relationships!$N$4:$N$1003,"OK — verify source"))</f>
        <v/>
      </c>
      <c r="F69" s="27">
        <f>IF(A69="","",COUNTIFS(Relationships!$B$4:$B$1003,"AIR",Relationships!$C$4:$C$1003,A69,Relationships!$E$4:$E$1003,"MOD",Relationships!$M$4:$M$1003,"Confirmed",Relationships!$N$4:$N$1003,"OK — verify source"))</f>
        <v/>
      </c>
      <c r="G69" s="27">
        <f>IF(A69="","",COUNTIFS(Relationships!$B$4:$B$1003,"AIR",Relationships!$C$4:$C$1003,A69,Relationships!$E$4:$E$1003,"DATA",Relationships!$M$4:$M$1003,"Confirmed",Relationships!$N$4:$N$1003,"OK — verify source"))</f>
        <v/>
      </c>
      <c r="H69" s="27">
        <f>IF(A69="","",COUNTIFS(Relationships!$B$4:$B$1003,"AIR",Relationships!$C$4:$C$1003,A69,Relationships!$E$4:$E$1003,"IF",Relationships!$M$4:$M$1003,"Confirmed",Relationships!$N$4:$N$1003,"OK — verify source"))</f>
        <v/>
      </c>
      <c r="I69" s="27">
        <f>IF(A69="","",COUNTIFS(Relationships!$B$4:$B$1003,"AIR",Relationships!$C$4:$C$1003,A69,Relationships!$E$4:$E$1003,"AG",Relationships!$M$4:$M$1003,"Confirmed",Relationships!$N$4:$N$1003,"OK — verify source"))</f>
        <v/>
      </c>
      <c r="J69" s="27">
        <f>IF(A69="","",COUNTIFS(Relationships!$B$4:$B$1003,"AIR",Relationships!$C$4:$C$1003,A69,Relationships!$E$4:$E$1003,"TOOL",Relationships!$M$4:$M$1003,"Confirmed",Relationships!$N$4:$N$1003,"OK — verify source"))</f>
        <v/>
      </c>
      <c r="K69" s="27">
        <f>IF(A69="","",COUNTIFS(Relationships!$G$4:$G$1003,A69,Relationships!$M$4:$M$1003,"Proposed"))</f>
        <v/>
      </c>
      <c r="L69" s="27">
        <f>IF(A69="","",COUNTIFS(Relationships!$G$4:$G$1003,A69,Relationships!$A$4:$A$1003,"&lt;&gt;",Relationships!$N$4:$N$1003,"&lt;&gt;OK — verify source"))</f>
        <v/>
      </c>
      <c r="M69" s="27" t="n"/>
      <c r="N69" s="27" t="n"/>
      <c r="O69" s="27">
        <f>IF(COUNTA(A69:D69,M69:N69)=0,"",IF(A69="","AIR-ID missing",IF(COUNTIF($A$4:$A$203,A69)&gt;1,"Duplicate AIR-ID",IF(OR(B69="",C69="",D69=""),"Label / source / reconciled-on missing",IF(NOT(ISNUMBER(D69)),"Reconciled-on is not a date","OK — verify source")))))</f>
        <v/>
      </c>
    </row>
    <row r="70">
      <c r="A70" s="25" t="n"/>
      <c r="B70" s="25" t="n"/>
      <c r="C70" s="25" t="n"/>
      <c r="D70" s="26" t="n"/>
      <c r="E70" s="25">
        <f>IF(A70="","",COUNTIFS(Relationships!$B$4:$B$1003,"CAP",Relationships!$E$4:$E$1003,"AIR",Relationships!$F$4:$F$1003,A70,Relationships!$M$4:$M$1003,"Confirmed",Relationships!$N$4:$N$1003,"OK — verify source"))</f>
        <v/>
      </c>
      <c r="F70" s="25">
        <f>IF(A70="","",COUNTIFS(Relationships!$B$4:$B$1003,"AIR",Relationships!$C$4:$C$1003,A70,Relationships!$E$4:$E$1003,"MOD",Relationships!$M$4:$M$1003,"Confirmed",Relationships!$N$4:$N$1003,"OK — verify source"))</f>
        <v/>
      </c>
      <c r="G70" s="25">
        <f>IF(A70="","",COUNTIFS(Relationships!$B$4:$B$1003,"AIR",Relationships!$C$4:$C$1003,A70,Relationships!$E$4:$E$1003,"DATA",Relationships!$M$4:$M$1003,"Confirmed",Relationships!$N$4:$N$1003,"OK — verify source"))</f>
        <v/>
      </c>
      <c r="H70" s="25">
        <f>IF(A70="","",COUNTIFS(Relationships!$B$4:$B$1003,"AIR",Relationships!$C$4:$C$1003,A70,Relationships!$E$4:$E$1003,"IF",Relationships!$M$4:$M$1003,"Confirmed",Relationships!$N$4:$N$1003,"OK — verify source"))</f>
        <v/>
      </c>
      <c r="I70" s="25">
        <f>IF(A70="","",COUNTIFS(Relationships!$B$4:$B$1003,"AIR",Relationships!$C$4:$C$1003,A70,Relationships!$E$4:$E$1003,"AG",Relationships!$M$4:$M$1003,"Confirmed",Relationships!$N$4:$N$1003,"OK — verify source"))</f>
        <v/>
      </c>
      <c r="J70" s="25">
        <f>IF(A70="","",COUNTIFS(Relationships!$B$4:$B$1003,"AIR",Relationships!$C$4:$C$1003,A70,Relationships!$E$4:$E$1003,"TOOL",Relationships!$M$4:$M$1003,"Confirmed",Relationships!$N$4:$N$1003,"OK — verify source"))</f>
        <v/>
      </c>
      <c r="K70" s="25">
        <f>IF(A70="","",COUNTIFS(Relationships!$G$4:$G$1003,A70,Relationships!$M$4:$M$1003,"Proposed"))</f>
        <v/>
      </c>
      <c r="L70" s="25">
        <f>IF(A70="","",COUNTIFS(Relationships!$G$4:$G$1003,A70,Relationships!$A$4:$A$1003,"&lt;&gt;",Relationships!$N$4:$N$1003,"&lt;&gt;OK — verify source"))</f>
        <v/>
      </c>
      <c r="M70" s="25" t="n"/>
      <c r="N70" s="25" t="n"/>
      <c r="O70" s="25">
        <f>IF(COUNTA(A70:D70,M70:N70)=0,"",IF(A70="","AIR-ID missing",IF(COUNTIF($A$4:$A$203,A70)&gt;1,"Duplicate AIR-ID",IF(OR(B70="",C70="",D70=""),"Label / source / reconciled-on missing",IF(NOT(ISNUMBER(D70)),"Reconciled-on is not a date","OK — verify source")))))</f>
        <v/>
      </c>
    </row>
    <row r="71">
      <c r="A71" s="27" t="n"/>
      <c r="B71" s="27" t="n"/>
      <c r="C71" s="27" t="n"/>
      <c r="D71" s="28" t="n"/>
      <c r="E71" s="27">
        <f>IF(A71="","",COUNTIFS(Relationships!$B$4:$B$1003,"CAP",Relationships!$E$4:$E$1003,"AIR",Relationships!$F$4:$F$1003,A71,Relationships!$M$4:$M$1003,"Confirmed",Relationships!$N$4:$N$1003,"OK — verify source"))</f>
        <v/>
      </c>
      <c r="F71" s="27">
        <f>IF(A71="","",COUNTIFS(Relationships!$B$4:$B$1003,"AIR",Relationships!$C$4:$C$1003,A71,Relationships!$E$4:$E$1003,"MOD",Relationships!$M$4:$M$1003,"Confirmed",Relationships!$N$4:$N$1003,"OK — verify source"))</f>
        <v/>
      </c>
      <c r="G71" s="27">
        <f>IF(A71="","",COUNTIFS(Relationships!$B$4:$B$1003,"AIR",Relationships!$C$4:$C$1003,A71,Relationships!$E$4:$E$1003,"DATA",Relationships!$M$4:$M$1003,"Confirmed",Relationships!$N$4:$N$1003,"OK — verify source"))</f>
        <v/>
      </c>
      <c r="H71" s="27">
        <f>IF(A71="","",COUNTIFS(Relationships!$B$4:$B$1003,"AIR",Relationships!$C$4:$C$1003,A71,Relationships!$E$4:$E$1003,"IF",Relationships!$M$4:$M$1003,"Confirmed",Relationships!$N$4:$N$1003,"OK — verify source"))</f>
        <v/>
      </c>
      <c r="I71" s="27">
        <f>IF(A71="","",COUNTIFS(Relationships!$B$4:$B$1003,"AIR",Relationships!$C$4:$C$1003,A71,Relationships!$E$4:$E$1003,"AG",Relationships!$M$4:$M$1003,"Confirmed",Relationships!$N$4:$N$1003,"OK — verify source"))</f>
        <v/>
      </c>
      <c r="J71" s="27">
        <f>IF(A71="","",COUNTIFS(Relationships!$B$4:$B$1003,"AIR",Relationships!$C$4:$C$1003,A71,Relationships!$E$4:$E$1003,"TOOL",Relationships!$M$4:$M$1003,"Confirmed",Relationships!$N$4:$N$1003,"OK — verify source"))</f>
        <v/>
      </c>
      <c r="K71" s="27">
        <f>IF(A71="","",COUNTIFS(Relationships!$G$4:$G$1003,A71,Relationships!$M$4:$M$1003,"Proposed"))</f>
        <v/>
      </c>
      <c r="L71" s="27">
        <f>IF(A71="","",COUNTIFS(Relationships!$G$4:$G$1003,A71,Relationships!$A$4:$A$1003,"&lt;&gt;",Relationships!$N$4:$N$1003,"&lt;&gt;OK — verify source"))</f>
        <v/>
      </c>
      <c r="M71" s="27" t="n"/>
      <c r="N71" s="27" t="n"/>
      <c r="O71" s="27">
        <f>IF(COUNTA(A71:D71,M71:N71)=0,"",IF(A71="","AIR-ID missing",IF(COUNTIF($A$4:$A$203,A71)&gt;1,"Duplicate AIR-ID",IF(OR(B71="",C71="",D71=""),"Label / source / reconciled-on missing",IF(NOT(ISNUMBER(D71)),"Reconciled-on is not a date","OK — verify source")))))</f>
        <v/>
      </c>
    </row>
    <row r="72">
      <c r="A72" s="25" t="n"/>
      <c r="B72" s="25" t="n"/>
      <c r="C72" s="25" t="n"/>
      <c r="D72" s="26" t="n"/>
      <c r="E72" s="25">
        <f>IF(A72="","",COUNTIFS(Relationships!$B$4:$B$1003,"CAP",Relationships!$E$4:$E$1003,"AIR",Relationships!$F$4:$F$1003,A72,Relationships!$M$4:$M$1003,"Confirmed",Relationships!$N$4:$N$1003,"OK — verify source"))</f>
        <v/>
      </c>
      <c r="F72" s="25">
        <f>IF(A72="","",COUNTIFS(Relationships!$B$4:$B$1003,"AIR",Relationships!$C$4:$C$1003,A72,Relationships!$E$4:$E$1003,"MOD",Relationships!$M$4:$M$1003,"Confirmed",Relationships!$N$4:$N$1003,"OK — verify source"))</f>
        <v/>
      </c>
      <c r="G72" s="25">
        <f>IF(A72="","",COUNTIFS(Relationships!$B$4:$B$1003,"AIR",Relationships!$C$4:$C$1003,A72,Relationships!$E$4:$E$1003,"DATA",Relationships!$M$4:$M$1003,"Confirmed",Relationships!$N$4:$N$1003,"OK — verify source"))</f>
        <v/>
      </c>
      <c r="H72" s="25">
        <f>IF(A72="","",COUNTIFS(Relationships!$B$4:$B$1003,"AIR",Relationships!$C$4:$C$1003,A72,Relationships!$E$4:$E$1003,"IF",Relationships!$M$4:$M$1003,"Confirmed",Relationships!$N$4:$N$1003,"OK — verify source"))</f>
        <v/>
      </c>
      <c r="I72" s="25">
        <f>IF(A72="","",COUNTIFS(Relationships!$B$4:$B$1003,"AIR",Relationships!$C$4:$C$1003,A72,Relationships!$E$4:$E$1003,"AG",Relationships!$M$4:$M$1003,"Confirmed",Relationships!$N$4:$N$1003,"OK — verify source"))</f>
        <v/>
      </c>
      <c r="J72" s="25">
        <f>IF(A72="","",COUNTIFS(Relationships!$B$4:$B$1003,"AIR",Relationships!$C$4:$C$1003,A72,Relationships!$E$4:$E$1003,"TOOL",Relationships!$M$4:$M$1003,"Confirmed",Relationships!$N$4:$N$1003,"OK — verify source"))</f>
        <v/>
      </c>
      <c r="K72" s="25">
        <f>IF(A72="","",COUNTIFS(Relationships!$G$4:$G$1003,A72,Relationships!$M$4:$M$1003,"Proposed"))</f>
        <v/>
      </c>
      <c r="L72" s="25">
        <f>IF(A72="","",COUNTIFS(Relationships!$G$4:$G$1003,A72,Relationships!$A$4:$A$1003,"&lt;&gt;",Relationships!$N$4:$N$1003,"&lt;&gt;OK — verify source"))</f>
        <v/>
      </c>
      <c r="M72" s="25" t="n"/>
      <c r="N72" s="25" t="n"/>
      <c r="O72" s="25">
        <f>IF(COUNTA(A72:D72,M72:N72)=0,"",IF(A72="","AIR-ID missing",IF(COUNTIF($A$4:$A$203,A72)&gt;1,"Duplicate AIR-ID",IF(OR(B72="",C72="",D72=""),"Label / source / reconciled-on missing",IF(NOT(ISNUMBER(D72)),"Reconciled-on is not a date","OK — verify source")))))</f>
        <v/>
      </c>
    </row>
    <row r="73">
      <c r="A73" s="27" t="n"/>
      <c r="B73" s="27" t="n"/>
      <c r="C73" s="27" t="n"/>
      <c r="D73" s="28" t="n"/>
      <c r="E73" s="27">
        <f>IF(A73="","",COUNTIFS(Relationships!$B$4:$B$1003,"CAP",Relationships!$E$4:$E$1003,"AIR",Relationships!$F$4:$F$1003,A73,Relationships!$M$4:$M$1003,"Confirmed",Relationships!$N$4:$N$1003,"OK — verify source"))</f>
        <v/>
      </c>
      <c r="F73" s="27">
        <f>IF(A73="","",COUNTIFS(Relationships!$B$4:$B$1003,"AIR",Relationships!$C$4:$C$1003,A73,Relationships!$E$4:$E$1003,"MOD",Relationships!$M$4:$M$1003,"Confirmed",Relationships!$N$4:$N$1003,"OK — verify source"))</f>
        <v/>
      </c>
      <c r="G73" s="27">
        <f>IF(A73="","",COUNTIFS(Relationships!$B$4:$B$1003,"AIR",Relationships!$C$4:$C$1003,A73,Relationships!$E$4:$E$1003,"DATA",Relationships!$M$4:$M$1003,"Confirmed",Relationships!$N$4:$N$1003,"OK — verify source"))</f>
        <v/>
      </c>
      <c r="H73" s="27">
        <f>IF(A73="","",COUNTIFS(Relationships!$B$4:$B$1003,"AIR",Relationships!$C$4:$C$1003,A73,Relationships!$E$4:$E$1003,"IF",Relationships!$M$4:$M$1003,"Confirmed",Relationships!$N$4:$N$1003,"OK — verify source"))</f>
        <v/>
      </c>
      <c r="I73" s="27">
        <f>IF(A73="","",COUNTIFS(Relationships!$B$4:$B$1003,"AIR",Relationships!$C$4:$C$1003,A73,Relationships!$E$4:$E$1003,"AG",Relationships!$M$4:$M$1003,"Confirmed",Relationships!$N$4:$N$1003,"OK — verify source"))</f>
        <v/>
      </c>
      <c r="J73" s="27">
        <f>IF(A73="","",COUNTIFS(Relationships!$B$4:$B$1003,"AIR",Relationships!$C$4:$C$1003,A73,Relationships!$E$4:$E$1003,"TOOL",Relationships!$M$4:$M$1003,"Confirmed",Relationships!$N$4:$N$1003,"OK — verify source"))</f>
        <v/>
      </c>
      <c r="K73" s="27">
        <f>IF(A73="","",COUNTIFS(Relationships!$G$4:$G$1003,A73,Relationships!$M$4:$M$1003,"Proposed"))</f>
        <v/>
      </c>
      <c r="L73" s="27">
        <f>IF(A73="","",COUNTIFS(Relationships!$G$4:$G$1003,A73,Relationships!$A$4:$A$1003,"&lt;&gt;",Relationships!$N$4:$N$1003,"&lt;&gt;OK — verify source"))</f>
        <v/>
      </c>
      <c r="M73" s="27" t="n"/>
      <c r="N73" s="27" t="n"/>
      <c r="O73" s="27">
        <f>IF(COUNTA(A73:D73,M73:N73)=0,"",IF(A73="","AIR-ID missing",IF(COUNTIF($A$4:$A$203,A73)&gt;1,"Duplicate AIR-ID",IF(OR(B73="",C73="",D73=""),"Label / source / reconciled-on missing",IF(NOT(ISNUMBER(D73)),"Reconciled-on is not a date","OK — verify source")))))</f>
        <v/>
      </c>
    </row>
    <row r="74">
      <c r="A74" s="25" t="n"/>
      <c r="B74" s="25" t="n"/>
      <c r="C74" s="25" t="n"/>
      <c r="D74" s="26" t="n"/>
      <c r="E74" s="25">
        <f>IF(A74="","",COUNTIFS(Relationships!$B$4:$B$1003,"CAP",Relationships!$E$4:$E$1003,"AIR",Relationships!$F$4:$F$1003,A74,Relationships!$M$4:$M$1003,"Confirmed",Relationships!$N$4:$N$1003,"OK — verify source"))</f>
        <v/>
      </c>
      <c r="F74" s="25">
        <f>IF(A74="","",COUNTIFS(Relationships!$B$4:$B$1003,"AIR",Relationships!$C$4:$C$1003,A74,Relationships!$E$4:$E$1003,"MOD",Relationships!$M$4:$M$1003,"Confirmed",Relationships!$N$4:$N$1003,"OK — verify source"))</f>
        <v/>
      </c>
      <c r="G74" s="25">
        <f>IF(A74="","",COUNTIFS(Relationships!$B$4:$B$1003,"AIR",Relationships!$C$4:$C$1003,A74,Relationships!$E$4:$E$1003,"DATA",Relationships!$M$4:$M$1003,"Confirmed",Relationships!$N$4:$N$1003,"OK — verify source"))</f>
        <v/>
      </c>
      <c r="H74" s="25">
        <f>IF(A74="","",COUNTIFS(Relationships!$B$4:$B$1003,"AIR",Relationships!$C$4:$C$1003,A74,Relationships!$E$4:$E$1003,"IF",Relationships!$M$4:$M$1003,"Confirmed",Relationships!$N$4:$N$1003,"OK — verify source"))</f>
        <v/>
      </c>
      <c r="I74" s="25">
        <f>IF(A74="","",COUNTIFS(Relationships!$B$4:$B$1003,"AIR",Relationships!$C$4:$C$1003,A74,Relationships!$E$4:$E$1003,"AG",Relationships!$M$4:$M$1003,"Confirmed",Relationships!$N$4:$N$1003,"OK — verify source"))</f>
        <v/>
      </c>
      <c r="J74" s="25">
        <f>IF(A74="","",COUNTIFS(Relationships!$B$4:$B$1003,"AIR",Relationships!$C$4:$C$1003,A74,Relationships!$E$4:$E$1003,"TOOL",Relationships!$M$4:$M$1003,"Confirmed",Relationships!$N$4:$N$1003,"OK — verify source"))</f>
        <v/>
      </c>
      <c r="K74" s="25">
        <f>IF(A74="","",COUNTIFS(Relationships!$G$4:$G$1003,A74,Relationships!$M$4:$M$1003,"Proposed"))</f>
        <v/>
      </c>
      <c r="L74" s="25">
        <f>IF(A74="","",COUNTIFS(Relationships!$G$4:$G$1003,A74,Relationships!$A$4:$A$1003,"&lt;&gt;",Relationships!$N$4:$N$1003,"&lt;&gt;OK — verify source"))</f>
        <v/>
      </c>
      <c r="M74" s="25" t="n"/>
      <c r="N74" s="25" t="n"/>
      <c r="O74" s="25">
        <f>IF(COUNTA(A74:D74,M74:N74)=0,"",IF(A74="","AIR-ID missing",IF(COUNTIF($A$4:$A$203,A74)&gt;1,"Duplicate AIR-ID",IF(OR(B74="",C74="",D74=""),"Label / source / reconciled-on missing",IF(NOT(ISNUMBER(D74)),"Reconciled-on is not a date","OK — verify source")))))</f>
        <v/>
      </c>
    </row>
    <row r="75">
      <c r="A75" s="27" t="n"/>
      <c r="B75" s="27" t="n"/>
      <c r="C75" s="27" t="n"/>
      <c r="D75" s="28" t="n"/>
      <c r="E75" s="27">
        <f>IF(A75="","",COUNTIFS(Relationships!$B$4:$B$1003,"CAP",Relationships!$E$4:$E$1003,"AIR",Relationships!$F$4:$F$1003,A75,Relationships!$M$4:$M$1003,"Confirmed",Relationships!$N$4:$N$1003,"OK — verify source"))</f>
        <v/>
      </c>
      <c r="F75" s="27">
        <f>IF(A75="","",COUNTIFS(Relationships!$B$4:$B$1003,"AIR",Relationships!$C$4:$C$1003,A75,Relationships!$E$4:$E$1003,"MOD",Relationships!$M$4:$M$1003,"Confirmed",Relationships!$N$4:$N$1003,"OK — verify source"))</f>
        <v/>
      </c>
      <c r="G75" s="27">
        <f>IF(A75="","",COUNTIFS(Relationships!$B$4:$B$1003,"AIR",Relationships!$C$4:$C$1003,A75,Relationships!$E$4:$E$1003,"DATA",Relationships!$M$4:$M$1003,"Confirmed",Relationships!$N$4:$N$1003,"OK — verify source"))</f>
        <v/>
      </c>
      <c r="H75" s="27">
        <f>IF(A75="","",COUNTIFS(Relationships!$B$4:$B$1003,"AIR",Relationships!$C$4:$C$1003,A75,Relationships!$E$4:$E$1003,"IF",Relationships!$M$4:$M$1003,"Confirmed",Relationships!$N$4:$N$1003,"OK — verify source"))</f>
        <v/>
      </c>
      <c r="I75" s="27">
        <f>IF(A75="","",COUNTIFS(Relationships!$B$4:$B$1003,"AIR",Relationships!$C$4:$C$1003,A75,Relationships!$E$4:$E$1003,"AG",Relationships!$M$4:$M$1003,"Confirmed",Relationships!$N$4:$N$1003,"OK — verify source"))</f>
        <v/>
      </c>
      <c r="J75" s="27">
        <f>IF(A75="","",COUNTIFS(Relationships!$B$4:$B$1003,"AIR",Relationships!$C$4:$C$1003,A75,Relationships!$E$4:$E$1003,"TOOL",Relationships!$M$4:$M$1003,"Confirmed",Relationships!$N$4:$N$1003,"OK — verify source"))</f>
        <v/>
      </c>
      <c r="K75" s="27">
        <f>IF(A75="","",COUNTIFS(Relationships!$G$4:$G$1003,A75,Relationships!$M$4:$M$1003,"Proposed"))</f>
        <v/>
      </c>
      <c r="L75" s="27">
        <f>IF(A75="","",COUNTIFS(Relationships!$G$4:$G$1003,A75,Relationships!$A$4:$A$1003,"&lt;&gt;",Relationships!$N$4:$N$1003,"&lt;&gt;OK — verify source"))</f>
        <v/>
      </c>
      <c r="M75" s="27" t="n"/>
      <c r="N75" s="27" t="n"/>
      <c r="O75" s="27">
        <f>IF(COUNTA(A75:D75,M75:N75)=0,"",IF(A75="","AIR-ID missing",IF(COUNTIF($A$4:$A$203,A75)&gt;1,"Duplicate AIR-ID",IF(OR(B75="",C75="",D75=""),"Label / source / reconciled-on missing",IF(NOT(ISNUMBER(D75)),"Reconciled-on is not a date","OK — verify source")))))</f>
        <v/>
      </c>
    </row>
    <row r="76">
      <c r="A76" s="25" t="n"/>
      <c r="B76" s="25" t="n"/>
      <c r="C76" s="25" t="n"/>
      <c r="D76" s="26" t="n"/>
      <c r="E76" s="25">
        <f>IF(A76="","",COUNTIFS(Relationships!$B$4:$B$1003,"CAP",Relationships!$E$4:$E$1003,"AIR",Relationships!$F$4:$F$1003,A76,Relationships!$M$4:$M$1003,"Confirmed",Relationships!$N$4:$N$1003,"OK — verify source"))</f>
        <v/>
      </c>
      <c r="F76" s="25">
        <f>IF(A76="","",COUNTIFS(Relationships!$B$4:$B$1003,"AIR",Relationships!$C$4:$C$1003,A76,Relationships!$E$4:$E$1003,"MOD",Relationships!$M$4:$M$1003,"Confirmed",Relationships!$N$4:$N$1003,"OK — verify source"))</f>
        <v/>
      </c>
      <c r="G76" s="25">
        <f>IF(A76="","",COUNTIFS(Relationships!$B$4:$B$1003,"AIR",Relationships!$C$4:$C$1003,A76,Relationships!$E$4:$E$1003,"DATA",Relationships!$M$4:$M$1003,"Confirmed",Relationships!$N$4:$N$1003,"OK — verify source"))</f>
        <v/>
      </c>
      <c r="H76" s="25">
        <f>IF(A76="","",COUNTIFS(Relationships!$B$4:$B$1003,"AIR",Relationships!$C$4:$C$1003,A76,Relationships!$E$4:$E$1003,"IF",Relationships!$M$4:$M$1003,"Confirmed",Relationships!$N$4:$N$1003,"OK — verify source"))</f>
        <v/>
      </c>
      <c r="I76" s="25">
        <f>IF(A76="","",COUNTIFS(Relationships!$B$4:$B$1003,"AIR",Relationships!$C$4:$C$1003,A76,Relationships!$E$4:$E$1003,"AG",Relationships!$M$4:$M$1003,"Confirmed",Relationships!$N$4:$N$1003,"OK — verify source"))</f>
        <v/>
      </c>
      <c r="J76" s="25">
        <f>IF(A76="","",COUNTIFS(Relationships!$B$4:$B$1003,"AIR",Relationships!$C$4:$C$1003,A76,Relationships!$E$4:$E$1003,"TOOL",Relationships!$M$4:$M$1003,"Confirmed",Relationships!$N$4:$N$1003,"OK — verify source"))</f>
        <v/>
      </c>
      <c r="K76" s="25">
        <f>IF(A76="","",COUNTIFS(Relationships!$G$4:$G$1003,A76,Relationships!$M$4:$M$1003,"Proposed"))</f>
        <v/>
      </c>
      <c r="L76" s="25">
        <f>IF(A76="","",COUNTIFS(Relationships!$G$4:$G$1003,A76,Relationships!$A$4:$A$1003,"&lt;&gt;",Relationships!$N$4:$N$1003,"&lt;&gt;OK — verify source"))</f>
        <v/>
      </c>
      <c r="M76" s="25" t="n"/>
      <c r="N76" s="25" t="n"/>
      <c r="O76" s="25">
        <f>IF(COUNTA(A76:D76,M76:N76)=0,"",IF(A76="","AIR-ID missing",IF(COUNTIF($A$4:$A$203,A76)&gt;1,"Duplicate AIR-ID",IF(OR(B76="",C76="",D76=""),"Label / source / reconciled-on missing",IF(NOT(ISNUMBER(D76)),"Reconciled-on is not a date","OK — verify source")))))</f>
        <v/>
      </c>
    </row>
    <row r="77">
      <c r="A77" s="27" t="n"/>
      <c r="B77" s="27" t="n"/>
      <c r="C77" s="27" t="n"/>
      <c r="D77" s="28" t="n"/>
      <c r="E77" s="27">
        <f>IF(A77="","",COUNTIFS(Relationships!$B$4:$B$1003,"CAP",Relationships!$E$4:$E$1003,"AIR",Relationships!$F$4:$F$1003,A77,Relationships!$M$4:$M$1003,"Confirmed",Relationships!$N$4:$N$1003,"OK — verify source"))</f>
        <v/>
      </c>
      <c r="F77" s="27">
        <f>IF(A77="","",COUNTIFS(Relationships!$B$4:$B$1003,"AIR",Relationships!$C$4:$C$1003,A77,Relationships!$E$4:$E$1003,"MOD",Relationships!$M$4:$M$1003,"Confirmed",Relationships!$N$4:$N$1003,"OK — verify source"))</f>
        <v/>
      </c>
      <c r="G77" s="27">
        <f>IF(A77="","",COUNTIFS(Relationships!$B$4:$B$1003,"AIR",Relationships!$C$4:$C$1003,A77,Relationships!$E$4:$E$1003,"DATA",Relationships!$M$4:$M$1003,"Confirmed",Relationships!$N$4:$N$1003,"OK — verify source"))</f>
        <v/>
      </c>
      <c r="H77" s="27">
        <f>IF(A77="","",COUNTIFS(Relationships!$B$4:$B$1003,"AIR",Relationships!$C$4:$C$1003,A77,Relationships!$E$4:$E$1003,"IF",Relationships!$M$4:$M$1003,"Confirmed",Relationships!$N$4:$N$1003,"OK — verify source"))</f>
        <v/>
      </c>
      <c r="I77" s="27">
        <f>IF(A77="","",COUNTIFS(Relationships!$B$4:$B$1003,"AIR",Relationships!$C$4:$C$1003,A77,Relationships!$E$4:$E$1003,"AG",Relationships!$M$4:$M$1003,"Confirmed",Relationships!$N$4:$N$1003,"OK — verify source"))</f>
        <v/>
      </c>
      <c r="J77" s="27">
        <f>IF(A77="","",COUNTIFS(Relationships!$B$4:$B$1003,"AIR",Relationships!$C$4:$C$1003,A77,Relationships!$E$4:$E$1003,"TOOL",Relationships!$M$4:$M$1003,"Confirmed",Relationships!$N$4:$N$1003,"OK — verify source"))</f>
        <v/>
      </c>
      <c r="K77" s="27">
        <f>IF(A77="","",COUNTIFS(Relationships!$G$4:$G$1003,A77,Relationships!$M$4:$M$1003,"Proposed"))</f>
        <v/>
      </c>
      <c r="L77" s="27">
        <f>IF(A77="","",COUNTIFS(Relationships!$G$4:$G$1003,A77,Relationships!$A$4:$A$1003,"&lt;&gt;",Relationships!$N$4:$N$1003,"&lt;&gt;OK — verify source"))</f>
        <v/>
      </c>
      <c r="M77" s="27" t="n"/>
      <c r="N77" s="27" t="n"/>
      <c r="O77" s="27">
        <f>IF(COUNTA(A77:D77,M77:N77)=0,"",IF(A77="","AIR-ID missing",IF(COUNTIF($A$4:$A$203,A77)&gt;1,"Duplicate AIR-ID",IF(OR(B77="",C77="",D77=""),"Label / source / reconciled-on missing",IF(NOT(ISNUMBER(D77)),"Reconciled-on is not a date","OK — verify source")))))</f>
        <v/>
      </c>
    </row>
    <row r="78">
      <c r="A78" s="25" t="n"/>
      <c r="B78" s="25" t="n"/>
      <c r="C78" s="25" t="n"/>
      <c r="D78" s="26" t="n"/>
      <c r="E78" s="25">
        <f>IF(A78="","",COUNTIFS(Relationships!$B$4:$B$1003,"CAP",Relationships!$E$4:$E$1003,"AIR",Relationships!$F$4:$F$1003,A78,Relationships!$M$4:$M$1003,"Confirmed",Relationships!$N$4:$N$1003,"OK — verify source"))</f>
        <v/>
      </c>
      <c r="F78" s="25">
        <f>IF(A78="","",COUNTIFS(Relationships!$B$4:$B$1003,"AIR",Relationships!$C$4:$C$1003,A78,Relationships!$E$4:$E$1003,"MOD",Relationships!$M$4:$M$1003,"Confirmed",Relationships!$N$4:$N$1003,"OK — verify source"))</f>
        <v/>
      </c>
      <c r="G78" s="25">
        <f>IF(A78="","",COUNTIFS(Relationships!$B$4:$B$1003,"AIR",Relationships!$C$4:$C$1003,A78,Relationships!$E$4:$E$1003,"DATA",Relationships!$M$4:$M$1003,"Confirmed",Relationships!$N$4:$N$1003,"OK — verify source"))</f>
        <v/>
      </c>
      <c r="H78" s="25">
        <f>IF(A78="","",COUNTIFS(Relationships!$B$4:$B$1003,"AIR",Relationships!$C$4:$C$1003,A78,Relationships!$E$4:$E$1003,"IF",Relationships!$M$4:$M$1003,"Confirmed",Relationships!$N$4:$N$1003,"OK — verify source"))</f>
        <v/>
      </c>
      <c r="I78" s="25">
        <f>IF(A78="","",COUNTIFS(Relationships!$B$4:$B$1003,"AIR",Relationships!$C$4:$C$1003,A78,Relationships!$E$4:$E$1003,"AG",Relationships!$M$4:$M$1003,"Confirmed",Relationships!$N$4:$N$1003,"OK — verify source"))</f>
        <v/>
      </c>
      <c r="J78" s="25">
        <f>IF(A78="","",COUNTIFS(Relationships!$B$4:$B$1003,"AIR",Relationships!$C$4:$C$1003,A78,Relationships!$E$4:$E$1003,"TOOL",Relationships!$M$4:$M$1003,"Confirmed",Relationships!$N$4:$N$1003,"OK — verify source"))</f>
        <v/>
      </c>
      <c r="K78" s="25">
        <f>IF(A78="","",COUNTIFS(Relationships!$G$4:$G$1003,A78,Relationships!$M$4:$M$1003,"Proposed"))</f>
        <v/>
      </c>
      <c r="L78" s="25">
        <f>IF(A78="","",COUNTIFS(Relationships!$G$4:$G$1003,A78,Relationships!$A$4:$A$1003,"&lt;&gt;",Relationships!$N$4:$N$1003,"&lt;&gt;OK — verify source"))</f>
        <v/>
      </c>
      <c r="M78" s="25" t="n"/>
      <c r="N78" s="25" t="n"/>
      <c r="O78" s="25">
        <f>IF(COUNTA(A78:D78,M78:N78)=0,"",IF(A78="","AIR-ID missing",IF(COUNTIF($A$4:$A$203,A78)&gt;1,"Duplicate AIR-ID",IF(OR(B78="",C78="",D78=""),"Label / source / reconciled-on missing",IF(NOT(ISNUMBER(D78)),"Reconciled-on is not a date","OK — verify source")))))</f>
        <v/>
      </c>
    </row>
    <row r="79">
      <c r="A79" s="27" t="n"/>
      <c r="B79" s="27" t="n"/>
      <c r="C79" s="27" t="n"/>
      <c r="D79" s="28" t="n"/>
      <c r="E79" s="27">
        <f>IF(A79="","",COUNTIFS(Relationships!$B$4:$B$1003,"CAP",Relationships!$E$4:$E$1003,"AIR",Relationships!$F$4:$F$1003,A79,Relationships!$M$4:$M$1003,"Confirmed",Relationships!$N$4:$N$1003,"OK — verify source"))</f>
        <v/>
      </c>
      <c r="F79" s="27">
        <f>IF(A79="","",COUNTIFS(Relationships!$B$4:$B$1003,"AIR",Relationships!$C$4:$C$1003,A79,Relationships!$E$4:$E$1003,"MOD",Relationships!$M$4:$M$1003,"Confirmed",Relationships!$N$4:$N$1003,"OK — verify source"))</f>
        <v/>
      </c>
      <c r="G79" s="27">
        <f>IF(A79="","",COUNTIFS(Relationships!$B$4:$B$1003,"AIR",Relationships!$C$4:$C$1003,A79,Relationships!$E$4:$E$1003,"DATA",Relationships!$M$4:$M$1003,"Confirmed",Relationships!$N$4:$N$1003,"OK — verify source"))</f>
        <v/>
      </c>
      <c r="H79" s="27">
        <f>IF(A79="","",COUNTIFS(Relationships!$B$4:$B$1003,"AIR",Relationships!$C$4:$C$1003,A79,Relationships!$E$4:$E$1003,"IF",Relationships!$M$4:$M$1003,"Confirmed",Relationships!$N$4:$N$1003,"OK — verify source"))</f>
        <v/>
      </c>
      <c r="I79" s="27">
        <f>IF(A79="","",COUNTIFS(Relationships!$B$4:$B$1003,"AIR",Relationships!$C$4:$C$1003,A79,Relationships!$E$4:$E$1003,"AG",Relationships!$M$4:$M$1003,"Confirmed",Relationships!$N$4:$N$1003,"OK — verify source"))</f>
        <v/>
      </c>
      <c r="J79" s="27">
        <f>IF(A79="","",COUNTIFS(Relationships!$B$4:$B$1003,"AIR",Relationships!$C$4:$C$1003,A79,Relationships!$E$4:$E$1003,"TOOL",Relationships!$M$4:$M$1003,"Confirmed",Relationships!$N$4:$N$1003,"OK — verify source"))</f>
        <v/>
      </c>
      <c r="K79" s="27">
        <f>IF(A79="","",COUNTIFS(Relationships!$G$4:$G$1003,A79,Relationships!$M$4:$M$1003,"Proposed"))</f>
        <v/>
      </c>
      <c r="L79" s="27">
        <f>IF(A79="","",COUNTIFS(Relationships!$G$4:$G$1003,A79,Relationships!$A$4:$A$1003,"&lt;&gt;",Relationships!$N$4:$N$1003,"&lt;&gt;OK — verify source"))</f>
        <v/>
      </c>
      <c r="M79" s="27" t="n"/>
      <c r="N79" s="27" t="n"/>
      <c r="O79" s="27">
        <f>IF(COUNTA(A79:D79,M79:N79)=0,"",IF(A79="","AIR-ID missing",IF(COUNTIF($A$4:$A$203,A79)&gt;1,"Duplicate AIR-ID",IF(OR(B79="",C79="",D79=""),"Label / source / reconciled-on missing",IF(NOT(ISNUMBER(D79)),"Reconciled-on is not a date","OK — verify source")))))</f>
        <v/>
      </c>
    </row>
    <row r="80">
      <c r="A80" s="25" t="n"/>
      <c r="B80" s="25" t="n"/>
      <c r="C80" s="25" t="n"/>
      <c r="D80" s="26" t="n"/>
      <c r="E80" s="25">
        <f>IF(A80="","",COUNTIFS(Relationships!$B$4:$B$1003,"CAP",Relationships!$E$4:$E$1003,"AIR",Relationships!$F$4:$F$1003,A80,Relationships!$M$4:$M$1003,"Confirmed",Relationships!$N$4:$N$1003,"OK — verify source"))</f>
        <v/>
      </c>
      <c r="F80" s="25">
        <f>IF(A80="","",COUNTIFS(Relationships!$B$4:$B$1003,"AIR",Relationships!$C$4:$C$1003,A80,Relationships!$E$4:$E$1003,"MOD",Relationships!$M$4:$M$1003,"Confirmed",Relationships!$N$4:$N$1003,"OK — verify source"))</f>
        <v/>
      </c>
      <c r="G80" s="25">
        <f>IF(A80="","",COUNTIFS(Relationships!$B$4:$B$1003,"AIR",Relationships!$C$4:$C$1003,A80,Relationships!$E$4:$E$1003,"DATA",Relationships!$M$4:$M$1003,"Confirmed",Relationships!$N$4:$N$1003,"OK — verify source"))</f>
        <v/>
      </c>
      <c r="H80" s="25">
        <f>IF(A80="","",COUNTIFS(Relationships!$B$4:$B$1003,"AIR",Relationships!$C$4:$C$1003,A80,Relationships!$E$4:$E$1003,"IF",Relationships!$M$4:$M$1003,"Confirmed",Relationships!$N$4:$N$1003,"OK — verify source"))</f>
        <v/>
      </c>
      <c r="I80" s="25">
        <f>IF(A80="","",COUNTIFS(Relationships!$B$4:$B$1003,"AIR",Relationships!$C$4:$C$1003,A80,Relationships!$E$4:$E$1003,"AG",Relationships!$M$4:$M$1003,"Confirmed",Relationships!$N$4:$N$1003,"OK — verify source"))</f>
        <v/>
      </c>
      <c r="J80" s="25">
        <f>IF(A80="","",COUNTIFS(Relationships!$B$4:$B$1003,"AIR",Relationships!$C$4:$C$1003,A80,Relationships!$E$4:$E$1003,"TOOL",Relationships!$M$4:$M$1003,"Confirmed",Relationships!$N$4:$N$1003,"OK — verify source"))</f>
        <v/>
      </c>
      <c r="K80" s="25">
        <f>IF(A80="","",COUNTIFS(Relationships!$G$4:$G$1003,A80,Relationships!$M$4:$M$1003,"Proposed"))</f>
        <v/>
      </c>
      <c r="L80" s="25">
        <f>IF(A80="","",COUNTIFS(Relationships!$G$4:$G$1003,A80,Relationships!$A$4:$A$1003,"&lt;&gt;",Relationships!$N$4:$N$1003,"&lt;&gt;OK — verify source"))</f>
        <v/>
      </c>
      <c r="M80" s="25" t="n"/>
      <c r="N80" s="25" t="n"/>
      <c r="O80" s="25">
        <f>IF(COUNTA(A80:D80,M80:N80)=0,"",IF(A80="","AIR-ID missing",IF(COUNTIF($A$4:$A$203,A80)&gt;1,"Duplicate AIR-ID",IF(OR(B80="",C80="",D80=""),"Label / source / reconciled-on missing",IF(NOT(ISNUMBER(D80)),"Reconciled-on is not a date","OK — verify source")))))</f>
        <v/>
      </c>
    </row>
    <row r="81">
      <c r="A81" s="27" t="n"/>
      <c r="B81" s="27" t="n"/>
      <c r="C81" s="27" t="n"/>
      <c r="D81" s="28" t="n"/>
      <c r="E81" s="27">
        <f>IF(A81="","",COUNTIFS(Relationships!$B$4:$B$1003,"CAP",Relationships!$E$4:$E$1003,"AIR",Relationships!$F$4:$F$1003,A81,Relationships!$M$4:$M$1003,"Confirmed",Relationships!$N$4:$N$1003,"OK — verify source"))</f>
        <v/>
      </c>
      <c r="F81" s="27">
        <f>IF(A81="","",COUNTIFS(Relationships!$B$4:$B$1003,"AIR",Relationships!$C$4:$C$1003,A81,Relationships!$E$4:$E$1003,"MOD",Relationships!$M$4:$M$1003,"Confirmed",Relationships!$N$4:$N$1003,"OK — verify source"))</f>
        <v/>
      </c>
      <c r="G81" s="27">
        <f>IF(A81="","",COUNTIFS(Relationships!$B$4:$B$1003,"AIR",Relationships!$C$4:$C$1003,A81,Relationships!$E$4:$E$1003,"DATA",Relationships!$M$4:$M$1003,"Confirmed",Relationships!$N$4:$N$1003,"OK — verify source"))</f>
        <v/>
      </c>
      <c r="H81" s="27">
        <f>IF(A81="","",COUNTIFS(Relationships!$B$4:$B$1003,"AIR",Relationships!$C$4:$C$1003,A81,Relationships!$E$4:$E$1003,"IF",Relationships!$M$4:$M$1003,"Confirmed",Relationships!$N$4:$N$1003,"OK — verify source"))</f>
        <v/>
      </c>
      <c r="I81" s="27">
        <f>IF(A81="","",COUNTIFS(Relationships!$B$4:$B$1003,"AIR",Relationships!$C$4:$C$1003,A81,Relationships!$E$4:$E$1003,"AG",Relationships!$M$4:$M$1003,"Confirmed",Relationships!$N$4:$N$1003,"OK — verify source"))</f>
        <v/>
      </c>
      <c r="J81" s="27">
        <f>IF(A81="","",COUNTIFS(Relationships!$B$4:$B$1003,"AIR",Relationships!$C$4:$C$1003,A81,Relationships!$E$4:$E$1003,"TOOL",Relationships!$M$4:$M$1003,"Confirmed",Relationships!$N$4:$N$1003,"OK — verify source"))</f>
        <v/>
      </c>
      <c r="K81" s="27">
        <f>IF(A81="","",COUNTIFS(Relationships!$G$4:$G$1003,A81,Relationships!$M$4:$M$1003,"Proposed"))</f>
        <v/>
      </c>
      <c r="L81" s="27">
        <f>IF(A81="","",COUNTIFS(Relationships!$G$4:$G$1003,A81,Relationships!$A$4:$A$1003,"&lt;&gt;",Relationships!$N$4:$N$1003,"&lt;&gt;OK — verify source"))</f>
        <v/>
      </c>
      <c r="M81" s="27" t="n"/>
      <c r="N81" s="27" t="n"/>
      <c r="O81" s="27">
        <f>IF(COUNTA(A81:D81,M81:N81)=0,"",IF(A81="","AIR-ID missing",IF(COUNTIF($A$4:$A$203,A81)&gt;1,"Duplicate AIR-ID",IF(OR(B81="",C81="",D81=""),"Label / source / reconciled-on missing",IF(NOT(ISNUMBER(D81)),"Reconciled-on is not a date","OK — verify source")))))</f>
        <v/>
      </c>
    </row>
    <row r="82">
      <c r="A82" s="25" t="n"/>
      <c r="B82" s="25" t="n"/>
      <c r="C82" s="25" t="n"/>
      <c r="D82" s="26" t="n"/>
      <c r="E82" s="25">
        <f>IF(A82="","",COUNTIFS(Relationships!$B$4:$B$1003,"CAP",Relationships!$E$4:$E$1003,"AIR",Relationships!$F$4:$F$1003,A82,Relationships!$M$4:$M$1003,"Confirmed",Relationships!$N$4:$N$1003,"OK — verify source"))</f>
        <v/>
      </c>
      <c r="F82" s="25">
        <f>IF(A82="","",COUNTIFS(Relationships!$B$4:$B$1003,"AIR",Relationships!$C$4:$C$1003,A82,Relationships!$E$4:$E$1003,"MOD",Relationships!$M$4:$M$1003,"Confirmed",Relationships!$N$4:$N$1003,"OK — verify source"))</f>
        <v/>
      </c>
      <c r="G82" s="25">
        <f>IF(A82="","",COUNTIFS(Relationships!$B$4:$B$1003,"AIR",Relationships!$C$4:$C$1003,A82,Relationships!$E$4:$E$1003,"DATA",Relationships!$M$4:$M$1003,"Confirmed",Relationships!$N$4:$N$1003,"OK — verify source"))</f>
        <v/>
      </c>
      <c r="H82" s="25">
        <f>IF(A82="","",COUNTIFS(Relationships!$B$4:$B$1003,"AIR",Relationships!$C$4:$C$1003,A82,Relationships!$E$4:$E$1003,"IF",Relationships!$M$4:$M$1003,"Confirmed",Relationships!$N$4:$N$1003,"OK — verify source"))</f>
        <v/>
      </c>
      <c r="I82" s="25">
        <f>IF(A82="","",COUNTIFS(Relationships!$B$4:$B$1003,"AIR",Relationships!$C$4:$C$1003,A82,Relationships!$E$4:$E$1003,"AG",Relationships!$M$4:$M$1003,"Confirmed",Relationships!$N$4:$N$1003,"OK — verify source"))</f>
        <v/>
      </c>
      <c r="J82" s="25">
        <f>IF(A82="","",COUNTIFS(Relationships!$B$4:$B$1003,"AIR",Relationships!$C$4:$C$1003,A82,Relationships!$E$4:$E$1003,"TOOL",Relationships!$M$4:$M$1003,"Confirmed",Relationships!$N$4:$N$1003,"OK — verify source"))</f>
        <v/>
      </c>
      <c r="K82" s="25">
        <f>IF(A82="","",COUNTIFS(Relationships!$G$4:$G$1003,A82,Relationships!$M$4:$M$1003,"Proposed"))</f>
        <v/>
      </c>
      <c r="L82" s="25">
        <f>IF(A82="","",COUNTIFS(Relationships!$G$4:$G$1003,A82,Relationships!$A$4:$A$1003,"&lt;&gt;",Relationships!$N$4:$N$1003,"&lt;&gt;OK — verify source"))</f>
        <v/>
      </c>
      <c r="M82" s="25" t="n"/>
      <c r="N82" s="25" t="n"/>
      <c r="O82" s="25">
        <f>IF(COUNTA(A82:D82,M82:N82)=0,"",IF(A82="","AIR-ID missing",IF(COUNTIF($A$4:$A$203,A82)&gt;1,"Duplicate AIR-ID",IF(OR(B82="",C82="",D82=""),"Label / source / reconciled-on missing",IF(NOT(ISNUMBER(D82)),"Reconciled-on is not a date","OK — verify source")))))</f>
        <v/>
      </c>
    </row>
    <row r="83">
      <c r="A83" s="27" t="n"/>
      <c r="B83" s="27" t="n"/>
      <c r="C83" s="27" t="n"/>
      <c r="D83" s="28" t="n"/>
      <c r="E83" s="27">
        <f>IF(A83="","",COUNTIFS(Relationships!$B$4:$B$1003,"CAP",Relationships!$E$4:$E$1003,"AIR",Relationships!$F$4:$F$1003,A83,Relationships!$M$4:$M$1003,"Confirmed",Relationships!$N$4:$N$1003,"OK — verify source"))</f>
        <v/>
      </c>
      <c r="F83" s="27">
        <f>IF(A83="","",COUNTIFS(Relationships!$B$4:$B$1003,"AIR",Relationships!$C$4:$C$1003,A83,Relationships!$E$4:$E$1003,"MOD",Relationships!$M$4:$M$1003,"Confirmed",Relationships!$N$4:$N$1003,"OK — verify source"))</f>
        <v/>
      </c>
      <c r="G83" s="27">
        <f>IF(A83="","",COUNTIFS(Relationships!$B$4:$B$1003,"AIR",Relationships!$C$4:$C$1003,A83,Relationships!$E$4:$E$1003,"DATA",Relationships!$M$4:$M$1003,"Confirmed",Relationships!$N$4:$N$1003,"OK — verify source"))</f>
        <v/>
      </c>
      <c r="H83" s="27">
        <f>IF(A83="","",COUNTIFS(Relationships!$B$4:$B$1003,"AIR",Relationships!$C$4:$C$1003,A83,Relationships!$E$4:$E$1003,"IF",Relationships!$M$4:$M$1003,"Confirmed",Relationships!$N$4:$N$1003,"OK — verify source"))</f>
        <v/>
      </c>
      <c r="I83" s="27">
        <f>IF(A83="","",COUNTIFS(Relationships!$B$4:$B$1003,"AIR",Relationships!$C$4:$C$1003,A83,Relationships!$E$4:$E$1003,"AG",Relationships!$M$4:$M$1003,"Confirmed",Relationships!$N$4:$N$1003,"OK — verify source"))</f>
        <v/>
      </c>
      <c r="J83" s="27">
        <f>IF(A83="","",COUNTIFS(Relationships!$B$4:$B$1003,"AIR",Relationships!$C$4:$C$1003,A83,Relationships!$E$4:$E$1003,"TOOL",Relationships!$M$4:$M$1003,"Confirmed",Relationships!$N$4:$N$1003,"OK — verify source"))</f>
        <v/>
      </c>
      <c r="K83" s="27">
        <f>IF(A83="","",COUNTIFS(Relationships!$G$4:$G$1003,A83,Relationships!$M$4:$M$1003,"Proposed"))</f>
        <v/>
      </c>
      <c r="L83" s="27">
        <f>IF(A83="","",COUNTIFS(Relationships!$G$4:$G$1003,A83,Relationships!$A$4:$A$1003,"&lt;&gt;",Relationships!$N$4:$N$1003,"&lt;&gt;OK — verify source"))</f>
        <v/>
      </c>
      <c r="M83" s="27" t="n"/>
      <c r="N83" s="27" t="n"/>
      <c r="O83" s="27">
        <f>IF(COUNTA(A83:D83,M83:N83)=0,"",IF(A83="","AIR-ID missing",IF(COUNTIF($A$4:$A$203,A83)&gt;1,"Duplicate AIR-ID",IF(OR(B83="",C83="",D83=""),"Label / source / reconciled-on missing",IF(NOT(ISNUMBER(D83)),"Reconciled-on is not a date","OK — verify source")))))</f>
        <v/>
      </c>
    </row>
    <row r="84">
      <c r="A84" s="25" t="n"/>
      <c r="B84" s="25" t="n"/>
      <c r="C84" s="25" t="n"/>
      <c r="D84" s="26" t="n"/>
      <c r="E84" s="25">
        <f>IF(A84="","",COUNTIFS(Relationships!$B$4:$B$1003,"CAP",Relationships!$E$4:$E$1003,"AIR",Relationships!$F$4:$F$1003,A84,Relationships!$M$4:$M$1003,"Confirmed",Relationships!$N$4:$N$1003,"OK — verify source"))</f>
        <v/>
      </c>
      <c r="F84" s="25">
        <f>IF(A84="","",COUNTIFS(Relationships!$B$4:$B$1003,"AIR",Relationships!$C$4:$C$1003,A84,Relationships!$E$4:$E$1003,"MOD",Relationships!$M$4:$M$1003,"Confirmed",Relationships!$N$4:$N$1003,"OK — verify source"))</f>
        <v/>
      </c>
      <c r="G84" s="25">
        <f>IF(A84="","",COUNTIFS(Relationships!$B$4:$B$1003,"AIR",Relationships!$C$4:$C$1003,A84,Relationships!$E$4:$E$1003,"DATA",Relationships!$M$4:$M$1003,"Confirmed",Relationships!$N$4:$N$1003,"OK — verify source"))</f>
        <v/>
      </c>
      <c r="H84" s="25">
        <f>IF(A84="","",COUNTIFS(Relationships!$B$4:$B$1003,"AIR",Relationships!$C$4:$C$1003,A84,Relationships!$E$4:$E$1003,"IF",Relationships!$M$4:$M$1003,"Confirmed",Relationships!$N$4:$N$1003,"OK — verify source"))</f>
        <v/>
      </c>
      <c r="I84" s="25">
        <f>IF(A84="","",COUNTIFS(Relationships!$B$4:$B$1003,"AIR",Relationships!$C$4:$C$1003,A84,Relationships!$E$4:$E$1003,"AG",Relationships!$M$4:$M$1003,"Confirmed",Relationships!$N$4:$N$1003,"OK — verify source"))</f>
        <v/>
      </c>
      <c r="J84" s="25">
        <f>IF(A84="","",COUNTIFS(Relationships!$B$4:$B$1003,"AIR",Relationships!$C$4:$C$1003,A84,Relationships!$E$4:$E$1003,"TOOL",Relationships!$M$4:$M$1003,"Confirmed",Relationships!$N$4:$N$1003,"OK — verify source"))</f>
        <v/>
      </c>
      <c r="K84" s="25">
        <f>IF(A84="","",COUNTIFS(Relationships!$G$4:$G$1003,A84,Relationships!$M$4:$M$1003,"Proposed"))</f>
        <v/>
      </c>
      <c r="L84" s="25">
        <f>IF(A84="","",COUNTIFS(Relationships!$G$4:$G$1003,A84,Relationships!$A$4:$A$1003,"&lt;&gt;",Relationships!$N$4:$N$1003,"&lt;&gt;OK — verify source"))</f>
        <v/>
      </c>
      <c r="M84" s="25" t="n"/>
      <c r="N84" s="25" t="n"/>
      <c r="O84" s="25">
        <f>IF(COUNTA(A84:D84,M84:N84)=0,"",IF(A84="","AIR-ID missing",IF(COUNTIF($A$4:$A$203,A84)&gt;1,"Duplicate AIR-ID",IF(OR(B84="",C84="",D84=""),"Label / source / reconciled-on missing",IF(NOT(ISNUMBER(D84)),"Reconciled-on is not a date","OK — verify source")))))</f>
        <v/>
      </c>
    </row>
    <row r="85">
      <c r="A85" s="27" t="n"/>
      <c r="B85" s="27" t="n"/>
      <c r="C85" s="27" t="n"/>
      <c r="D85" s="28" t="n"/>
      <c r="E85" s="27">
        <f>IF(A85="","",COUNTIFS(Relationships!$B$4:$B$1003,"CAP",Relationships!$E$4:$E$1003,"AIR",Relationships!$F$4:$F$1003,A85,Relationships!$M$4:$M$1003,"Confirmed",Relationships!$N$4:$N$1003,"OK — verify source"))</f>
        <v/>
      </c>
      <c r="F85" s="27">
        <f>IF(A85="","",COUNTIFS(Relationships!$B$4:$B$1003,"AIR",Relationships!$C$4:$C$1003,A85,Relationships!$E$4:$E$1003,"MOD",Relationships!$M$4:$M$1003,"Confirmed",Relationships!$N$4:$N$1003,"OK — verify source"))</f>
        <v/>
      </c>
      <c r="G85" s="27">
        <f>IF(A85="","",COUNTIFS(Relationships!$B$4:$B$1003,"AIR",Relationships!$C$4:$C$1003,A85,Relationships!$E$4:$E$1003,"DATA",Relationships!$M$4:$M$1003,"Confirmed",Relationships!$N$4:$N$1003,"OK — verify source"))</f>
        <v/>
      </c>
      <c r="H85" s="27">
        <f>IF(A85="","",COUNTIFS(Relationships!$B$4:$B$1003,"AIR",Relationships!$C$4:$C$1003,A85,Relationships!$E$4:$E$1003,"IF",Relationships!$M$4:$M$1003,"Confirmed",Relationships!$N$4:$N$1003,"OK — verify source"))</f>
        <v/>
      </c>
      <c r="I85" s="27">
        <f>IF(A85="","",COUNTIFS(Relationships!$B$4:$B$1003,"AIR",Relationships!$C$4:$C$1003,A85,Relationships!$E$4:$E$1003,"AG",Relationships!$M$4:$M$1003,"Confirmed",Relationships!$N$4:$N$1003,"OK — verify source"))</f>
        <v/>
      </c>
      <c r="J85" s="27">
        <f>IF(A85="","",COUNTIFS(Relationships!$B$4:$B$1003,"AIR",Relationships!$C$4:$C$1003,A85,Relationships!$E$4:$E$1003,"TOOL",Relationships!$M$4:$M$1003,"Confirmed",Relationships!$N$4:$N$1003,"OK — verify source"))</f>
        <v/>
      </c>
      <c r="K85" s="27">
        <f>IF(A85="","",COUNTIFS(Relationships!$G$4:$G$1003,A85,Relationships!$M$4:$M$1003,"Proposed"))</f>
        <v/>
      </c>
      <c r="L85" s="27">
        <f>IF(A85="","",COUNTIFS(Relationships!$G$4:$G$1003,A85,Relationships!$A$4:$A$1003,"&lt;&gt;",Relationships!$N$4:$N$1003,"&lt;&gt;OK — verify source"))</f>
        <v/>
      </c>
      <c r="M85" s="27" t="n"/>
      <c r="N85" s="27" t="n"/>
      <c r="O85" s="27">
        <f>IF(COUNTA(A85:D85,M85:N85)=0,"",IF(A85="","AIR-ID missing",IF(COUNTIF($A$4:$A$203,A85)&gt;1,"Duplicate AIR-ID",IF(OR(B85="",C85="",D85=""),"Label / source / reconciled-on missing",IF(NOT(ISNUMBER(D85)),"Reconciled-on is not a date","OK — verify source")))))</f>
        <v/>
      </c>
    </row>
    <row r="86">
      <c r="A86" s="25" t="n"/>
      <c r="B86" s="25" t="n"/>
      <c r="C86" s="25" t="n"/>
      <c r="D86" s="26" t="n"/>
      <c r="E86" s="25">
        <f>IF(A86="","",COUNTIFS(Relationships!$B$4:$B$1003,"CAP",Relationships!$E$4:$E$1003,"AIR",Relationships!$F$4:$F$1003,A86,Relationships!$M$4:$M$1003,"Confirmed",Relationships!$N$4:$N$1003,"OK — verify source"))</f>
        <v/>
      </c>
      <c r="F86" s="25">
        <f>IF(A86="","",COUNTIFS(Relationships!$B$4:$B$1003,"AIR",Relationships!$C$4:$C$1003,A86,Relationships!$E$4:$E$1003,"MOD",Relationships!$M$4:$M$1003,"Confirmed",Relationships!$N$4:$N$1003,"OK — verify source"))</f>
        <v/>
      </c>
      <c r="G86" s="25">
        <f>IF(A86="","",COUNTIFS(Relationships!$B$4:$B$1003,"AIR",Relationships!$C$4:$C$1003,A86,Relationships!$E$4:$E$1003,"DATA",Relationships!$M$4:$M$1003,"Confirmed",Relationships!$N$4:$N$1003,"OK — verify source"))</f>
        <v/>
      </c>
      <c r="H86" s="25">
        <f>IF(A86="","",COUNTIFS(Relationships!$B$4:$B$1003,"AIR",Relationships!$C$4:$C$1003,A86,Relationships!$E$4:$E$1003,"IF",Relationships!$M$4:$M$1003,"Confirmed",Relationships!$N$4:$N$1003,"OK — verify source"))</f>
        <v/>
      </c>
      <c r="I86" s="25">
        <f>IF(A86="","",COUNTIFS(Relationships!$B$4:$B$1003,"AIR",Relationships!$C$4:$C$1003,A86,Relationships!$E$4:$E$1003,"AG",Relationships!$M$4:$M$1003,"Confirmed",Relationships!$N$4:$N$1003,"OK — verify source"))</f>
        <v/>
      </c>
      <c r="J86" s="25">
        <f>IF(A86="","",COUNTIFS(Relationships!$B$4:$B$1003,"AIR",Relationships!$C$4:$C$1003,A86,Relationships!$E$4:$E$1003,"TOOL",Relationships!$M$4:$M$1003,"Confirmed",Relationships!$N$4:$N$1003,"OK — verify source"))</f>
        <v/>
      </c>
      <c r="K86" s="25">
        <f>IF(A86="","",COUNTIFS(Relationships!$G$4:$G$1003,A86,Relationships!$M$4:$M$1003,"Proposed"))</f>
        <v/>
      </c>
      <c r="L86" s="25">
        <f>IF(A86="","",COUNTIFS(Relationships!$G$4:$G$1003,A86,Relationships!$A$4:$A$1003,"&lt;&gt;",Relationships!$N$4:$N$1003,"&lt;&gt;OK — verify source"))</f>
        <v/>
      </c>
      <c r="M86" s="25" t="n"/>
      <c r="N86" s="25" t="n"/>
      <c r="O86" s="25">
        <f>IF(COUNTA(A86:D86,M86:N86)=0,"",IF(A86="","AIR-ID missing",IF(COUNTIF($A$4:$A$203,A86)&gt;1,"Duplicate AIR-ID",IF(OR(B86="",C86="",D86=""),"Label / source / reconciled-on missing",IF(NOT(ISNUMBER(D86)),"Reconciled-on is not a date","OK — verify source")))))</f>
        <v/>
      </c>
    </row>
    <row r="87">
      <c r="A87" s="27" t="n"/>
      <c r="B87" s="27" t="n"/>
      <c r="C87" s="27" t="n"/>
      <c r="D87" s="28" t="n"/>
      <c r="E87" s="27">
        <f>IF(A87="","",COUNTIFS(Relationships!$B$4:$B$1003,"CAP",Relationships!$E$4:$E$1003,"AIR",Relationships!$F$4:$F$1003,A87,Relationships!$M$4:$M$1003,"Confirmed",Relationships!$N$4:$N$1003,"OK — verify source"))</f>
        <v/>
      </c>
      <c r="F87" s="27">
        <f>IF(A87="","",COUNTIFS(Relationships!$B$4:$B$1003,"AIR",Relationships!$C$4:$C$1003,A87,Relationships!$E$4:$E$1003,"MOD",Relationships!$M$4:$M$1003,"Confirmed",Relationships!$N$4:$N$1003,"OK — verify source"))</f>
        <v/>
      </c>
      <c r="G87" s="27">
        <f>IF(A87="","",COUNTIFS(Relationships!$B$4:$B$1003,"AIR",Relationships!$C$4:$C$1003,A87,Relationships!$E$4:$E$1003,"DATA",Relationships!$M$4:$M$1003,"Confirmed",Relationships!$N$4:$N$1003,"OK — verify source"))</f>
        <v/>
      </c>
      <c r="H87" s="27">
        <f>IF(A87="","",COUNTIFS(Relationships!$B$4:$B$1003,"AIR",Relationships!$C$4:$C$1003,A87,Relationships!$E$4:$E$1003,"IF",Relationships!$M$4:$M$1003,"Confirmed",Relationships!$N$4:$N$1003,"OK — verify source"))</f>
        <v/>
      </c>
      <c r="I87" s="27">
        <f>IF(A87="","",COUNTIFS(Relationships!$B$4:$B$1003,"AIR",Relationships!$C$4:$C$1003,A87,Relationships!$E$4:$E$1003,"AG",Relationships!$M$4:$M$1003,"Confirmed",Relationships!$N$4:$N$1003,"OK — verify source"))</f>
        <v/>
      </c>
      <c r="J87" s="27">
        <f>IF(A87="","",COUNTIFS(Relationships!$B$4:$B$1003,"AIR",Relationships!$C$4:$C$1003,A87,Relationships!$E$4:$E$1003,"TOOL",Relationships!$M$4:$M$1003,"Confirmed",Relationships!$N$4:$N$1003,"OK — verify source"))</f>
        <v/>
      </c>
      <c r="K87" s="27">
        <f>IF(A87="","",COUNTIFS(Relationships!$G$4:$G$1003,A87,Relationships!$M$4:$M$1003,"Proposed"))</f>
        <v/>
      </c>
      <c r="L87" s="27">
        <f>IF(A87="","",COUNTIFS(Relationships!$G$4:$G$1003,A87,Relationships!$A$4:$A$1003,"&lt;&gt;",Relationships!$N$4:$N$1003,"&lt;&gt;OK — verify source"))</f>
        <v/>
      </c>
      <c r="M87" s="27" t="n"/>
      <c r="N87" s="27" t="n"/>
      <c r="O87" s="27">
        <f>IF(COUNTA(A87:D87,M87:N87)=0,"",IF(A87="","AIR-ID missing",IF(COUNTIF($A$4:$A$203,A87)&gt;1,"Duplicate AIR-ID",IF(OR(B87="",C87="",D87=""),"Label / source / reconciled-on missing",IF(NOT(ISNUMBER(D87)),"Reconciled-on is not a date","OK — verify source")))))</f>
        <v/>
      </c>
    </row>
    <row r="88">
      <c r="A88" s="25" t="n"/>
      <c r="B88" s="25" t="n"/>
      <c r="C88" s="25" t="n"/>
      <c r="D88" s="26" t="n"/>
      <c r="E88" s="25">
        <f>IF(A88="","",COUNTIFS(Relationships!$B$4:$B$1003,"CAP",Relationships!$E$4:$E$1003,"AIR",Relationships!$F$4:$F$1003,A88,Relationships!$M$4:$M$1003,"Confirmed",Relationships!$N$4:$N$1003,"OK — verify source"))</f>
        <v/>
      </c>
      <c r="F88" s="25">
        <f>IF(A88="","",COUNTIFS(Relationships!$B$4:$B$1003,"AIR",Relationships!$C$4:$C$1003,A88,Relationships!$E$4:$E$1003,"MOD",Relationships!$M$4:$M$1003,"Confirmed",Relationships!$N$4:$N$1003,"OK — verify source"))</f>
        <v/>
      </c>
      <c r="G88" s="25">
        <f>IF(A88="","",COUNTIFS(Relationships!$B$4:$B$1003,"AIR",Relationships!$C$4:$C$1003,A88,Relationships!$E$4:$E$1003,"DATA",Relationships!$M$4:$M$1003,"Confirmed",Relationships!$N$4:$N$1003,"OK — verify source"))</f>
        <v/>
      </c>
      <c r="H88" s="25">
        <f>IF(A88="","",COUNTIFS(Relationships!$B$4:$B$1003,"AIR",Relationships!$C$4:$C$1003,A88,Relationships!$E$4:$E$1003,"IF",Relationships!$M$4:$M$1003,"Confirmed",Relationships!$N$4:$N$1003,"OK — verify source"))</f>
        <v/>
      </c>
      <c r="I88" s="25">
        <f>IF(A88="","",COUNTIFS(Relationships!$B$4:$B$1003,"AIR",Relationships!$C$4:$C$1003,A88,Relationships!$E$4:$E$1003,"AG",Relationships!$M$4:$M$1003,"Confirmed",Relationships!$N$4:$N$1003,"OK — verify source"))</f>
        <v/>
      </c>
      <c r="J88" s="25">
        <f>IF(A88="","",COUNTIFS(Relationships!$B$4:$B$1003,"AIR",Relationships!$C$4:$C$1003,A88,Relationships!$E$4:$E$1003,"TOOL",Relationships!$M$4:$M$1003,"Confirmed",Relationships!$N$4:$N$1003,"OK — verify source"))</f>
        <v/>
      </c>
      <c r="K88" s="25">
        <f>IF(A88="","",COUNTIFS(Relationships!$G$4:$G$1003,A88,Relationships!$M$4:$M$1003,"Proposed"))</f>
        <v/>
      </c>
      <c r="L88" s="25">
        <f>IF(A88="","",COUNTIFS(Relationships!$G$4:$G$1003,A88,Relationships!$A$4:$A$1003,"&lt;&gt;",Relationships!$N$4:$N$1003,"&lt;&gt;OK — verify source"))</f>
        <v/>
      </c>
      <c r="M88" s="25" t="n"/>
      <c r="N88" s="25" t="n"/>
      <c r="O88" s="25">
        <f>IF(COUNTA(A88:D88,M88:N88)=0,"",IF(A88="","AIR-ID missing",IF(COUNTIF($A$4:$A$203,A88)&gt;1,"Duplicate AIR-ID",IF(OR(B88="",C88="",D88=""),"Label / source / reconciled-on missing",IF(NOT(ISNUMBER(D88)),"Reconciled-on is not a date","OK — verify source")))))</f>
        <v/>
      </c>
    </row>
    <row r="89">
      <c r="A89" s="27" t="n"/>
      <c r="B89" s="27" t="n"/>
      <c r="C89" s="27" t="n"/>
      <c r="D89" s="28" t="n"/>
      <c r="E89" s="27">
        <f>IF(A89="","",COUNTIFS(Relationships!$B$4:$B$1003,"CAP",Relationships!$E$4:$E$1003,"AIR",Relationships!$F$4:$F$1003,A89,Relationships!$M$4:$M$1003,"Confirmed",Relationships!$N$4:$N$1003,"OK — verify source"))</f>
        <v/>
      </c>
      <c r="F89" s="27">
        <f>IF(A89="","",COUNTIFS(Relationships!$B$4:$B$1003,"AIR",Relationships!$C$4:$C$1003,A89,Relationships!$E$4:$E$1003,"MOD",Relationships!$M$4:$M$1003,"Confirmed",Relationships!$N$4:$N$1003,"OK — verify source"))</f>
        <v/>
      </c>
      <c r="G89" s="27">
        <f>IF(A89="","",COUNTIFS(Relationships!$B$4:$B$1003,"AIR",Relationships!$C$4:$C$1003,A89,Relationships!$E$4:$E$1003,"DATA",Relationships!$M$4:$M$1003,"Confirmed",Relationships!$N$4:$N$1003,"OK — verify source"))</f>
        <v/>
      </c>
      <c r="H89" s="27">
        <f>IF(A89="","",COUNTIFS(Relationships!$B$4:$B$1003,"AIR",Relationships!$C$4:$C$1003,A89,Relationships!$E$4:$E$1003,"IF",Relationships!$M$4:$M$1003,"Confirmed",Relationships!$N$4:$N$1003,"OK — verify source"))</f>
        <v/>
      </c>
      <c r="I89" s="27">
        <f>IF(A89="","",COUNTIFS(Relationships!$B$4:$B$1003,"AIR",Relationships!$C$4:$C$1003,A89,Relationships!$E$4:$E$1003,"AG",Relationships!$M$4:$M$1003,"Confirmed",Relationships!$N$4:$N$1003,"OK — verify source"))</f>
        <v/>
      </c>
      <c r="J89" s="27">
        <f>IF(A89="","",COUNTIFS(Relationships!$B$4:$B$1003,"AIR",Relationships!$C$4:$C$1003,A89,Relationships!$E$4:$E$1003,"TOOL",Relationships!$M$4:$M$1003,"Confirmed",Relationships!$N$4:$N$1003,"OK — verify source"))</f>
        <v/>
      </c>
      <c r="K89" s="27">
        <f>IF(A89="","",COUNTIFS(Relationships!$G$4:$G$1003,A89,Relationships!$M$4:$M$1003,"Proposed"))</f>
        <v/>
      </c>
      <c r="L89" s="27">
        <f>IF(A89="","",COUNTIFS(Relationships!$G$4:$G$1003,A89,Relationships!$A$4:$A$1003,"&lt;&gt;",Relationships!$N$4:$N$1003,"&lt;&gt;OK — verify source"))</f>
        <v/>
      </c>
      <c r="M89" s="27" t="n"/>
      <c r="N89" s="27" t="n"/>
      <c r="O89" s="27">
        <f>IF(COUNTA(A89:D89,M89:N89)=0,"",IF(A89="","AIR-ID missing",IF(COUNTIF($A$4:$A$203,A89)&gt;1,"Duplicate AIR-ID",IF(OR(B89="",C89="",D89=""),"Label / source / reconciled-on missing",IF(NOT(ISNUMBER(D89)),"Reconciled-on is not a date","OK — verify source")))))</f>
        <v/>
      </c>
    </row>
    <row r="90">
      <c r="A90" s="25" t="n"/>
      <c r="B90" s="25" t="n"/>
      <c r="C90" s="25" t="n"/>
      <c r="D90" s="26" t="n"/>
      <c r="E90" s="25">
        <f>IF(A90="","",COUNTIFS(Relationships!$B$4:$B$1003,"CAP",Relationships!$E$4:$E$1003,"AIR",Relationships!$F$4:$F$1003,A90,Relationships!$M$4:$M$1003,"Confirmed",Relationships!$N$4:$N$1003,"OK — verify source"))</f>
        <v/>
      </c>
      <c r="F90" s="25">
        <f>IF(A90="","",COUNTIFS(Relationships!$B$4:$B$1003,"AIR",Relationships!$C$4:$C$1003,A90,Relationships!$E$4:$E$1003,"MOD",Relationships!$M$4:$M$1003,"Confirmed",Relationships!$N$4:$N$1003,"OK — verify source"))</f>
        <v/>
      </c>
      <c r="G90" s="25">
        <f>IF(A90="","",COUNTIFS(Relationships!$B$4:$B$1003,"AIR",Relationships!$C$4:$C$1003,A90,Relationships!$E$4:$E$1003,"DATA",Relationships!$M$4:$M$1003,"Confirmed",Relationships!$N$4:$N$1003,"OK — verify source"))</f>
        <v/>
      </c>
      <c r="H90" s="25">
        <f>IF(A90="","",COUNTIFS(Relationships!$B$4:$B$1003,"AIR",Relationships!$C$4:$C$1003,A90,Relationships!$E$4:$E$1003,"IF",Relationships!$M$4:$M$1003,"Confirmed",Relationships!$N$4:$N$1003,"OK — verify source"))</f>
        <v/>
      </c>
      <c r="I90" s="25">
        <f>IF(A90="","",COUNTIFS(Relationships!$B$4:$B$1003,"AIR",Relationships!$C$4:$C$1003,A90,Relationships!$E$4:$E$1003,"AG",Relationships!$M$4:$M$1003,"Confirmed",Relationships!$N$4:$N$1003,"OK — verify source"))</f>
        <v/>
      </c>
      <c r="J90" s="25">
        <f>IF(A90="","",COUNTIFS(Relationships!$B$4:$B$1003,"AIR",Relationships!$C$4:$C$1003,A90,Relationships!$E$4:$E$1003,"TOOL",Relationships!$M$4:$M$1003,"Confirmed",Relationships!$N$4:$N$1003,"OK — verify source"))</f>
        <v/>
      </c>
      <c r="K90" s="25">
        <f>IF(A90="","",COUNTIFS(Relationships!$G$4:$G$1003,A90,Relationships!$M$4:$M$1003,"Proposed"))</f>
        <v/>
      </c>
      <c r="L90" s="25">
        <f>IF(A90="","",COUNTIFS(Relationships!$G$4:$G$1003,A90,Relationships!$A$4:$A$1003,"&lt;&gt;",Relationships!$N$4:$N$1003,"&lt;&gt;OK — verify source"))</f>
        <v/>
      </c>
      <c r="M90" s="25" t="n"/>
      <c r="N90" s="25" t="n"/>
      <c r="O90" s="25">
        <f>IF(COUNTA(A90:D90,M90:N90)=0,"",IF(A90="","AIR-ID missing",IF(COUNTIF($A$4:$A$203,A90)&gt;1,"Duplicate AIR-ID",IF(OR(B90="",C90="",D90=""),"Label / source / reconciled-on missing",IF(NOT(ISNUMBER(D90)),"Reconciled-on is not a date","OK — verify source")))))</f>
        <v/>
      </c>
    </row>
    <row r="91">
      <c r="A91" s="27" t="n"/>
      <c r="B91" s="27" t="n"/>
      <c r="C91" s="27" t="n"/>
      <c r="D91" s="28" t="n"/>
      <c r="E91" s="27">
        <f>IF(A91="","",COUNTIFS(Relationships!$B$4:$B$1003,"CAP",Relationships!$E$4:$E$1003,"AIR",Relationships!$F$4:$F$1003,A91,Relationships!$M$4:$M$1003,"Confirmed",Relationships!$N$4:$N$1003,"OK — verify source"))</f>
        <v/>
      </c>
      <c r="F91" s="27">
        <f>IF(A91="","",COUNTIFS(Relationships!$B$4:$B$1003,"AIR",Relationships!$C$4:$C$1003,A91,Relationships!$E$4:$E$1003,"MOD",Relationships!$M$4:$M$1003,"Confirmed",Relationships!$N$4:$N$1003,"OK — verify source"))</f>
        <v/>
      </c>
      <c r="G91" s="27">
        <f>IF(A91="","",COUNTIFS(Relationships!$B$4:$B$1003,"AIR",Relationships!$C$4:$C$1003,A91,Relationships!$E$4:$E$1003,"DATA",Relationships!$M$4:$M$1003,"Confirmed",Relationships!$N$4:$N$1003,"OK — verify source"))</f>
        <v/>
      </c>
      <c r="H91" s="27">
        <f>IF(A91="","",COUNTIFS(Relationships!$B$4:$B$1003,"AIR",Relationships!$C$4:$C$1003,A91,Relationships!$E$4:$E$1003,"IF",Relationships!$M$4:$M$1003,"Confirmed",Relationships!$N$4:$N$1003,"OK — verify source"))</f>
        <v/>
      </c>
      <c r="I91" s="27">
        <f>IF(A91="","",COUNTIFS(Relationships!$B$4:$B$1003,"AIR",Relationships!$C$4:$C$1003,A91,Relationships!$E$4:$E$1003,"AG",Relationships!$M$4:$M$1003,"Confirmed",Relationships!$N$4:$N$1003,"OK — verify source"))</f>
        <v/>
      </c>
      <c r="J91" s="27">
        <f>IF(A91="","",COUNTIFS(Relationships!$B$4:$B$1003,"AIR",Relationships!$C$4:$C$1003,A91,Relationships!$E$4:$E$1003,"TOOL",Relationships!$M$4:$M$1003,"Confirmed",Relationships!$N$4:$N$1003,"OK — verify source"))</f>
        <v/>
      </c>
      <c r="K91" s="27">
        <f>IF(A91="","",COUNTIFS(Relationships!$G$4:$G$1003,A91,Relationships!$M$4:$M$1003,"Proposed"))</f>
        <v/>
      </c>
      <c r="L91" s="27">
        <f>IF(A91="","",COUNTIFS(Relationships!$G$4:$G$1003,A91,Relationships!$A$4:$A$1003,"&lt;&gt;",Relationships!$N$4:$N$1003,"&lt;&gt;OK — verify source"))</f>
        <v/>
      </c>
      <c r="M91" s="27" t="n"/>
      <c r="N91" s="27" t="n"/>
      <c r="O91" s="27">
        <f>IF(COUNTA(A91:D91,M91:N91)=0,"",IF(A91="","AIR-ID missing",IF(COUNTIF($A$4:$A$203,A91)&gt;1,"Duplicate AIR-ID",IF(OR(B91="",C91="",D91=""),"Label / source / reconciled-on missing",IF(NOT(ISNUMBER(D91)),"Reconciled-on is not a date","OK — verify source")))))</f>
        <v/>
      </c>
    </row>
    <row r="92">
      <c r="A92" s="25" t="n"/>
      <c r="B92" s="25" t="n"/>
      <c r="C92" s="25" t="n"/>
      <c r="D92" s="26" t="n"/>
      <c r="E92" s="25">
        <f>IF(A92="","",COUNTIFS(Relationships!$B$4:$B$1003,"CAP",Relationships!$E$4:$E$1003,"AIR",Relationships!$F$4:$F$1003,A92,Relationships!$M$4:$M$1003,"Confirmed",Relationships!$N$4:$N$1003,"OK — verify source"))</f>
        <v/>
      </c>
      <c r="F92" s="25">
        <f>IF(A92="","",COUNTIFS(Relationships!$B$4:$B$1003,"AIR",Relationships!$C$4:$C$1003,A92,Relationships!$E$4:$E$1003,"MOD",Relationships!$M$4:$M$1003,"Confirmed",Relationships!$N$4:$N$1003,"OK — verify source"))</f>
        <v/>
      </c>
      <c r="G92" s="25">
        <f>IF(A92="","",COUNTIFS(Relationships!$B$4:$B$1003,"AIR",Relationships!$C$4:$C$1003,A92,Relationships!$E$4:$E$1003,"DATA",Relationships!$M$4:$M$1003,"Confirmed",Relationships!$N$4:$N$1003,"OK — verify source"))</f>
        <v/>
      </c>
      <c r="H92" s="25">
        <f>IF(A92="","",COUNTIFS(Relationships!$B$4:$B$1003,"AIR",Relationships!$C$4:$C$1003,A92,Relationships!$E$4:$E$1003,"IF",Relationships!$M$4:$M$1003,"Confirmed",Relationships!$N$4:$N$1003,"OK — verify source"))</f>
        <v/>
      </c>
      <c r="I92" s="25">
        <f>IF(A92="","",COUNTIFS(Relationships!$B$4:$B$1003,"AIR",Relationships!$C$4:$C$1003,A92,Relationships!$E$4:$E$1003,"AG",Relationships!$M$4:$M$1003,"Confirmed",Relationships!$N$4:$N$1003,"OK — verify source"))</f>
        <v/>
      </c>
      <c r="J92" s="25">
        <f>IF(A92="","",COUNTIFS(Relationships!$B$4:$B$1003,"AIR",Relationships!$C$4:$C$1003,A92,Relationships!$E$4:$E$1003,"TOOL",Relationships!$M$4:$M$1003,"Confirmed",Relationships!$N$4:$N$1003,"OK — verify source"))</f>
        <v/>
      </c>
      <c r="K92" s="25">
        <f>IF(A92="","",COUNTIFS(Relationships!$G$4:$G$1003,A92,Relationships!$M$4:$M$1003,"Proposed"))</f>
        <v/>
      </c>
      <c r="L92" s="25">
        <f>IF(A92="","",COUNTIFS(Relationships!$G$4:$G$1003,A92,Relationships!$A$4:$A$1003,"&lt;&gt;",Relationships!$N$4:$N$1003,"&lt;&gt;OK — verify source"))</f>
        <v/>
      </c>
      <c r="M92" s="25" t="n"/>
      <c r="N92" s="25" t="n"/>
      <c r="O92" s="25">
        <f>IF(COUNTA(A92:D92,M92:N92)=0,"",IF(A92="","AIR-ID missing",IF(COUNTIF($A$4:$A$203,A92)&gt;1,"Duplicate AIR-ID",IF(OR(B92="",C92="",D92=""),"Label / source / reconciled-on missing",IF(NOT(ISNUMBER(D92)),"Reconciled-on is not a date","OK — verify source")))))</f>
        <v/>
      </c>
    </row>
    <row r="93">
      <c r="A93" s="27" t="n"/>
      <c r="B93" s="27" t="n"/>
      <c r="C93" s="27" t="n"/>
      <c r="D93" s="28" t="n"/>
      <c r="E93" s="27">
        <f>IF(A93="","",COUNTIFS(Relationships!$B$4:$B$1003,"CAP",Relationships!$E$4:$E$1003,"AIR",Relationships!$F$4:$F$1003,A93,Relationships!$M$4:$M$1003,"Confirmed",Relationships!$N$4:$N$1003,"OK — verify source"))</f>
        <v/>
      </c>
      <c r="F93" s="27">
        <f>IF(A93="","",COUNTIFS(Relationships!$B$4:$B$1003,"AIR",Relationships!$C$4:$C$1003,A93,Relationships!$E$4:$E$1003,"MOD",Relationships!$M$4:$M$1003,"Confirmed",Relationships!$N$4:$N$1003,"OK — verify source"))</f>
        <v/>
      </c>
      <c r="G93" s="27">
        <f>IF(A93="","",COUNTIFS(Relationships!$B$4:$B$1003,"AIR",Relationships!$C$4:$C$1003,A93,Relationships!$E$4:$E$1003,"DATA",Relationships!$M$4:$M$1003,"Confirmed",Relationships!$N$4:$N$1003,"OK — verify source"))</f>
        <v/>
      </c>
      <c r="H93" s="27">
        <f>IF(A93="","",COUNTIFS(Relationships!$B$4:$B$1003,"AIR",Relationships!$C$4:$C$1003,A93,Relationships!$E$4:$E$1003,"IF",Relationships!$M$4:$M$1003,"Confirmed",Relationships!$N$4:$N$1003,"OK — verify source"))</f>
        <v/>
      </c>
      <c r="I93" s="27">
        <f>IF(A93="","",COUNTIFS(Relationships!$B$4:$B$1003,"AIR",Relationships!$C$4:$C$1003,A93,Relationships!$E$4:$E$1003,"AG",Relationships!$M$4:$M$1003,"Confirmed",Relationships!$N$4:$N$1003,"OK — verify source"))</f>
        <v/>
      </c>
      <c r="J93" s="27">
        <f>IF(A93="","",COUNTIFS(Relationships!$B$4:$B$1003,"AIR",Relationships!$C$4:$C$1003,A93,Relationships!$E$4:$E$1003,"TOOL",Relationships!$M$4:$M$1003,"Confirmed",Relationships!$N$4:$N$1003,"OK — verify source"))</f>
        <v/>
      </c>
      <c r="K93" s="27">
        <f>IF(A93="","",COUNTIFS(Relationships!$G$4:$G$1003,A93,Relationships!$M$4:$M$1003,"Proposed"))</f>
        <v/>
      </c>
      <c r="L93" s="27">
        <f>IF(A93="","",COUNTIFS(Relationships!$G$4:$G$1003,A93,Relationships!$A$4:$A$1003,"&lt;&gt;",Relationships!$N$4:$N$1003,"&lt;&gt;OK — verify source"))</f>
        <v/>
      </c>
      <c r="M93" s="27" t="n"/>
      <c r="N93" s="27" t="n"/>
      <c r="O93" s="27">
        <f>IF(COUNTA(A93:D93,M93:N93)=0,"",IF(A93="","AIR-ID missing",IF(COUNTIF($A$4:$A$203,A93)&gt;1,"Duplicate AIR-ID",IF(OR(B93="",C93="",D93=""),"Label / source / reconciled-on missing",IF(NOT(ISNUMBER(D93)),"Reconciled-on is not a date","OK — verify source")))))</f>
        <v/>
      </c>
    </row>
    <row r="94">
      <c r="A94" s="25" t="n"/>
      <c r="B94" s="25" t="n"/>
      <c r="C94" s="25" t="n"/>
      <c r="D94" s="26" t="n"/>
      <c r="E94" s="25">
        <f>IF(A94="","",COUNTIFS(Relationships!$B$4:$B$1003,"CAP",Relationships!$E$4:$E$1003,"AIR",Relationships!$F$4:$F$1003,A94,Relationships!$M$4:$M$1003,"Confirmed",Relationships!$N$4:$N$1003,"OK — verify source"))</f>
        <v/>
      </c>
      <c r="F94" s="25">
        <f>IF(A94="","",COUNTIFS(Relationships!$B$4:$B$1003,"AIR",Relationships!$C$4:$C$1003,A94,Relationships!$E$4:$E$1003,"MOD",Relationships!$M$4:$M$1003,"Confirmed",Relationships!$N$4:$N$1003,"OK — verify source"))</f>
        <v/>
      </c>
      <c r="G94" s="25">
        <f>IF(A94="","",COUNTIFS(Relationships!$B$4:$B$1003,"AIR",Relationships!$C$4:$C$1003,A94,Relationships!$E$4:$E$1003,"DATA",Relationships!$M$4:$M$1003,"Confirmed",Relationships!$N$4:$N$1003,"OK — verify source"))</f>
        <v/>
      </c>
      <c r="H94" s="25">
        <f>IF(A94="","",COUNTIFS(Relationships!$B$4:$B$1003,"AIR",Relationships!$C$4:$C$1003,A94,Relationships!$E$4:$E$1003,"IF",Relationships!$M$4:$M$1003,"Confirmed",Relationships!$N$4:$N$1003,"OK — verify source"))</f>
        <v/>
      </c>
      <c r="I94" s="25">
        <f>IF(A94="","",COUNTIFS(Relationships!$B$4:$B$1003,"AIR",Relationships!$C$4:$C$1003,A94,Relationships!$E$4:$E$1003,"AG",Relationships!$M$4:$M$1003,"Confirmed",Relationships!$N$4:$N$1003,"OK — verify source"))</f>
        <v/>
      </c>
      <c r="J94" s="25">
        <f>IF(A94="","",COUNTIFS(Relationships!$B$4:$B$1003,"AIR",Relationships!$C$4:$C$1003,A94,Relationships!$E$4:$E$1003,"TOOL",Relationships!$M$4:$M$1003,"Confirmed",Relationships!$N$4:$N$1003,"OK — verify source"))</f>
        <v/>
      </c>
      <c r="K94" s="25">
        <f>IF(A94="","",COUNTIFS(Relationships!$G$4:$G$1003,A94,Relationships!$M$4:$M$1003,"Proposed"))</f>
        <v/>
      </c>
      <c r="L94" s="25">
        <f>IF(A94="","",COUNTIFS(Relationships!$G$4:$G$1003,A94,Relationships!$A$4:$A$1003,"&lt;&gt;",Relationships!$N$4:$N$1003,"&lt;&gt;OK — verify source"))</f>
        <v/>
      </c>
      <c r="M94" s="25" t="n"/>
      <c r="N94" s="25" t="n"/>
      <c r="O94" s="25">
        <f>IF(COUNTA(A94:D94,M94:N94)=0,"",IF(A94="","AIR-ID missing",IF(COUNTIF($A$4:$A$203,A94)&gt;1,"Duplicate AIR-ID",IF(OR(B94="",C94="",D94=""),"Label / source / reconciled-on missing",IF(NOT(ISNUMBER(D94)),"Reconciled-on is not a date","OK — verify source")))))</f>
        <v/>
      </c>
    </row>
    <row r="95">
      <c r="A95" s="27" t="n"/>
      <c r="B95" s="27" t="n"/>
      <c r="C95" s="27" t="n"/>
      <c r="D95" s="28" t="n"/>
      <c r="E95" s="27">
        <f>IF(A95="","",COUNTIFS(Relationships!$B$4:$B$1003,"CAP",Relationships!$E$4:$E$1003,"AIR",Relationships!$F$4:$F$1003,A95,Relationships!$M$4:$M$1003,"Confirmed",Relationships!$N$4:$N$1003,"OK — verify source"))</f>
        <v/>
      </c>
      <c r="F95" s="27">
        <f>IF(A95="","",COUNTIFS(Relationships!$B$4:$B$1003,"AIR",Relationships!$C$4:$C$1003,A95,Relationships!$E$4:$E$1003,"MOD",Relationships!$M$4:$M$1003,"Confirmed",Relationships!$N$4:$N$1003,"OK — verify source"))</f>
        <v/>
      </c>
      <c r="G95" s="27">
        <f>IF(A95="","",COUNTIFS(Relationships!$B$4:$B$1003,"AIR",Relationships!$C$4:$C$1003,A95,Relationships!$E$4:$E$1003,"DATA",Relationships!$M$4:$M$1003,"Confirmed",Relationships!$N$4:$N$1003,"OK — verify source"))</f>
        <v/>
      </c>
      <c r="H95" s="27">
        <f>IF(A95="","",COUNTIFS(Relationships!$B$4:$B$1003,"AIR",Relationships!$C$4:$C$1003,A95,Relationships!$E$4:$E$1003,"IF",Relationships!$M$4:$M$1003,"Confirmed",Relationships!$N$4:$N$1003,"OK — verify source"))</f>
        <v/>
      </c>
      <c r="I95" s="27">
        <f>IF(A95="","",COUNTIFS(Relationships!$B$4:$B$1003,"AIR",Relationships!$C$4:$C$1003,A95,Relationships!$E$4:$E$1003,"AG",Relationships!$M$4:$M$1003,"Confirmed",Relationships!$N$4:$N$1003,"OK — verify source"))</f>
        <v/>
      </c>
      <c r="J95" s="27">
        <f>IF(A95="","",COUNTIFS(Relationships!$B$4:$B$1003,"AIR",Relationships!$C$4:$C$1003,A95,Relationships!$E$4:$E$1003,"TOOL",Relationships!$M$4:$M$1003,"Confirmed",Relationships!$N$4:$N$1003,"OK — verify source"))</f>
        <v/>
      </c>
      <c r="K95" s="27">
        <f>IF(A95="","",COUNTIFS(Relationships!$G$4:$G$1003,A95,Relationships!$M$4:$M$1003,"Proposed"))</f>
        <v/>
      </c>
      <c r="L95" s="27">
        <f>IF(A95="","",COUNTIFS(Relationships!$G$4:$G$1003,A95,Relationships!$A$4:$A$1003,"&lt;&gt;",Relationships!$N$4:$N$1003,"&lt;&gt;OK — verify source"))</f>
        <v/>
      </c>
      <c r="M95" s="27" t="n"/>
      <c r="N95" s="27" t="n"/>
      <c r="O95" s="27">
        <f>IF(COUNTA(A95:D95,M95:N95)=0,"",IF(A95="","AIR-ID missing",IF(COUNTIF($A$4:$A$203,A95)&gt;1,"Duplicate AIR-ID",IF(OR(B95="",C95="",D95=""),"Label / source / reconciled-on missing",IF(NOT(ISNUMBER(D95)),"Reconciled-on is not a date","OK — verify source")))))</f>
        <v/>
      </c>
    </row>
    <row r="96">
      <c r="A96" s="25" t="n"/>
      <c r="B96" s="25" t="n"/>
      <c r="C96" s="25" t="n"/>
      <c r="D96" s="26" t="n"/>
      <c r="E96" s="25">
        <f>IF(A96="","",COUNTIFS(Relationships!$B$4:$B$1003,"CAP",Relationships!$E$4:$E$1003,"AIR",Relationships!$F$4:$F$1003,A96,Relationships!$M$4:$M$1003,"Confirmed",Relationships!$N$4:$N$1003,"OK — verify source"))</f>
        <v/>
      </c>
      <c r="F96" s="25">
        <f>IF(A96="","",COUNTIFS(Relationships!$B$4:$B$1003,"AIR",Relationships!$C$4:$C$1003,A96,Relationships!$E$4:$E$1003,"MOD",Relationships!$M$4:$M$1003,"Confirmed",Relationships!$N$4:$N$1003,"OK — verify source"))</f>
        <v/>
      </c>
      <c r="G96" s="25">
        <f>IF(A96="","",COUNTIFS(Relationships!$B$4:$B$1003,"AIR",Relationships!$C$4:$C$1003,A96,Relationships!$E$4:$E$1003,"DATA",Relationships!$M$4:$M$1003,"Confirmed",Relationships!$N$4:$N$1003,"OK — verify source"))</f>
        <v/>
      </c>
      <c r="H96" s="25">
        <f>IF(A96="","",COUNTIFS(Relationships!$B$4:$B$1003,"AIR",Relationships!$C$4:$C$1003,A96,Relationships!$E$4:$E$1003,"IF",Relationships!$M$4:$M$1003,"Confirmed",Relationships!$N$4:$N$1003,"OK — verify source"))</f>
        <v/>
      </c>
      <c r="I96" s="25">
        <f>IF(A96="","",COUNTIFS(Relationships!$B$4:$B$1003,"AIR",Relationships!$C$4:$C$1003,A96,Relationships!$E$4:$E$1003,"AG",Relationships!$M$4:$M$1003,"Confirmed",Relationships!$N$4:$N$1003,"OK — verify source"))</f>
        <v/>
      </c>
      <c r="J96" s="25">
        <f>IF(A96="","",COUNTIFS(Relationships!$B$4:$B$1003,"AIR",Relationships!$C$4:$C$1003,A96,Relationships!$E$4:$E$1003,"TOOL",Relationships!$M$4:$M$1003,"Confirmed",Relationships!$N$4:$N$1003,"OK — verify source"))</f>
        <v/>
      </c>
      <c r="K96" s="25">
        <f>IF(A96="","",COUNTIFS(Relationships!$G$4:$G$1003,A96,Relationships!$M$4:$M$1003,"Proposed"))</f>
        <v/>
      </c>
      <c r="L96" s="25">
        <f>IF(A96="","",COUNTIFS(Relationships!$G$4:$G$1003,A96,Relationships!$A$4:$A$1003,"&lt;&gt;",Relationships!$N$4:$N$1003,"&lt;&gt;OK — verify source"))</f>
        <v/>
      </c>
      <c r="M96" s="25" t="n"/>
      <c r="N96" s="25" t="n"/>
      <c r="O96" s="25">
        <f>IF(COUNTA(A96:D96,M96:N96)=0,"",IF(A96="","AIR-ID missing",IF(COUNTIF($A$4:$A$203,A96)&gt;1,"Duplicate AIR-ID",IF(OR(B96="",C96="",D96=""),"Label / source / reconciled-on missing",IF(NOT(ISNUMBER(D96)),"Reconciled-on is not a date","OK — verify source")))))</f>
        <v/>
      </c>
    </row>
    <row r="97">
      <c r="A97" s="27" t="n"/>
      <c r="B97" s="27" t="n"/>
      <c r="C97" s="27" t="n"/>
      <c r="D97" s="28" t="n"/>
      <c r="E97" s="27">
        <f>IF(A97="","",COUNTIFS(Relationships!$B$4:$B$1003,"CAP",Relationships!$E$4:$E$1003,"AIR",Relationships!$F$4:$F$1003,A97,Relationships!$M$4:$M$1003,"Confirmed",Relationships!$N$4:$N$1003,"OK — verify source"))</f>
        <v/>
      </c>
      <c r="F97" s="27">
        <f>IF(A97="","",COUNTIFS(Relationships!$B$4:$B$1003,"AIR",Relationships!$C$4:$C$1003,A97,Relationships!$E$4:$E$1003,"MOD",Relationships!$M$4:$M$1003,"Confirmed",Relationships!$N$4:$N$1003,"OK — verify source"))</f>
        <v/>
      </c>
      <c r="G97" s="27">
        <f>IF(A97="","",COUNTIFS(Relationships!$B$4:$B$1003,"AIR",Relationships!$C$4:$C$1003,A97,Relationships!$E$4:$E$1003,"DATA",Relationships!$M$4:$M$1003,"Confirmed",Relationships!$N$4:$N$1003,"OK — verify source"))</f>
        <v/>
      </c>
      <c r="H97" s="27">
        <f>IF(A97="","",COUNTIFS(Relationships!$B$4:$B$1003,"AIR",Relationships!$C$4:$C$1003,A97,Relationships!$E$4:$E$1003,"IF",Relationships!$M$4:$M$1003,"Confirmed",Relationships!$N$4:$N$1003,"OK — verify source"))</f>
        <v/>
      </c>
      <c r="I97" s="27">
        <f>IF(A97="","",COUNTIFS(Relationships!$B$4:$B$1003,"AIR",Relationships!$C$4:$C$1003,A97,Relationships!$E$4:$E$1003,"AG",Relationships!$M$4:$M$1003,"Confirmed",Relationships!$N$4:$N$1003,"OK — verify source"))</f>
        <v/>
      </c>
      <c r="J97" s="27">
        <f>IF(A97="","",COUNTIFS(Relationships!$B$4:$B$1003,"AIR",Relationships!$C$4:$C$1003,A97,Relationships!$E$4:$E$1003,"TOOL",Relationships!$M$4:$M$1003,"Confirmed",Relationships!$N$4:$N$1003,"OK — verify source"))</f>
        <v/>
      </c>
      <c r="K97" s="27">
        <f>IF(A97="","",COUNTIFS(Relationships!$G$4:$G$1003,A97,Relationships!$M$4:$M$1003,"Proposed"))</f>
        <v/>
      </c>
      <c r="L97" s="27">
        <f>IF(A97="","",COUNTIFS(Relationships!$G$4:$G$1003,A97,Relationships!$A$4:$A$1003,"&lt;&gt;",Relationships!$N$4:$N$1003,"&lt;&gt;OK — verify source"))</f>
        <v/>
      </c>
      <c r="M97" s="27" t="n"/>
      <c r="N97" s="27" t="n"/>
      <c r="O97" s="27">
        <f>IF(COUNTA(A97:D97,M97:N97)=0,"",IF(A97="","AIR-ID missing",IF(COUNTIF($A$4:$A$203,A97)&gt;1,"Duplicate AIR-ID",IF(OR(B97="",C97="",D97=""),"Label / source / reconciled-on missing",IF(NOT(ISNUMBER(D97)),"Reconciled-on is not a date","OK — verify source")))))</f>
        <v/>
      </c>
    </row>
    <row r="98">
      <c r="A98" s="25" t="n"/>
      <c r="B98" s="25" t="n"/>
      <c r="C98" s="25" t="n"/>
      <c r="D98" s="26" t="n"/>
      <c r="E98" s="25">
        <f>IF(A98="","",COUNTIFS(Relationships!$B$4:$B$1003,"CAP",Relationships!$E$4:$E$1003,"AIR",Relationships!$F$4:$F$1003,A98,Relationships!$M$4:$M$1003,"Confirmed",Relationships!$N$4:$N$1003,"OK — verify source"))</f>
        <v/>
      </c>
      <c r="F98" s="25">
        <f>IF(A98="","",COUNTIFS(Relationships!$B$4:$B$1003,"AIR",Relationships!$C$4:$C$1003,A98,Relationships!$E$4:$E$1003,"MOD",Relationships!$M$4:$M$1003,"Confirmed",Relationships!$N$4:$N$1003,"OK — verify source"))</f>
        <v/>
      </c>
      <c r="G98" s="25">
        <f>IF(A98="","",COUNTIFS(Relationships!$B$4:$B$1003,"AIR",Relationships!$C$4:$C$1003,A98,Relationships!$E$4:$E$1003,"DATA",Relationships!$M$4:$M$1003,"Confirmed",Relationships!$N$4:$N$1003,"OK — verify source"))</f>
        <v/>
      </c>
      <c r="H98" s="25">
        <f>IF(A98="","",COUNTIFS(Relationships!$B$4:$B$1003,"AIR",Relationships!$C$4:$C$1003,A98,Relationships!$E$4:$E$1003,"IF",Relationships!$M$4:$M$1003,"Confirmed",Relationships!$N$4:$N$1003,"OK — verify source"))</f>
        <v/>
      </c>
      <c r="I98" s="25">
        <f>IF(A98="","",COUNTIFS(Relationships!$B$4:$B$1003,"AIR",Relationships!$C$4:$C$1003,A98,Relationships!$E$4:$E$1003,"AG",Relationships!$M$4:$M$1003,"Confirmed",Relationships!$N$4:$N$1003,"OK — verify source"))</f>
        <v/>
      </c>
      <c r="J98" s="25">
        <f>IF(A98="","",COUNTIFS(Relationships!$B$4:$B$1003,"AIR",Relationships!$C$4:$C$1003,A98,Relationships!$E$4:$E$1003,"TOOL",Relationships!$M$4:$M$1003,"Confirmed",Relationships!$N$4:$N$1003,"OK — verify source"))</f>
        <v/>
      </c>
      <c r="K98" s="25">
        <f>IF(A98="","",COUNTIFS(Relationships!$G$4:$G$1003,A98,Relationships!$M$4:$M$1003,"Proposed"))</f>
        <v/>
      </c>
      <c r="L98" s="25">
        <f>IF(A98="","",COUNTIFS(Relationships!$G$4:$G$1003,A98,Relationships!$A$4:$A$1003,"&lt;&gt;",Relationships!$N$4:$N$1003,"&lt;&gt;OK — verify source"))</f>
        <v/>
      </c>
      <c r="M98" s="25" t="n"/>
      <c r="N98" s="25" t="n"/>
      <c r="O98" s="25">
        <f>IF(COUNTA(A98:D98,M98:N98)=0,"",IF(A98="","AIR-ID missing",IF(COUNTIF($A$4:$A$203,A98)&gt;1,"Duplicate AIR-ID",IF(OR(B98="",C98="",D98=""),"Label / source / reconciled-on missing",IF(NOT(ISNUMBER(D98)),"Reconciled-on is not a date","OK — verify source")))))</f>
        <v/>
      </c>
    </row>
    <row r="99">
      <c r="A99" s="27" t="n"/>
      <c r="B99" s="27" t="n"/>
      <c r="C99" s="27" t="n"/>
      <c r="D99" s="28" t="n"/>
      <c r="E99" s="27">
        <f>IF(A99="","",COUNTIFS(Relationships!$B$4:$B$1003,"CAP",Relationships!$E$4:$E$1003,"AIR",Relationships!$F$4:$F$1003,A99,Relationships!$M$4:$M$1003,"Confirmed",Relationships!$N$4:$N$1003,"OK — verify source"))</f>
        <v/>
      </c>
      <c r="F99" s="27">
        <f>IF(A99="","",COUNTIFS(Relationships!$B$4:$B$1003,"AIR",Relationships!$C$4:$C$1003,A99,Relationships!$E$4:$E$1003,"MOD",Relationships!$M$4:$M$1003,"Confirmed",Relationships!$N$4:$N$1003,"OK — verify source"))</f>
        <v/>
      </c>
      <c r="G99" s="27">
        <f>IF(A99="","",COUNTIFS(Relationships!$B$4:$B$1003,"AIR",Relationships!$C$4:$C$1003,A99,Relationships!$E$4:$E$1003,"DATA",Relationships!$M$4:$M$1003,"Confirmed",Relationships!$N$4:$N$1003,"OK — verify source"))</f>
        <v/>
      </c>
      <c r="H99" s="27">
        <f>IF(A99="","",COUNTIFS(Relationships!$B$4:$B$1003,"AIR",Relationships!$C$4:$C$1003,A99,Relationships!$E$4:$E$1003,"IF",Relationships!$M$4:$M$1003,"Confirmed",Relationships!$N$4:$N$1003,"OK — verify source"))</f>
        <v/>
      </c>
      <c r="I99" s="27">
        <f>IF(A99="","",COUNTIFS(Relationships!$B$4:$B$1003,"AIR",Relationships!$C$4:$C$1003,A99,Relationships!$E$4:$E$1003,"AG",Relationships!$M$4:$M$1003,"Confirmed",Relationships!$N$4:$N$1003,"OK — verify source"))</f>
        <v/>
      </c>
      <c r="J99" s="27">
        <f>IF(A99="","",COUNTIFS(Relationships!$B$4:$B$1003,"AIR",Relationships!$C$4:$C$1003,A99,Relationships!$E$4:$E$1003,"TOOL",Relationships!$M$4:$M$1003,"Confirmed",Relationships!$N$4:$N$1003,"OK — verify source"))</f>
        <v/>
      </c>
      <c r="K99" s="27">
        <f>IF(A99="","",COUNTIFS(Relationships!$G$4:$G$1003,A99,Relationships!$M$4:$M$1003,"Proposed"))</f>
        <v/>
      </c>
      <c r="L99" s="27">
        <f>IF(A99="","",COUNTIFS(Relationships!$G$4:$G$1003,A99,Relationships!$A$4:$A$1003,"&lt;&gt;",Relationships!$N$4:$N$1003,"&lt;&gt;OK — verify source"))</f>
        <v/>
      </c>
      <c r="M99" s="27" t="n"/>
      <c r="N99" s="27" t="n"/>
      <c r="O99" s="27">
        <f>IF(COUNTA(A99:D99,M99:N99)=0,"",IF(A99="","AIR-ID missing",IF(COUNTIF($A$4:$A$203,A99)&gt;1,"Duplicate AIR-ID",IF(OR(B99="",C99="",D99=""),"Label / source / reconciled-on missing",IF(NOT(ISNUMBER(D99)),"Reconciled-on is not a date","OK — verify source")))))</f>
        <v/>
      </c>
    </row>
    <row r="100">
      <c r="A100" s="25" t="n"/>
      <c r="B100" s="25" t="n"/>
      <c r="C100" s="25" t="n"/>
      <c r="D100" s="26" t="n"/>
      <c r="E100" s="25">
        <f>IF(A100="","",COUNTIFS(Relationships!$B$4:$B$1003,"CAP",Relationships!$E$4:$E$1003,"AIR",Relationships!$F$4:$F$1003,A100,Relationships!$M$4:$M$1003,"Confirmed",Relationships!$N$4:$N$1003,"OK — verify source"))</f>
        <v/>
      </c>
      <c r="F100" s="25">
        <f>IF(A100="","",COUNTIFS(Relationships!$B$4:$B$1003,"AIR",Relationships!$C$4:$C$1003,A100,Relationships!$E$4:$E$1003,"MOD",Relationships!$M$4:$M$1003,"Confirmed",Relationships!$N$4:$N$1003,"OK — verify source"))</f>
        <v/>
      </c>
      <c r="G100" s="25">
        <f>IF(A100="","",COUNTIFS(Relationships!$B$4:$B$1003,"AIR",Relationships!$C$4:$C$1003,A100,Relationships!$E$4:$E$1003,"DATA",Relationships!$M$4:$M$1003,"Confirmed",Relationships!$N$4:$N$1003,"OK — verify source"))</f>
        <v/>
      </c>
      <c r="H100" s="25">
        <f>IF(A100="","",COUNTIFS(Relationships!$B$4:$B$1003,"AIR",Relationships!$C$4:$C$1003,A100,Relationships!$E$4:$E$1003,"IF",Relationships!$M$4:$M$1003,"Confirmed",Relationships!$N$4:$N$1003,"OK — verify source"))</f>
        <v/>
      </c>
      <c r="I100" s="25">
        <f>IF(A100="","",COUNTIFS(Relationships!$B$4:$B$1003,"AIR",Relationships!$C$4:$C$1003,A100,Relationships!$E$4:$E$1003,"AG",Relationships!$M$4:$M$1003,"Confirmed",Relationships!$N$4:$N$1003,"OK — verify source"))</f>
        <v/>
      </c>
      <c r="J100" s="25">
        <f>IF(A100="","",COUNTIFS(Relationships!$B$4:$B$1003,"AIR",Relationships!$C$4:$C$1003,A100,Relationships!$E$4:$E$1003,"TOOL",Relationships!$M$4:$M$1003,"Confirmed",Relationships!$N$4:$N$1003,"OK — verify source"))</f>
        <v/>
      </c>
      <c r="K100" s="25">
        <f>IF(A100="","",COUNTIFS(Relationships!$G$4:$G$1003,A100,Relationships!$M$4:$M$1003,"Proposed"))</f>
        <v/>
      </c>
      <c r="L100" s="25">
        <f>IF(A100="","",COUNTIFS(Relationships!$G$4:$G$1003,A100,Relationships!$A$4:$A$1003,"&lt;&gt;",Relationships!$N$4:$N$1003,"&lt;&gt;OK — verify source"))</f>
        <v/>
      </c>
      <c r="M100" s="25" t="n"/>
      <c r="N100" s="25" t="n"/>
      <c r="O100" s="25">
        <f>IF(COUNTA(A100:D100,M100:N100)=0,"",IF(A100="","AIR-ID missing",IF(COUNTIF($A$4:$A$203,A100)&gt;1,"Duplicate AIR-ID",IF(OR(B100="",C100="",D100=""),"Label / source / reconciled-on missing",IF(NOT(ISNUMBER(D100)),"Reconciled-on is not a date","OK — verify source")))))</f>
        <v/>
      </c>
    </row>
    <row r="101">
      <c r="A101" s="27" t="n"/>
      <c r="B101" s="27" t="n"/>
      <c r="C101" s="27" t="n"/>
      <c r="D101" s="28" t="n"/>
      <c r="E101" s="27">
        <f>IF(A101="","",COUNTIFS(Relationships!$B$4:$B$1003,"CAP",Relationships!$E$4:$E$1003,"AIR",Relationships!$F$4:$F$1003,A101,Relationships!$M$4:$M$1003,"Confirmed",Relationships!$N$4:$N$1003,"OK — verify source"))</f>
        <v/>
      </c>
      <c r="F101" s="27">
        <f>IF(A101="","",COUNTIFS(Relationships!$B$4:$B$1003,"AIR",Relationships!$C$4:$C$1003,A101,Relationships!$E$4:$E$1003,"MOD",Relationships!$M$4:$M$1003,"Confirmed",Relationships!$N$4:$N$1003,"OK — verify source"))</f>
        <v/>
      </c>
      <c r="G101" s="27">
        <f>IF(A101="","",COUNTIFS(Relationships!$B$4:$B$1003,"AIR",Relationships!$C$4:$C$1003,A101,Relationships!$E$4:$E$1003,"DATA",Relationships!$M$4:$M$1003,"Confirmed",Relationships!$N$4:$N$1003,"OK — verify source"))</f>
        <v/>
      </c>
      <c r="H101" s="27">
        <f>IF(A101="","",COUNTIFS(Relationships!$B$4:$B$1003,"AIR",Relationships!$C$4:$C$1003,A101,Relationships!$E$4:$E$1003,"IF",Relationships!$M$4:$M$1003,"Confirmed",Relationships!$N$4:$N$1003,"OK — verify source"))</f>
        <v/>
      </c>
      <c r="I101" s="27">
        <f>IF(A101="","",COUNTIFS(Relationships!$B$4:$B$1003,"AIR",Relationships!$C$4:$C$1003,A101,Relationships!$E$4:$E$1003,"AG",Relationships!$M$4:$M$1003,"Confirmed",Relationships!$N$4:$N$1003,"OK — verify source"))</f>
        <v/>
      </c>
      <c r="J101" s="27">
        <f>IF(A101="","",COUNTIFS(Relationships!$B$4:$B$1003,"AIR",Relationships!$C$4:$C$1003,A101,Relationships!$E$4:$E$1003,"TOOL",Relationships!$M$4:$M$1003,"Confirmed",Relationships!$N$4:$N$1003,"OK — verify source"))</f>
        <v/>
      </c>
      <c r="K101" s="27">
        <f>IF(A101="","",COUNTIFS(Relationships!$G$4:$G$1003,A101,Relationships!$M$4:$M$1003,"Proposed"))</f>
        <v/>
      </c>
      <c r="L101" s="27">
        <f>IF(A101="","",COUNTIFS(Relationships!$G$4:$G$1003,A101,Relationships!$A$4:$A$1003,"&lt;&gt;",Relationships!$N$4:$N$1003,"&lt;&gt;OK — verify source"))</f>
        <v/>
      </c>
      <c r="M101" s="27" t="n"/>
      <c r="N101" s="27" t="n"/>
      <c r="O101" s="27">
        <f>IF(COUNTA(A101:D101,M101:N101)=0,"",IF(A101="","AIR-ID missing",IF(COUNTIF($A$4:$A$203,A101)&gt;1,"Duplicate AIR-ID",IF(OR(B101="",C101="",D101=""),"Label / source / reconciled-on missing",IF(NOT(ISNUMBER(D101)),"Reconciled-on is not a date","OK — verify source")))))</f>
        <v/>
      </c>
    </row>
    <row r="102">
      <c r="A102" s="25" t="n"/>
      <c r="B102" s="25" t="n"/>
      <c r="C102" s="25" t="n"/>
      <c r="D102" s="26" t="n"/>
      <c r="E102" s="25">
        <f>IF(A102="","",COUNTIFS(Relationships!$B$4:$B$1003,"CAP",Relationships!$E$4:$E$1003,"AIR",Relationships!$F$4:$F$1003,A102,Relationships!$M$4:$M$1003,"Confirmed",Relationships!$N$4:$N$1003,"OK — verify source"))</f>
        <v/>
      </c>
      <c r="F102" s="25">
        <f>IF(A102="","",COUNTIFS(Relationships!$B$4:$B$1003,"AIR",Relationships!$C$4:$C$1003,A102,Relationships!$E$4:$E$1003,"MOD",Relationships!$M$4:$M$1003,"Confirmed",Relationships!$N$4:$N$1003,"OK — verify source"))</f>
        <v/>
      </c>
      <c r="G102" s="25">
        <f>IF(A102="","",COUNTIFS(Relationships!$B$4:$B$1003,"AIR",Relationships!$C$4:$C$1003,A102,Relationships!$E$4:$E$1003,"DATA",Relationships!$M$4:$M$1003,"Confirmed",Relationships!$N$4:$N$1003,"OK — verify source"))</f>
        <v/>
      </c>
      <c r="H102" s="25">
        <f>IF(A102="","",COUNTIFS(Relationships!$B$4:$B$1003,"AIR",Relationships!$C$4:$C$1003,A102,Relationships!$E$4:$E$1003,"IF",Relationships!$M$4:$M$1003,"Confirmed",Relationships!$N$4:$N$1003,"OK — verify source"))</f>
        <v/>
      </c>
      <c r="I102" s="25">
        <f>IF(A102="","",COUNTIFS(Relationships!$B$4:$B$1003,"AIR",Relationships!$C$4:$C$1003,A102,Relationships!$E$4:$E$1003,"AG",Relationships!$M$4:$M$1003,"Confirmed",Relationships!$N$4:$N$1003,"OK — verify source"))</f>
        <v/>
      </c>
      <c r="J102" s="25">
        <f>IF(A102="","",COUNTIFS(Relationships!$B$4:$B$1003,"AIR",Relationships!$C$4:$C$1003,A102,Relationships!$E$4:$E$1003,"TOOL",Relationships!$M$4:$M$1003,"Confirmed",Relationships!$N$4:$N$1003,"OK — verify source"))</f>
        <v/>
      </c>
      <c r="K102" s="25">
        <f>IF(A102="","",COUNTIFS(Relationships!$G$4:$G$1003,A102,Relationships!$M$4:$M$1003,"Proposed"))</f>
        <v/>
      </c>
      <c r="L102" s="25">
        <f>IF(A102="","",COUNTIFS(Relationships!$G$4:$G$1003,A102,Relationships!$A$4:$A$1003,"&lt;&gt;",Relationships!$N$4:$N$1003,"&lt;&gt;OK — verify source"))</f>
        <v/>
      </c>
      <c r="M102" s="25" t="n"/>
      <c r="N102" s="25" t="n"/>
      <c r="O102" s="25">
        <f>IF(COUNTA(A102:D102,M102:N102)=0,"",IF(A102="","AIR-ID missing",IF(COUNTIF($A$4:$A$203,A102)&gt;1,"Duplicate AIR-ID",IF(OR(B102="",C102="",D102=""),"Label / source / reconciled-on missing",IF(NOT(ISNUMBER(D102)),"Reconciled-on is not a date","OK — verify source")))))</f>
        <v/>
      </c>
    </row>
    <row r="103">
      <c r="A103" s="27" t="n"/>
      <c r="B103" s="27" t="n"/>
      <c r="C103" s="27" t="n"/>
      <c r="D103" s="28" t="n"/>
      <c r="E103" s="27">
        <f>IF(A103="","",COUNTIFS(Relationships!$B$4:$B$1003,"CAP",Relationships!$E$4:$E$1003,"AIR",Relationships!$F$4:$F$1003,A103,Relationships!$M$4:$M$1003,"Confirmed",Relationships!$N$4:$N$1003,"OK — verify source"))</f>
        <v/>
      </c>
      <c r="F103" s="27">
        <f>IF(A103="","",COUNTIFS(Relationships!$B$4:$B$1003,"AIR",Relationships!$C$4:$C$1003,A103,Relationships!$E$4:$E$1003,"MOD",Relationships!$M$4:$M$1003,"Confirmed",Relationships!$N$4:$N$1003,"OK — verify source"))</f>
        <v/>
      </c>
      <c r="G103" s="27">
        <f>IF(A103="","",COUNTIFS(Relationships!$B$4:$B$1003,"AIR",Relationships!$C$4:$C$1003,A103,Relationships!$E$4:$E$1003,"DATA",Relationships!$M$4:$M$1003,"Confirmed",Relationships!$N$4:$N$1003,"OK — verify source"))</f>
        <v/>
      </c>
      <c r="H103" s="27">
        <f>IF(A103="","",COUNTIFS(Relationships!$B$4:$B$1003,"AIR",Relationships!$C$4:$C$1003,A103,Relationships!$E$4:$E$1003,"IF",Relationships!$M$4:$M$1003,"Confirmed",Relationships!$N$4:$N$1003,"OK — verify source"))</f>
        <v/>
      </c>
      <c r="I103" s="27">
        <f>IF(A103="","",COUNTIFS(Relationships!$B$4:$B$1003,"AIR",Relationships!$C$4:$C$1003,A103,Relationships!$E$4:$E$1003,"AG",Relationships!$M$4:$M$1003,"Confirmed",Relationships!$N$4:$N$1003,"OK — verify source"))</f>
        <v/>
      </c>
      <c r="J103" s="27">
        <f>IF(A103="","",COUNTIFS(Relationships!$B$4:$B$1003,"AIR",Relationships!$C$4:$C$1003,A103,Relationships!$E$4:$E$1003,"TOOL",Relationships!$M$4:$M$1003,"Confirmed",Relationships!$N$4:$N$1003,"OK — verify source"))</f>
        <v/>
      </c>
      <c r="K103" s="27">
        <f>IF(A103="","",COUNTIFS(Relationships!$G$4:$G$1003,A103,Relationships!$M$4:$M$1003,"Proposed"))</f>
        <v/>
      </c>
      <c r="L103" s="27">
        <f>IF(A103="","",COUNTIFS(Relationships!$G$4:$G$1003,A103,Relationships!$A$4:$A$1003,"&lt;&gt;",Relationships!$N$4:$N$1003,"&lt;&gt;OK — verify source"))</f>
        <v/>
      </c>
      <c r="M103" s="27" t="n"/>
      <c r="N103" s="27" t="n"/>
      <c r="O103" s="27">
        <f>IF(COUNTA(A103:D103,M103:N103)=0,"",IF(A103="","AIR-ID missing",IF(COUNTIF($A$4:$A$203,A103)&gt;1,"Duplicate AIR-ID",IF(OR(B103="",C103="",D103=""),"Label / source / reconciled-on missing",IF(NOT(ISNUMBER(D103)),"Reconciled-on is not a date","OK — verify source")))))</f>
        <v/>
      </c>
    </row>
    <row r="104">
      <c r="A104" s="25" t="n"/>
      <c r="B104" s="25" t="n"/>
      <c r="C104" s="25" t="n"/>
      <c r="D104" s="26" t="n"/>
      <c r="E104" s="25">
        <f>IF(A104="","",COUNTIFS(Relationships!$B$4:$B$1003,"CAP",Relationships!$E$4:$E$1003,"AIR",Relationships!$F$4:$F$1003,A104,Relationships!$M$4:$M$1003,"Confirmed",Relationships!$N$4:$N$1003,"OK — verify source"))</f>
        <v/>
      </c>
      <c r="F104" s="25">
        <f>IF(A104="","",COUNTIFS(Relationships!$B$4:$B$1003,"AIR",Relationships!$C$4:$C$1003,A104,Relationships!$E$4:$E$1003,"MOD",Relationships!$M$4:$M$1003,"Confirmed",Relationships!$N$4:$N$1003,"OK — verify source"))</f>
        <v/>
      </c>
      <c r="G104" s="25">
        <f>IF(A104="","",COUNTIFS(Relationships!$B$4:$B$1003,"AIR",Relationships!$C$4:$C$1003,A104,Relationships!$E$4:$E$1003,"DATA",Relationships!$M$4:$M$1003,"Confirmed",Relationships!$N$4:$N$1003,"OK — verify source"))</f>
        <v/>
      </c>
      <c r="H104" s="25">
        <f>IF(A104="","",COUNTIFS(Relationships!$B$4:$B$1003,"AIR",Relationships!$C$4:$C$1003,A104,Relationships!$E$4:$E$1003,"IF",Relationships!$M$4:$M$1003,"Confirmed",Relationships!$N$4:$N$1003,"OK — verify source"))</f>
        <v/>
      </c>
      <c r="I104" s="25">
        <f>IF(A104="","",COUNTIFS(Relationships!$B$4:$B$1003,"AIR",Relationships!$C$4:$C$1003,A104,Relationships!$E$4:$E$1003,"AG",Relationships!$M$4:$M$1003,"Confirmed",Relationships!$N$4:$N$1003,"OK — verify source"))</f>
        <v/>
      </c>
      <c r="J104" s="25">
        <f>IF(A104="","",COUNTIFS(Relationships!$B$4:$B$1003,"AIR",Relationships!$C$4:$C$1003,A104,Relationships!$E$4:$E$1003,"TOOL",Relationships!$M$4:$M$1003,"Confirmed",Relationships!$N$4:$N$1003,"OK — verify source"))</f>
        <v/>
      </c>
      <c r="K104" s="25">
        <f>IF(A104="","",COUNTIFS(Relationships!$G$4:$G$1003,A104,Relationships!$M$4:$M$1003,"Proposed"))</f>
        <v/>
      </c>
      <c r="L104" s="25">
        <f>IF(A104="","",COUNTIFS(Relationships!$G$4:$G$1003,A104,Relationships!$A$4:$A$1003,"&lt;&gt;",Relationships!$N$4:$N$1003,"&lt;&gt;OK — verify source"))</f>
        <v/>
      </c>
      <c r="M104" s="25" t="n"/>
      <c r="N104" s="25" t="n"/>
      <c r="O104" s="25">
        <f>IF(COUNTA(A104:D104,M104:N104)=0,"",IF(A104="","AIR-ID missing",IF(COUNTIF($A$4:$A$203,A104)&gt;1,"Duplicate AIR-ID",IF(OR(B104="",C104="",D104=""),"Label / source / reconciled-on missing",IF(NOT(ISNUMBER(D104)),"Reconciled-on is not a date","OK — verify source")))))</f>
        <v/>
      </c>
    </row>
    <row r="105">
      <c r="A105" s="27" t="n"/>
      <c r="B105" s="27" t="n"/>
      <c r="C105" s="27" t="n"/>
      <c r="D105" s="28" t="n"/>
      <c r="E105" s="27">
        <f>IF(A105="","",COUNTIFS(Relationships!$B$4:$B$1003,"CAP",Relationships!$E$4:$E$1003,"AIR",Relationships!$F$4:$F$1003,A105,Relationships!$M$4:$M$1003,"Confirmed",Relationships!$N$4:$N$1003,"OK — verify source"))</f>
        <v/>
      </c>
      <c r="F105" s="27">
        <f>IF(A105="","",COUNTIFS(Relationships!$B$4:$B$1003,"AIR",Relationships!$C$4:$C$1003,A105,Relationships!$E$4:$E$1003,"MOD",Relationships!$M$4:$M$1003,"Confirmed",Relationships!$N$4:$N$1003,"OK — verify source"))</f>
        <v/>
      </c>
      <c r="G105" s="27">
        <f>IF(A105="","",COUNTIFS(Relationships!$B$4:$B$1003,"AIR",Relationships!$C$4:$C$1003,A105,Relationships!$E$4:$E$1003,"DATA",Relationships!$M$4:$M$1003,"Confirmed",Relationships!$N$4:$N$1003,"OK — verify source"))</f>
        <v/>
      </c>
      <c r="H105" s="27">
        <f>IF(A105="","",COUNTIFS(Relationships!$B$4:$B$1003,"AIR",Relationships!$C$4:$C$1003,A105,Relationships!$E$4:$E$1003,"IF",Relationships!$M$4:$M$1003,"Confirmed",Relationships!$N$4:$N$1003,"OK — verify source"))</f>
        <v/>
      </c>
      <c r="I105" s="27">
        <f>IF(A105="","",COUNTIFS(Relationships!$B$4:$B$1003,"AIR",Relationships!$C$4:$C$1003,A105,Relationships!$E$4:$E$1003,"AG",Relationships!$M$4:$M$1003,"Confirmed",Relationships!$N$4:$N$1003,"OK — verify source"))</f>
        <v/>
      </c>
      <c r="J105" s="27">
        <f>IF(A105="","",COUNTIFS(Relationships!$B$4:$B$1003,"AIR",Relationships!$C$4:$C$1003,A105,Relationships!$E$4:$E$1003,"TOOL",Relationships!$M$4:$M$1003,"Confirmed",Relationships!$N$4:$N$1003,"OK — verify source"))</f>
        <v/>
      </c>
      <c r="K105" s="27">
        <f>IF(A105="","",COUNTIFS(Relationships!$G$4:$G$1003,A105,Relationships!$M$4:$M$1003,"Proposed"))</f>
        <v/>
      </c>
      <c r="L105" s="27">
        <f>IF(A105="","",COUNTIFS(Relationships!$G$4:$G$1003,A105,Relationships!$A$4:$A$1003,"&lt;&gt;",Relationships!$N$4:$N$1003,"&lt;&gt;OK — verify source"))</f>
        <v/>
      </c>
      <c r="M105" s="27" t="n"/>
      <c r="N105" s="27" t="n"/>
      <c r="O105" s="27">
        <f>IF(COUNTA(A105:D105,M105:N105)=0,"",IF(A105="","AIR-ID missing",IF(COUNTIF($A$4:$A$203,A105)&gt;1,"Duplicate AIR-ID",IF(OR(B105="",C105="",D105=""),"Label / source / reconciled-on missing",IF(NOT(ISNUMBER(D105)),"Reconciled-on is not a date","OK — verify source")))))</f>
        <v/>
      </c>
    </row>
    <row r="106">
      <c r="A106" s="25" t="n"/>
      <c r="B106" s="25" t="n"/>
      <c r="C106" s="25" t="n"/>
      <c r="D106" s="26" t="n"/>
      <c r="E106" s="25">
        <f>IF(A106="","",COUNTIFS(Relationships!$B$4:$B$1003,"CAP",Relationships!$E$4:$E$1003,"AIR",Relationships!$F$4:$F$1003,A106,Relationships!$M$4:$M$1003,"Confirmed",Relationships!$N$4:$N$1003,"OK — verify source"))</f>
        <v/>
      </c>
      <c r="F106" s="25">
        <f>IF(A106="","",COUNTIFS(Relationships!$B$4:$B$1003,"AIR",Relationships!$C$4:$C$1003,A106,Relationships!$E$4:$E$1003,"MOD",Relationships!$M$4:$M$1003,"Confirmed",Relationships!$N$4:$N$1003,"OK — verify source"))</f>
        <v/>
      </c>
      <c r="G106" s="25">
        <f>IF(A106="","",COUNTIFS(Relationships!$B$4:$B$1003,"AIR",Relationships!$C$4:$C$1003,A106,Relationships!$E$4:$E$1003,"DATA",Relationships!$M$4:$M$1003,"Confirmed",Relationships!$N$4:$N$1003,"OK — verify source"))</f>
        <v/>
      </c>
      <c r="H106" s="25">
        <f>IF(A106="","",COUNTIFS(Relationships!$B$4:$B$1003,"AIR",Relationships!$C$4:$C$1003,A106,Relationships!$E$4:$E$1003,"IF",Relationships!$M$4:$M$1003,"Confirmed",Relationships!$N$4:$N$1003,"OK — verify source"))</f>
        <v/>
      </c>
      <c r="I106" s="25">
        <f>IF(A106="","",COUNTIFS(Relationships!$B$4:$B$1003,"AIR",Relationships!$C$4:$C$1003,A106,Relationships!$E$4:$E$1003,"AG",Relationships!$M$4:$M$1003,"Confirmed",Relationships!$N$4:$N$1003,"OK — verify source"))</f>
        <v/>
      </c>
      <c r="J106" s="25">
        <f>IF(A106="","",COUNTIFS(Relationships!$B$4:$B$1003,"AIR",Relationships!$C$4:$C$1003,A106,Relationships!$E$4:$E$1003,"TOOL",Relationships!$M$4:$M$1003,"Confirmed",Relationships!$N$4:$N$1003,"OK — verify source"))</f>
        <v/>
      </c>
      <c r="K106" s="25">
        <f>IF(A106="","",COUNTIFS(Relationships!$G$4:$G$1003,A106,Relationships!$M$4:$M$1003,"Proposed"))</f>
        <v/>
      </c>
      <c r="L106" s="25">
        <f>IF(A106="","",COUNTIFS(Relationships!$G$4:$G$1003,A106,Relationships!$A$4:$A$1003,"&lt;&gt;",Relationships!$N$4:$N$1003,"&lt;&gt;OK — verify source"))</f>
        <v/>
      </c>
      <c r="M106" s="25" t="n"/>
      <c r="N106" s="25" t="n"/>
      <c r="O106" s="25">
        <f>IF(COUNTA(A106:D106,M106:N106)=0,"",IF(A106="","AIR-ID missing",IF(COUNTIF($A$4:$A$203,A106)&gt;1,"Duplicate AIR-ID",IF(OR(B106="",C106="",D106=""),"Label / source / reconciled-on missing",IF(NOT(ISNUMBER(D106)),"Reconciled-on is not a date","OK — verify source")))))</f>
        <v/>
      </c>
    </row>
    <row r="107">
      <c r="A107" s="27" t="n"/>
      <c r="B107" s="27" t="n"/>
      <c r="C107" s="27" t="n"/>
      <c r="D107" s="28" t="n"/>
      <c r="E107" s="27">
        <f>IF(A107="","",COUNTIFS(Relationships!$B$4:$B$1003,"CAP",Relationships!$E$4:$E$1003,"AIR",Relationships!$F$4:$F$1003,A107,Relationships!$M$4:$M$1003,"Confirmed",Relationships!$N$4:$N$1003,"OK — verify source"))</f>
        <v/>
      </c>
      <c r="F107" s="27">
        <f>IF(A107="","",COUNTIFS(Relationships!$B$4:$B$1003,"AIR",Relationships!$C$4:$C$1003,A107,Relationships!$E$4:$E$1003,"MOD",Relationships!$M$4:$M$1003,"Confirmed",Relationships!$N$4:$N$1003,"OK — verify source"))</f>
        <v/>
      </c>
      <c r="G107" s="27">
        <f>IF(A107="","",COUNTIFS(Relationships!$B$4:$B$1003,"AIR",Relationships!$C$4:$C$1003,A107,Relationships!$E$4:$E$1003,"DATA",Relationships!$M$4:$M$1003,"Confirmed",Relationships!$N$4:$N$1003,"OK — verify source"))</f>
        <v/>
      </c>
      <c r="H107" s="27">
        <f>IF(A107="","",COUNTIFS(Relationships!$B$4:$B$1003,"AIR",Relationships!$C$4:$C$1003,A107,Relationships!$E$4:$E$1003,"IF",Relationships!$M$4:$M$1003,"Confirmed",Relationships!$N$4:$N$1003,"OK — verify source"))</f>
        <v/>
      </c>
      <c r="I107" s="27">
        <f>IF(A107="","",COUNTIFS(Relationships!$B$4:$B$1003,"AIR",Relationships!$C$4:$C$1003,A107,Relationships!$E$4:$E$1003,"AG",Relationships!$M$4:$M$1003,"Confirmed",Relationships!$N$4:$N$1003,"OK — verify source"))</f>
        <v/>
      </c>
      <c r="J107" s="27">
        <f>IF(A107="","",COUNTIFS(Relationships!$B$4:$B$1003,"AIR",Relationships!$C$4:$C$1003,A107,Relationships!$E$4:$E$1003,"TOOL",Relationships!$M$4:$M$1003,"Confirmed",Relationships!$N$4:$N$1003,"OK — verify source"))</f>
        <v/>
      </c>
      <c r="K107" s="27">
        <f>IF(A107="","",COUNTIFS(Relationships!$G$4:$G$1003,A107,Relationships!$M$4:$M$1003,"Proposed"))</f>
        <v/>
      </c>
      <c r="L107" s="27">
        <f>IF(A107="","",COUNTIFS(Relationships!$G$4:$G$1003,A107,Relationships!$A$4:$A$1003,"&lt;&gt;",Relationships!$N$4:$N$1003,"&lt;&gt;OK — verify source"))</f>
        <v/>
      </c>
      <c r="M107" s="27" t="n"/>
      <c r="N107" s="27" t="n"/>
      <c r="O107" s="27">
        <f>IF(COUNTA(A107:D107,M107:N107)=0,"",IF(A107="","AIR-ID missing",IF(COUNTIF($A$4:$A$203,A107)&gt;1,"Duplicate AIR-ID",IF(OR(B107="",C107="",D107=""),"Label / source / reconciled-on missing",IF(NOT(ISNUMBER(D107)),"Reconciled-on is not a date","OK — verify source")))))</f>
        <v/>
      </c>
    </row>
    <row r="108">
      <c r="A108" s="25" t="n"/>
      <c r="B108" s="25" t="n"/>
      <c r="C108" s="25" t="n"/>
      <c r="D108" s="26" t="n"/>
      <c r="E108" s="25">
        <f>IF(A108="","",COUNTIFS(Relationships!$B$4:$B$1003,"CAP",Relationships!$E$4:$E$1003,"AIR",Relationships!$F$4:$F$1003,A108,Relationships!$M$4:$M$1003,"Confirmed",Relationships!$N$4:$N$1003,"OK — verify source"))</f>
        <v/>
      </c>
      <c r="F108" s="25">
        <f>IF(A108="","",COUNTIFS(Relationships!$B$4:$B$1003,"AIR",Relationships!$C$4:$C$1003,A108,Relationships!$E$4:$E$1003,"MOD",Relationships!$M$4:$M$1003,"Confirmed",Relationships!$N$4:$N$1003,"OK — verify source"))</f>
        <v/>
      </c>
      <c r="G108" s="25">
        <f>IF(A108="","",COUNTIFS(Relationships!$B$4:$B$1003,"AIR",Relationships!$C$4:$C$1003,A108,Relationships!$E$4:$E$1003,"DATA",Relationships!$M$4:$M$1003,"Confirmed",Relationships!$N$4:$N$1003,"OK — verify source"))</f>
        <v/>
      </c>
      <c r="H108" s="25">
        <f>IF(A108="","",COUNTIFS(Relationships!$B$4:$B$1003,"AIR",Relationships!$C$4:$C$1003,A108,Relationships!$E$4:$E$1003,"IF",Relationships!$M$4:$M$1003,"Confirmed",Relationships!$N$4:$N$1003,"OK — verify source"))</f>
        <v/>
      </c>
      <c r="I108" s="25">
        <f>IF(A108="","",COUNTIFS(Relationships!$B$4:$B$1003,"AIR",Relationships!$C$4:$C$1003,A108,Relationships!$E$4:$E$1003,"AG",Relationships!$M$4:$M$1003,"Confirmed",Relationships!$N$4:$N$1003,"OK — verify source"))</f>
        <v/>
      </c>
      <c r="J108" s="25">
        <f>IF(A108="","",COUNTIFS(Relationships!$B$4:$B$1003,"AIR",Relationships!$C$4:$C$1003,A108,Relationships!$E$4:$E$1003,"TOOL",Relationships!$M$4:$M$1003,"Confirmed",Relationships!$N$4:$N$1003,"OK — verify source"))</f>
        <v/>
      </c>
      <c r="K108" s="25">
        <f>IF(A108="","",COUNTIFS(Relationships!$G$4:$G$1003,A108,Relationships!$M$4:$M$1003,"Proposed"))</f>
        <v/>
      </c>
      <c r="L108" s="25">
        <f>IF(A108="","",COUNTIFS(Relationships!$G$4:$G$1003,A108,Relationships!$A$4:$A$1003,"&lt;&gt;",Relationships!$N$4:$N$1003,"&lt;&gt;OK — verify source"))</f>
        <v/>
      </c>
      <c r="M108" s="25" t="n"/>
      <c r="N108" s="25" t="n"/>
      <c r="O108" s="25">
        <f>IF(COUNTA(A108:D108,M108:N108)=0,"",IF(A108="","AIR-ID missing",IF(COUNTIF($A$4:$A$203,A108)&gt;1,"Duplicate AIR-ID",IF(OR(B108="",C108="",D108=""),"Label / source / reconciled-on missing",IF(NOT(ISNUMBER(D108)),"Reconciled-on is not a date","OK — verify source")))))</f>
        <v/>
      </c>
    </row>
    <row r="109">
      <c r="A109" s="27" t="n"/>
      <c r="B109" s="27" t="n"/>
      <c r="C109" s="27" t="n"/>
      <c r="D109" s="28" t="n"/>
      <c r="E109" s="27">
        <f>IF(A109="","",COUNTIFS(Relationships!$B$4:$B$1003,"CAP",Relationships!$E$4:$E$1003,"AIR",Relationships!$F$4:$F$1003,A109,Relationships!$M$4:$M$1003,"Confirmed",Relationships!$N$4:$N$1003,"OK — verify source"))</f>
        <v/>
      </c>
      <c r="F109" s="27">
        <f>IF(A109="","",COUNTIFS(Relationships!$B$4:$B$1003,"AIR",Relationships!$C$4:$C$1003,A109,Relationships!$E$4:$E$1003,"MOD",Relationships!$M$4:$M$1003,"Confirmed",Relationships!$N$4:$N$1003,"OK — verify source"))</f>
        <v/>
      </c>
      <c r="G109" s="27">
        <f>IF(A109="","",COUNTIFS(Relationships!$B$4:$B$1003,"AIR",Relationships!$C$4:$C$1003,A109,Relationships!$E$4:$E$1003,"DATA",Relationships!$M$4:$M$1003,"Confirmed",Relationships!$N$4:$N$1003,"OK — verify source"))</f>
        <v/>
      </c>
      <c r="H109" s="27">
        <f>IF(A109="","",COUNTIFS(Relationships!$B$4:$B$1003,"AIR",Relationships!$C$4:$C$1003,A109,Relationships!$E$4:$E$1003,"IF",Relationships!$M$4:$M$1003,"Confirmed",Relationships!$N$4:$N$1003,"OK — verify source"))</f>
        <v/>
      </c>
      <c r="I109" s="27">
        <f>IF(A109="","",COUNTIFS(Relationships!$B$4:$B$1003,"AIR",Relationships!$C$4:$C$1003,A109,Relationships!$E$4:$E$1003,"AG",Relationships!$M$4:$M$1003,"Confirmed",Relationships!$N$4:$N$1003,"OK — verify source"))</f>
        <v/>
      </c>
      <c r="J109" s="27">
        <f>IF(A109="","",COUNTIFS(Relationships!$B$4:$B$1003,"AIR",Relationships!$C$4:$C$1003,A109,Relationships!$E$4:$E$1003,"TOOL",Relationships!$M$4:$M$1003,"Confirmed",Relationships!$N$4:$N$1003,"OK — verify source"))</f>
        <v/>
      </c>
      <c r="K109" s="27">
        <f>IF(A109="","",COUNTIFS(Relationships!$G$4:$G$1003,A109,Relationships!$M$4:$M$1003,"Proposed"))</f>
        <v/>
      </c>
      <c r="L109" s="27">
        <f>IF(A109="","",COUNTIFS(Relationships!$G$4:$G$1003,A109,Relationships!$A$4:$A$1003,"&lt;&gt;",Relationships!$N$4:$N$1003,"&lt;&gt;OK — verify source"))</f>
        <v/>
      </c>
      <c r="M109" s="27" t="n"/>
      <c r="N109" s="27" t="n"/>
      <c r="O109" s="27">
        <f>IF(COUNTA(A109:D109,M109:N109)=0,"",IF(A109="","AIR-ID missing",IF(COUNTIF($A$4:$A$203,A109)&gt;1,"Duplicate AIR-ID",IF(OR(B109="",C109="",D109=""),"Label / source / reconciled-on missing",IF(NOT(ISNUMBER(D109)),"Reconciled-on is not a date","OK — verify source")))))</f>
        <v/>
      </c>
    </row>
    <row r="110">
      <c r="A110" s="25" t="n"/>
      <c r="B110" s="25" t="n"/>
      <c r="C110" s="25" t="n"/>
      <c r="D110" s="26" t="n"/>
      <c r="E110" s="25">
        <f>IF(A110="","",COUNTIFS(Relationships!$B$4:$B$1003,"CAP",Relationships!$E$4:$E$1003,"AIR",Relationships!$F$4:$F$1003,A110,Relationships!$M$4:$M$1003,"Confirmed",Relationships!$N$4:$N$1003,"OK — verify source"))</f>
        <v/>
      </c>
      <c r="F110" s="25">
        <f>IF(A110="","",COUNTIFS(Relationships!$B$4:$B$1003,"AIR",Relationships!$C$4:$C$1003,A110,Relationships!$E$4:$E$1003,"MOD",Relationships!$M$4:$M$1003,"Confirmed",Relationships!$N$4:$N$1003,"OK — verify source"))</f>
        <v/>
      </c>
      <c r="G110" s="25">
        <f>IF(A110="","",COUNTIFS(Relationships!$B$4:$B$1003,"AIR",Relationships!$C$4:$C$1003,A110,Relationships!$E$4:$E$1003,"DATA",Relationships!$M$4:$M$1003,"Confirmed",Relationships!$N$4:$N$1003,"OK — verify source"))</f>
        <v/>
      </c>
      <c r="H110" s="25">
        <f>IF(A110="","",COUNTIFS(Relationships!$B$4:$B$1003,"AIR",Relationships!$C$4:$C$1003,A110,Relationships!$E$4:$E$1003,"IF",Relationships!$M$4:$M$1003,"Confirmed",Relationships!$N$4:$N$1003,"OK — verify source"))</f>
        <v/>
      </c>
      <c r="I110" s="25">
        <f>IF(A110="","",COUNTIFS(Relationships!$B$4:$B$1003,"AIR",Relationships!$C$4:$C$1003,A110,Relationships!$E$4:$E$1003,"AG",Relationships!$M$4:$M$1003,"Confirmed",Relationships!$N$4:$N$1003,"OK — verify source"))</f>
        <v/>
      </c>
      <c r="J110" s="25">
        <f>IF(A110="","",COUNTIFS(Relationships!$B$4:$B$1003,"AIR",Relationships!$C$4:$C$1003,A110,Relationships!$E$4:$E$1003,"TOOL",Relationships!$M$4:$M$1003,"Confirmed",Relationships!$N$4:$N$1003,"OK — verify source"))</f>
        <v/>
      </c>
      <c r="K110" s="25">
        <f>IF(A110="","",COUNTIFS(Relationships!$G$4:$G$1003,A110,Relationships!$M$4:$M$1003,"Proposed"))</f>
        <v/>
      </c>
      <c r="L110" s="25">
        <f>IF(A110="","",COUNTIFS(Relationships!$G$4:$G$1003,A110,Relationships!$A$4:$A$1003,"&lt;&gt;",Relationships!$N$4:$N$1003,"&lt;&gt;OK — verify source"))</f>
        <v/>
      </c>
      <c r="M110" s="25" t="n"/>
      <c r="N110" s="25" t="n"/>
      <c r="O110" s="25">
        <f>IF(COUNTA(A110:D110,M110:N110)=0,"",IF(A110="","AIR-ID missing",IF(COUNTIF($A$4:$A$203,A110)&gt;1,"Duplicate AIR-ID",IF(OR(B110="",C110="",D110=""),"Label / source / reconciled-on missing",IF(NOT(ISNUMBER(D110)),"Reconciled-on is not a date","OK — verify source")))))</f>
        <v/>
      </c>
    </row>
    <row r="111">
      <c r="A111" s="27" t="n"/>
      <c r="B111" s="27" t="n"/>
      <c r="C111" s="27" t="n"/>
      <c r="D111" s="28" t="n"/>
      <c r="E111" s="27">
        <f>IF(A111="","",COUNTIFS(Relationships!$B$4:$B$1003,"CAP",Relationships!$E$4:$E$1003,"AIR",Relationships!$F$4:$F$1003,A111,Relationships!$M$4:$M$1003,"Confirmed",Relationships!$N$4:$N$1003,"OK — verify source"))</f>
        <v/>
      </c>
      <c r="F111" s="27">
        <f>IF(A111="","",COUNTIFS(Relationships!$B$4:$B$1003,"AIR",Relationships!$C$4:$C$1003,A111,Relationships!$E$4:$E$1003,"MOD",Relationships!$M$4:$M$1003,"Confirmed",Relationships!$N$4:$N$1003,"OK — verify source"))</f>
        <v/>
      </c>
      <c r="G111" s="27">
        <f>IF(A111="","",COUNTIFS(Relationships!$B$4:$B$1003,"AIR",Relationships!$C$4:$C$1003,A111,Relationships!$E$4:$E$1003,"DATA",Relationships!$M$4:$M$1003,"Confirmed",Relationships!$N$4:$N$1003,"OK — verify source"))</f>
        <v/>
      </c>
      <c r="H111" s="27">
        <f>IF(A111="","",COUNTIFS(Relationships!$B$4:$B$1003,"AIR",Relationships!$C$4:$C$1003,A111,Relationships!$E$4:$E$1003,"IF",Relationships!$M$4:$M$1003,"Confirmed",Relationships!$N$4:$N$1003,"OK — verify source"))</f>
        <v/>
      </c>
      <c r="I111" s="27">
        <f>IF(A111="","",COUNTIFS(Relationships!$B$4:$B$1003,"AIR",Relationships!$C$4:$C$1003,A111,Relationships!$E$4:$E$1003,"AG",Relationships!$M$4:$M$1003,"Confirmed",Relationships!$N$4:$N$1003,"OK — verify source"))</f>
        <v/>
      </c>
      <c r="J111" s="27">
        <f>IF(A111="","",COUNTIFS(Relationships!$B$4:$B$1003,"AIR",Relationships!$C$4:$C$1003,A111,Relationships!$E$4:$E$1003,"TOOL",Relationships!$M$4:$M$1003,"Confirmed",Relationships!$N$4:$N$1003,"OK — verify source"))</f>
        <v/>
      </c>
      <c r="K111" s="27">
        <f>IF(A111="","",COUNTIFS(Relationships!$G$4:$G$1003,A111,Relationships!$M$4:$M$1003,"Proposed"))</f>
        <v/>
      </c>
      <c r="L111" s="27">
        <f>IF(A111="","",COUNTIFS(Relationships!$G$4:$G$1003,A111,Relationships!$A$4:$A$1003,"&lt;&gt;",Relationships!$N$4:$N$1003,"&lt;&gt;OK — verify source"))</f>
        <v/>
      </c>
      <c r="M111" s="27" t="n"/>
      <c r="N111" s="27" t="n"/>
      <c r="O111" s="27">
        <f>IF(COUNTA(A111:D111,M111:N111)=0,"",IF(A111="","AIR-ID missing",IF(COUNTIF($A$4:$A$203,A111)&gt;1,"Duplicate AIR-ID",IF(OR(B111="",C111="",D111=""),"Label / source / reconciled-on missing",IF(NOT(ISNUMBER(D111)),"Reconciled-on is not a date","OK — verify source")))))</f>
        <v/>
      </c>
    </row>
    <row r="112">
      <c r="A112" s="25" t="n"/>
      <c r="B112" s="25" t="n"/>
      <c r="C112" s="25" t="n"/>
      <c r="D112" s="26" t="n"/>
      <c r="E112" s="25">
        <f>IF(A112="","",COUNTIFS(Relationships!$B$4:$B$1003,"CAP",Relationships!$E$4:$E$1003,"AIR",Relationships!$F$4:$F$1003,A112,Relationships!$M$4:$M$1003,"Confirmed",Relationships!$N$4:$N$1003,"OK — verify source"))</f>
        <v/>
      </c>
      <c r="F112" s="25">
        <f>IF(A112="","",COUNTIFS(Relationships!$B$4:$B$1003,"AIR",Relationships!$C$4:$C$1003,A112,Relationships!$E$4:$E$1003,"MOD",Relationships!$M$4:$M$1003,"Confirmed",Relationships!$N$4:$N$1003,"OK — verify source"))</f>
        <v/>
      </c>
      <c r="G112" s="25">
        <f>IF(A112="","",COUNTIFS(Relationships!$B$4:$B$1003,"AIR",Relationships!$C$4:$C$1003,A112,Relationships!$E$4:$E$1003,"DATA",Relationships!$M$4:$M$1003,"Confirmed",Relationships!$N$4:$N$1003,"OK — verify source"))</f>
        <v/>
      </c>
      <c r="H112" s="25">
        <f>IF(A112="","",COUNTIFS(Relationships!$B$4:$B$1003,"AIR",Relationships!$C$4:$C$1003,A112,Relationships!$E$4:$E$1003,"IF",Relationships!$M$4:$M$1003,"Confirmed",Relationships!$N$4:$N$1003,"OK — verify source"))</f>
        <v/>
      </c>
      <c r="I112" s="25">
        <f>IF(A112="","",COUNTIFS(Relationships!$B$4:$B$1003,"AIR",Relationships!$C$4:$C$1003,A112,Relationships!$E$4:$E$1003,"AG",Relationships!$M$4:$M$1003,"Confirmed",Relationships!$N$4:$N$1003,"OK — verify source"))</f>
        <v/>
      </c>
      <c r="J112" s="25">
        <f>IF(A112="","",COUNTIFS(Relationships!$B$4:$B$1003,"AIR",Relationships!$C$4:$C$1003,A112,Relationships!$E$4:$E$1003,"TOOL",Relationships!$M$4:$M$1003,"Confirmed",Relationships!$N$4:$N$1003,"OK — verify source"))</f>
        <v/>
      </c>
      <c r="K112" s="25">
        <f>IF(A112="","",COUNTIFS(Relationships!$G$4:$G$1003,A112,Relationships!$M$4:$M$1003,"Proposed"))</f>
        <v/>
      </c>
      <c r="L112" s="25">
        <f>IF(A112="","",COUNTIFS(Relationships!$G$4:$G$1003,A112,Relationships!$A$4:$A$1003,"&lt;&gt;",Relationships!$N$4:$N$1003,"&lt;&gt;OK — verify source"))</f>
        <v/>
      </c>
      <c r="M112" s="25" t="n"/>
      <c r="N112" s="25" t="n"/>
      <c r="O112" s="25">
        <f>IF(COUNTA(A112:D112,M112:N112)=0,"",IF(A112="","AIR-ID missing",IF(COUNTIF($A$4:$A$203,A112)&gt;1,"Duplicate AIR-ID",IF(OR(B112="",C112="",D112=""),"Label / source / reconciled-on missing",IF(NOT(ISNUMBER(D112)),"Reconciled-on is not a date","OK — verify source")))))</f>
        <v/>
      </c>
    </row>
    <row r="113">
      <c r="A113" s="27" t="n"/>
      <c r="B113" s="27" t="n"/>
      <c r="C113" s="27" t="n"/>
      <c r="D113" s="28" t="n"/>
      <c r="E113" s="27">
        <f>IF(A113="","",COUNTIFS(Relationships!$B$4:$B$1003,"CAP",Relationships!$E$4:$E$1003,"AIR",Relationships!$F$4:$F$1003,A113,Relationships!$M$4:$M$1003,"Confirmed",Relationships!$N$4:$N$1003,"OK — verify source"))</f>
        <v/>
      </c>
      <c r="F113" s="27">
        <f>IF(A113="","",COUNTIFS(Relationships!$B$4:$B$1003,"AIR",Relationships!$C$4:$C$1003,A113,Relationships!$E$4:$E$1003,"MOD",Relationships!$M$4:$M$1003,"Confirmed",Relationships!$N$4:$N$1003,"OK — verify source"))</f>
        <v/>
      </c>
      <c r="G113" s="27">
        <f>IF(A113="","",COUNTIFS(Relationships!$B$4:$B$1003,"AIR",Relationships!$C$4:$C$1003,A113,Relationships!$E$4:$E$1003,"DATA",Relationships!$M$4:$M$1003,"Confirmed",Relationships!$N$4:$N$1003,"OK — verify source"))</f>
        <v/>
      </c>
      <c r="H113" s="27">
        <f>IF(A113="","",COUNTIFS(Relationships!$B$4:$B$1003,"AIR",Relationships!$C$4:$C$1003,A113,Relationships!$E$4:$E$1003,"IF",Relationships!$M$4:$M$1003,"Confirmed",Relationships!$N$4:$N$1003,"OK — verify source"))</f>
        <v/>
      </c>
      <c r="I113" s="27">
        <f>IF(A113="","",COUNTIFS(Relationships!$B$4:$B$1003,"AIR",Relationships!$C$4:$C$1003,A113,Relationships!$E$4:$E$1003,"AG",Relationships!$M$4:$M$1003,"Confirmed",Relationships!$N$4:$N$1003,"OK — verify source"))</f>
        <v/>
      </c>
      <c r="J113" s="27">
        <f>IF(A113="","",COUNTIFS(Relationships!$B$4:$B$1003,"AIR",Relationships!$C$4:$C$1003,A113,Relationships!$E$4:$E$1003,"TOOL",Relationships!$M$4:$M$1003,"Confirmed",Relationships!$N$4:$N$1003,"OK — verify source"))</f>
        <v/>
      </c>
      <c r="K113" s="27">
        <f>IF(A113="","",COUNTIFS(Relationships!$G$4:$G$1003,A113,Relationships!$M$4:$M$1003,"Proposed"))</f>
        <v/>
      </c>
      <c r="L113" s="27">
        <f>IF(A113="","",COUNTIFS(Relationships!$G$4:$G$1003,A113,Relationships!$A$4:$A$1003,"&lt;&gt;",Relationships!$N$4:$N$1003,"&lt;&gt;OK — verify source"))</f>
        <v/>
      </c>
      <c r="M113" s="27" t="n"/>
      <c r="N113" s="27" t="n"/>
      <c r="O113" s="27">
        <f>IF(COUNTA(A113:D113,M113:N113)=0,"",IF(A113="","AIR-ID missing",IF(COUNTIF($A$4:$A$203,A113)&gt;1,"Duplicate AIR-ID",IF(OR(B113="",C113="",D113=""),"Label / source / reconciled-on missing",IF(NOT(ISNUMBER(D113)),"Reconciled-on is not a date","OK — verify source")))))</f>
        <v/>
      </c>
    </row>
    <row r="114">
      <c r="A114" s="25" t="n"/>
      <c r="B114" s="25" t="n"/>
      <c r="C114" s="25" t="n"/>
      <c r="D114" s="26" t="n"/>
      <c r="E114" s="25">
        <f>IF(A114="","",COUNTIFS(Relationships!$B$4:$B$1003,"CAP",Relationships!$E$4:$E$1003,"AIR",Relationships!$F$4:$F$1003,A114,Relationships!$M$4:$M$1003,"Confirmed",Relationships!$N$4:$N$1003,"OK — verify source"))</f>
        <v/>
      </c>
      <c r="F114" s="25">
        <f>IF(A114="","",COUNTIFS(Relationships!$B$4:$B$1003,"AIR",Relationships!$C$4:$C$1003,A114,Relationships!$E$4:$E$1003,"MOD",Relationships!$M$4:$M$1003,"Confirmed",Relationships!$N$4:$N$1003,"OK — verify source"))</f>
        <v/>
      </c>
      <c r="G114" s="25">
        <f>IF(A114="","",COUNTIFS(Relationships!$B$4:$B$1003,"AIR",Relationships!$C$4:$C$1003,A114,Relationships!$E$4:$E$1003,"DATA",Relationships!$M$4:$M$1003,"Confirmed",Relationships!$N$4:$N$1003,"OK — verify source"))</f>
        <v/>
      </c>
      <c r="H114" s="25">
        <f>IF(A114="","",COUNTIFS(Relationships!$B$4:$B$1003,"AIR",Relationships!$C$4:$C$1003,A114,Relationships!$E$4:$E$1003,"IF",Relationships!$M$4:$M$1003,"Confirmed",Relationships!$N$4:$N$1003,"OK — verify source"))</f>
        <v/>
      </c>
      <c r="I114" s="25">
        <f>IF(A114="","",COUNTIFS(Relationships!$B$4:$B$1003,"AIR",Relationships!$C$4:$C$1003,A114,Relationships!$E$4:$E$1003,"AG",Relationships!$M$4:$M$1003,"Confirmed",Relationships!$N$4:$N$1003,"OK — verify source"))</f>
        <v/>
      </c>
      <c r="J114" s="25">
        <f>IF(A114="","",COUNTIFS(Relationships!$B$4:$B$1003,"AIR",Relationships!$C$4:$C$1003,A114,Relationships!$E$4:$E$1003,"TOOL",Relationships!$M$4:$M$1003,"Confirmed",Relationships!$N$4:$N$1003,"OK — verify source"))</f>
        <v/>
      </c>
      <c r="K114" s="25">
        <f>IF(A114="","",COUNTIFS(Relationships!$G$4:$G$1003,A114,Relationships!$M$4:$M$1003,"Proposed"))</f>
        <v/>
      </c>
      <c r="L114" s="25">
        <f>IF(A114="","",COUNTIFS(Relationships!$G$4:$G$1003,A114,Relationships!$A$4:$A$1003,"&lt;&gt;",Relationships!$N$4:$N$1003,"&lt;&gt;OK — verify source"))</f>
        <v/>
      </c>
      <c r="M114" s="25" t="n"/>
      <c r="N114" s="25" t="n"/>
      <c r="O114" s="25">
        <f>IF(COUNTA(A114:D114,M114:N114)=0,"",IF(A114="","AIR-ID missing",IF(COUNTIF($A$4:$A$203,A114)&gt;1,"Duplicate AIR-ID",IF(OR(B114="",C114="",D114=""),"Label / source / reconciled-on missing",IF(NOT(ISNUMBER(D114)),"Reconciled-on is not a date","OK — verify source")))))</f>
        <v/>
      </c>
    </row>
    <row r="115">
      <c r="A115" s="27" t="n"/>
      <c r="B115" s="27" t="n"/>
      <c r="C115" s="27" t="n"/>
      <c r="D115" s="28" t="n"/>
      <c r="E115" s="27">
        <f>IF(A115="","",COUNTIFS(Relationships!$B$4:$B$1003,"CAP",Relationships!$E$4:$E$1003,"AIR",Relationships!$F$4:$F$1003,A115,Relationships!$M$4:$M$1003,"Confirmed",Relationships!$N$4:$N$1003,"OK — verify source"))</f>
        <v/>
      </c>
      <c r="F115" s="27">
        <f>IF(A115="","",COUNTIFS(Relationships!$B$4:$B$1003,"AIR",Relationships!$C$4:$C$1003,A115,Relationships!$E$4:$E$1003,"MOD",Relationships!$M$4:$M$1003,"Confirmed",Relationships!$N$4:$N$1003,"OK — verify source"))</f>
        <v/>
      </c>
      <c r="G115" s="27">
        <f>IF(A115="","",COUNTIFS(Relationships!$B$4:$B$1003,"AIR",Relationships!$C$4:$C$1003,A115,Relationships!$E$4:$E$1003,"DATA",Relationships!$M$4:$M$1003,"Confirmed",Relationships!$N$4:$N$1003,"OK — verify source"))</f>
        <v/>
      </c>
      <c r="H115" s="27">
        <f>IF(A115="","",COUNTIFS(Relationships!$B$4:$B$1003,"AIR",Relationships!$C$4:$C$1003,A115,Relationships!$E$4:$E$1003,"IF",Relationships!$M$4:$M$1003,"Confirmed",Relationships!$N$4:$N$1003,"OK — verify source"))</f>
        <v/>
      </c>
      <c r="I115" s="27">
        <f>IF(A115="","",COUNTIFS(Relationships!$B$4:$B$1003,"AIR",Relationships!$C$4:$C$1003,A115,Relationships!$E$4:$E$1003,"AG",Relationships!$M$4:$M$1003,"Confirmed",Relationships!$N$4:$N$1003,"OK — verify source"))</f>
        <v/>
      </c>
      <c r="J115" s="27">
        <f>IF(A115="","",COUNTIFS(Relationships!$B$4:$B$1003,"AIR",Relationships!$C$4:$C$1003,A115,Relationships!$E$4:$E$1003,"TOOL",Relationships!$M$4:$M$1003,"Confirmed",Relationships!$N$4:$N$1003,"OK — verify source"))</f>
        <v/>
      </c>
      <c r="K115" s="27">
        <f>IF(A115="","",COUNTIFS(Relationships!$G$4:$G$1003,A115,Relationships!$M$4:$M$1003,"Proposed"))</f>
        <v/>
      </c>
      <c r="L115" s="27">
        <f>IF(A115="","",COUNTIFS(Relationships!$G$4:$G$1003,A115,Relationships!$A$4:$A$1003,"&lt;&gt;",Relationships!$N$4:$N$1003,"&lt;&gt;OK — verify source"))</f>
        <v/>
      </c>
      <c r="M115" s="27" t="n"/>
      <c r="N115" s="27" t="n"/>
      <c r="O115" s="27">
        <f>IF(COUNTA(A115:D115,M115:N115)=0,"",IF(A115="","AIR-ID missing",IF(COUNTIF($A$4:$A$203,A115)&gt;1,"Duplicate AIR-ID",IF(OR(B115="",C115="",D115=""),"Label / source / reconciled-on missing",IF(NOT(ISNUMBER(D115)),"Reconciled-on is not a date","OK — verify source")))))</f>
        <v/>
      </c>
    </row>
    <row r="116">
      <c r="A116" s="25" t="n"/>
      <c r="B116" s="25" t="n"/>
      <c r="C116" s="25" t="n"/>
      <c r="D116" s="26" t="n"/>
      <c r="E116" s="25">
        <f>IF(A116="","",COUNTIFS(Relationships!$B$4:$B$1003,"CAP",Relationships!$E$4:$E$1003,"AIR",Relationships!$F$4:$F$1003,A116,Relationships!$M$4:$M$1003,"Confirmed",Relationships!$N$4:$N$1003,"OK — verify source"))</f>
        <v/>
      </c>
      <c r="F116" s="25">
        <f>IF(A116="","",COUNTIFS(Relationships!$B$4:$B$1003,"AIR",Relationships!$C$4:$C$1003,A116,Relationships!$E$4:$E$1003,"MOD",Relationships!$M$4:$M$1003,"Confirmed",Relationships!$N$4:$N$1003,"OK — verify source"))</f>
        <v/>
      </c>
      <c r="G116" s="25">
        <f>IF(A116="","",COUNTIFS(Relationships!$B$4:$B$1003,"AIR",Relationships!$C$4:$C$1003,A116,Relationships!$E$4:$E$1003,"DATA",Relationships!$M$4:$M$1003,"Confirmed",Relationships!$N$4:$N$1003,"OK — verify source"))</f>
        <v/>
      </c>
      <c r="H116" s="25">
        <f>IF(A116="","",COUNTIFS(Relationships!$B$4:$B$1003,"AIR",Relationships!$C$4:$C$1003,A116,Relationships!$E$4:$E$1003,"IF",Relationships!$M$4:$M$1003,"Confirmed",Relationships!$N$4:$N$1003,"OK — verify source"))</f>
        <v/>
      </c>
      <c r="I116" s="25">
        <f>IF(A116="","",COUNTIFS(Relationships!$B$4:$B$1003,"AIR",Relationships!$C$4:$C$1003,A116,Relationships!$E$4:$E$1003,"AG",Relationships!$M$4:$M$1003,"Confirmed",Relationships!$N$4:$N$1003,"OK — verify source"))</f>
        <v/>
      </c>
      <c r="J116" s="25">
        <f>IF(A116="","",COUNTIFS(Relationships!$B$4:$B$1003,"AIR",Relationships!$C$4:$C$1003,A116,Relationships!$E$4:$E$1003,"TOOL",Relationships!$M$4:$M$1003,"Confirmed",Relationships!$N$4:$N$1003,"OK — verify source"))</f>
        <v/>
      </c>
      <c r="K116" s="25">
        <f>IF(A116="","",COUNTIFS(Relationships!$G$4:$G$1003,A116,Relationships!$M$4:$M$1003,"Proposed"))</f>
        <v/>
      </c>
      <c r="L116" s="25">
        <f>IF(A116="","",COUNTIFS(Relationships!$G$4:$G$1003,A116,Relationships!$A$4:$A$1003,"&lt;&gt;",Relationships!$N$4:$N$1003,"&lt;&gt;OK — verify source"))</f>
        <v/>
      </c>
      <c r="M116" s="25" t="n"/>
      <c r="N116" s="25" t="n"/>
      <c r="O116" s="25">
        <f>IF(COUNTA(A116:D116,M116:N116)=0,"",IF(A116="","AIR-ID missing",IF(COUNTIF($A$4:$A$203,A116)&gt;1,"Duplicate AIR-ID",IF(OR(B116="",C116="",D116=""),"Label / source / reconciled-on missing",IF(NOT(ISNUMBER(D116)),"Reconciled-on is not a date","OK — verify source")))))</f>
        <v/>
      </c>
    </row>
    <row r="117">
      <c r="A117" s="27" t="n"/>
      <c r="B117" s="27" t="n"/>
      <c r="C117" s="27" t="n"/>
      <c r="D117" s="28" t="n"/>
      <c r="E117" s="27">
        <f>IF(A117="","",COUNTIFS(Relationships!$B$4:$B$1003,"CAP",Relationships!$E$4:$E$1003,"AIR",Relationships!$F$4:$F$1003,A117,Relationships!$M$4:$M$1003,"Confirmed",Relationships!$N$4:$N$1003,"OK — verify source"))</f>
        <v/>
      </c>
      <c r="F117" s="27">
        <f>IF(A117="","",COUNTIFS(Relationships!$B$4:$B$1003,"AIR",Relationships!$C$4:$C$1003,A117,Relationships!$E$4:$E$1003,"MOD",Relationships!$M$4:$M$1003,"Confirmed",Relationships!$N$4:$N$1003,"OK — verify source"))</f>
        <v/>
      </c>
      <c r="G117" s="27">
        <f>IF(A117="","",COUNTIFS(Relationships!$B$4:$B$1003,"AIR",Relationships!$C$4:$C$1003,A117,Relationships!$E$4:$E$1003,"DATA",Relationships!$M$4:$M$1003,"Confirmed",Relationships!$N$4:$N$1003,"OK — verify source"))</f>
        <v/>
      </c>
      <c r="H117" s="27">
        <f>IF(A117="","",COUNTIFS(Relationships!$B$4:$B$1003,"AIR",Relationships!$C$4:$C$1003,A117,Relationships!$E$4:$E$1003,"IF",Relationships!$M$4:$M$1003,"Confirmed",Relationships!$N$4:$N$1003,"OK — verify source"))</f>
        <v/>
      </c>
      <c r="I117" s="27">
        <f>IF(A117="","",COUNTIFS(Relationships!$B$4:$B$1003,"AIR",Relationships!$C$4:$C$1003,A117,Relationships!$E$4:$E$1003,"AG",Relationships!$M$4:$M$1003,"Confirmed",Relationships!$N$4:$N$1003,"OK — verify source"))</f>
        <v/>
      </c>
      <c r="J117" s="27">
        <f>IF(A117="","",COUNTIFS(Relationships!$B$4:$B$1003,"AIR",Relationships!$C$4:$C$1003,A117,Relationships!$E$4:$E$1003,"TOOL",Relationships!$M$4:$M$1003,"Confirmed",Relationships!$N$4:$N$1003,"OK — verify source"))</f>
        <v/>
      </c>
      <c r="K117" s="27">
        <f>IF(A117="","",COUNTIFS(Relationships!$G$4:$G$1003,A117,Relationships!$M$4:$M$1003,"Proposed"))</f>
        <v/>
      </c>
      <c r="L117" s="27">
        <f>IF(A117="","",COUNTIFS(Relationships!$G$4:$G$1003,A117,Relationships!$A$4:$A$1003,"&lt;&gt;",Relationships!$N$4:$N$1003,"&lt;&gt;OK — verify source"))</f>
        <v/>
      </c>
      <c r="M117" s="27" t="n"/>
      <c r="N117" s="27" t="n"/>
      <c r="O117" s="27">
        <f>IF(COUNTA(A117:D117,M117:N117)=0,"",IF(A117="","AIR-ID missing",IF(COUNTIF($A$4:$A$203,A117)&gt;1,"Duplicate AIR-ID",IF(OR(B117="",C117="",D117=""),"Label / source / reconciled-on missing",IF(NOT(ISNUMBER(D117)),"Reconciled-on is not a date","OK — verify source")))))</f>
        <v/>
      </c>
    </row>
    <row r="118">
      <c r="A118" s="25" t="n"/>
      <c r="B118" s="25" t="n"/>
      <c r="C118" s="25" t="n"/>
      <c r="D118" s="26" t="n"/>
      <c r="E118" s="25">
        <f>IF(A118="","",COUNTIFS(Relationships!$B$4:$B$1003,"CAP",Relationships!$E$4:$E$1003,"AIR",Relationships!$F$4:$F$1003,A118,Relationships!$M$4:$M$1003,"Confirmed",Relationships!$N$4:$N$1003,"OK — verify source"))</f>
        <v/>
      </c>
      <c r="F118" s="25">
        <f>IF(A118="","",COUNTIFS(Relationships!$B$4:$B$1003,"AIR",Relationships!$C$4:$C$1003,A118,Relationships!$E$4:$E$1003,"MOD",Relationships!$M$4:$M$1003,"Confirmed",Relationships!$N$4:$N$1003,"OK — verify source"))</f>
        <v/>
      </c>
      <c r="G118" s="25">
        <f>IF(A118="","",COUNTIFS(Relationships!$B$4:$B$1003,"AIR",Relationships!$C$4:$C$1003,A118,Relationships!$E$4:$E$1003,"DATA",Relationships!$M$4:$M$1003,"Confirmed",Relationships!$N$4:$N$1003,"OK — verify source"))</f>
        <v/>
      </c>
      <c r="H118" s="25">
        <f>IF(A118="","",COUNTIFS(Relationships!$B$4:$B$1003,"AIR",Relationships!$C$4:$C$1003,A118,Relationships!$E$4:$E$1003,"IF",Relationships!$M$4:$M$1003,"Confirmed",Relationships!$N$4:$N$1003,"OK — verify source"))</f>
        <v/>
      </c>
      <c r="I118" s="25">
        <f>IF(A118="","",COUNTIFS(Relationships!$B$4:$B$1003,"AIR",Relationships!$C$4:$C$1003,A118,Relationships!$E$4:$E$1003,"AG",Relationships!$M$4:$M$1003,"Confirmed",Relationships!$N$4:$N$1003,"OK — verify source"))</f>
        <v/>
      </c>
      <c r="J118" s="25">
        <f>IF(A118="","",COUNTIFS(Relationships!$B$4:$B$1003,"AIR",Relationships!$C$4:$C$1003,A118,Relationships!$E$4:$E$1003,"TOOL",Relationships!$M$4:$M$1003,"Confirmed",Relationships!$N$4:$N$1003,"OK — verify source"))</f>
        <v/>
      </c>
      <c r="K118" s="25">
        <f>IF(A118="","",COUNTIFS(Relationships!$G$4:$G$1003,A118,Relationships!$M$4:$M$1003,"Proposed"))</f>
        <v/>
      </c>
      <c r="L118" s="25">
        <f>IF(A118="","",COUNTIFS(Relationships!$G$4:$G$1003,A118,Relationships!$A$4:$A$1003,"&lt;&gt;",Relationships!$N$4:$N$1003,"&lt;&gt;OK — verify source"))</f>
        <v/>
      </c>
      <c r="M118" s="25" t="n"/>
      <c r="N118" s="25" t="n"/>
      <c r="O118" s="25">
        <f>IF(COUNTA(A118:D118,M118:N118)=0,"",IF(A118="","AIR-ID missing",IF(COUNTIF($A$4:$A$203,A118)&gt;1,"Duplicate AIR-ID",IF(OR(B118="",C118="",D118=""),"Label / source / reconciled-on missing",IF(NOT(ISNUMBER(D118)),"Reconciled-on is not a date","OK — verify source")))))</f>
        <v/>
      </c>
    </row>
    <row r="119">
      <c r="A119" s="27" t="n"/>
      <c r="B119" s="27" t="n"/>
      <c r="C119" s="27" t="n"/>
      <c r="D119" s="28" t="n"/>
      <c r="E119" s="27">
        <f>IF(A119="","",COUNTIFS(Relationships!$B$4:$B$1003,"CAP",Relationships!$E$4:$E$1003,"AIR",Relationships!$F$4:$F$1003,A119,Relationships!$M$4:$M$1003,"Confirmed",Relationships!$N$4:$N$1003,"OK — verify source"))</f>
        <v/>
      </c>
      <c r="F119" s="27">
        <f>IF(A119="","",COUNTIFS(Relationships!$B$4:$B$1003,"AIR",Relationships!$C$4:$C$1003,A119,Relationships!$E$4:$E$1003,"MOD",Relationships!$M$4:$M$1003,"Confirmed",Relationships!$N$4:$N$1003,"OK — verify source"))</f>
        <v/>
      </c>
      <c r="G119" s="27">
        <f>IF(A119="","",COUNTIFS(Relationships!$B$4:$B$1003,"AIR",Relationships!$C$4:$C$1003,A119,Relationships!$E$4:$E$1003,"DATA",Relationships!$M$4:$M$1003,"Confirmed",Relationships!$N$4:$N$1003,"OK — verify source"))</f>
        <v/>
      </c>
      <c r="H119" s="27">
        <f>IF(A119="","",COUNTIFS(Relationships!$B$4:$B$1003,"AIR",Relationships!$C$4:$C$1003,A119,Relationships!$E$4:$E$1003,"IF",Relationships!$M$4:$M$1003,"Confirmed",Relationships!$N$4:$N$1003,"OK — verify source"))</f>
        <v/>
      </c>
      <c r="I119" s="27">
        <f>IF(A119="","",COUNTIFS(Relationships!$B$4:$B$1003,"AIR",Relationships!$C$4:$C$1003,A119,Relationships!$E$4:$E$1003,"AG",Relationships!$M$4:$M$1003,"Confirmed",Relationships!$N$4:$N$1003,"OK — verify source"))</f>
        <v/>
      </c>
      <c r="J119" s="27">
        <f>IF(A119="","",COUNTIFS(Relationships!$B$4:$B$1003,"AIR",Relationships!$C$4:$C$1003,A119,Relationships!$E$4:$E$1003,"TOOL",Relationships!$M$4:$M$1003,"Confirmed",Relationships!$N$4:$N$1003,"OK — verify source"))</f>
        <v/>
      </c>
      <c r="K119" s="27">
        <f>IF(A119="","",COUNTIFS(Relationships!$G$4:$G$1003,A119,Relationships!$M$4:$M$1003,"Proposed"))</f>
        <v/>
      </c>
      <c r="L119" s="27">
        <f>IF(A119="","",COUNTIFS(Relationships!$G$4:$G$1003,A119,Relationships!$A$4:$A$1003,"&lt;&gt;",Relationships!$N$4:$N$1003,"&lt;&gt;OK — verify source"))</f>
        <v/>
      </c>
      <c r="M119" s="27" t="n"/>
      <c r="N119" s="27" t="n"/>
      <c r="O119" s="27">
        <f>IF(COUNTA(A119:D119,M119:N119)=0,"",IF(A119="","AIR-ID missing",IF(COUNTIF($A$4:$A$203,A119)&gt;1,"Duplicate AIR-ID",IF(OR(B119="",C119="",D119=""),"Label / source / reconciled-on missing",IF(NOT(ISNUMBER(D119)),"Reconciled-on is not a date","OK — verify source")))))</f>
        <v/>
      </c>
    </row>
    <row r="120">
      <c r="A120" s="25" t="n"/>
      <c r="B120" s="25" t="n"/>
      <c r="C120" s="25" t="n"/>
      <c r="D120" s="26" t="n"/>
      <c r="E120" s="25">
        <f>IF(A120="","",COUNTIFS(Relationships!$B$4:$B$1003,"CAP",Relationships!$E$4:$E$1003,"AIR",Relationships!$F$4:$F$1003,A120,Relationships!$M$4:$M$1003,"Confirmed",Relationships!$N$4:$N$1003,"OK — verify source"))</f>
        <v/>
      </c>
      <c r="F120" s="25">
        <f>IF(A120="","",COUNTIFS(Relationships!$B$4:$B$1003,"AIR",Relationships!$C$4:$C$1003,A120,Relationships!$E$4:$E$1003,"MOD",Relationships!$M$4:$M$1003,"Confirmed",Relationships!$N$4:$N$1003,"OK — verify source"))</f>
        <v/>
      </c>
      <c r="G120" s="25">
        <f>IF(A120="","",COUNTIFS(Relationships!$B$4:$B$1003,"AIR",Relationships!$C$4:$C$1003,A120,Relationships!$E$4:$E$1003,"DATA",Relationships!$M$4:$M$1003,"Confirmed",Relationships!$N$4:$N$1003,"OK — verify source"))</f>
        <v/>
      </c>
      <c r="H120" s="25">
        <f>IF(A120="","",COUNTIFS(Relationships!$B$4:$B$1003,"AIR",Relationships!$C$4:$C$1003,A120,Relationships!$E$4:$E$1003,"IF",Relationships!$M$4:$M$1003,"Confirmed",Relationships!$N$4:$N$1003,"OK — verify source"))</f>
        <v/>
      </c>
      <c r="I120" s="25">
        <f>IF(A120="","",COUNTIFS(Relationships!$B$4:$B$1003,"AIR",Relationships!$C$4:$C$1003,A120,Relationships!$E$4:$E$1003,"AG",Relationships!$M$4:$M$1003,"Confirmed",Relationships!$N$4:$N$1003,"OK — verify source"))</f>
        <v/>
      </c>
      <c r="J120" s="25">
        <f>IF(A120="","",COUNTIFS(Relationships!$B$4:$B$1003,"AIR",Relationships!$C$4:$C$1003,A120,Relationships!$E$4:$E$1003,"TOOL",Relationships!$M$4:$M$1003,"Confirmed",Relationships!$N$4:$N$1003,"OK — verify source"))</f>
        <v/>
      </c>
      <c r="K120" s="25">
        <f>IF(A120="","",COUNTIFS(Relationships!$G$4:$G$1003,A120,Relationships!$M$4:$M$1003,"Proposed"))</f>
        <v/>
      </c>
      <c r="L120" s="25">
        <f>IF(A120="","",COUNTIFS(Relationships!$G$4:$G$1003,A120,Relationships!$A$4:$A$1003,"&lt;&gt;",Relationships!$N$4:$N$1003,"&lt;&gt;OK — verify source"))</f>
        <v/>
      </c>
      <c r="M120" s="25" t="n"/>
      <c r="N120" s="25" t="n"/>
      <c r="O120" s="25">
        <f>IF(COUNTA(A120:D120,M120:N120)=0,"",IF(A120="","AIR-ID missing",IF(COUNTIF($A$4:$A$203,A120)&gt;1,"Duplicate AIR-ID",IF(OR(B120="",C120="",D120=""),"Label / source / reconciled-on missing",IF(NOT(ISNUMBER(D120)),"Reconciled-on is not a date","OK — verify source")))))</f>
        <v/>
      </c>
    </row>
    <row r="121">
      <c r="A121" s="27" t="n"/>
      <c r="B121" s="27" t="n"/>
      <c r="C121" s="27" t="n"/>
      <c r="D121" s="28" t="n"/>
      <c r="E121" s="27">
        <f>IF(A121="","",COUNTIFS(Relationships!$B$4:$B$1003,"CAP",Relationships!$E$4:$E$1003,"AIR",Relationships!$F$4:$F$1003,A121,Relationships!$M$4:$M$1003,"Confirmed",Relationships!$N$4:$N$1003,"OK — verify source"))</f>
        <v/>
      </c>
      <c r="F121" s="27">
        <f>IF(A121="","",COUNTIFS(Relationships!$B$4:$B$1003,"AIR",Relationships!$C$4:$C$1003,A121,Relationships!$E$4:$E$1003,"MOD",Relationships!$M$4:$M$1003,"Confirmed",Relationships!$N$4:$N$1003,"OK — verify source"))</f>
        <v/>
      </c>
      <c r="G121" s="27">
        <f>IF(A121="","",COUNTIFS(Relationships!$B$4:$B$1003,"AIR",Relationships!$C$4:$C$1003,A121,Relationships!$E$4:$E$1003,"DATA",Relationships!$M$4:$M$1003,"Confirmed",Relationships!$N$4:$N$1003,"OK — verify source"))</f>
        <v/>
      </c>
      <c r="H121" s="27">
        <f>IF(A121="","",COUNTIFS(Relationships!$B$4:$B$1003,"AIR",Relationships!$C$4:$C$1003,A121,Relationships!$E$4:$E$1003,"IF",Relationships!$M$4:$M$1003,"Confirmed",Relationships!$N$4:$N$1003,"OK — verify source"))</f>
        <v/>
      </c>
      <c r="I121" s="27">
        <f>IF(A121="","",COUNTIFS(Relationships!$B$4:$B$1003,"AIR",Relationships!$C$4:$C$1003,A121,Relationships!$E$4:$E$1003,"AG",Relationships!$M$4:$M$1003,"Confirmed",Relationships!$N$4:$N$1003,"OK — verify source"))</f>
        <v/>
      </c>
      <c r="J121" s="27">
        <f>IF(A121="","",COUNTIFS(Relationships!$B$4:$B$1003,"AIR",Relationships!$C$4:$C$1003,A121,Relationships!$E$4:$E$1003,"TOOL",Relationships!$M$4:$M$1003,"Confirmed",Relationships!$N$4:$N$1003,"OK — verify source"))</f>
        <v/>
      </c>
      <c r="K121" s="27">
        <f>IF(A121="","",COUNTIFS(Relationships!$G$4:$G$1003,A121,Relationships!$M$4:$M$1003,"Proposed"))</f>
        <v/>
      </c>
      <c r="L121" s="27">
        <f>IF(A121="","",COUNTIFS(Relationships!$G$4:$G$1003,A121,Relationships!$A$4:$A$1003,"&lt;&gt;",Relationships!$N$4:$N$1003,"&lt;&gt;OK — verify source"))</f>
        <v/>
      </c>
      <c r="M121" s="27" t="n"/>
      <c r="N121" s="27" t="n"/>
      <c r="O121" s="27">
        <f>IF(COUNTA(A121:D121,M121:N121)=0,"",IF(A121="","AIR-ID missing",IF(COUNTIF($A$4:$A$203,A121)&gt;1,"Duplicate AIR-ID",IF(OR(B121="",C121="",D121=""),"Label / source / reconciled-on missing",IF(NOT(ISNUMBER(D121)),"Reconciled-on is not a date","OK — verify source")))))</f>
        <v/>
      </c>
    </row>
    <row r="122">
      <c r="A122" s="25" t="n"/>
      <c r="B122" s="25" t="n"/>
      <c r="C122" s="25" t="n"/>
      <c r="D122" s="26" t="n"/>
      <c r="E122" s="25">
        <f>IF(A122="","",COUNTIFS(Relationships!$B$4:$B$1003,"CAP",Relationships!$E$4:$E$1003,"AIR",Relationships!$F$4:$F$1003,A122,Relationships!$M$4:$M$1003,"Confirmed",Relationships!$N$4:$N$1003,"OK — verify source"))</f>
        <v/>
      </c>
      <c r="F122" s="25">
        <f>IF(A122="","",COUNTIFS(Relationships!$B$4:$B$1003,"AIR",Relationships!$C$4:$C$1003,A122,Relationships!$E$4:$E$1003,"MOD",Relationships!$M$4:$M$1003,"Confirmed",Relationships!$N$4:$N$1003,"OK — verify source"))</f>
        <v/>
      </c>
      <c r="G122" s="25">
        <f>IF(A122="","",COUNTIFS(Relationships!$B$4:$B$1003,"AIR",Relationships!$C$4:$C$1003,A122,Relationships!$E$4:$E$1003,"DATA",Relationships!$M$4:$M$1003,"Confirmed",Relationships!$N$4:$N$1003,"OK — verify source"))</f>
        <v/>
      </c>
      <c r="H122" s="25">
        <f>IF(A122="","",COUNTIFS(Relationships!$B$4:$B$1003,"AIR",Relationships!$C$4:$C$1003,A122,Relationships!$E$4:$E$1003,"IF",Relationships!$M$4:$M$1003,"Confirmed",Relationships!$N$4:$N$1003,"OK — verify source"))</f>
        <v/>
      </c>
      <c r="I122" s="25">
        <f>IF(A122="","",COUNTIFS(Relationships!$B$4:$B$1003,"AIR",Relationships!$C$4:$C$1003,A122,Relationships!$E$4:$E$1003,"AG",Relationships!$M$4:$M$1003,"Confirmed",Relationships!$N$4:$N$1003,"OK — verify source"))</f>
        <v/>
      </c>
      <c r="J122" s="25">
        <f>IF(A122="","",COUNTIFS(Relationships!$B$4:$B$1003,"AIR",Relationships!$C$4:$C$1003,A122,Relationships!$E$4:$E$1003,"TOOL",Relationships!$M$4:$M$1003,"Confirmed",Relationships!$N$4:$N$1003,"OK — verify source"))</f>
        <v/>
      </c>
      <c r="K122" s="25">
        <f>IF(A122="","",COUNTIFS(Relationships!$G$4:$G$1003,A122,Relationships!$M$4:$M$1003,"Proposed"))</f>
        <v/>
      </c>
      <c r="L122" s="25">
        <f>IF(A122="","",COUNTIFS(Relationships!$G$4:$G$1003,A122,Relationships!$A$4:$A$1003,"&lt;&gt;",Relationships!$N$4:$N$1003,"&lt;&gt;OK — verify source"))</f>
        <v/>
      </c>
      <c r="M122" s="25" t="n"/>
      <c r="N122" s="25" t="n"/>
      <c r="O122" s="25">
        <f>IF(COUNTA(A122:D122,M122:N122)=0,"",IF(A122="","AIR-ID missing",IF(COUNTIF($A$4:$A$203,A122)&gt;1,"Duplicate AIR-ID",IF(OR(B122="",C122="",D122=""),"Label / source / reconciled-on missing",IF(NOT(ISNUMBER(D122)),"Reconciled-on is not a date","OK — verify source")))))</f>
        <v/>
      </c>
    </row>
    <row r="123">
      <c r="A123" s="27" t="n"/>
      <c r="B123" s="27" t="n"/>
      <c r="C123" s="27" t="n"/>
      <c r="D123" s="28" t="n"/>
      <c r="E123" s="27">
        <f>IF(A123="","",COUNTIFS(Relationships!$B$4:$B$1003,"CAP",Relationships!$E$4:$E$1003,"AIR",Relationships!$F$4:$F$1003,A123,Relationships!$M$4:$M$1003,"Confirmed",Relationships!$N$4:$N$1003,"OK — verify source"))</f>
        <v/>
      </c>
      <c r="F123" s="27">
        <f>IF(A123="","",COUNTIFS(Relationships!$B$4:$B$1003,"AIR",Relationships!$C$4:$C$1003,A123,Relationships!$E$4:$E$1003,"MOD",Relationships!$M$4:$M$1003,"Confirmed",Relationships!$N$4:$N$1003,"OK — verify source"))</f>
        <v/>
      </c>
      <c r="G123" s="27">
        <f>IF(A123="","",COUNTIFS(Relationships!$B$4:$B$1003,"AIR",Relationships!$C$4:$C$1003,A123,Relationships!$E$4:$E$1003,"DATA",Relationships!$M$4:$M$1003,"Confirmed",Relationships!$N$4:$N$1003,"OK — verify source"))</f>
        <v/>
      </c>
      <c r="H123" s="27">
        <f>IF(A123="","",COUNTIFS(Relationships!$B$4:$B$1003,"AIR",Relationships!$C$4:$C$1003,A123,Relationships!$E$4:$E$1003,"IF",Relationships!$M$4:$M$1003,"Confirmed",Relationships!$N$4:$N$1003,"OK — verify source"))</f>
        <v/>
      </c>
      <c r="I123" s="27">
        <f>IF(A123="","",COUNTIFS(Relationships!$B$4:$B$1003,"AIR",Relationships!$C$4:$C$1003,A123,Relationships!$E$4:$E$1003,"AG",Relationships!$M$4:$M$1003,"Confirmed",Relationships!$N$4:$N$1003,"OK — verify source"))</f>
        <v/>
      </c>
      <c r="J123" s="27">
        <f>IF(A123="","",COUNTIFS(Relationships!$B$4:$B$1003,"AIR",Relationships!$C$4:$C$1003,A123,Relationships!$E$4:$E$1003,"TOOL",Relationships!$M$4:$M$1003,"Confirmed",Relationships!$N$4:$N$1003,"OK — verify source"))</f>
        <v/>
      </c>
      <c r="K123" s="27">
        <f>IF(A123="","",COUNTIFS(Relationships!$G$4:$G$1003,A123,Relationships!$M$4:$M$1003,"Proposed"))</f>
        <v/>
      </c>
      <c r="L123" s="27">
        <f>IF(A123="","",COUNTIFS(Relationships!$G$4:$G$1003,A123,Relationships!$A$4:$A$1003,"&lt;&gt;",Relationships!$N$4:$N$1003,"&lt;&gt;OK — verify source"))</f>
        <v/>
      </c>
      <c r="M123" s="27" t="n"/>
      <c r="N123" s="27" t="n"/>
      <c r="O123" s="27">
        <f>IF(COUNTA(A123:D123,M123:N123)=0,"",IF(A123="","AIR-ID missing",IF(COUNTIF($A$4:$A$203,A123)&gt;1,"Duplicate AIR-ID",IF(OR(B123="",C123="",D123=""),"Label / source / reconciled-on missing",IF(NOT(ISNUMBER(D123)),"Reconciled-on is not a date","OK — verify source")))))</f>
        <v/>
      </c>
    </row>
    <row r="124">
      <c r="A124" s="25" t="n"/>
      <c r="B124" s="25" t="n"/>
      <c r="C124" s="25" t="n"/>
      <c r="D124" s="26" t="n"/>
      <c r="E124" s="25">
        <f>IF(A124="","",COUNTIFS(Relationships!$B$4:$B$1003,"CAP",Relationships!$E$4:$E$1003,"AIR",Relationships!$F$4:$F$1003,A124,Relationships!$M$4:$M$1003,"Confirmed",Relationships!$N$4:$N$1003,"OK — verify source"))</f>
        <v/>
      </c>
      <c r="F124" s="25">
        <f>IF(A124="","",COUNTIFS(Relationships!$B$4:$B$1003,"AIR",Relationships!$C$4:$C$1003,A124,Relationships!$E$4:$E$1003,"MOD",Relationships!$M$4:$M$1003,"Confirmed",Relationships!$N$4:$N$1003,"OK — verify source"))</f>
        <v/>
      </c>
      <c r="G124" s="25">
        <f>IF(A124="","",COUNTIFS(Relationships!$B$4:$B$1003,"AIR",Relationships!$C$4:$C$1003,A124,Relationships!$E$4:$E$1003,"DATA",Relationships!$M$4:$M$1003,"Confirmed",Relationships!$N$4:$N$1003,"OK — verify source"))</f>
        <v/>
      </c>
      <c r="H124" s="25">
        <f>IF(A124="","",COUNTIFS(Relationships!$B$4:$B$1003,"AIR",Relationships!$C$4:$C$1003,A124,Relationships!$E$4:$E$1003,"IF",Relationships!$M$4:$M$1003,"Confirmed",Relationships!$N$4:$N$1003,"OK — verify source"))</f>
        <v/>
      </c>
      <c r="I124" s="25">
        <f>IF(A124="","",COUNTIFS(Relationships!$B$4:$B$1003,"AIR",Relationships!$C$4:$C$1003,A124,Relationships!$E$4:$E$1003,"AG",Relationships!$M$4:$M$1003,"Confirmed",Relationships!$N$4:$N$1003,"OK — verify source"))</f>
        <v/>
      </c>
      <c r="J124" s="25">
        <f>IF(A124="","",COUNTIFS(Relationships!$B$4:$B$1003,"AIR",Relationships!$C$4:$C$1003,A124,Relationships!$E$4:$E$1003,"TOOL",Relationships!$M$4:$M$1003,"Confirmed",Relationships!$N$4:$N$1003,"OK — verify source"))</f>
        <v/>
      </c>
      <c r="K124" s="25">
        <f>IF(A124="","",COUNTIFS(Relationships!$G$4:$G$1003,A124,Relationships!$M$4:$M$1003,"Proposed"))</f>
        <v/>
      </c>
      <c r="L124" s="25">
        <f>IF(A124="","",COUNTIFS(Relationships!$G$4:$G$1003,A124,Relationships!$A$4:$A$1003,"&lt;&gt;",Relationships!$N$4:$N$1003,"&lt;&gt;OK — verify source"))</f>
        <v/>
      </c>
      <c r="M124" s="25" t="n"/>
      <c r="N124" s="25" t="n"/>
      <c r="O124" s="25">
        <f>IF(COUNTA(A124:D124,M124:N124)=0,"",IF(A124="","AIR-ID missing",IF(COUNTIF($A$4:$A$203,A124)&gt;1,"Duplicate AIR-ID",IF(OR(B124="",C124="",D124=""),"Label / source / reconciled-on missing",IF(NOT(ISNUMBER(D124)),"Reconciled-on is not a date","OK — verify source")))))</f>
        <v/>
      </c>
    </row>
    <row r="125">
      <c r="A125" s="27" t="n"/>
      <c r="B125" s="27" t="n"/>
      <c r="C125" s="27" t="n"/>
      <c r="D125" s="28" t="n"/>
      <c r="E125" s="27">
        <f>IF(A125="","",COUNTIFS(Relationships!$B$4:$B$1003,"CAP",Relationships!$E$4:$E$1003,"AIR",Relationships!$F$4:$F$1003,A125,Relationships!$M$4:$M$1003,"Confirmed",Relationships!$N$4:$N$1003,"OK — verify source"))</f>
        <v/>
      </c>
      <c r="F125" s="27">
        <f>IF(A125="","",COUNTIFS(Relationships!$B$4:$B$1003,"AIR",Relationships!$C$4:$C$1003,A125,Relationships!$E$4:$E$1003,"MOD",Relationships!$M$4:$M$1003,"Confirmed",Relationships!$N$4:$N$1003,"OK — verify source"))</f>
        <v/>
      </c>
      <c r="G125" s="27">
        <f>IF(A125="","",COUNTIFS(Relationships!$B$4:$B$1003,"AIR",Relationships!$C$4:$C$1003,A125,Relationships!$E$4:$E$1003,"DATA",Relationships!$M$4:$M$1003,"Confirmed",Relationships!$N$4:$N$1003,"OK — verify source"))</f>
        <v/>
      </c>
      <c r="H125" s="27">
        <f>IF(A125="","",COUNTIFS(Relationships!$B$4:$B$1003,"AIR",Relationships!$C$4:$C$1003,A125,Relationships!$E$4:$E$1003,"IF",Relationships!$M$4:$M$1003,"Confirmed",Relationships!$N$4:$N$1003,"OK — verify source"))</f>
        <v/>
      </c>
      <c r="I125" s="27">
        <f>IF(A125="","",COUNTIFS(Relationships!$B$4:$B$1003,"AIR",Relationships!$C$4:$C$1003,A125,Relationships!$E$4:$E$1003,"AG",Relationships!$M$4:$M$1003,"Confirmed",Relationships!$N$4:$N$1003,"OK — verify source"))</f>
        <v/>
      </c>
      <c r="J125" s="27">
        <f>IF(A125="","",COUNTIFS(Relationships!$B$4:$B$1003,"AIR",Relationships!$C$4:$C$1003,A125,Relationships!$E$4:$E$1003,"TOOL",Relationships!$M$4:$M$1003,"Confirmed",Relationships!$N$4:$N$1003,"OK — verify source"))</f>
        <v/>
      </c>
      <c r="K125" s="27">
        <f>IF(A125="","",COUNTIFS(Relationships!$G$4:$G$1003,A125,Relationships!$M$4:$M$1003,"Proposed"))</f>
        <v/>
      </c>
      <c r="L125" s="27">
        <f>IF(A125="","",COUNTIFS(Relationships!$G$4:$G$1003,A125,Relationships!$A$4:$A$1003,"&lt;&gt;",Relationships!$N$4:$N$1003,"&lt;&gt;OK — verify source"))</f>
        <v/>
      </c>
      <c r="M125" s="27" t="n"/>
      <c r="N125" s="27" t="n"/>
      <c r="O125" s="27">
        <f>IF(COUNTA(A125:D125,M125:N125)=0,"",IF(A125="","AIR-ID missing",IF(COUNTIF($A$4:$A$203,A125)&gt;1,"Duplicate AIR-ID",IF(OR(B125="",C125="",D125=""),"Label / source / reconciled-on missing",IF(NOT(ISNUMBER(D125)),"Reconciled-on is not a date","OK — verify source")))))</f>
        <v/>
      </c>
    </row>
    <row r="126">
      <c r="A126" s="25" t="n"/>
      <c r="B126" s="25" t="n"/>
      <c r="C126" s="25" t="n"/>
      <c r="D126" s="26" t="n"/>
      <c r="E126" s="25">
        <f>IF(A126="","",COUNTIFS(Relationships!$B$4:$B$1003,"CAP",Relationships!$E$4:$E$1003,"AIR",Relationships!$F$4:$F$1003,A126,Relationships!$M$4:$M$1003,"Confirmed",Relationships!$N$4:$N$1003,"OK — verify source"))</f>
        <v/>
      </c>
      <c r="F126" s="25">
        <f>IF(A126="","",COUNTIFS(Relationships!$B$4:$B$1003,"AIR",Relationships!$C$4:$C$1003,A126,Relationships!$E$4:$E$1003,"MOD",Relationships!$M$4:$M$1003,"Confirmed",Relationships!$N$4:$N$1003,"OK — verify source"))</f>
        <v/>
      </c>
      <c r="G126" s="25">
        <f>IF(A126="","",COUNTIFS(Relationships!$B$4:$B$1003,"AIR",Relationships!$C$4:$C$1003,A126,Relationships!$E$4:$E$1003,"DATA",Relationships!$M$4:$M$1003,"Confirmed",Relationships!$N$4:$N$1003,"OK — verify source"))</f>
        <v/>
      </c>
      <c r="H126" s="25">
        <f>IF(A126="","",COUNTIFS(Relationships!$B$4:$B$1003,"AIR",Relationships!$C$4:$C$1003,A126,Relationships!$E$4:$E$1003,"IF",Relationships!$M$4:$M$1003,"Confirmed",Relationships!$N$4:$N$1003,"OK — verify source"))</f>
        <v/>
      </c>
      <c r="I126" s="25">
        <f>IF(A126="","",COUNTIFS(Relationships!$B$4:$B$1003,"AIR",Relationships!$C$4:$C$1003,A126,Relationships!$E$4:$E$1003,"AG",Relationships!$M$4:$M$1003,"Confirmed",Relationships!$N$4:$N$1003,"OK — verify source"))</f>
        <v/>
      </c>
      <c r="J126" s="25">
        <f>IF(A126="","",COUNTIFS(Relationships!$B$4:$B$1003,"AIR",Relationships!$C$4:$C$1003,A126,Relationships!$E$4:$E$1003,"TOOL",Relationships!$M$4:$M$1003,"Confirmed",Relationships!$N$4:$N$1003,"OK — verify source"))</f>
        <v/>
      </c>
      <c r="K126" s="25">
        <f>IF(A126="","",COUNTIFS(Relationships!$G$4:$G$1003,A126,Relationships!$M$4:$M$1003,"Proposed"))</f>
        <v/>
      </c>
      <c r="L126" s="25">
        <f>IF(A126="","",COUNTIFS(Relationships!$G$4:$G$1003,A126,Relationships!$A$4:$A$1003,"&lt;&gt;",Relationships!$N$4:$N$1003,"&lt;&gt;OK — verify source"))</f>
        <v/>
      </c>
      <c r="M126" s="25" t="n"/>
      <c r="N126" s="25" t="n"/>
      <c r="O126" s="25">
        <f>IF(COUNTA(A126:D126,M126:N126)=0,"",IF(A126="","AIR-ID missing",IF(COUNTIF($A$4:$A$203,A126)&gt;1,"Duplicate AIR-ID",IF(OR(B126="",C126="",D126=""),"Label / source / reconciled-on missing",IF(NOT(ISNUMBER(D126)),"Reconciled-on is not a date","OK — verify source")))))</f>
        <v/>
      </c>
    </row>
    <row r="127">
      <c r="A127" s="27" t="n"/>
      <c r="B127" s="27" t="n"/>
      <c r="C127" s="27" t="n"/>
      <c r="D127" s="28" t="n"/>
      <c r="E127" s="27">
        <f>IF(A127="","",COUNTIFS(Relationships!$B$4:$B$1003,"CAP",Relationships!$E$4:$E$1003,"AIR",Relationships!$F$4:$F$1003,A127,Relationships!$M$4:$M$1003,"Confirmed",Relationships!$N$4:$N$1003,"OK — verify source"))</f>
        <v/>
      </c>
      <c r="F127" s="27">
        <f>IF(A127="","",COUNTIFS(Relationships!$B$4:$B$1003,"AIR",Relationships!$C$4:$C$1003,A127,Relationships!$E$4:$E$1003,"MOD",Relationships!$M$4:$M$1003,"Confirmed",Relationships!$N$4:$N$1003,"OK — verify source"))</f>
        <v/>
      </c>
      <c r="G127" s="27">
        <f>IF(A127="","",COUNTIFS(Relationships!$B$4:$B$1003,"AIR",Relationships!$C$4:$C$1003,A127,Relationships!$E$4:$E$1003,"DATA",Relationships!$M$4:$M$1003,"Confirmed",Relationships!$N$4:$N$1003,"OK — verify source"))</f>
        <v/>
      </c>
      <c r="H127" s="27">
        <f>IF(A127="","",COUNTIFS(Relationships!$B$4:$B$1003,"AIR",Relationships!$C$4:$C$1003,A127,Relationships!$E$4:$E$1003,"IF",Relationships!$M$4:$M$1003,"Confirmed",Relationships!$N$4:$N$1003,"OK — verify source"))</f>
        <v/>
      </c>
      <c r="I127" s="27">
        <f>IF(A127="","",COUNTIFS(Relationships!$B$4:$B$1003,"AIR",Relationships!$C$4:$C$1003,A127,Relationships!$E$4:$E$1003,"AG",Relationships!$M$4:$M$1003,"Confirmed",Relationships!$N$4:$N$1003,"OK — verify source"))</f>
        <v/>
      </c>
      <c r="J127" s="27">
        <f>IF(A127="","",COUNTIFS(Relationships!$B$4:$B$1003,"AIR",Relationships!$C$4:$C$1003,A127,Relationships!$E$4:$E$1003,"TOOL",Relationships!$M$4:$M$1003,"Confirmed",Relationships!$N$4:$N$1003,"OK — verify source"))</f>
        <v/>
      </c>
      <c r="K127" s="27">
        <f>IF(A127="","",COUNTIFS(Relationships!$G$4:$G$1003,A127,Relationships!$M$4:$M$1003,"Proposed"))</f>
        <v/>
      </c>
      <c r="L127" s="27">
        <f>IF(A127="","",COUNTIFS(Relationships!$G$4:$G$1003,A127,Relationships!$A$4:$A$1003,"&lt;&gt;",Relationships!$N$4:$N$1003,"&lt;&gt;OK — verify source"))</f>
        <v/>
      </c>
      <c r="M127" s="27" t="n"/>
      <c r="N127" s="27" t="n"/>
      <c r="O127" s="27">
        <f>IF(COUNTA(A127:D127,M127:N127)=0,"",IF(A127="","AIR-ID missing",IF(COUNTIF($A$4:$A$203,A127)&gt;1,"Duplicate AIR-ID",IF(OR(B127="",C127="",D127=""),"Label / source / reconciled-on missing",IF(NOT(ISNUMBER(D127)),"Reconciled-on is not a date","OK — verify source")))))</f>
        <v/>
      </c>
    </row>
    <row r="128">
      <c r="A128" s="25" t="n"/>
      <c r="B128" s="25" t="n"/>
      <c r="C128" s="25" t="n"/>
      <c r="D128" s="26" t="n"/>
      <c r="E128" s="25">
        <f>IF(A128="","",COUNTIFS(Relationships!$B$4:$B$1003,"CAP",Relationships!$E$4:$E$1003,"AIR",Relationships!$F$4:$F$1003,A128,Relationships!$M$4:$M$1003,"Confirmed",Relationships!$N$4:$N$1003,"OK — verify source"))</f>
        <v/>
      </c>
      <c r="F128" s="25">
        <f>IF(A128="","",COUNTIFS(Relationships!$B$4:$B$1003,"AIR",Relationships!$C$4:$C$1003,A128,Relationships!$E$4:$E$1003,"MOD",Relationships!$M$4:$M$1003,"Confirmed",Relationships!$N$4:$N$1003,"OK — verify source"))</f>
        <v/>
      </c>
      <c r="G128" s="25">
        <f>IF(A128="","",COUNTIFS(Relationships!$B$4:$B$1003,"AIR",Relationships!$C$4:$C$1003,A128,Relationships!$E$4:$E$1003,"DATA",Relationships!$M$4:$M$1003,"Confirmed",Relationships!$N$4:$N$1003,"OK — verify source"))</f>
        <v/>
      </c>
      <c r="H128" s="25">
        <f>IF(A128="","",COUNTIFS(Relationships!$B$4:$B$1003,"AIR",Relationships!$C$4:$C$1003,A128,Relationships!$E$4:$E$1003,"IF",Relationships!$M$4:$M$1003,"Confirmed",Relationships!$N$4:$N$1003,"OK — verify source"))</f>
        <v/>
      </c>
      <c r="I128" s="25">
        <f>IF(A128="","",COUNTIFS(Relationships!$B$4:$B$1003,"AIR",Relationships!$C$4:$C$1003,A128,Relationships!$E$4:$E$1003,"AG",Relationships!$M$4:$M$1003,"Confirmed",Relationships!$N$4:$N$1003,"OK — verify source"))</f>
        <v/>
      </c>
      <c r="J128" s="25">
        <f>IF(A128="","",COUNTIFS(Relationships!$B$4:$B$1003,"AIR",Relationships!$C$4:$C$1003,A128,Relationships!$E$4:$E$1003,"TOOL",Relationships!$M$4:$M$1003,"Confirmed",Relationships!$N$4:$N$1003,"OK — verify source"))</f>
        <v/>
      </c>
      <c r="K128" s="25">
        <f>IF(A128="","",COUNTIFS(Relationships!$G$4:$G$1003,A128,Relationships!$M$4:$M$1003,"Proposed"))</f>
        <v/>
      </c>
      <c r="L128" s="25">
        <f>IF(A128="","",COUNTIFS(Relationships!$G$4:$G$1003,A128,Relationships!$A$4:$A$1003,"&lt;&gt;",Relationships!$N$4:$N$1003,"&lt;&gt;OK — verify source"))</f>
        <v/>
      </c>
      <c r="M128" s="25" t="n"/>
      <c r="N128" s="25" t="n"/>
      <c r="O128" s="25">
        <f>IF(COUNTA(A128:D128,M128:N128)=0,"",IF(A128="","AIR-ID missing",IF(COUNTIF($A$4:$A$203,A128)&gt;1,"Duplicate AIR-ID",IF(OR(B128="",C128="",D128=""),"Label / source / reconciled-on missing",IF(NOT(ISNUMBER(D128)),"Reconciled-on is not a date","OK — verify source")))))</f>
        <v/>
      </c>
    </row>
    <row r="129">
      <c r="A129" s="27" t="n"/>
      <c r="B129" s="27" t="n"/>
      <c r="C129" s="27" t="n"/>
      <c r="D129" s="28" t="n"/>
      <c r="E129" s="27">
        <f>IF(A129="","",COUNTIFS(Relationships!$B$4:$B$1003,"CAP",Relationships!$E$4:$E$1003,"AIR",Relationships!$F$4:$F$1003,A129,Relationships!$M$4:$M$1003,"Confirmed",Relationships!$N$4:$N$1003,"OK — verify source"))</f>
        <v/>
      </c>
      <c r="F129" s="27">
        <f>IF(A129="","",COUNTIFS(Relationships!$B$4:$B$1003,"AIR",Relationships!$C$4:$C$1003,A129,Relationships!$E$4:$E$1003,"MOD",Relationships!$M$4:$M$1003,"Confirmed",Relationships!$N$4:$N$1003,"OK — verify source"))</f>
        <v/>
      </c>
      <c r="G129" s="27">
        <f>IF(A129="","",COUNTIFS(Relationships!$B$4:$B$1003,"AIR",Relationships!$C$4:$C$1003,A129,Relationships!$E$4:$E$1003,"DATA",Relationships!$M$4:$M$1003,"Confirmed",Relationships!$N$4:$N$1003,"OK — verify source"))</f>
        <v/>
      </c>
      <c r="H129" s="27">
        <f>IF(A129="","",COUNTIFS(Relationships!$B$4:$B$1003,"AIR",Relationships!$C$4:$C$1003,A129,Relationships!$E$4:$E$1003,"IF",Relationships!$M$4:$M$1003,"Confirmed",Relationships!$N$4:$N$1003,"OK — verify source"))</f>
        <v/>
      </c>
      <c r="I129" s="27">
        <f>IF(A129="","",COUNTIFS(Relationships!$B$4:$B$1003,"AIR",Relationships!$C$4:$C$1003,A129,Relationships!$E$4:$E$1003,"AG",Relationships!$M$4:$M$1003,"Confirmed",Relationships!$N$4:$N$1003,"OK — verify source"))</f>
        <v/>
      </c>
      <c r="J129" s="27">
        <f>IF(A129="","",COUNTIFS(Relationships!$B$4:$B$1003,"AIR",Relationships!$C$4:$C$1003,A129,Relationships!$E$4:$E$1003,"TOOL",Relationships!$M$4:$M$1003,"Confirmed",Relationships!$N$4:$N$1003,"OK — verify source"))</f>
        <v/>
      </c>
      <c r="K129" s="27">
        <f>IF(A129="","",COUNTIFS(Relationships!$G$4:$G$1003,A129,Relationships!$M$4:$M$1003,"Proposed"))</f>
        <v/>
      </c>
      <c r="L129" s="27">
        <f>IF(A129="","",COUNTIFS(Relationships!$G$4:$G$1003,A129,Relationships!$A$4:$A$1003,"&lt;&gt;",Relationships!$N$4:$N$1003,"&lt;&gt;OK — verify source"))</f>
        <v/>
      </c>
      <c r="M129" s="27" t="n"/>
      <c r="N129" s="27" t="n"/>
      <c r="O129" s="27">
        <f>IF(COUNTA(A129:D129,M129:N129)=0,"",IF(A129="","AIR-ID missing",IF(COUNTIF($A$4:$A$203,A129)&gt;1,"Duplicate AIR-ID",IF(OR(B129="",C129="",D129=""),"Label / source / reconciled-on missing",IF(NOT(ISNUMBER(D129)),"Reconciled-on is not a date","OK — verify source")))))</f>
        <v/>
      </c>
    </row>
    <row r="130">
      <c r="A130" s="25" t="n"/>
      <c r="B130" s="25" t="n"/>
      <c r="C130" s="25" t="n"/>
      <c r="D130" s="26" t="n"/>
      <c r="E130" s="25">
        <f>IF(A130="","",COUNTIFS(Relationships!$B$4:$B$1003,"CAP",Relationships!$E$4:$E$1003,"AIR",Relationships!$F$4:$F$1003,A130,Relationships!$M$4:$M$1003,"Confirmed",Relationships!$N$4:$N$1003,"OK — verify source"))</f>
        <v/>
      </c>
      <c r="F130" s="25">
        <f>IF(A130="","",COUNTIFS(Relationships!$B$4:$B$1003,"AIR",Relationships!$C$4:$C$1003,A130,Relationships!$E$4:$E$1003,"MOD",Relationships!$M$4:$M$1003,"Confirmed",Relationships!$N$4:$N$1003,"OK — verify source"))</f>
        <v/>
      </c>
      <c r="G130" s="25">
        <f>IF(A130="","",COUNTIFS(Relationships!$B$4:$B$1003,"AIR",Relationships!$C$4:$C$1003,A130,Relationships!$E$4:$E$1003,"DATA",Relationships!$M$4:$M$1003,"Confirmed",Relationships!$N$4:$N$1003,"OK — verify source"))</f>
        <v/>
      </c>
      <c r="H130" s="25">
        <f>IF(A130="","",COUNTIFS(Relationships!$B$4:$B$1003,"AIR",Relationships!$C$4:$C$1003,A130,Relationships!$E$4:$E$1003,"IF",Relationships!$M$4:$M$1003,"Confirmed",Relationships!$N$4:$N$1003,"OK — verify source"))</f>
        <v/>
      </c>
      <c r="I130" s="25">
        <f>IF(A130="","",COUNTIFS(Relationships!$B$4:$B$1003,"AIR",Relationships!$C$4:$C$1003,A130,Relationships!$E$4:$E$1003,"AG",Relationships!$M$4:$M$1003,"Confirmed",Relationships!$N$4:$N$1003,"OK — verify source"))</f>
        <v/>
      </c>
      <c r="J130" s="25">
        <f>IF(A130="","",COUNTIFS(Relationships!$B$4:$B$1003,"AIR",Relationships!$C$4:$C$1003,A130,Relationships!$E$4:$E$1003,"TOOL",Relationships!$M$4:$M$1003,"Confirmed",Relationships!$N$4:$N$1003,"OK — verify source"))</f>
        <v/>
      </c>
      <c r="K130" s="25">
        <f>IF(A130="","",COUNTIFS(Relationships!$G$4:$G$1003,A130,Relationships!$M$4:$M$1003,"Proposed"))</f>
        <v/>
      </c>
      <c r="L130" s="25">
        <f>IF(A130="","",COUNTIFS(Relationships!$G$4:$G$1003,A130,Relationships!$A$4:$A$1003,"&lt;&gt;",Relationships!$N$4:$N$1003,"&lt;&gt;OK — verify source"))</f>
        <v/>
      </c>
      <c r="M130" s="25" t="n"/>
      <c r="N130" s="25" t="n"/>
      <c r="O130" s="25">
        <f>IF(COUNTA(A130:D130,M130:N130)=0,"",IF(A130="","AIR-ID missing",IF(COUNTIF($A$4:$A$203,A130)&gt;1,"Duplicate AIR-ID",IF(OR(B130="",C130="",D130=""),"Label / source / reconciled-on missing",IF(NOT(ISNUMBER(D130)),"Reconciled-on is not a date","OK — verify source")))))</f>
        <v/>
      </c>
    </row>
    <row r="131">
      <c r="A131" s="27" t="n"/>
      <c r="B131" s="27" t="n"/>
      <c r="C131" s="27" t="n"/>
      <c r="D131" s="28" t="n"/>
      <c r="E131" s="27">
        <f>IF(A131="","",COUNTIFS(Relationships!$B$4:$B$1003,"CAP",Relationships!$E$4:$E$1003,"AIR",Relationships!$F$4:$F$1003,A131,Relationships!$M$4:$M$1003,"Confirmed",Relationships!$N$4:$N$1003,"OK — verify source"))</f>
        <v/>
      </c>
      <c r="F131" s="27">
        <f>IF(A131="","",COUNTIFS(Relationships!$B$4:$B$1003,"AIR",Relationships!$C$4:$C$1003,A131,Relationships!$E$4:$E$1003,"MOD",Relationships!$M$4:$M$1003,"Confirmed",Relationships!$N$4:$N$1003,"OK — verify source"))</f>
        <v/>
      </c>
      <c r="G131" s="27">
        <f>IF(A131="","",COUNTIFS(Relationships!$B$4:$B$1003,"AIR",Relationships!$C$4:$C$1003,A131,Relationships!$E$4:$E$1003,"DATA",Relationships!$M$4:$M$1003,"Confirmed",Relationships!$N$4:$N$1003,"OK — verify source"))</f>
        <v/>
      </c>
      <c r="H131" s="27">
        <f>IF(A131="","",COUNTIFS(Relationships!$B$4:$B$1003,"AIR",Relationships!$C$4:$C$1003,A131,Relationships!$E$4:$E$1003,"IF",Relationships!$M$4:$M$1003,"Confirmed",Relationships!$N$4:$N$1003,"OK — verify source"))</f>
        <v/>
      </c>
      <c r="I131" s="27">
        <f>IF(A131="","",COUNTIFS(Relationships!$B$4:$B$1003,"AIR",Relationships!$C$4:$C$1003,A131,Relationships!$E$4:$E$1003,"AG",Relationships!$M$4:$M$1003,"Confirmed",Relationships!$N$4:$N$1003,"OK — verify source"))</f>
        <v/>
      </c>
      <c r="J131" s="27">
        <f>IF(A131="","",COUNTIFS(Relationships!$B$4:$B$1003,"AIR",Relationships!$C$4:$C$1003,A131,Relationships!$E$4:$E$1003,"TOOL",Relationships!$M$4:$M$1003,"Confirmed",Relationships!$N$4:$N$1003,"OK — verify source"))</f>
        <v/>
      </c>
      <c r="K131" s="27">
        <f>IF(A131="","",COUNTIFS(Relationships!$G$4:$G$1003,A131,Relationships!$M$4:$M$1003,"Proposed"))</f>
        <v/>
      </c>
      <c r="L131" s="27">
        <f>IF(A131="","",COUNTIFS(Relationships!$G$4:$G$1003,A131,Relationships!$A$4:$A$1003,"&lt;&gt;",Relationships!$N$4:$N$1003,"&lt;&gt;OK — verify source"))</f>
        <v/>
      </c>
      <c r="M131" s="27" t="n"/>
      <c r="N131" s="27" t="n"/>
      <c r="O131" s="27">
        <f>IF(COUNTA(A131:D131,M131:N131)=0,"",IF(A131="","AIR-ID missing",IF(COUNTIF($A$4:$A$203,A131)&gt;1,"Duplicate AIR-ID",IF(OR(B131="",C131="",D131=""),"Label / source / reconciled-on missing",IF(NOT(ISNUMBER(D131)),"Reconciled-on is not a date","OK — verify source")))))</f>
        <v/>
      </c>
    </row>
    <row r="132">
      <c r="A132" s="25" t="n"/>
      <c r="B132" s="25" t="n"/>
      <c r="C132" s="25" t="n"/>
      <c r="D132" s="26" t="n"/>
      <c r="E132" s="25">
        <f>IF(A132="","",COUNTIFS(Relationships!$B$4:$B$1003,"CAP",Relationships!$E$4:$E$1003,"AIR",Relationships!$F$4:$F$1003,A132,Relationships!$M$4:$M$1003,"Confirmed",Relationships!$N$4:$N$1003,"OK — verify source"))</f>
        <v/>
      </c>
      <c r="F132" s="25">
        <f>IF(A132="","",COUNTIFS(Relationships!$B$4:$B$1003,"AIR",Relationships!$C$4:$C$1003,A132,Relationships!$E$4:$E$1003,"MOD",Relationships!$M$4:$M$1003,"Confirmed",Relationships!$N$4:$N$1003,"OK — verify source"))</f>
        <v/>
      </c>
      <c r="G132" s="25">
        <f>IF(A132="","",COUNTIFS(Relationships!$B$4:$B$1003,"AIR",Relationships!$C$4:$C$1003,A132,Relationships!$E$4:$E$1003,"DATA",Relationships!$M$4:$M$1003,"Confirmed",Relationships!$N$4:$N$1003,"OK — verify source"))</f>
        <v/>
      </c>
      <c r="H132" s="25">
        <f>IF(A132="","",COUNTIFS(Relationships!$B$4:$B$1003,"AIR",Relationships!$C$4:$C$1003,A132,Relationships!$E$4:$E$1003,"IF",Relationships!$M$4:$M$1003,"Confirmed",Relationships!$N$4:$N$1003,"OK — verify source"))</f>
        <v/>
      </c>
      <c r="I132" s="25">
        <f>IF(A132="","",COUNTIFS(Relationships!$B$4:$B$1003,"AIR",Relationships!$C$4:$C$1003,A132,Relationships!$E$4:$E$1003,"AG",Relationships!$M$4:$M$1003,"Confirmed",Relationships!$N$4:$N$1003,"OK — verify source"))</f>
        <v/>
      </c>
      <c r="J132" s="25">
        <f>IF(A132="","",COUNTIFS(Relationships!$B$4:$B$1003,"AIR",Relationships!$C$4:$C$1003,A132,Relationships!$E$4:$E$1003,"TOOL",Relationships!$M$4:$M$1003,"Confirmed",Relationships!$N$4:$N$1003,"OK — verify source"))</f>
        <v/>
      </c>
      <c r="K132" s="25">
        <f>IF(A132="","",COUNTIFS(Relationships!$G$4:$G$1003,A132,Relationships!$M$4:$M$1003,"Proposed"))</f>
        <v/>
      </c>
      <c r="L132" s="25">
        <f>IF(A132="","",COUNTIFS(Relationships!$G$4:$G$1003,A132,Relationships!$A$4:$A$1003,"&lt;&gt;",Relationships!$N$4:$N$1003,"&lt;&gt;OK — verify source"))</f>
        <v/>
      </c>
      <c r="M132" s="25" t="n"/>
      <c r="N132" s="25" t="n"/>
      <c r="O132" s="25">
        <f>IF(COUNTA(A132:D132,M132:N132)=0,"",IF(A132="","AIR-ID missing",IF(COUNTIF($A$4:$A$203,A132)&gt;1,"Duplicate AIR-ID",IF(OR(B132="",C132="",D132=""),"Label / source / reconciled-on missing",IF(NOT(ISNUMBER(D132)),"Reconciled-on is not a date","OK — verify source")))))</f>
        <v/>
      </c>
    </row>
    <row r="133">
      <c r="A133" s="27" t="n"/>
      <c r="B133" s="27" t="n"/>
      <c r="C133" s="27" t="n"/>
      <c r="D133" s="28" t="n"/>
      <c r="E133" s="27">
        <f>IF(A133="","",COUNTIFS(Relationships!$B$4:$B$1003,"CAP",Relationships!$E$4:$E$1003,"AIR",Relationships!$F$4:$F$1003,A133,Relationships!$M$4:$M$1003,"Confirmed",Relationships!$N$4:$N$1003,"OK — verify source"))</f>
        <v/>
      </c>
      <c r="F133" s="27">
        <f>IF(A133="","",COUNTIFS(Relationships!$B$4:$B$1003,"AIR",Relationships!$C$4:$C$1003,A133,Relationships!$E$4:$E$1003,"MOD",Relationships!$M$4:$M$1003,"Confirmed",Relationships!$N$4:$N$1003,"OK — verify source"))</f>
        <v/>
      </c>
      <c r="G133" s="27">
        <f>IF(A133="","",COUNTIFS(Relationships!$B$4:$B$1003,"AIR",Relationships!$C$4:$C$1003,A133,Relationships!$E$4:$E$1003,"DATA",Relationships!$M$4:$M$1003,"Confirmed",Relationships!$N$4:$N$1003,"OK — verify source"))</f>
        <v/>
      </c>
      <c r="H133" s="27">
        <f>IF(A133="","",COUNTIFS(Relationships!$B$4:$B$1003,"AIR",Relationships!$C$4:$C$1003,A133,Relationships!$E$4:$E$1003,"IF",Relationships!$M$4:$M$1003,"Confirmed",Relationships!$N$4:$N$1003,"OK — verify source"))</f>
        <v/>
      </c>
      <c r="I133" s="27">
        <f>IF(A133="","",COUNTIFS(Relationships!$B$4:$B$1003,"AIR",Relationships!$C$4:$C$1003,A133,Relationships!$E$4:$E$1003,"AG",Relationships!$M$4:$M$1003,"Confirmed",Relationships!$N$4:$N$1003,"OK — verify source"))</f>
        <v/>
      </c>
      <c r="J133" s="27">
        <f>IF(A133="","",COUNTIFS(Relationships!$B$4:$B$1003,"AIR",Relationships!$C$4:$C$1003,A133,Relationships!$E$4:$E$1003,"TOOL",Relationships!$M$4:$M$1003,"Confirmed",Relationships!$N$4:$N$1003,"OK — verify source"))</f>
        <v/>
      </c>
      <c r="K133" s="27">
        <f>IF(A133="","",COUNTIFS(Relationships!$G$4:$G$1003,A133,Relationships!$M$4:$M$1003,"Proposed"))</f>
        <v/>
      </c>
      <c r="L133" s="27">
        <f>IF(A133="","",COUNTIFS(Relationships!$G$4:$G$1003,A133,Relationships!$A$4:$A$1003,"&lt;&gt;",Relationships!$N$4:$N$1003,"&lt;&gt;OK — verify source"))</f>
        <v/>
      </c>
      <c r="M133" s="27" t="n"/>
      <c r="N133" s="27" t="n"/>
      <c r="O133" s="27">
        <f>IF(COUNTA(A133:D133,M133:N133)=0,"",IF(A133="","AIR-ID missing",IF(COUNTIF($A$4:$A$203,A133)&gt;1,"Duplicate AIR-ID",IF(OR(B133="",C133="",D133=""),"Label / source / reconciled-on missing",IF(NOT(ISNUMBER(D133)),"Reconciled-on is not a date","OK — verify source")))))</f>
        <v/>
      </c>
    </row>
    <row r="134">
      <c r="A134" s="25" t="n"/>
      <c r="B134" s="25" t="n"/>
      <c r="C134" s="25" t="n"/>
      <c r="D134" s="26" t="n"/>
      <c r="E134" s="25">
        <f>IF(A134="","",COUNTIFS(Relationships!$B$4:$B$1003,"CAP",Relationships!$E$4:$E$1003,"AIR",Relationships!$F$4:$F$1003,A134,Relationships!$M$4:$M$1003,"Confirmed",Relationships!$N$4:$N$1003,"OK — verify source"))</f>
        <v/>
      </c>
      <c r="F134" s="25">
        <f>IF(A134="","",COUNTIFS(Relationships!$B$4:$B$1003,"AIR",Relationships!$C$4:$C$1003,A134,Relationships!$E$4:$E$1003,"MOD",Relationships!$M$4:$M$1003,"Confirmed",Relationships!$N$4:$N$1003,"OK — verify source"))</f>
        <v/>
      </c>
      <c r="G134" s="25">
        <f>IF(A134="","",COUNTIFS(Relationships!$B$4:$B$1003,"AIR",Relationships!$C$4:$C$1003,A134,Relationships!$E$4:$E$1003,"DATA",Relationships!$M$4:$M$1003,"Confirmed",Relationships!$N$4:$N$1003,"OK — verify source"))</f>
        <v/>
      </c>
      <c r="H134" s="25">
        <f>IF(A134="","",COUNTIFS(Relationships!$B$4:$B$1003,"AIR",Relationships!$C$4:$C$1003,A134,Relationships!$E$4:$E$1003,"IF",Relationships!$M$4:$M$1003,"Confirmed",Relationships!$N$4:$N$1003,"OK — verify source"))</f>
        <v/>
      </c>
      <c r="I134" s="25">
        <f>IF(A134="","",COUNTIFS(Relationships!$B$4:$B$1003,"AIR",Relationships!$C$4:$C$1003,A134,Relationships!$E$4:$E$1003,"AG",Relationships!$M$4:$M$1003,"Confirmed",Relationships!$N$4:$N$1003,"OK — verify source"))</f>
        <v/>
      </c>
      <c r="J134" s="25">
        <f>IF(A134="","",COUNTIFS(Relationships!$B$4:$B$1003,"AIR",Relationships!$C$4:$C$1003,A134,Relationships!$E$4:$E$1003,"TOOL",Relationships!$M$4:$M$1003,"Confirmed",Relationships!$N$4:$N$1003,"OK — verify source"))</f>
        <v/>
      </c>
      <c r="K134" s="25">
        <f>IF(A134="","",COUNTIFS(Relationships!$G$4:$G$1003,A134,Relationships!$M$4:$M$1003,"Proposed"))</f>
        <v/>
      </c>
      <c r="L134" s="25">
        <f>IF(A134="","",COUNTIFS(Relationships!$G$4:$G$1003,A134,Relationships!$A$4:$A$1003,"&lt;&gt;",Relationships!$N$4:$N$1003,"&lt;&gt;OK — verify source"))</f>
        <v/>
      </c>
      <c r="M134" s="25" t="n"/>
      <c r="N134" s="25" t="n"/>
      <c r="O134" s="25">
        <f>IF(COUNTA(A134:D134,M134:N134)=0,"",IF(A134="","AIR-ID missing",IF(COUNTIF($A$4:$A$203,A134)&gt;1,"Duplicate AIR-ID",IF(OR(B134="",C134="",D134=""),"Label / source / reconciled-on missing",IF(NOT(ISNUMBER(D134)),"Reconciled-on is not a date","OK — verify source")))))</f>
        <v/>
      </c>
    </row>
    <row r="135">
      <c r="A135" s="27" t="n"/>
      <c r="B135" s="27" t="n"/>
      <c r="C135" s="27" t="n"/>
      <c r="D135" s="28" t="n"/>
      <c r="E135" s="27">
        <f>IF(A135="","",COUNTIFS(Relationships!$B$4:$B$1003,"CAP",Relationships!$E$4:$E$1003,"AIR",Relationships!$F$4:$F$1003,A135,Relationships!$M$4:$M$1003,"Confirmed",Relationships!$N$4:$N$1003,"OK — verify source"))</f>
        <v/>
      </c>
      <c r="F135" s="27">
        <f>IF(A135="","",COUNTIFS(Relationships!$B$4:$B$1003,"AIR",Relationships!$C$4:$C$1003,A135,Relationships!$E$4:$E$1003,"MOD",Relationships!$M$4:$M$1003,"Confirmed",Relationships!$N$4:$N$1003,"OK — verify source"))</f>
        <v/>
      </c>
      <c r="G135" s="27">
        <f>IF(A135="","",COUNTIFS(Relationships!$B$4:$B$1003,"AIR",Relationships!$C$4:$C$1003,A135,Relationships!$E$4:$E$1003,"DATA",Relationships!$M$4:$M$1003,"Confirmed",Relationships!$N$4:$N$1003,"OK — verify source"))</f>
        <v/>
      </c>
      <c r="H135" s="27">
        <f>IF(A135="","",COUNTIFS(Relationships!$B$4:$B$1003,"AIR",Relationships!$C$4:$C$1003,A135,Relationships!$E$4:$E$1003,"IF",Relationships!$M$4:$M$1003,"Confirmed",Relationships!$N$4:$N$1003,"OK — verify source"))</f>
        <v/>
      </c>
      <c r="I135" s="27">
        <f>IF(A135="","",COUNTIFS(Relationships!$B$4:$B$1003,"AIR",Relationships!$C$4:$C$1003,A135,Relationships!$E$4:$E$1003,"AG",Relationships!$M$4:$M$1003,"Confirmed",Relationships!$N$4:$N$1003,"OK — verify source"))</f>
        <v/>
      </c>
      <c r="J135" s="27">
        <f>IF(A135="","",COUNTIFS(Relationships!$B$4:$B$1003,"AIR",Relationships!$C$4:$C$1003,A135,Relationships!$E$4:$E$1003,"TOOL",Relationships!$M$4:$M$1003,"Confirmed",Relationships!$N$4:$N$1003,"OK — verify source"))</f>
        <v/>
      </c>
      <c r="K135" s="27">
        <f>IF(A135="","",COUNTIFS(Relationships!$G$4:$G$1003,A135,Relationships!$M$4:$M$1003,"Proposed"))</f>
        <v/>
      </c>
      <c r="L135" s="27">
        <f>IF(A135="","",COUNTIFS(Relationships!$G$4:$G$1003,A135,Relationships!$A$4:$A$1003,"&lt;&gt;",Relationships!$N$4:$N$1003,"&lt;&gt;OK — verify source"))</f>
        <v/>
      </c>
      <c r="M135" s="27" t="n"/>
      <c r="N135" s="27" t="n"/>
      <c r="O135" s="27">
        <f>IF(COUNTA(A135:D135,M135:N135)=0,"",IF(A135="","AIR-ID missing",IF(COUNTIF($A$4:$A$203,A135)&gt;1,"Duplicate AIR-ID",IF(OR(B135="",C135="",D135=""),"Label / source / reconciled-on missing",IF(NOT(ISNUMBER(D135)),"Reconciled-on is not a date","OK — verify source")))))</f>
        <v/>
      </c>
    </row>
    <row r="136">
      <c r="A136" s="25" t="n"/>
      <c r="B136" s="25" t="n"/>
      <c r="C136" s="25" t="n"/>
      <c r="D136" s="26" t="n"/>
      <c r="E136" s="25">
        <f>IF(A136="","",COUNTIFS(Relationships!$B$4:$B$1003,"CAP",Relationships!$E$4:$E$1003,"AIR",Relationships!$F$4:$F$1003,A136,Relationships!$M$4:$M$1003,"Confirmed",Relationships!$N$4:$N$1003,"OK — verify source"))</f>
        <v/>
      </c>
      <c r="F136" s="25">
        <f>IF(A136="","",COUNTIFS(Relationships!$B$4:$B$1003,"AIR",Relationships!$C$4:$C$1003,A136,Relationships!$E$4:$E$1003,"MOD",Relationships!$M$4:$M$1003,"Confirmed",Relationships!$N$4:$N$1003,"OK — verify source"))</f>
        <v/>
      </c>
      <c r="G136" s="25">
        <f>IF(A136="","",COUNTIFS(Relationships!$B$4:$B$1003,"AIR",Relationships!$C$4:$C$1003,A136,Relationships!$E$4:$E$1003,"DATA",Relationships!$M$4:$M$1003,"Confirmed",Relationships!$N$4:$N$1003,"OK — verify source"))</f>
        <v/>
      </c>
      <c r="H136" s="25">
        <f>IF(A136="","",COUNTIFS(Relationships!$B$4:$B$1003,"AIR",Relationships!$C$4:$C$1003,A136,Relationships!$E$4:$E$1003,"IF",Relationships!$M$4:$M$1003,"Confirmed",Relationships!$N$4:$N$1003,"OK — verify source"))</f>
        <v/>
      </c>
      <c r="I136" s="25">
        <f>IF(A136="","",COUNTIFS(Relationships!$B$4:$B$1003,"AIR",Relationships!$C$4:$C$1003,A136,Relationships!$E$4:$E$1003,"AG",Relationships!$M$4:$M$1003,"Confirmed",Relationships!$N$4:$N$1003,"OK — verify source"))</f>
        <v/>
      </c>
      <c r="J136" s="25">
        <f>IF(A136="","",COUNTIFS(Relationships!$B$4:$B$1003,"AIR",Relationships!$C$4:$C$1003,A136,Relationships!$E$4:$E$1003,"TOOL",Relationships!$M$4:$M$1003,"Confirmed",Relationships!$N$4:$N$1003,"OK — verify source"))</f>
        <v/>
      </c>
      <c r="K136" s="25">
        <f>IF(A136="","",COUNTIFS(Relationships!$G$4:$G$1003,A136,Relationships!$M$4:$M$1003,"Proposed"))</f>
        <v/>
      </c>
      <c r="L136" s="25">
        <f>IF(A136="","",COUNTIFS(Relationships!$G$4:$G$1003,A136,Relationships!$A$4:$A$1003,"&lt;&gt;",Relationships!$N$4:$N$1003,"&lt;&gt;OK — verify source"))</f>
        <v/>
      </c>
      <c r="M136" s="25" t="n"/>
      <c r="N136" s="25" t="n"/>
      <c r="O136" s="25">
        <f>IF(COUNTA(A136:D136,M136:N136)=0,"",IF(A136="","AIR-ID missing",IF(COUNTIF($A$4:$A$203,A136)&gt;1,"Duplicate AIR-ID",IF(OR(B136="",C136="",D136=""),"Label / source / reconciled-on missing",IF(NOT(ISNUMBER(D136)),"Reconciled-on is not a date","OK — verify source")))))</f>
        <v/>
      </c>
    </row>
    <row r="137">
      <c r="A137" s="27" t="n"/>
      <c r="B137" s="27" t="n"/>
      <c r="C137" s="27" t="n"/>
      <c r="D137" s="28" t="n"/>
      <c r="E137" s="27">
        <f>IF(A137="","",COUNTIFS(Relationships!$B$4:$B$1003,"CAP",Relationships!$E$4:$E$1003,"AIR",Relationships!$F$4:$F$1003,A137,Relationships!$M$4:$M$1003,"Confirmed",Relationships!$N$4:$N$1003,"OK — verify source"))</f>
        <v/>
      </c>
      <c r="F137" s="27">
        <f>IF(A137="","",COUNTIFS(Relationships!$B$4:$B$1003,"AIR",Relationships!$C$4:$C$1003,A137,Relationships!$E$4:$E$1003,"MOD",Relationships!$M$4:$M$1003,"Confirmed",Relationships!$N$4:$N$1003,"OK — verify source"))</f>
        <v/>
      </c>
      <c r="G137" s="27">
        <f>IF(A137="","",COUNTIFS(Relationships!$B$4:$B$1003,"AIR",Relationships!$C$4:$C$1003,A137,Relationships!$E$4:$E$1003,"DATA",Relationships!$M$4:$M$1003,"Confirmed",Relationships!$N$4:$N$1003,"OK — verify source"))</f>
        <v/>
      </c>
      <c r="H137" s="27">
        <f>IF(A137="","",COUNTIFS(Relationships!$B$4:$B$1003,"AIR",Relationships!$C$4:$C$1003,A137,Relationships!$E$4:$E$1003,"IF",Relationships!$M$4:$M$1003,"Confirmed",Relationships!$N$4:$N$1003,"OK — verify source"))</f>
        <v/>
      </c>
      <c r="I137" s="27">
        <f>IF(A137="","",COUNTIFS(Relationships!$B$4:$B$1003,"AIR",Relationships!$C$4:$C$1003,A137,Relationships!$E$4:$E$1003,"AG",Relationships!$M$4:$M$1003,"Confirmed",Relationships!$N$4:$N$1003,"OK — verify source"))</f>
        <v/>
      </c>
      <c r="J137" s="27">
        <f>IF(A137="","",COUNTIFS(Relationships!$B$4:$B$1003,"AIR",Relationships!$C$4:$C$1003,A137,Relationships!$E$4:$E$1003,"TOOL",Relationships!$M$4:$M$1003,"Confirmed",Relationships!$N$4:$N$1003,"OK — verify source"))</f>
        <v/>
      </c>
      <c r="K137" s="27">
        <f>IF(A137="","",COUNTIFS(Relationships!$G$4:$G$1003,A137,Relationships!$M$4:$M$1003,"Proposed"))</f>
        <v/>
      </c>
      <c r="L137" s="27">
        <f>IF(A137="","",COUNTIFS(Relationships!$G$4:$G$1003,A137,Relationships!$A$4:$A$1003,"&lt;&gt;",Relationships!$N$4:$N$1003,"&lt;&gt;OK — verify source"))</f>
        <v/>
      </c>
      <c r="M137" s="27" t="n"/>
      <c r="N137" s="27" t="n"/>
      <c r="O137" s="27">
        <f>IF(COUNTA(A137:D137,M137:N137)=0,"",IF(A137="","AIR-ID missing",IF(COUNTIF($A$4:$A$203,A137)&gt;1,"Duplicate AIR-ID",IF(OR(B137="",C137="",D137=""),"Label / source / reconciled-on missing",IF(NOT(ISNUMBER(D137)),"Reconciled-on is not a date","OK — verify source")))))</f>
        <v/>
      </c>
    </row>
    <row r="138">
      <c r="A138" s="25" t="n"/>
      <c r="B138" s="25" t="n"/>
      <c r="C138" s="25" t="n"/>
      <c r="D138" s="26" t="n"/>
      <c r="E138" s="25">
        <f>IF(A138="","",COUNTIFS(Relationships!$B$4:$B$1003,"CAP",Relationships!$E$4:$E$1003,"AIR",Relationships!$F$4:$F$1003,A138,Relationships!$M$4:$M$1003,"Confirmed",Relationships!$N$4:$N$1003,"OK — verify source"))</f>
        <v/>
      </c>
      <c r="F138" s="25">
        <f>IF(A138="","",COUNTIFS(Relationships!$B$4:$B$1003,"AIR",Relationships!$C$4:$C$1003,A138,Relationships!$E$4:$E$1003,"MOD",Relationships!$M$4:$M$1003,"Confirmed",Relationships!$N$4:$N$1003,"OK — verify source"))</f>
        <v/>
      </c>
      <c r="G138" s="25">
        <f>IF(A138="","",COUNTIFS(Relationships!$B$4:$B$1003,"AIR",Relationships!$C$4:$C$1003,A138,Relationships!$E$4:$E$1003,"DATA",Relationships!$M$4:$M$1003,"Confirmed",Relationships!$N$4:$N$1003,"OK — verify source"))</f>
        <v/>
      </c>
      <c r="H138" s="25">
        <f>IF(A138="","",COUNTIFS(Relationships!$B$4:$B$1003,"AIR",Relationships!$C$4:$C$1003,A138,Relationships!$E$4:$E$1003,"IF",Relationships!$M$4:$M$1003,"Confirmed",Relationships!$N$4:$N$1003,"OK — verify source"))</f>
        <v/>
      </c>
      <c r="I138" s="25">
        <f>IF(A138="","",COUNTIFS(Relationships!$B$4:$B$1003,"AIR",Relationships!$C$4:$C$1003,A138,Relationships!$E$4:$E$1003,"AG",Relationships!$M$4:$M$1003,"Confirmed",Relationships!$N$4:$N$1003,"OK — verify source"))</f>
        <v/>
      </c>
      <c r="J138" s="25">
        <f>IF(A138="","",COUNTIFS(Relationships!$B$4:$B$1003,"AIR",Relationships!$C$4:$C$1003,A138,Relationships!$E$4:$E$1003,"TOOL",Relationships!$M$4:$M$1003,"Confirmed",Relationships!$N$4:$N$1003,"OK — verify source"))</f>
        <v/>
      </c>
      <c r="K138" s="25">
        <f>IF(A138="","",COUNTIFS(Relationships!$G$4:$G$1003,A138,Relationships!$M$4:$M$1003,"Proposed"))</f>
        <v/>
      </c>
      <c r="L138" s="25">
        <f>IF(A138="","",COUNTIFS(Relationships!$G$4:$G$1003,A138,Relationships!$A$4:$A$1003,"&lt;&gt;",Relationships!$N$4:$N$1003,"&lt;&gt;OK — verify source"))</f>
        <v/>
      </c>
      <c r="M138" s="25" t="n"/>
      <c r="N138" s="25" t="n"/>
      <c r="O138" s="25">
        <f>IF(COUNTA(A138:D138,M138:N138)=0,"",IF(A138="","AIR-ID missing",IF(COUNTIF($A$4:$A$203,A138)&gt;1,"Duplicate AIR-ID",IF(OR(B138="",C138="",D138=""),"Label / source / reconciled-on missing",IF(NOT(ISNUMBER(D138)),"Reconciled-on is not a date","OK — verify source")))))</f>
        <v/>
      </c>
    </row>
    <row r="139">
      <c r="A139" s="27" t="n"/>
      <c r="B139" s="27" t="n"/>
      <c r="C139" s="27" t="n"/>
      <c r="D139" s="28" t="n"/>
      <c r="E139" s="27">
        <f>IF(A139="","",COUNTIFS(Relationships!$B$4:$B$1003,"CAP",Relationships!$E$4:$E$1003,"AIR",Relationships!$F$4:$F$1003,A139,Relationships!$M$4:$M$1003,"Confirmed",Relationships!$N$4:$N$1003,"OK — verify source"))</f>
        <v/>
      </c>
      <c r="F139" s="27">
        <f>IF(A139="","",COUNTIFS(Relationships!$B$4:$B$1003,"AIR",Relationships!$C$4:$C$1003,A139,Relationships!$E$4:$E$1003,"MOD",Relationships!$M$4:$M$1003,"Confirmed",Relationships!$N$4:$N$1003,"OK — verify source"))</f>
        <v/>
      </c>
      <c r="G139" s="27">
        <f>IF(A139="","",COUNTIFS(Relationships!$B$4:$B$1003,"AIR",Relationships!$C$4:$C$1003,A139,Relationships!$E$4:$E$1003,"DATA",Relationships!$M$4:$M$1003,"Confirmed",Relationships!$N$4:$N$1003,"OK — verify source"))</f>
        <v/>
      </c>
      <c r="H139" s="27">
        <f>IF(A139="","",COUNTIFS(Relationships!$B$4:$B$1003,"AIR",Relationships!$C$4:$C$1003,A139,Relationships!$E$4:$E$1003,"IF",Relationships!$M$4:$M$1003,"Confirmed",Relationships!$N$4:$N$1003,"OK — verify source"))</f>
        <v/>
      </c>
      <c r="I139" s="27">
        <f>IF(A139="","",COUNTIFS(Relationships!$B$4:$B$1003,"AIR",Relationships!$C$4:$C$1003,A139,Relationships!$E$4:$E$1003,"AG",Relationships!$M$4:$M$1003,"Confirmed",Relationships!$N$4:$N$1003,"OK — verify source"))</f>
        <v/>
      </c>
      <c r="J139" s="27">
        <f>IF(A139="","",COUNTIFS(Relationships!$B$4:$B$1003,"AIR",Relationships!$C$4:$C$1003,A139,Relationships!$E$4:$E$1003,"TOOL",Relationships!$M$4:$M$1003,"Confirmed",Relationships!$N$4:$N$1003,"OK — verify source"))</f>
        <v/>
      </c>
      <c r="K139" s="27">
        <f>IF(A139="","",COUNTIFS(Relationships!$G$4:$G$1003,A139,Relationships!$M$4:$M$1003,"Proposed"))</f>
        <v/>
      </c>
      <c r="L139" s="27">
        <f>IF(A139="","",COUNTIFS(Relationships!$G$4:$G$1003,A139,Relationships!$A$4:$A$1003,"&lt;&gt;",Relationships!$N$4:$N$1003,"&lt;&gt;OK — verify source"))</f>
        <v/>
      </c>
      <c r="M139" s="27" t="n"/>
      <c r="N139" s="27" t="n"/>
      <c r="O139" s="27">
        <f>IF(COUNTA(A139:D139,M139:N139)=0,"",IF(A139="","AIR-ID missing",IF(COUNTIF($A$4:$A$203,A139)&gt;1,"Duplicate AIR-ID",IF(OR(B139="",C139="",D139=""),"Label / source / reconciled-on missing",IF(NOT(ISNUMBER(D139)),"Reconciled-on is not a date","OK — verify source")))))</f>
        <v/>
      </c>
    </row>
    <row r="140">
      <c r="A140" s="25" t="n"/>
      <c r="B140" s="25" t="n"/>
      <c r="C140" s="25" t="n"/>
      <c r="D140" s="26" t="n"/>
      <c r="E140" s="25">
        <f>IF(A140="","",COUNTIFS(Relationships!$B$4:$B$1003,"CAP",Relationships!$E$4:$E$1003,"AIR",Relationships!$F$4:$F$1003,A140,Relationships!$M$4:$M$1003,"Confirmed",Relationships!$N$4:$N$1003,"OK — verify source"))</f>
        <v/>
      </c>
      <c r="F140" s="25">
        <f>IF(A140="","",COUNTIFS(Relationships!$B$4:$B$1003,"AIR",Relationships!$C$4:$C$1003,A140,Relationships!$E$4:$E$1003,"MOD",Relationships!$M$4:$M$1003,"Confirmed",Relationships!$N$4:$N$1003,"OK — verify source"))</f>
        <v/>
      </c>
      <c r="G140" s="25">
        <f>IF(A140="","",COUNTIFS(Relationships!$B$4:$B$1003,"AIR",Relationships!$C$4:$C$1003,A140,Relationships!$E$4:$E$1003,"DATA",Relationships!$M$4:$M$1003,"Confirmed",Relationships!$N$4:$N$1003,"OK — verify source"))</f>
        <v/>
      </c>
      <c r="H140" s="25">
        <f>IF(A140="","",COUNTIFS(Relationships!$B$4:$B$1003,"AIR",Relationships!$C$4:$C$1003,A140,Relationships!$E$4:$E$1003,"IF",Relationships!$M$4:$M$1003,"Confirmed",Relationships!$N$4:$N$1003,"OK — verify source"))</f>
        <v/>
      </c>
      <c r="I140" s="25">
        <f>IF(A140="","",COUNTIFS(Relationships!$B$4:$B$1003,"AIR",Relationships!$C$4:$C$1003,A140,Relationships!$E$4:$E$1003,"AG",Relationships!$M$4:$M$1003,"Confirmed",Relationships!$N$4:$N$1003,"OK — verify source"))</f>
        <v/>
      </c>
      <c r="J140" s="25">
        <f>IF(A140="","",COUNTIFS(Relationships!$B$4:$B$1003,"AIR",Relationships!$C$4:$C$1003,A140,Relationships!$E$4:$E$1003,"TOOL",Relationships!$M$4:$M$1003,"Confirmed",Relationships!$N$4:$N$1003,"OK — verify source"))</f>
        <v/>
      </c>
      <c r="K140" s="25">
        <f>IF(A140="","",COUNTIFS(Relationships!$G$4:$G$1003,A140,Relationships!$M$4:$M$1003,"Proposed"))</f>
        <v/>
      </c>
      <c r="L140" s="25">
        <f>IF(A140="","",COUNTIFS(Relationships!$G$4:$G$1003,A140,Relationships!$A$4:$A$1003,"&lt;&gt;",Relationships!$N$4:$N$1003,"&lt;&gt;OK — verify source"))</f>
        <v/>
      </c>
      <c r="M140" s="25" t="n"/>
      <c r="N140" s="25" t="n"/>
      <c r="O140" s="25">
        <f>IF(COUNTA(A140:D140,M140:N140)=0,"",IF(A140="","AIR-ID missing",IF(COUNTIF($A$4:$A$203,A140)&gt;1,"Duplicate AIR-ID",IF(OR(B140="",C140="",D140=""),"Label / source / reconciled-on missing",IF(NOT(ISNUMBER(D140)),"Reconciled-on is not a date","OK — verify source")))))</f>
        <v/>
      </c>
    </row>
    <row r="141">
      <c r="A141" s="27" t="n"/>
      <c r="B141" s="27" t="n"/>
      <c r="C141" s="27" t="n"/>
      <c r="D141" s="28" t="n"/>
      <c r="E141" s="27">
        <f>IF(A141="","",COUNTIFS(Relationships!$B$4:$B$1003,"CAP",Relationships!$E$4:$E$1003,"AIR",Relationships!$F$4:$F$1003,A141,Relationships!$M$4:$M$1003,"Confirmed",Relationships!$N$4:$N$1003,"OK — verify source"))</f>
        <v/>
      </c>
      <c r="F141" s="27">
        <f>IF(A141="","",COUNTIFS(Relationships!$B$4:$B$1003,"AIR",Relationships!$C$4:$C$1003,A141,Relationships!$E$4:$E$1003,"MOD",Relationships!$M$4:$M$1003,"Confirmed",Relationships!$N$4:$N$1003,"OK — verify source"))</f>
        <v/>
      </c>
      <c r="G141" s="27">
        <f>IF(A141="","",COUNTIFS(Relationships!$B$4:$B$1003,"AIR",Relationships!$C$4:$C$1003,A141,Relationships!$E$4:$E$1003,"DATA",Relationships!$M$4:$M$1003,"Confirmed",Relationships!$N$4:$N$1003,"OK — verify source"))</f>
        <v/>
      </c>
      <c r="H141" s="27">
        <f>IF(A141="","",COUNTIFS(Relationships!$B$4:$B$1003,"AIR",Relationships!$C$4:$C$1003,A141,Relationships!$E$4:$E$1003,"IF",Relationships!$M$4:$M$1003,"Confirmed",Relationships!$N$4:$N$1003,"OK — verify source"))</f>
        <v/>
      </c>
      <c r="I141" s="27">
        <f>IF(A141="","",COUNTIFS(Relationships!$B$4:$B$1003,"AIR",Relationships!$C$4:$C$1003,A141,Relationships!$E$4:$E$1003,"AG",Relationships!$M$4:$M$1003,"Confirmed",Relationships!$N$4:$N$1003,"OK — verify source"))</f>
        <v/>
      </c>
      <c r="J141" s="27">
        <f>IF(A141="","",COUNTIFS(Relationships!$B$4:$B$1003,"AIR",Relationships!$C$4:$C$1003,A141,Relationships!$E$4:$E$1003,"TOOL",Relationships!$M$4:$M$1003,"Confirmed",Relationships!$N$4:$N$1003,"OK — verify source"))</f>
        <v/>
      </c>
      <c r="K141" s="27">
        <f>IF(A141="","",COUNTIFS(Relationships!$G$4:$G$1003,A141,Relationships!$M$4:$M$1003,"Proposed"))</f>
        <v/>
      </c>
      <c r="L141" s="27">
        <f>IF(A141="","",COUNTIFS(Relationships!$G$4:$G$1003,A141,Relationships!$A$4:$A$1003,"&lt;&gt;",Relationships!$N$4:$N$1003,"&lt;&gt;OK — verify source"))</f>
        <v/>
      </c>
      <c r="M141" s="27" t="n"/>
      <c r="N141" s="27" t="n"/>
      <c r="O141" s="27">
        <f>IF(COUNTA(A141:D141,M141:N141)=0,"",IF(A141="","AIR-ID missing",IF(COUNTIF($A$4:$A$203,A141)&gt;1,"Duplicate AIR-ID",IF(OR(B141="",C141="",D141=""),"Label / source / reconciled-on missing",IF(NOT(ISNUMBER(D141)),"Reconciled-on is not a date","OK — verify source")))))</f>
        <v/>
      </c>
    </row>
    <row r="142">
      <c r="A142" s="25" t="n"/>
      <c r="B142" s="25" t="n"/>
      <c r="C142" s="25" t="n"/>
      <c r="D142" s="26" t="n"/>
      <c r="E142" s="25">
        <f>IF(A142="","",COUNTIFS(Relationships!$B$4:$B$1003,"CAP",Relationships!$E$4:$E$1003,"AIR",Relationships!$F$4:$F$1003,A142,Relationships!$M$4:$M$1003,"Confirmed",Relationships!$N$4:$N$1003,"OK — verify source"))</f>
        <v/>
      </c>
      <c r="F142" s="25">
        <f>IF(A142="","",COUNTIFS(Relationships!$B$4:$B$1003,"AIR",Relationships!$C$4:$C$1003,A142,Relationships!$E$4:$E$1003,"MOD",Relationships!$M$4:$M$1003,"Confirmed",Relationships!$N$4:$N$1003,"OK — verify source"))</f>
        <v/>
      </c>
      <c r="G142" s="25">
        <f>IF(A142="","",COUNTIFS(Relationships!$B$4:$B$1003,"AIR",Relationships!$C$4:$C$1003,A142,Relationships!$E$4:$E$1003,"DATA",Relationships!$M$4:$M$1003,"Confirmed",Relationships!$N$4:$N$1003,"OK — verify source"))</f>
        <v/>
      </c>
      <c r="H142" s="25">
        <f>IF(A142="","",COUNTIFS(Relationships!$B$4:$B$1003,"AIR",Relationships!$C$4:$C$1003,A142,Relationships!$E$4:$E$1003,"IF",Relationships!$M$4:$M$1003,"Confirmed",Relationships!$N$4:$N$1003,"OK — verify source"))</f>
        <v/>
      </c>
      <c r="I142" s="25">
        <f>IF(A142="","",COUNTIFS(Relationships!$B$4:$B$1003,"AIR",Relationships!$C$4:$C$1003,A142,Relationships!$E$4:$E$1003,"AG",Relationships!$M$4:$M$1003,"Confirmed",Relationships!$N$4:$N$1003,"OK — verify source"))</f>
        <v/>
      </c>
      <c r="J142" s="25">
        <f>IF(A142="","",COUNTIFS(Relationships!$B$4:$B$1003,"AIR",Relationships!$C$4:$C$1003,A142,Relationships!$E$4:$E$1003,"TOOL",Relationships!$M$4:$M$1003,"Confirmed",Relationships!$N$4:$N$1003,"OK — verify source"))</f>
        <v/>
      </c>
      <c r="K142" s="25">
        <f>IF(A142="","",COUNTIFS(Relationships!$G$4:$G$1003,A142,Relationships!$M$4:$M$1003,"Proposed"))</f>
        <v/>
      </c>
      <c r="L142" s="25">
        <f>IF(A142="","",COUNTIFS(Relationships!$G$4:$G$1003,A142,Relationships!$A$4:$A$1003,"&lt;&gt;",Relationships!$N$4:$N$1003,"&lt;&gt;OK — verify source"))</f>
        <v/>
      </c>
      <c r="M142" s="25" t="n"/>
      <c r="N142" s="25" t="n"/>
      <c r="O142" s="25">
        <f>IF(COUNTA(A142:D142,M142:N142)=0,"",IF(A142="","AIR-ID missing",IF(COUNTIF($A$4:$A$203,A142)&gt;1,"Duplicate AIR-ID",IF(OR(B142="",C142="",D142=""),"Label / source / reconciled-on missing",IF(NOT(ISNUMBER(D142)),"Reconciled-on is not a date","OK — verify source")))))</f>
        <v/>
      </c>
    </row>
    <row r="143">
      <c r="A143" s="27" t="n"/>
      <c r="B143" s="27" t="n"/>
      <c r="C143" s="27" t="n"/>
      <c r="D143" s="28" t="n"/>
      <c r="E143" s="27">
        <f>IF(A143="","",COUNTIFS(Relationships!$B$4:$B$1003,"CAP",Relationships!$E$4:$E$1003,"AIR",Relationships!$F$4:$F$1003,A143,Relationships!$M$4:$M$1003,"Confirmed",Relationships!$N$4:$N$1003,"OK — verify source"))</f>
        <v/>
      </c>
      <c r="F143" s="27">
        <f>IF(A143="","",COUNTIFS(Relationships!$B$4:$B$1003,"AIR",Relationships!$C$4:$C$1003,A143,Relationships!$E$4:$E$1003,"MOD",Relationships!$M$4:$M$1003,"Confirmed",Relationships!$N$4:$N$1003,"OK — verify source"))</f>
        <v/>
      </c>
      <c r="G143" s="27">
        <f>IF(A143="","",COUNTIFS(Relationships!$B$4:$B$1003,"AIR",Relationships!$C$4:$C$1003,A143,Relationships!$E$4:$E$1003,"DATA",Relationships!$M$4:$M$1003,"Confirmed",Relationships!$N$4:$N$1003,"OK — verify source"))</f>
        <v/>
      </c>
      <c r="H143" s="27">
        <f>IF(A143="","",COUNTIFS(Relationships!$B$4:$B$1003,"AIR",Relationships!$C$4:$C$1003,A143,Relationships!$E$4:$E$1003,"IF",Relationships!$M$4:$M$1003,"Confirmed",Relationships!$N$4:$N$1003,"OK — verify source"))</f>
        <v/>
      </c>
      <c r="I143" s="27">
        <f>IF(A143="","",COUNTIFS(Relationships!$B$4:$B$1003,"AIR",Relationships!$C$4:$C$1003,A143,Relationships!$E$4:$E$1003,"AG",Relationships!$M$4:$M$1003,"Confirmed",Relationships!$N$4:$N$1003,"OK — verify source"))</f>
        <v/>
      </c>
      <c r="J143" s="27">
        <f>IF(A143="","",COUNTIFS(Relationships!$B$4:$B$1003,"AIR",Relationships!$C$4:$C$1003,A143,Relationships!$E$4:$E$1003,"TOOL",Relationships!$M$4:$M$1003,"Confirmed",Relationships!$N$4:$N$1003,"OK — verify source"))</f>
        <v/>
      </c>
      <c r="K143" s="27">
        <f>IF(A143="","",COUNTIFS(Relationships!$G$4:$G$1003,A143,Relationships!$M$4:$M$1003,"Proposed"))</f>
        <v/>
      </c>
      <c r="L143" s="27">
        <f>IF(A143="","",COUNTIFS(Relationships!$G$4:$G$1003,A143,Relationships!$A$4:$A$1003,"&lt;&gt;",Relationships!$N$4:$N$1003,"&lt;&gt;OK — verify source"))</f>
        <v/>
      </c>
      <c r="M143" s="27" t="n"/>
      <c r="N143" s="27" t="n"/>
      <c r="O143" s="27">
        <f>IF(COUNTA(A143:D143,M143:N143)=0,"",IF(A143="","AIR-ID missing",IF(COUNTIF($A$4:$A$203,A143)&gt;1,"Duplicate AIR-ID",IF(OR(B143="",C143="",D143=""),"Label / source / reconciled-on missing",IF(NOT(ISNUMBER(D143)),"Reconciled-on is not a date","OK — verify source")))))</f>
        <v/>
      </c>
    </row>
    <row r="144">
      <c r="A144" s="25" t="n"/>
      <c r="B144" s="25" t="n"/>
      <c r="C144" s="25" t="n"/>
      <c r="D144" s="26" t="n"/>
      <c r="E144" s="25">
        <f>IF(A144="","",COUNTIFS(Relationships!$B$4:$B$1003,"CAP",Relationships!$E$4:$E$1003,"AIR",Relationships!$F$4:$F$1003,A144,Relationships!$M$4:$M$1003,"Confirmed",Relationships!$N$4:$N$1003,"OK — verify source"))</f>
        <v/>
      </c>
      <c r="F144" s="25">
        <f>IF(A144="","",COUNTIFS(Relationships!$B$4:$B$1003,"AIR",Relationships!$C$4:$C$1003,A144,Relationships!$E$4:$E$1003,"MOD",Relationships!$M$4:$M$1003,"Confirmed",Relationships!$N$4:$N$1003,"OK — verify source"))</f>
        <v/>
      </c>
      <c r="G144" s="25">
        <f>IF(A144="","",COUNTIFS(Relationships!$B$4:$B$1003,"AIR",Relationships!$C$4:$C$1003,A144,Relationships!$E$4:$E$1003,"DATA",Relationships!$M$4:$M$1003,"Confirmed",Relationships!$N$4:$N$1003,"OK — verify source"))</f>
        <v/>
      </c>
      <c r="H144" s="25">
        <f>IF(A144="","",COUNTIFS(Relationships!$B$4:$B$1003,"AIR",Relationships!$C$4:$C$1003,A144,Relationships!$E$4:$E$1003,"IF",Relationships!$M$4:$M$1003,"Confirmed",Relationships!$N$4:$N$1003,"OK — verify source"))</f>
        <v/>
      </c>
      <c r="I144" s="25">
        <f>IF(A144="","",COUNTIFS(Relationships!$B$4:$B$1003,"AIR",Relationships!$C$4:$C$1003,A144,Relationships!$E$4:$E$1003,"AG",Relationships!$M$4:$M$1003,"Confirmed",Relationships!$N$4:$N$1003,"OK — verify source"))</f>
        <v/>
      </c>
      <c r="J144" s="25">
        <f>IF(A144="","",COUNTIFS(Relationships!$B$4:$B$1003,"AIR",Relationships!$C$4:$C$1003,A144,Relationships!$E$4:$E$1003,"TOOL",Relationships!$M$4:$M$1003,"Confirmed",Relationships!$N$4:$N$1003,"OK — verify source"))</f>
        <v/>
      </c>
      <c r="K144" s="25">
        <f>IF(A144="","",COUNTIFS(Relationships!$G$4:$G$1003,A144,Relationships!$M$4:$M$1003,"Proposed"))</f>
        <v/>
      </c>
      <c r="L144" s="25">
        <f>IF(A144="","",COUNTIFS(Relationships!$G$4:$G$1003,A144,Relationships!$A$4:$A$1003,"&lt;&gt;",Relationships!$N$4:$N$1003,"&lt;&gt;OK — verify source"))</f>
        <v/>
      </c>
      <c r="M144" s="25" t="n"/>
      <c r="N144" s="25" t="n"/>
      <c r="O144" s="25">
        <f>IF(COUNTA(A144:D144,M144:N144)=0,"",IF(A144="","AIR-ID missing",IF(COUNTIF($A$4:$A$203,A144)&gt;1,"Duplicate AIR-ID",IF(OR(B144="",C144="",D144=""),"Label / source / reconciled-on missing",IF(NOT(ISNUMBER(D144)),"Reconciled-on is not a date","OK — verify source")))))</f>
        <v/>
      </c>
    </row>
    <row r="145">
      <c r="A145" s="27" t="n"/>
      <c r="B145" s="27" t="n"/>
      <c r="C145" s="27" t="n"/>
      <c r="D145" s="28" t="n"/>
      <c r="E145" s="27">
        <f>IF(A145="","",COUNTIFS(Relationships!$B$4:$B$1003,"CAP",Relationships!$E$4:$E$1003,"AIR",Relationships!$F$4:$F$1003,A145,Relationships!$M$4:$M$1003,"Confirmed",Relationships!$N$4:$N$1003,"OK — verify source"))</f>
        <v/>
      </c>
      <c r="F145" s="27">
        <f>IF(A145="","",COUNTIFS(Relationships!$B$4:$B$1003,"AIR",Relationships!$C$4:$C$1003,A145,Relationships!$E$4:$E$1003,"MOD",Relationships!$M$4:$M$1003,"Confirmed",Relationships!$N$4:$N$1003,"OK — verify source"))</f>
        <v/>
      </c>
      <c r="G145" s="27">
        <f>IF(A145="","",COUNTIFS(Relationships!$B$4:$B$1003,"AIR",Relationships!$C$4:$C$1003,A145,Relationships!$E$4:$E$1003,"DATA",Relationships!$M$4:$M$1003,"Confirmed",Relationships!$N$4:$N$1003,"OK — verify source"))</f>
        <v/>
      </c>
      <c r="H145" s="27">
        <f>IF(A145="","",COUNTIFS(Relationships!$B$4:$B$1003,"AIR",Relationships!$C$4:$C$1003,A145,Relationships!$E$4:$E$1003,"IF",Relationships!$M$4:$M$1003,"Confirmed",Relationships!$N$4:$N$1003,"OK — verify source"))</f>
        <v/>
      </c>
      <c r="I145" s="27">
        <f>IF(A145="","",COUNTIFS(Relationships!$B$4:$B$1003,"AIR",Relationships!$C$4:$C$1003,A145,Relationships!$E$4:$E$1003,"AG",Relationships!$M$4:$M$1003,"Confirmed",Relationships!$N$4:$N$1003,"OK — verify source"))</f>
        <v/>
      </c>
      <c r="J145" s="27">
        <f>IF(A145="","",COUNTIFS(Relationships!$B$4:$B$1003,"AIR",Relationships!$C$4:$C$1003,A145,Relationships!$E$4:$E$1003,"TOOL",Relationships!$M$4:$M$1003,"Confirmed",Relationships!$N$4:$N$1003,"OK — verify source"))</f>
        <v/>
      </c>
      <c r="K145" s="27">
        <f>IF(A145="","",COUNTIFS(Relationships!$G$4:$G$1003,A145,Relationships!$M$4:$M$1003,"Proposed"))</f>
        <v/>
      </c>
      <c r="L145" s="27">
        <f>IF(A145="","",COUNTIFS(Relationships!$G$4:$G$1003,A145,Relationships!$A$4:$A$1003,"&lt;&gt;",Relationships!$N$4:$N$1003,"&lt;&gt;OK — verify source"))</f>
        <v/>
      </c>
      <c r="M145" s="27" t="n"/>
      <c r="N145" s="27" t="n"/>
      <c r="O145" s="27">
        <f>IF(COUNTA(A145:D145,M145:N145)=0,"",IF(A145="","AIR-ID missing",IF(COUNTIF($A$4:$A$203,A145)&gt;1,"Duplicate AIR-ID",IF(OR(B145="",C145="",D145=""),"Label / source / reconciled-on missing",IF(NOT(ISNUMBER(D145)),"Reconciled-on is not a date","OK — verify source")))))</f>
        <v/>
      </c>
    </row>
    <row r="146">
      <c r="A146" s="25" t="n"/>
      <c r="B146" s="25" t="n"/>
      <c r="C146" s="25" t="n"/>
      <c r="D146" s="26" t="n"/>
      <c r="E146" s="25">
        <f>IF(A146="","",COUNTIFS(Relationships!$B$4:$B$1003,"CAP",Relationships!$E$4:$E$1003,"AIR",Relationships!$F$4:$F$1003,A146,Relationships!$M$4:$M$1003,"Confirmed",Relationships!$N$4:$N$1003,"OK — verify source"))</f>
        <v/>
      </c>
      <c r="F146" s="25">
        <f>IF(A146="","",COUNTIFS(Relationships!$B$4:$B$1003,"AIR",Relationships!$C$4:$C$1003,A146,Relationships!$E$4:$E$1003,"MOD",Relationships!$M$4:$M$1003,"Confirmed",Relationships!$N$4:$N$1003,"OK — verify source"))</f>
        <v/>
      </c>
      <c r="G146" s="25">
        <f>IF(A146="","",COUNTIFS(Relationships!$B$4:$B$1003,"AIR",Relationships!$C$4:$C$1003,A146,Relationships!$E$4:$E$1003,"DATA",Relationships!$M$4:$M$1003,"Confirmed",Relationships!$N$4:$N$1003,"OK — verify source"))</f>
        <v/>
      </c>
      <c r="H146" s="25">
        <f>IF(A146="","",COUNTIFS(Relationships!$B$4:$B$1003,"AIR",Relationships!$C$4:$C$1003,A146,Relationships!$E$4:$E$1003,"IF",Relationships!$M$4:$M$1003,"Confirmed",Relationships!$N$4:$N$1003,"OK — verify source"))</f>
        <v/>
      </c>
      <c r="I146" s="25">
        <f>IF(A146="","",COUNTIFS(Relationships!$B$4:$B$1003,"AIR",Relationships!$C$4:$C$1003,A146,Relationships!$E$4:$E$1003,"AG",Relationships!$M$4:$M$1003,"Confirmed",Relationships!$N$4:$N$1003,"OK — verify source"))</f>
        <v/>
      </c>
      <c r="J146" s="25">
        <f>IF(A146="","",COUNTIFS(Relationships!$B$4:$B$1003,"AIR",Relationships!$C$4:$C$1003,A146,Relationships!$E$4:$E$1003,"TOOL",Relationships!$M$4:$M$1003,"Confirmed",Relationships!$N$4:$N$1003,"OK — verify source"))</f>
        <v/>
      </c>
      <c r="K146" s="25">
        <f>IF(A146="","",COUNTIFS(Relationships!$G$4:$G$1003,A146,Relationships!$M$4:$M$1003,"Proposed"))</f>
        <v/>
      </c>
      <c r="L146" s="25">
        <f>IF(A146="","",COUNTIFS(Relationships!$G$4:$G$1003,A146,Relationships!$A$4:$A$1003,"&lt;&gt;",Relationships!$N$4:$N$1003,"&lt;&gt;OK — verify source"))</f>
        <v/>
      </c>
      <c r="M146" s="25" t="n"/>
      <c r="N146" s="25" t="n"/>
      <c r="O146" s="25">
        <f>IF(COUNTA(A146:D146,M146:N146)=0,"",IF(A146="","AIR-ID missing",IF(COUNTIF($A$4:$A$203,A146)&gt;1,"Duplicate AIR-ID",IF(OR(B146="",C146="",D146=""),"Label / source / reconciled-on missing",IF(NOT(ISNUMBER(D146)),"Reconciled-on is not a date","OK — verify source")))))</f>
        <v/>
      </c>
    </row>
    <row r="147">
      <c r="A147" s="27" t="n"/>
      <c r="B147" s="27" t="n"/>
      <c r="C147" s="27" t="n"/>
      <c r="D147" s="28" t="n"/>
      <c r="E147" s="27">
        <f>IF(A147="","",COUNTIFS(Relationships!$B$4:$B$1003,"CAP",Relationships!$E$4:$E$1003,"AIR",Relationships!$F$4:$F$1003,A147,Relationships!$M$4:$M$1003,"Confirmed",Relationships!$N$4:$N$1003,"OK — verify source"))</f>
        <v/>
      </c>
      <c r="F147" s="27">
        <f>IF(A147="","",COUNTIFS(Relationships!$B$4:$B$1003,"AIR",Relationships!$C$4:$C$1003,A147,Relationships!$E$4:$E$1003,"MOD",Relationships!$M$4:$M$1003,"Confirmed",Relationships!$N$4:$N$1003,"OK — verify source"))</f>
        <v/>
      </c>
      <c r="G147" s="27">
        <f>IF(A147="","",COUNTIFS(Relationships!$B$4:$B$1003,"AIR",Relationships!$C$4:$C$1003,A147,Relationships!$E$4:$E$1003,"DATA",Relationships!$M$4:$M$1003,"Confirmed",Relationships!$N$4:$N$1003,"OK — verify source"))</f>
        <v/>
      </c>
      <c r="H147" s="27">
        <f>IF(A147="","",COUNTIFS(Relationships!$B$4:$B$1003,"AIR",Relationships!$C$4:$C$1003,A147,Relationships!$E$4:$E$1003,"IF",Relationships!$M$4:$M$1003,"Confirmed",Relationships!$N$4:$N$1003,"OK — verify source"))</f>
        <v/>
      </c>
      <c r="I147" s="27">
        <f>IF(A147="","",COUNTIFS(Relationships!$B$4:$B$1003,"AIR",Relationships!$C$4:$C$1003,A147,Relationships!$E$4:$E$1003,"AG",Relationships!$M$4:$M$1003,"Confirmed",Relationships!$N$4:$N$1003,"OK — verify source"))</f>
        <v/>
      </c>
      <c r="J147" s="27">
        <f>IF(A147="","",COUNTIFS(Relationships!$B$4:$B$1003,"AIR",Relationships!$C$4:$C$1003,A147,Relationships!$E$4:$E$1003,"TOOL",Relationships!$M$4:$M$1003,"Confirmed",Relationships!$N$4:$N$1003,"OK — verify source"))</f>
        <v/>
      </c>
      <c r="K147" s="27">
        <f>IF(A147="","",COUNTIFS(Relationships!$G$4:$G$1003,A147,Relationships!$M$4:$M$1003,"Proposed"))</f>
        <v/>
      </c>
      <c r="L147" s="27">
        <f>IF(A147="","",COUNTIFS(Relationships!$G$4:$G$1003,A147,Relationships!$A$4:$A$1003,"&lt;&gt;",Relationships!$N$4:$N$1003,"&lt;&gt;OK — verify source"))</f>
        <v/>
      </c>
      <c r="M147" s="27" t="n"/>
      <c r="N147" s="27" t="n"/>
      <c r="O147" s="27">
        <f>IF(COUNTA(A147:D147,M147:N147)=0,"",IF(A147="","AIR-ID missing",IF(COUNTIF($A$4:$A$203,A147)&gt;1,"Duplicate AIR-ID",IF(OR(B147="",C147="",D147=""),"Label / source / reconciled-on missing",IF(NOT(ISNUMBER(D147)),"Reconciled-on is not a date","OK — verify source")))))</f>
        <v/>
      </c>
    </row>
    <row r="148">
      <c r="A148" s="25" t="n"/>
      <c r="B148" s="25" t="n"/>
      <c r="C148" s="25" t="n"/>
      <c r="D148" s="26" t="n"/>
      <c r="E148" s="25">
        <f>IF(A148="","",COUNTIFS(Relationships!$B$4:$B$1003,"CAP",Relationships!$E$4:$E$1003,"AIR",Relationships!$F$4:$F$1003,A148,Relationships!$M$4:$M$1003,"Confirmed",Relationships!$N$4:$N$1003,"OK — verify source"))</f>
        <v/>
      </c>
      <c r="F148" s="25">
        <f>IF(A148="","",COUNTIFS(Relationships!$B$4:$B$1003,"AIR",Relationships!$C$4:$C$1003,A148,Relationships!$E$4:$E$1003,"MOD",Relationships!$M$4:$M$1003,"Confirmed",Relationships!$N$4:$N$1003,"OK — verify source"))</f>
        <v/>
      </c>
      <c r="G148" s="25">
        <f>IF(A148="","",COUNTIFS(Relationships!$B$4:$B$1003,"AIR",Relationships!$C$4:$C$1003,A148,Relationships!$E$4:$E$1003,"DATA",Relationships!$M$4:$M$1003,"Confirmed",Relationships!$N$4:$N$1003,"OK — verify source"))</f>
        <v/>
      </c>
      <c r="H148" s="25">
        <f>IF(A148="","",COUNTIFS(Relationships!$B$4:$B$1003,"AIR",Relationships!$C$4:$C$1003,A148,Relationships!$E$4:$E$1003,"IF",Relationships!$M$4:$M$1003,"Confirmed",Relationships!$N$4:$N$1003,"OK — verify source"))</f>
        <v/>
      </c>
      <c r="I148" s="25">
        <f>IF(A148="","",COUNTIFS(Relationships!$B$4:$B$1003,"AIR",Relationships!$C$4:$C$1003,A148,Relationships!$E$4:$E$1003,"AG",Relationships!$M$4:$M$1003,"Confirmed",Relationships!$N$4:$N$1003,"OK — verify source"))</f>
        <v/>
      </c>
      <c r="J148" s="25">
        <f>IF(A148="","",COUNTIFS(Relationships!$B$4:$B$1003,"AIR",Relationships!$C$4:$C$1003,A148,Relationships!$E$4:$E$1003,"TOOL",Relationships!$M$4:$M$1003,"Confirmed",Relationships!$N$4:$N$1003,"OK — verify source"))</f>
        <v/>
      </c>
      <c r="K148" s="25">
        <f>IF(A148="","",COUNTIFS(Relationships!$G$4:$G$1003,A148,Relationships!$M$4:$M$1003,"Proposed"))</f>
        <v/>
      </c>
      <c r="L148" s="25">
        <f>IF(A148="","",COUNTIFS(Relationships!$G$4:$G$1003,A148,Relationships!$A$4:$A$1003,"&lt;&gt;",Relationships!$N$4:$N$1003,"&lt;&gt;OK — verify source"))</f>
        <v/>
      </c>
      <c r="M148" s="25" t="n"/>
      <c r="N148" s="25" t="n"/>
      <c r="O148" s="25">
        <f>IF(COUNTA(A148:D148,M148:N148)=0,"",IF(A148="","AIR-ID missing",IF(COUNTIF($A$4:$A$203,A148)&gt;1,"Duplicate AIR-ID",IF(OR(B148="",C148="",D148=""),"Label / source / reconciled-on missing",IF(NOT(ISNUMBER(D148)),"Reconciled-on is not a date","OK — verify source")))))</f>
        <v/>
      </c>
    </row>
    <row r="149">
      <c r="A149" s="27" t="n"/>
      <c r="B149" s="27" t="n"/>
      <c r="C149" s="27" t="n"/>
      <c r="D149" s="28" t="n"/>
      <c r="E149" s="27">
        <f>IF(A149="","",COUNTIFS(Relationships!$B$4:$B$1003,"CAP",Relationships!$E$4:$E$1003,"AIR",Relationships!$F$4:$F$1003,A149,Relationships!$M$4:$M$1003,"Confirmed",Relationships!$N$4:$N$1003,"OK — verify source"))</f>
        <v/>
      </c>
      <c r="F149" s="27">
        <f>IF(A149="","",COUNTIFS(Relationships!$B$4:$B$1003,"AIR",Relationships!$C$4:$C$1003,A149,Relationships!$E$4:$E$1003,"MOD",Relationships!$M$4:$M$1003,"Confirmed",Relationships!$N$4:$N$1003,"OK — verify source"))</f>
        <v/>
      </c>
      <c r="G149" s="27">
        <f>IF(A149="","",COUNTIFS(Relationships!$B$4:$B$1003,"AIR",Relationships!$C$4:$C$1003,A149,Relationships!$E$4:$E$1003,"DATA",Relationships!$M$4:$M$1003,"Confirmed",Relationships!$N$4:$N$1003,"OK — verify source"))</f>
        <v/>
      </c>
      <c r="H149" s="27">
        <f>IF(A149="","",COUNTIFS(Relationships!$B$4:$B$1003,"AIR",Relationships!$C$4:$C$1003,A149,Relationships!$E$4:$E$1003,"IF",Relationships!$M$4:$M$1003,"Confirmed",Relationships!$N$4:$N$1003,"OK — verify source"))</f>
        <v/>
      </c>
      <c r="I149" s="27">
        <f>IF(A149="","",COUNTIFS(Relationships!$B$4:$B$1003,"AIR",Relationships!$C$4:$C$1003,A149,Relationships!$E$4:$E$1003,"AG",Relationships!$M$4:$M$1003,"Confirmed",Relationships!$N$4:$N$1003,"OK — verify source"))</f>
        <v/>
      </c>
      <c r="J149" s="27">
        <f>IF(A149="","",COUNTIFS(Relationships!$B$4:$B$1003,"AIR",Relationships!$C$4:$C$1003,A149,Relationships!$E$4:$E$1003,"TOOL",Relationships!$M$4:$M$1003,"Confirmed",Relationships!$N$4:$N$1003,"OK — verify source"))</f>
        <v/>
      </c>
      <c r="K149" s="27">
        <f>IF(A149="","",COUNTIFS(Relationships!$G$4:$G$1003,A149,Relationships!$M$4:$M$1003,"Proposed"))</f>
        <v/>
      </c>
      <c r="L149" s="27">
        <f>IF(A149="","",COUNTIFS(Relationships!$G$4:$G$1003,A149,Relationships!$A$4:$A$1003,"&lt;&gt;",Relationships!$N$4:$N$1003,"&lt;&gt;OK — verify source"))</f>
        <v/>
      </c>
      <c r="M149" s="27" t="n"/>
      <c r="N149" s="27" t="n"/>
      <c r="O149" s="27">
        <f>IF(COUNTA(A149:D149,M149:N149)=0,"",IF(A149="","AIR-ID missing",IF(COUNTIF($A$4:$A$203,A149)&gt;1,"Duplicate AIR-ID",IF(OR(B149="",C149="",D149=""),"Label / source / reconciled-on missing",IF(NOT(ISNUMBER(D149)),"Reconciled-on is not a date","OK — verify source")))))</f>
        <v/>
      </c>
    </row>
    <row r="150">
      <c r="A150" s="25" t="n"/>
      <c r="B150" s="25" t="n"/>
      <c r="C150" s="25" t="n"/>
      <c r="D150" s="26" t="n"/>
      <c r="E150" s="25">
        <f>IF(A150="","",COUNTIFS(Relationships!$B$4:$B$1003,"CAP",Relationships!$E$4:$E$1003,"AIR",Relationships!$F$4:$F$1003,A150,Relationships!$M$4:$M$1003,"Confirmed",Relationships!$N$4:$N$1003,"OK — verify source"))</f>
        <v/>
      </c>
      <c r="F150" s="25">
        <f>IF(A150="","",COUNTIFS(Relationships!$B$4:$B$1003,"AIR",Relationships!$C$4:$C$1003,A150,Relationships!$E$4:$E$1003,"MOD",Relationships!$M$4:$M$1003,"Confirmed",Relationships!$N$4:$N$1003,"OK — verify source"))</f>
        <v/>
      </c>
      <c r="G150" s="25">
        <f>IF(A150="","",COUNTIFS(Relationships!$B$4:$B$1003,"AIR",Relationships!$C$4:$C$1003,A150,Relationships!$E$4:$E$1003,"DATA",Relationships!$M$4:$M$1003,"Confirmed",Relationships!$N$4:$N$1003,"OK — verify source"))</f>
        <v/>
      </c>
      <c r="H150" s="25">
        <f>IF(A150="","",COUNTIFS(Relationships!$B$4:$B$1003,"AIR",Relationships!$C$4:$C$1003,A150,Relationships!$E$4:$E$1003,"IF",Relationships!$M$4:$M$1003,"Confirmed",Relationships!$N$4:$N$1003,"OK — verify source"))</f>
        <v/>
      </c>
      <c r="I150" s="25">
        <f>IF(A150="","",COUNTIFS(Relationships!$B$4:$B$1003,"AIR",Relationships!$C$4:$C$1003,A150,Relationships!$E$4:$E$1003,"AG",Relationships!$M$4:$M$1003,"Confirmed",Relationships!$N$4:$N$1003,"OK — verify source"))</f>
        <v/>
      </c>
      <c r="J150" s="25">
        <f>IF(A150="","",COUNTIFS(Relationships!$B$4:$B$1003,"AIR",Relationships!$C$4:$C$1003,A150,Relationships!$E$4:$E$1003,"TOOL",Relationships!$M$4:$M$1003,"Confirmed",Relationships!$N$4:$N$1003,"OK — verify source"))</f>
        <v/>
      </c>
      <c r="K150" s="25">
        <f>IF(A150="","",COUNTIFS(Relationships!$G$4:$G$1003,A150,Relationships!$M$4:$M$1003,"Proposed"))</f>
        <v/>
      </c>
      <c r="L150" s="25">
        <f>IF(A150="","",COUNTIFS(Relationships!$G$4:$G$1003,A150,Relationships!$A$4:$A$1003,"&lt;&gt;",Relationships!$N$4:$N$1003,"&lt;&gt;OK — verify source"))</f>
        <v/>
      </c>
      <c r="M150" s="25" t="n"/>
      <c r="N150" s="25" t="n"/>
      <c r="O150" s="25">
        <f>IF(COUNTA(A150:D150,M150:N150)=0,"",IF(A150="","AIR-ID missing",IF(COUNTIF($A$4:$A$203,A150)&gt;1,"Duplicate AIR-ID",IF(OR(B150="",C150="",D150=""),"Label / source / reconciled-on missing",IF(NOT(ISNUMBER(D150)),"Reconciled-on is not a date","OK — verify source")))))</f>
        <v/>
      </c>
    </row>
    <row r="151">
      <c r="A151" s="27" t="n"/>
      <c r="B151" s="27" t="n"/>
      <c r="C151" s="27" t="n"/>
      <c r="D151" s="28" t="n"/>
      <c r="E151" s="27">
        <f>IF(A151="","",COUNTIFS(Relationships!$B$4:$B$1003,"CAP",Relationships!$E$4:$E$1003,"AIR",Relationships!$F$4:$F$1003,A151,Relationships!$M$4:$M$1003,"Confirmed",Relationships!$N$4:$N$1003,"OK — verify source"))</f>
        <v/>
      </c>
      <c r="F151" s="27">
        <f>IF(A151="","",COUNTIFS(Relationships!$B$4:$B$1003,"AIR",Relationships!$C$4:$C$1003,A151,Relationships!$E$4:$E$1003,"MOD",Relationships!$M$4:$M$1003,"Confirmed",Relationships!$N$4:$N$1003,"OK — verify source"))</f>
        <v/>
      </c>
      <c r="G151" s="27">
        <f>IF(A151="","",COUNTIFS(Relationships!$B$4:$B$1003,"AIR",Relationships!$C$4:$C$1003,A151,Relationships!$E$4:$E$1003,"DATA",Relationships!$M$4:$M$1003,"Confirmed",Relationships!$N$4:$N$1003,"OK — verify source"))</f>
        <v/>
      </c>
      <c r="H151" s="27">
        <f>IF(A151="","",COUNTIFS(Relationships!$B$4:$B$1003,"AIR",Relationships!$C$4:$C$1003,A151,Relationships!$E$4:$E$1003,"IF",Relationships!$M$4:$M$1003,"Confirmed",Relationships!$N$4:$N$1003,"OK — verify source"))</f>
        <v/>
      </c>
      <c r="I151" s="27">
        <f>IF(A151="","",COUNTIFS(Relationships!$B$4:$B$1003,"AIR",Relationships!$C$4:$C$1003,A151,Relationships!$E$4:$E$1003,"AG",Relationships!$M$4:$M$1003,"Confirmed",Relationships!$N$4:$N$1003,"OK — verify source"))</f>
        <v/>
      </c>
      <c r="J151" s="27">
        <f>IF(A151="","",COUNTIFS(Relationships!$B$4:$B$1003,"AIR",Relationships!$C$4:$C$1003,A151,Relationships!$E$4:$E$1003,"TOOL",Relationships!$M$4:$M$1003,"Confirmed",Relationships!$N$4:$N$1003,"OK — verify source"))</f>
        <v/>
      </c>
      <c r="K151" s="27">
        <f>IF(A151="","",COUNTIFS(Relationships!$G$4:$G$1003,A151,Relationships!$M$4:$M$1003,"Proposed"))</f>
        <v/>
      </c>
      <c r="L151" s="27">
        <f>IF(A151="","",COUNTIFS(Relationships!$G$4:$G$1003,A151,Relationships!$A$4:$A$1003,"&lt;&gt;",Relationships!$N$4:$N$1003,"&lt;&gt;OK — verify source"))</f>
        <v/>
      </c>
      <c r="M151" s="27" t="n"/>
      <c r="N151" s="27" t="n"/>
      <c r="O151" s="27">
        <f>IF(COUNTA(A151:D151,M151:N151)=0,"",IF(A151="","AIR-ID missing",IF(COUNTIF($A$4:$A$203,A151)&gt;1,"Duplicate AIR-ID",IF(OR(B151="",C151="",D151=""),"Label / source / reconciled-on missing",IF(NOT(ISNUMBER(D151)),"Reconciled-on is not a date","OK — verify source")))))</f>
        <v/>
      </c>
    </row>
    <row r="152">
      <c r="A152" s="25" t="n"/>
      <c r="B152" s="25" t="n"/>
      <c r="C152" s="25" t="n"/>
      <c r="D152" s="26" t="n"/>
      <c r="E152" s="25">
        <f>IF(A152="","",COUNTIFS(Relationships!$B$4:$B$1003,"CAP",Relationships!$E$4:$E$1003,"AIR",Relationships!$F$4:$F$1003,A152,Relationships!$M$4:$M$1003,"Confirmed",Relationships!$N$4:$N$1003,"OK — verify source"))</f>
        <v/>
      </c>
      <c r="F152" s="25">
        <f>IF(A152="","",COUNTIFS(Relationships!$B$4:$B$1003,"AIR",Relationships!$C$4:$C$1003,A152,Relationships!$E$4:$E$1003,"MOD",Relationships!$M$4:$M$1003,"Confirmed",Relationships!$N$4:$N$1003,"OK — verify source"))</f>
        <v/>
      </c>
      <c r="G152" s="25">
        <f>IF(A152="","",COUNTIFS(Relationships!$B$4:$B$1003,"AIR",Relationships!$C$4:$C$1003,A152,Relationships!$E$4:$E$1003,"DATA",Relationships!$M$4:$M$1003,"Confirmed",Relationships!$N$4:$N$1003,"OK — verify source"))</f>
        <v/>
      </c>
      <c r="H152" s="25">
        <f>IF(A152="","",COUNTIFS(Relationships!$B$4:$B$1003,"AIR",Relationships!$C$4:$C$1003,A152,Relationships!$E$4:$E$1003,"IF",Relationships!$M$4:$M$1003,"Confirmed",Relationships!$N$4:$N$1003,"OK — verify source"))</f>
        <v/>
      </c>
      <c r="I152" s="25">
        <f>IF(A152="","",COUNTIFS(Relationships!$B$4:$B$1003,"AIR",Relationships!$C$4:$C$1003,A152,Relationships!$E$4:$E$1003,"AG",Relationships!$M$4:$M$1003,"Confirmed",Relationships!$N$4:$N$1003,"OK — verify source"))</f>
        <v/>
      </c>
      <c r="J152" s="25">
        <f>IF(A152="","",COUNTIFS(Relationships!$B$4:$B$1003,"AIR",Relationships!$C$4:$C$1003,A152,Relationships!$E$4:$E$1003,"TOOL",Relationships!$M$4:$M$1003,"Confirmed",Relationships!$N$4:$N$1003,"OK — verify source"))</f>
        <v/>
      </c>
      <c r="K152" s="25">
        <f>IF(A152="","",COUNTIFS(Relationships!$G$4:$G$1003,A152,Relationships!$M$4:$M$1003,"Proposed"))</f>
        <v/>
      </c>
      <c r="L152" s="25">
        <f>IF(A152="","",COUNTIFS(Relationships!$G$4:$G$1003,A152,Relationships!$A$4:$A$1003,"&lt;&gt;",Relationships!$N$4:$N$1003,"&lt;&gt;OK — verify source"))</f>
        <v/>
      </c>
      <c r="M152" s="25" t="n"/>
      <c r="N152" s="25" t="n"/>
      <c r="O152" s="25">
        <f>IF(COUNTA(A152:D152,M152:N152)=0,"",IF(A152="","AIR-ID missing",IF(COUNTIF($A$4:$A$203,A152)&gt;1,"Duplicate AIR-ID",IF(OR(B152="",C152="",D152=""),"Label / source / reconciled-on missing",IF(NOT(ISNUMBER(D152)),"Reconciled-on is not a date","OK — verify source")))))</f>
        <v/>
      </c>
    </row>
    <row r="153">
      <c r="A153" s="27" t="n"/>
      <c r="B153" s="27" t="n"/>
      <c r="C153" s="27" t="n"/>
      <c r="D153" s="28" t="n"/>
      <c r="E153" s="27">
        <f>IF(A153="","",COUNTIFS(Relationships!$B$4:$B$1003,"CAP",Relationships!$E$4:$E$1003,"AIR",Relationships!$F$4:$F$1003,A153,Relationships!$M$4:$M$1003,"Confirmed",Relationships!$N$4:$N$1003,"OK — verify source"))</f>
        <v/>
      </c>
      <c r="F153" s="27">
        <f>IF(A153="","",COUNTIFS(Relationships!$B$4:$B$1003,"AIR",Relationships!$C$4:$C$1003,A153,Relationships!$E$4:$E$1003,"MOD",Relationships!$M$4:$M$1003,"Confirmed",Relationships!$N$4:$N$1003,"OK — verify source"))</f>
        <v/>
      </c>
      <c r="G153" s="27">
        <f>IF(A153="","",COUNTIFS(Relationships!$B$4:$B$1003,"AIR",Relationships!$C$4:$C$1003,A153,Relationships!$E$4:$E$1003,"DATA",Relationships!$M$4:$M$1003,"Confirmed",Relationships!$N$4:$N$1003,"OK — verify source"))</f>
        <v/>
      </c>
      <c r="H153" s="27">
        <f>IF(A153="","",COUNTIFS(Relationships!$B$4:$B$1003,"AIR",Relationships!$C$4:$C$1003,A153,Relationships!$E$4:$E$1003,"IF",Relationships!$M$4:$M$1003,"Confirmed",Relationships!$N$4:$N$1003,"OK — verify source"))</f>
        <v/>
      </c>
      <c r="I153" s="27">
        <f>IF(A153="","",COUNTIFS(Relationships!$B$4:$B$1003,"AIR",Relationships!$C$4:$C$1003,A153,Relationships!$E$4:$E$1003,"AG",Relationships!$M$4:$M$1003,"Confirmed",Relationships!$N$4:$N$1003,"OK — verify source"))</f>
        <v/>
      </c>
      <c r="J153" s="27">
        <f>IF(A153="","",COUNTIFS(Relationships!$B$4:$B$1003,"AIR",Relationships!$C$4:$C$1003,A153,Relationships!$E$4:$E$1003,"TOOL",Relationships!$M$4:$M$1003,"Confirmed",Relationships!$N$4:$N$1003,"OK — verify source"))</f>
        <v/>
      </c>
      <c r="K153" s="27">
        <f>IF(A153="","",COUNTIFS(Relationships!$G$4:$G$1003,A153,Relationships!$M$4:$M$1003,"Proposed"))</f>
        <v/>
      </c>
      <c r="L153" s="27">
        <f>IF(A153="","",COUNTIFS(Relationships!$G$4:$G$1003,A153,Relationships!$A$4:$A$1003,"&lt;&gt;",Relationships!$N$4:$N$1003,"&lt;&gt;OK — verify source"))</f>
        <v/>
      </c>
      <c r="M153" s="27" t="n"/>
      <c r="N153" s="27" t="n"/>
      <c r="O153" s="27">
        <f>IF(COUNTA(A153:D153,M153:N153)=0,"",IF(A153="","AIR-ID missing",IF(COUNTIF($A$4:$A$203,A153)&gt;1,"Duplicate AIR-ID",IF(OR(B153="",C153="",D153=""),"Label / source / reconciled-on missing",IF(NOT(ISNUMBER(D153)),"Reconciled-on is not a date","OK — verify source")))))</f>
        <v/>
      </c>
    </row>
    <row r="154">
      <c r="A154" s="25" t="n"/>
      <c r="B154" s="25" t="n"/>
      <c r="C154" s="25" t="n"/>
      <c r="D154" s="26" t="n"/>
      <c r="E154" s="25">
        <f>IF(A154="","",COUNTIFS(Relationships!$B$4:$B$1003,"CAP",Relationships!$E$4:$E$1003,"AIR",Relationships!$F$4:$F$1003,A154,Relationships!$M$4:$M$1003,"Confirmed",Relationships!$N$4:$N$1003,"OK — verify source"))</f>
        <v/>
      </c>
      <c r="F154" s="25">
        <f>IF(A154="","",COUNTIFS(Relationships!$B$4:$B$1003,"AIR",Relationships!$C$4:$C$1003,A154,Relationships!$E$4:$E$1003,"MOD",Relationships!$M$4:$M$1003,"Confirmed",Relationships!$N$4:$N$1003,"OK — verify source"))</f>
        <v/>
      </c>
      <c r="G154" s="25">
        <f>IF(A154="","",COUNTIFS(Relationships!$B$4:$B$1003,"AIR",Relationships!$C$4:$C$1003,A154,Relationships!$E$4:$E$1003,"DATA",Relationships!$M$4:$M$1003,"Confirmed",Relationships!$N$4:$N$1003,"OK — verify source"))</f>
        <v/>
      </c>
      <c r="H154" s="25">
        <f>IF(A154="","",COUNTIFS(Relationships!$B$4:$B$1003,"AIR",Relationships!$C$4:$C$1003,A154,Relationships!$E$4:$E$1003,"IF",Relationships!$M$4:$M$1003,"Confirmed",Relationships!$N$4:$N$1003,"OK — verify source"))</f>
        <v/>
      </c>
      <c r="I154" s="25">
        <f>IF(A154="","",COUNTIFS(Relationships!$B$4:$B$1003,"AIR",Relationships!$C$4:$C$1003,A154,Relationships!$E$4:$E$1003,"AG",Relationships!$M$4:$M$1003,"Confirmed",Relationships!$N$4:$N$1003,"OK — verify source"))</f>
        <v/>
      </c>
      <c r="J154" s="25">
        <f>IF(A154="","",COUNTIFS(Relationships!$B$4:$B$1003,"AIR",Relationships!$C$4:$C$1003,A154,Relationships!$E$4:$E$1003,"TOOL",Relationships!$M$4:$M$1003,"Confirmed",Relationships!$N$4:$N$1003,"OK — verify source"))</f>
        <v/>
      </c>
      <c r="K154" s="25">
        <f>IF(A154="","",COUNTIFS(Relationships!$G$4:$G$1003,A154,Relationships!$M$4:$M$1003,"Proposed"))</f>
        <v/>
      </c>
      <c r="L154" s="25">
        <f>IF(A154="","",COUNTIFS(Relationships!$G$4:$G$1003,A154,Relationships!$A$4:$A$1003,"&lt;&gt;",Relationships!$N$4:$N$1003,"&lt;&gt;OK — verify source"))</f>
        <v/>
      </c>
      <c r="M154" s="25" t="n"/>
      <c r="N154" s="25" t="n"/>
      <c r="O154" s="25">
        <f>IF(COUNTA(A154:D154,M154:N154)=0,"",IF(A154="","AIR-ID missing",IF(COUNTIF($A$4:$A$203,A154)&gt;1,"Duplicate AIR-ID",IF(OR(B154="",C154="",D154=""),"Label / source / reconciled-on missing",IF(NOT(ISNUMBER(D154)),"Reconciled-on is not a date","OK — verify source")))))</f>
        <v/>
      </c>
    </row>
    <row r="155">
      <c r="A155" s="27" t="n"/>
      <c r="B155" s="27" t="n"/>
      <c r="C155" s="27" t="n"/>
      <c r="D155" s="28" t="n"/>
      <c r="E155" s="27">
        <f>IF(A155="","",COUNTIFS(Relationships!$B$4:$B$1003,"CAP",Relationships!$E$4:$E$1003,"AIR",Relationships!$F$4:$F$1003,A155,Relationships!$M$4:$M$1003,"Confirmed",Relationships!$N$4:$N$1003,"OK — verify source"))</f>
        <v/>
      </c>
      <c r="F155" s="27">
        <f>IF(A155="","",COUNTIFS(Relationships!$B$4:$B$1003,"AIR",Relationships!$C$4:$C$1003,A155,Relationships!$E$4:$E$1003,"MOD",Relationships!$M$4:$M$1003,"Confirmed",Relationships!$N$4:$N$1003,"OK — verify source"))</f>
        <v/>
      </c>
      <c r="G155" s="27">
        <f>IF(A155="","",COUNTIFS(Relationships!$B$4:$B$1003,"AIR",Relationships!$C$4:$C$1003,A155,Relationships!$E$4:$E$1003,"DATA",Relationships!$M$4:$M$1003,"Confirmed",Relationships!$N$4:$N$1003,"OK — verify source"))</f>
        <v/>
      </c>
      <c r="H155" s="27">
        <f>IF(A155="","",COUNTIFS(Relationships!$B$4:$B$1003,"AIR",Relationships!$C$4:$C$1003,A155,Relationships!$E$4:$E$1003,"IF",Relationships!$M$4:$M$1003,"Confirmed",Relationships!$N$4:$N$1003,"OK — verify source"))</f>
        <v/>
      </c>
      <c r="I155" s="27">
        <f>IF(A155="","",COUNTIFS(Relationships!$B$4:$B$1003,"AIR",Relationships!$C$4:$C$1003,A155,Relationships!$E$4:$E$1003,"AG",Relationships!$M$4:$M$1003,"Confirmed",Relationships!$N$4:$N$1003,"OK — verify source"))</f>
        <v/>
      </c>
      <c r="J155" s="27">
        <f>IF(A155="","",COUNTIFS(Relationships!$B$4:$B$1003,"AIR",Relationships!$C$4:$C$1003,A155,Relationships!$E$4:$E$1003,"TOOL",Relationships!$M$4:$M$1003,"Confirmed",Relationships!$N$4:$N$1003,"OK — verify source"))</f>
        <v/>
      </c>
      <c r="K155" s="27">
        <f>IF(A155="","",COUNTIFS(Relationships!$G$4:$G$1003,A155,Relationships!$M$4:$M$1003,"Proposed"))</f>
        <v/>
      </c>
      <c r="L155" s="27">
        <f>IF(A155="","",COUNTIFS(Relationships!$G$4:$G$1003,A155,Relationships!$A$4:$A$1003,"&lt;&gt;",Relationships!$N$4:$N$1003,"&lt;&gt;OK — verify source"))</f>
        <v/>
      </c>
      <c r="M155" s="27" t="n"/>
      <c r="N155" s="27" t="n"/>
      <c r="O155" s="27">
        <f>IF(COUNTA(A155:D155,M155:N155)=0,"",IF(A155="","AIR-ID missing",IF(COUNTIF($A$4:$A$203,A155)&gt;1,"Duplicate AIR-ID",IF(OR(B155="",C155="",D155=""),"Label / source / reconciled-on missing",IF(NOT(ISNUMBER(D155)),"Reconciled-on is not a date","OK — verify source")))))</f>
        <v/>
      </c>
    </row>
    <row r="156">
      <c r="A156" s="25" t="n"/>
      <c r="B156" s="25" t="n"/>
      <c r="C156" s="25" t="n"/>
      <c r="D156" s="26" t="n"/>
      <c r="E156" s="25">
        <f>IF(A156="","",COUNTIFS(Relationships!$B$4:$B$1003,"CAP",Relationships!$E$4:$E$1003,"AIR",Relationships!$F$4:$F$1003,A156,Relationships!$M$4:$M$1003,"Confirmed",Relationships!$N$4:$N$1003,"OK — verify source"))</f>
        <v/>
      </c>
      <c r="F156" s="25">
        <f>IF(A156="","",COUNTIFS(Relationships!$B$4:$B$1003,"AIR",Relationships!$C$4:$C$1003,A156,Relationships!$E$4:$E$1003,"MOD",Relationships!$M$4:$M$1003,"Confirmed",Relationships!$N$4:$N$1003,"OK — verify source"))</f>
        <v/>
      </c>
      <c r="G156" s="25">
        <f>IF(A156="","",COUNTIFS(Relationships!$B$4:$B$1003,"AIR",Relationships!$C$4:$C$1003,A156,Relationships!$E$4:$E$1003,"DATA",Relationships!$M$4:$M$1003,"Confirmed",Relationships!$N$4:$N$1003,"OK — verify source"))</f>
        <v/>
      </c>
      <c r="H156" s="25">
        <f>IF(A156="","",COUNTIFS(Relationships!$B$4:$B$1003,"AIR",Relationships!$C$4:$C$1003,A156,Relationships!$E$4:$E$1003,"IF",Relationships!$M$4:$M$1003,"Confirmed",Relationships!$N$4:$N$1003,"OK — verify source"))</f>
        <v/>
      </c>
      <c r="I156" s="25">
        <f>IF(A156="","",COUNTIFS(Relationships!$B$4:$B$1003,"AIR",Relationships!$C$4:$C$1003,A156,Relationships!$E$4:$E$1003,"AG",Relationships!$M$4:$M$1003,"Confirmed",Relationships!$N$4:$N$1003,"OK — verify source"))</f>
        <v/>
      </c>
      <c r="J156" s="25">
        <f>IF(A156="","",COUNTIFS(Relationships!$B$4:$B$1003,"AIR",Relationships!$C$4:$C$1003,A156,Relationships!$E$4:$E$1003,"TOOL",Relationships!$M$4:$M$1003,"Confirmed",Relationships!$N$4:$N$1003,"OK — verify source"))</f>
        <v/>
      </c>
      <c r="K156" s="25">
        <f>IF(A156="","",COUNTIFS(Relationships!$G$4:$G$1003,A156,Relationships!$M$4:$M$1003,"Proposed"))</f>
        <v/>
      </c>
      <c r="L156" s="25">
        <f>IF(A156="","",COUNTIFS(Relationships!$G$4:$G$1003,A156,Relationships!$A$4:$A$1003,"&lt;&gt;",Relationships!$N$4:$N$1003,"&lt;&gt;OK — verify source"))</f>
        <v/>
      </c>
      <c r="M156" s="25" t="n"/>
      <c r="N156" s="25" t="n"/>
      <c r="O156" s="25">
        <f>IF(COUNTA(A156:D156,M156:N156)=0,"",IF(A156="","AIR-ID missing",IF(COUNTIF($A$4:$A$203,A156)&gt;1,"Duplicate AIR-ID",IF(OR(B156="",C156="",D156=""),"Label / source / reconciled-on missing",IF(NOT(ISNUMBER(D156)),"Reconciled-on is not a date","OK — verify source")))))</f>
        <v/>
      </c>
    </row>
    <row r="157">
      <c r="A157" s="27" t="n"/>
      <c r="B157" s="27" t="n"/>
      <c r="C157" s="27" t="n"/>
      <c r="D157" s="28" t="n"/>
      <c r="E157" s="27">
        <f>IF(A157="","",COUNTIFS(Relationships!$B$4:$B$1003,"CAP",Relationships!$E$4:$E$1003,"AIR",Relationships!$F$4:$F$1003,A157,Relationships!$M$4:$M$1003,"Confirmed",Relationships!$N$4:$N$1003,"OK — verify source"))</f>
        <v/>
      </c>
      <c r="F157" s="27">
        <f>IF(A157="","",COUNTIFS(Relationships!$B$4:$B$1003,"AIR",Relationships!$C$4:$C$1003,A157,Relationships!$E$4:$E$1003,"MOD",Relationships!$M$4:$M$1003,"Confirmed",Relationships!$N$4:$N$1003,"OK — verify source"))</f>
        <v/>
      </c>
      <c r="G157" s="27">
        <f>IF(A157="","",COUNTIFS(Relationships!$B$4:$B$1003,"AIR",Relationships!$C$4:$C$1003,A157,Relationships!$E$4:$E$1003,"DATA",Relationships!$M$4:$M$1003,"Confirmed",Relationships!$N$4:$N$1003,"OK — verify source"))</f>
        <v/>
      </c>
      <c r="H157" s="27">
        <f>IF(A157="","",COUNTIFS(Relationships!$B$4:$B$1003,"AIR",Relationships!$C$4:$C$1003,A157,Relationships!$E$4:$E$1003,"IF",Relationships!$M$4:$M$1003,"Confirmed",Relationships!$N$4:$N$1003,"OK — verify source"))</f>
        <v/>
      </c>
      <c r="I157" s="27">
        <f>IF(A157="","",COUNTIFS(Relationships!$B$4:$B$1003,"AIR",Relationships!$C$4:$C$1003,A157,Relationships!$E$4:$E$1003,"AG",Relationships!$M$4:$M$1003,"Confirmed",Relationships!$N$4:$N$1003,"OK — verify source"))</f>
        <v/>
      </c>
      <c r="J157" s="27">
        <f>IF(A157="","",COUNTIFS(Relationships!$B$4:$B$1003,"AIR",Relationships!$C$4:$C$1003,A157,Relationships!$E$4:$E$1003,"TOOL",Relationships!$M$4:$M$1003,"Confirmed",Relationships!$N$4:$N$1003,"OK — verify source"))</f>
        <v/>
      </c>
      <c r="K157" s="27">
        <f>IF(A157="","",COUNTIFS(Relationships!$G$4:$G$1003,A157,Relationships!$M$4:$M$1003,"Proposed"))</f>
        <v/>
      </c>
      <c r="L157" s="27">
        <f>IF(A157="","",COUNTIFS(Relationships!$G$4:$G$1003,A157,Relationships!$A$4:$A$1003,"&lt;&gt;",Relationships!$N$4:$N$1003,"&lt;&gt;OK — verify source"))</f>
        <v/>
      </c>
      <c r="M157" s="27" t="n"/>
      <c r="N157" s="27" t="n"/>
      <c r="O157" s="27">
        <f>IF(COUNTA(A157:D157,M157:N157)=0,"",IF(A157="","AIR-ID missing",IF(COUNTIF($A$4:$A$203,A157)&gt;1,"Duplicate AIR-ID",IF(OR(B157="",C157="",D157=""),"Label / source / reconciled-on missing",IF(NOT(ISNUMBER(D157)),"Reconciled-on is not a date","OK — verify source")))))</f>
        <v/>
      </c>
    </row>
    <row r="158">
      <c r="A158" s="25" t="n"/>
      <c r="B158" s="25" t="n"/>
      <c r="C158" s="25" t="n"/>
      <c r="D158" s="26" t="n"/>
      <c r="E158" s="25">
        <f>IF(A158="","",COUNTIFS(Relationships!$B$4:$B$1003,"CAP",Relationships!$E$4:$E$1003,"AIR",Relationships!$F$4:$F$1003,A158,Relationships!$M$4:$M$1003,"Confirmed",Relationships!$N$4:$N$1003,"OK — verify source"))</f>
        <v/>
      </c>
      <c r="F158" s="25">
        <f>IF(A158="","",COUNTIFS(Relationships!$B$4:$B$1003,"AIR",Relationships!$C$4:$C$1003,A158,Relationships!$E$4:$E$1003,"MOD",Relationships!$M$4:$M$1003,"Confirmed",Relationships!$N$4:$N$1003,"OK — verify source"))</f>
        <v/>
      </c>
      <c r="G158" s="25">
        <f>IF(A158="","",COUNTIFS(Relationships!$B$4:$B$1003,"AIR",Relationships!$C$4:$C$1003,A158,Relationships!$E$4:$E$1003,"DATA",Relationships!$M$4:$M$1003,"Confirmed",Relationships!$N$4:$N$1003,"OK — verify source"))</f>
        <v/>
      </c>
      <c r="H158" s="25">
        <f>IF(A158="","",COUNTIFS(Relationships!$B$4:$B$1003,"AIR",Relationships!$C$4:$C$1003,A158,Relationships!$E$4:$E$1003,"IF",Relationships!$M$4:$M$1003,"Confirmed",Relationships!$N$4:$N$1003,"OK — verify source"))</f>
        <v/>
      </c>
      <c r="I158" s="25">
        <f>IF(A158="","",COUNTIFS(Relationships!$B$4:$B$1003,"AIR",Relationships!$C$4:$C$1003,A158,Relationships!$E$4:$E$1003,"AG",Relationships!$M$4:$M$1003,"Confirmed",Relationships!$N$4:$N$1003,"OK — verify source"))</f>
        <v/>
      </c>
      <c r="J158" s="25">
        <f>IF(A158="","",COUNTIFS(Relationships!$B$4:$B$1003,"AIR",Relationships!$C$4:$C$1003,A158,Relationships!$E$4:$E$1003,"TOOL",Relationships!$M$4:$M$1003,"Confirmed",Relationships!$N$4:$N$1003,"OK — verify source"))</f>
        <v/>
      </c>
      <c r="K158" s="25">
        <f>IF(A158="","",COUNTIFS(Relationships!$G$4:$G$1003,A158,Relationships!$M$4:$M$1003,"Proposed"))</f>
        <v/>
      </c>
      <c r="L158" s="25">
        <f>IF(A158="","",COUNTIFS(Relationships!$G$4:$G$1003,A158,Relationships!$A$4:$A$1003,"&lt;&gt;",Relationships!$N$4:$N$1003,"&lt;&gt;OK — verify source"))</f>
        <v/>
      </c>
      <c r="M158" s="25" t="n"/>
      <c r="N158" s="25" t="n"/>
      <c r="O158" s="25">
        <f>IF(COUNTA(A158:D158,M158:N158)=0,"",IF(A158="","AIR-ID missing",IF(COUNTIF($A$4:$A$203,A158)&gt;1,"Duplicate AIR-ID",IF(OR(B158="",C158="",D158=""),"Label / source / reconciled-on missing",IF(NOT(ISNUMBER(D158)),"Reconciled-on is not a date","OK — verify source")))))</f>
        <v/>
      </c>
    </row>
    <row r="159">
      <c r="A159" s="27" t="n"/>
      <c r="B159" s="27" t="n"/>
      <c r="C159" s="27" t="n"/>
      <c r="D159" s="28" t="n"/>
      <c r="E159" s="27">
        <f>IF(A159="","",COUNTIFS(Relationships!$B$4:$B$1003,"CAP",Relationships!$E$4:$E$1003,"AIR",Relationships!$F$4:$F$1003,A159,Relationships!$M$4:$M$1003,"Confirmed",Relationships!$N$4:$N$1003,"OK — verify source"))</f>
        <v/>
      </c>
      <c r="F159" s="27">
        <f>IF(A159="","",COUNTIFS(Relationships!$B$4:$B$1003,"AIR",Relationships!$C$4:$C$1003,A159,Relationships!$E$4:$E$1003,"MOD",Relationships!$M$4:$M$1003,"Confirmed",Relationships!$N$4:$N$1003,"OK — verify source"))</f>
        <v/>
      </c>
      <c r="G159" s="27">
        <f>IF(A159="","",COUNTIFS(Relationships!$B$4:$B$1003,"AIR",Relationships!$C$4:$C$1003,A159,Relationships!$E$4:$E$1003,"DATA",Relationships!$M$4:$M$1003,"Confirmed",Relationships!$N$4:$N$1003,"OK — verify source"))</f>
        <v/>
      </c>
      <c r="H159" s="27">
        <f>IF(A159="","",COUNTIFS(Relationships!$B$4:$B$1003,"AIR",Relationships!$C$4:$C$1003,A159,Relationships!$E$4:$E$1003,"IF",Relationships!$M$4:$M$1003,"Confirmed",Relationships!$N$4:$N$1003,"OK — verify source"))</f>
        <v/>
      </c>
      <c r="I159" s="27">
        <f>IF(A159="","",COUNTIFS(Relationships!$B$4:$B$1003,"AIR",Relationships!$C$4:$C$1003,A159,Relationships!$E$4:$E$1003,"AG",Relationships!$M$4:$M$1003,"Confirmed",Relationships!$N$4:$N$1003,"OK — verify source"))</f>
        <v/>
      </c>
      <c r="J159" s="27">
        <f>IF(A159="","",COUNTIFS(Relationships!$B$4:$B$1003,"AIR",Relationships!$C$4:$C$1003,A159,Relationships!$E$4:$E$1003,"TOOL",Relationships!$M$4:$M$1003,"Confirmed",Relationships!$N$4:$N$1003,"OK — verify source"))</f>
        <v/>
      </c>
      <c r="K159" s="27">
        <f>IF(A159="","",COUNTIFS(Relationships!$G$4:$G$1003,A159,Relationships!$M$4:$M$1003,"Proposed"))</f>
        <v/>
      </c>
      <c r="L159" s="27">
        <f>IF(A159="","",COUNTIFS(Relationships!$G$4:$G$1003,A159,Relationships!$A$4:$A$1003,"&lt;&gt;",Relationships!$N$4:$N$1003,"&lt;&gt;OK — verify source"))</f>
        <v/>
      </c>
      <c r="M159" s="27" t="n"/>
      <c r="N159" s="27" t="n"/>
      <c r="O159" s="27">
        <f>IF(COUNTA(A159:D159,M159:N159)=0,"",IF(A159="","AIR-ID missing",IF(COUNTIF($A$4:$A$203,A159)&gt;1,"Duplicate AIR-ID",IF(OR(B159="",C159="",D159=""),"Label / source / reconciled-on missing",IF(NOT(ISNUMBER(D159)),"Reconciled-on is not a date","OK — verify source")))))</f>
        <v/>
      </c>
    </row>
    <row r="160">
      <c r="A160" s="25" t="n"/>
      <c r="B160" s="25" t="n"/>
      <c r="C160" s="25" t="n"/>
      <c r="D160" s="26" t="n"/>
      <c r="E160" s="25">
        <f>IF(A160="","",COUNTIFS(Relationships!$B$4:$B$1003,"CAP",Relationships!$E$4:$E$1003,"AIR",Relationships!$F$4:$F$1003,A160,Relationships!$M$4:$M$1003,"Confirmed",Relationships!$N$4:$N$1003,"OK — verify source"))</f>
        <v/>
      </c>
      <c r="F160" s="25">
        <f>IF(A160="","",COUNTIFS(Relationships!$B$4:$B$1003,"AIR",Relationships!$C$4:$C$1003,A160,Relationships!$E$4:$E$1003,"MOD",Relationships!$M$4:$M$1003,"Confirmed",Relationships!$N$4:$N$1003,"OK — verify source"))</f>
        <v/>
      </c>
      <c r="G160" s="25">
        <f>IF(A160="","",COUNTIFS(Relationships!$B$4:$B$1003,"AIR",Relationships!$C$4:$C$1003,A160,Relationships!$E$4:$E$1003,"DATA",Relationships!$M$4:$M$1003,"Confirmed",Relationships!$N$4:$N$1003,"OK — verify source"))</f>
        <v/>
      </c>
      <c r="H160" s="25">
        <f>IF(A160="","",COUNTIFS(Relationships!$B$4:$B$1003,"AIR",Relationships!$C$4:$C$1003,A160,Relationships!$E$4:$E$1003,"IF",Relationships!$M$4:$M$1003,"Confirmed",Relationships!$N$4:$N$1003,"OK — verify source"))</f>
        <v/>
      </c>
      <c r="I160" s="25">
        <f>IF(A160="","",COUNTIFS(Relationships!$B$4:$B$1003,"AIR",Relationships!$C$4:$C$1003,A160,Relationships!$E$4:$E$1003,"AG",Relationships!$M$4:$M$1003,"Confirmed",Relationships!$N$4:$N$1003,"OK — verify source"))</f>
        <v/>
      </c>
      <c r="J160" s="25">
        <f>IF(A160="","",COUNTIFS(Relationships!$B$4:$B$1003,"AIR",Relationships!$C$4:$C$1003,A160,Relationships!$E$4:$E$1003,"TOOL",Relationships!$M$4:$M$1003,"Confirmed",Relationships!$N$4:$N$1003,"OK — verify source"))</f>
        <v/>
      </c>
      <c r="K160" s="25">
        <f>IF(A160="","",COUNTIFS(Relationships!$G$4:$G$1003,A160,Relationships!$M$4:$M$1003,"Proposed"))</f>
        <v/>
      </c>
      <c r="L160" s="25">
        <f>IF(A160="","",COUNTIFS(Relationships!$G$4:$G$1003,A160,Relationships!$A$4:$A$1003,"&lt;&gt;",Relationships!$N$4:$N$1003,"&lt;&gt;OK — verify source"))</f>
        <v/>
      </c>
      <c r="M160" s="25" t="n"/>
      <c r="N160" s="25" t="n"/>
      <c r="O160" s="25">
        <f>IF(COUNTA(A160:D160,M160:N160)=0,"",IF(A160="","AIR-ID missing",IF(COUNTIF($A$4:$A$203,A160)&gt;1,"Duplicate AIR-ID",IF(OR(B160="",C160="",D160=""),"Label / source / reconciled-on missing",IF(NOT(ISNUMBER(D160)),"Reconciled-on is not a date","OK — verify source")))))</f>
        <v/>
      </c>
    </row>
    <row r="161">
      <c r="A161" s="27" t="n"/>
      <c r="B161" s="27" t="n"/>
      <c r="C161" s="27" t="n"/>
      <c r="D161" s="28" t="n"/>
      <c r="E161" s="27">
        <f>IF(A161="","",COUNTIFS(Relationships!$B$4:$B$1003,"CAP",Relationships!$E$4:$E$1003,"AIR",Relationships!$F$4:$F$1003,A161,Relationships!$M$4:$M$1003,"Confirmed",Relationships!$N$4:$N$1003,"OK — verify source"))</f>
        <v/>
      </c>
      <c r="F161" s="27">
        <f>IF(A161="","",COUNTIFS(Relationships!$B$4:$B$1003,"AIR",Relationships!$C$4:$C$1003,A161,Relationships!$E$4:$E$1003,"MOD",Relationships!$M$4:$M$1003,"Confirmed",Relationships!$N$4:$N$1003,"OK — verify source"))</f>
        <v/>
      </c>
      <c r="G161" s="27">
        <f>IF(A161="","",COUNTIFS(Relationships!$B$4:$B$1003,"AIR",Relationships!$C$4:$C$1003,A161,Relationships!$E$4:$E$1003,"DATA",Relationships!$M$4:$M$1003,"Confirmed",Relationships!$N$4:$N$1003,"OK — verify source"))</f>
        <v/>
      </c>
      <c r="H161" s="27">
        <f>IF(A161="","",COUNTIFS(Relationships!$B$4:$B$1003,"AIR",Relationships!$C$4:$C$1003,A161,Relationships!$E$4:$E$1003,"IF",Relationships!$M$4:$M$1003,"Confirmed",Relationships!$N$4:$N$1003,"OK — verify source"))</f>
        <v/>
      </c>
      <c r="I161" s="27">
        <f>IF(A161="","",COUNTIFS(Relationships!$B$4:$B$1003,"AIR",Relationships!$C$4:$C$1003,A161,Relationships!$E$4:$E$1003,"AG",Relationships!$M$4:$M$1003,"Confirmed",Relationships!$N$4:$N$1003,"OK — verify source"))</f>
        <v/>
      </c>
      <c r="J161" s="27">
        <f>IF(A161="","",COUNTIFS(Relationships!$B$4:$B$1003,"AIR",Relationships!$C$4:$C$1003,A161,Relationships!$E$4:$E$1003,"TOOL",Relationships!$M$4:$M$1003,"Confirmed",Relationships!$N$4:$N$1003,"OK — verify source"))</f>
        <v/>
      </c>
      <c r="K161" s="27">
        <f>IF(A161="","",COUNTIFS(Relationships!$G$4:$G$1003,A161,Relationships!$M$4:$M$1003,"Proposed"))</f>
        <v/>
      </c>
      <c r="L161" s="27">
        <f>IF(A161="","",COUNTIFS(Relationships!$G$4:$G$1003,A161,Relationships!$A$4:$A$1003,"&lt;&gt;",Relationships!$N$4:$N$1003,"&lt;&gt;OK — verify source"))</f>
        <v/>
      </c>
      <c r="M161" s="27" t="n"/>
      <c r="N161" s="27" t="n"/>
      <c r="O161" s="27">
        <f>IF(COUNTA(A161:D161,M161:N161)=0,"",IF(A161="","AIR-ID missing",IF(COUNTIF($A$4:$A$203,A161)&gt;1,"Duplicate AIR-ID",IF(OR(B161="",C161="",D161=""),"Label / source / reconciled-on missing",IF(NOT(ISNUMBER(D161)),"Reconciled-on is not a date","OK — verify source")))))</f>
        <v/>
      </c>
    </row>
    <row r="162">
      <c r="A162" s="25" t="n"/>
      <c r="B162" s="25" t="n"/>
      <c r="C162" s="25" t="n"/>
      <c r="D162" s="26" t="n"/>
      <c r="E162" s="25">
        <f>IF(A162="","",COUNTIFS(Relationships!$B$4:$B$1003,"CAP",Relationships!$E$4:$E$1003,"AIR",Relationships!$F$4:$F$1003,A162,Relationships!$M$4:$M$1003,"Confirmed",Relationships!$N$4:$N$1003,"OK — verify source"))</f>
        <v/>
      </c>
      <c r="F162" s="25">
        <f>IF(A162="","",COUNTIFS(Relationships!$B$4:$B$1003,"AIR",Relationships!$C$4:$C$1003,A162,Relationships!$E$4:$E$1003,"MOD",Relationships!$M$4:$M$1003,"Confirmed",Relationships!$N$4:$N$1003,"OK — verify source"))</f>
        <v/>
      </c>
      <c r="G162" s="25">
        <f>IF(A162="","",COUNTIFS(Relationships!$B$4:$B$1003,"AIR",Relationships!$C$4:$C$1003,A162,Relationships!$E$4:$E$1003,"DATA",Relationships!$M$4:$M$1003,"Confirmed",Relationships!$N$4:$N$1003,"OK — verify source"))</f>
        <v/>
      </c>
      <c r="H162" s="25">
        <f>IF(A162="","",COUNTIFS(Relationships!$B$4:$B$1003,"AIR",Relationships!$C$4:$C$1003,A162,Relationships!$E$4:$E$1003,"IF",Relationships!$M$4:$M$1003,"Confirmed",Relationships!$N$4:$N$1003,"OK — verify source"))</f>
        <v/>
      </c>
      <c r="I162" s="25">
        <f>IF(A162="","",COUNTIFS(Relationships!$B$4:$B$1003,"AIR",Relationships!$C$4:$C$1003,A162,Relationships!$E$4:$E$1003,"AG",Relationships!$M$4:$M$1003,"Confirmed",Relationships!$N$4:$N$1003,"OK — verify source"))</f>
        <v/>
      </c>
      <c r="J162" s="25">
        <f>IF(A162="","",COUNTIFS(Relationships!$B$4:$B$1003,"AIR",Relationships!$C$4:$C$1003,A162,Relationships!$E$4:$E$1003,"TOOL",Relationships!$M$4:$M$1003,"Confirmed",Relationships!$N$4:$N$1003,"OK — verify source"))</f>
        <v/>
      </c>
      <c r="K162" s="25">
        <f>IF(A162="","",COUNTIFS(Relationships!$G$4:$G$1003,A162,Relationships!$M$4:$M$1003,"Proposed"))</f>
        <v/>
      </c>
      <c r="L162" s="25">
        <f>IF(A162="","",COUNTIFS(Relationships!$G$4:$G$1003,A162,Relationships!$A$4:$A$1003,"&lt;&gt;",Relationships!$N$4:$N$1003,"&lt;&gt;OK — verify source"))</f>
        <v/>
      </c>
      <c r="M162" s="25" t="n"/>
      <c r="N162" s="25" t="n"/>
      <c r="O162" s="25">
        <f>IF(COUNTA(A162:D162,M162:N162)=0,"",IF(A162="","AIR-ID missing",IF(COUNTIF($A$4:$A$203,A162)&gt;1,"Duplicate AIR-ID",IF(OR(B162="",C162="",D162=""),"Label / source / reconciled-on missing",IF(NOT(ISNUMBER(D162)),"Reconciled-on is not a date","OK — verify source")))))</f>
        <v/>
      </c>
    </row>
    <row r="163">
      <c r="A163" s="27" t="n"/>
      <c r="B163" s="27" t="n"/>
      <c r="C163" s="27" t="n"/>
      <c r="D163" s="28" t="n"/>
      <c r="E163" s="27">
        <f>IF(A163="","",COUNTIFS(Relationships!$B$4:$B$1003,"CAP",Relationships!$E$4:$E$1003,"AIR",Relationships!$F$4:$F$1003,A163,Relationships!$M$4:$M$1003,"Confirmed",Relationships!$N$4:$N$1003,"OK — verify source"))</f>
        <v/>
      </c>
      <c r="F163" s="27">
        <f>IF(A163="","",COUNTIFS(Relationships!$B$4:$B$1003,"AIR",Relationships!$C$4:$C$1003,A163,Relationships!$E$4:$E$1003,"MOD",Relationships!$M$4:$M$1003,"Confirmed",Relationships!$N$4:$N$1003,"OK — verify source"))</f>
        <v/>
      </c>
      <c r="G163" s="27">
        <f>IF(A163="","",COUNTIFS(Relationships!$B$4:$B$1003,"AIR",Relationships!$C$4:$C$1003,A163,Relationships!$E$4:$E$1003,"DATA",Relationships!$M$4:$M$1003,"Confirmed",Relationships!$N$4:$N$1003,"OK — verify source"))</f>
        <v/>
      </c>
      <c r="H163" s="27">
        <f>IF(A163="","",COUNTIFS(Relationships!$B$4:$B$1003,"AIR",Relationships!$C$4:$C$1003,A163,Relationships!$E$4:$E$1003,"IF",Relationships!$M$4:$M$1003,"Confirmed",Relationships!$N$4:$N$1003,"OK — verify source"))</f>
        <v/>
      </c>
      <c r="I163" s="27">
        <f>IF(A163="","",COUNTIFS(Relationships!$B$4:$B$1003,"AIR",Relationships!$C$4:$C$1003,A163,Relationships!$E$4:$E$1003,"AG",Relationships!$M$4:$M$1003,"Confirmed",Relationships!$N$4:$N$1003,"OK — verify source"))</f>
        <v/>
      </c>
      <c r="J163" s="27">
        <f>IF(A163="","",COUNTIFS(Relationships!$B$4:$B$1003,"AIR",Relationships!$C$4:$C$1003,A163,Relationships!$E$4:$E$1003,"TOOL",Relationships!$M$4:$M$1003,"Confirmed",Relationships!$N$4:$N$1003,"OK — verify source"))</f>
        <v/>
      </c>
      <c r="K163" s="27">
        <f>IF(A163="","",COUNTIFS(Relationships!$G$4:$G$1003,A163,Relationships!$M$4:$M$1003,"Proposed"))</f>
        <v/>
      </c>
      <c r="L163" s="27">
        <f>IF(A163="","",COUNTIFS(Relationships!$G$4:$G$1003,A163,Relationships!$A$4:$A$1003,"&lt;&gt;",Relationships!$N$4:$N$1003,"&lt;&gt;OK — verify source"))</f>
        <v/>
      </c>
      <c r="M163" s="27" t="n"/>
      <c r="N163" s="27" t="n"/>
      <c r="O163" s="27">
        <f>IF(COUNTA(A163:D163,M163:N163)=0,"",IF(A163="","AIR-ID missing",IF(COUNTIF($A$4:$A$203,A163)&gt;1,"Duplicate AIR-ID",IF(OR(B163="",C163="",D163=""),"Label / source / reconciled-on missing",IF(NOT(ISNUMBER(D163)),"Reconciled-on is not a date","OK — verify source")))))</f>
        <v/>
      </c>
    </row>
    <row r="164">
      <c r="A164" s="25" t="n"/>
      <c r="B164" s="25" t="n"/>
      <c r="C164" s="25" t="n"/>
      <c r="D164" s="26" t="n"/>
      <c r="E164" s="25">
        <f>IF(A164="","",COUNTIFS(Relationships!$B$4:$B$1003,"CAP",Relationships!$E$4:$E$1003,"AIR",Relationships!$F$4:$F$1003,A164,Relationships!$M$4:$M$1003,"Confirmed",Relationships!$N$4:$N$1003,"OK — verify source"))</f>
        <v/>
      </c>
      <c r="F164" s="25">
        <f>IF(A164="","",COUNTIFS(Relationships!$B$4:$B$1003,"AIR",Relationships!$C$4:$C$1003,A164,Relationships!$E$4:$E$1003,"MOD",Relationships!$M$4:$M$1003,"Confirmed",Relationships!$N$4:$N$1003,"OK — verify source"))</f>
        <v/>
      </c>
      <c r="G164" s="25">
        <f>IF(A164="","",COUNTIFS(Relationships!$B$4:$B$1003,"AIR",Relationships!$C$4:$C$1003,A164,Relationships!$E$4:$E$1003,"DATA",Relationships!$M$4:$M$1003,"Confirmed",Relationships!$N$4:$N$1003,"OK — verify source"))</f>
        <v/>
      </c>
      <c r="H164" s="25">
        <f>IF(A164="","",COUNTIFS(Relationships!$B$4:$B$1003,"AIR",Relationships!$C$4:$C$1003,A164,Relationships!$E$4:$E$1003,"IF",Relationships!$M$4:$M$1003,"Confirmed",Relationships!$N$4:$N$1003,"OK — verify source"))</f>
        <v/>
      </c>
      <c r="I164" s="25">
        <f>IF(A164="","",COUNTIFS(Relationships!$B$4:$B$1003,"AIR",Relationships!$C$4:$C$1003,A164,Relationships!$E$4:$E$1003,"AG",Relationships!$M$4:$M$1003,"Confirmed",Relationships!$N$4:$N$1003,"OK — verify source"))</f>
        <v/>
      </c>
      <c r="J164" s="25">
        <f>IF(A164="","",COUNTIFS(Relationships!$B$4:$B$1003,"AIR",Relationships!$C$4:$C$1003,A164,Relationships!$E$4:$E$1003,"TOOL",Relationships!$M$4:$M$1003,"Confirmed",Relationships!$N$4:$N$1003,"OK — verify source"))</f>
        <v/>
      </c>
      <c r="K164" s="25">
        <f>IF(A164="","",COUNTIFS(Relationships!$G$4:$G$1003,A164,Relationships!$M$4:$M$1003,"Proposed"))</f>
        <v/>
      </c>
      <c r="L164" s="25">
        <f>IF(A164="","",COUNTIFS(Relationships!$G$4:$G$1003,A164,Relationships!$A$4:$A$1003,"&lt;&gt;",Relationships!$N$4:$N$1003,"&lt;&gt;OK — verify source"))</f>
        <v/>
      </c>
      <c r="M164" s="25" t="n"/>
      <c r="N164" s="25" t="n"/>
      <c r="O164" s="25">
        <f>IF(COUNTA(A164:D164,M164:N164)=0,"",IF(A164="","AIR-ID missing",IF(COUNTIF($A$4:$A$203,A164)&gt;1,"Duplicate AIR-ID",IF(OR(B164="",C164="",D164=""),"Label / source / reconciled-on missing",IF(NOT(ISNUMBER(D164)),"Reconciled-on is not a date","OK — verify source")))))</f>
        <v/>
      </c>
    </row>
    <row r="165">
      <c r="A165" s="27" t="n"/>
      <c r="B165" s="27" t="n"/>
      <c r="C165" s="27" t="n"/>
      <c r="D165" s="28" t="n"/>
      <c r="E165" s="27">
        <f>IF(A165="","",COUNTIFS(Relationships!$B$4:$B$1003,"CAP",Relationships!$E$4:$E$1003,"AIR",Relationships!$F$4:$F$1003,A165,Relationships!$M$4:$M$1003,"Confirmed",Relationships!$N$4:$N$1003,"OK — verify source"))</f>
        <v/>
      </c>
      <c r="F165" s="27">
        <f>IF(A165="","",COUNTIFS(Relationships!$B$4:$B$1003,"AIR",Relationships!$C$4:$C$1003,A165,Relationships!$E$4:$E$1003,"MOD",Relationships!$M$4:$M$1003,"Confirmed",Relationships!$N$4:$N$1003,"OK — verify source"))</f>
        <v/>
      </c>
      <c r="G165" s="27">
        <f>IF(A165="","",COUNTIFS(Relationships!$B$4:$B$1003,"AIR",Relationships!$C$4:$C$1003,A165,Relationships!$E$4:$E$1003,"DATA",Relationships!$M$4:$M$1003,"Confirmed",Relationships!$N$4:$N$1003,"OK — verify source"))</f>
        <v/>
      </c>
      <c r="H165" s="27">
        <f>IF(A165="","",COUNTIFS(Relationships!$B$4:$B$1003,"AIR",Relationships!$C$4:$C$1003,A165,Relationships!$E$4:$E$1003,"IF",Relationships!$M$4:$M$1003,"Confirmed",Relationships!$N$4:$N$1003,"OK — verify source"))</f>
        <v/>
      </c>
      <c r="I165" s="27">
        <f>IF(A165="","",COUNTIFS(Relationships!$B$4:$B$1003,"AIR",Relationships!$C$4:$C$1003,A165,Relationships!$E$4:$E$1003,"AG",Relationships!$M$4:$M$1003,"Confirmed",Relationships!$N$4:$N$1003,"OK — verify source"))</f>
        <v/>
      </c>
      <c r="J165" s="27">
        <f>IF(A165="","",COUNTIFS(Relationships!$B$4:$B$1003,"AIR",Relationships!$C$4:$C$1003,A165,Relationships!$E$4:$E$1003,"TOOL",Relationships!$M$4:$M$1003,"Confirmed",Relationships!$N$4:$N$1003,"OK — verify source"))</f>
        <v/>
      </c>
      <c r="K165" s="27">
        <f>IF(A165="","",COUNTIFS(Relationships!$G$4:$G$1003,A165,Relationships!$M$4:$M$1003,"Proposed"))</f>
        <v/>
      </c>
      <c r="L165" s="27">
        <f>IF(A165="","",COUNTIFS(Relationships!$G$4:$G$1003,A165,Relationships!$A$4:$A$1003,"&lt;&gt;",Relationships!$N$4:$N$1003,"&lt;&gt;OK — verify source"))</f>
        <v/>
      </c>
      <c r="M165" s="27" t="n"/>
      <c r="N165" s="27" t="n"/>
      <c r="O165" s="27">
        <f>IF(COUNTA(A165:D165,M165:N165)=0,"",IF(A165="","AIR-ID missing",IF(COUNTIF($A$4:$A$203,A165)&gt;1,"Duplicate AIR-ID",IF(OR(B165="",C165="",D165=""),"Label / source / reconciled-on missing",IF(NOT(ISNUMBER(D165)),"Reconciled-on is not a date","OK — verify source")))))</f>
        <v/>
      </c>
    </row>
    <row r="166">
      <c r="A166" s="25" t="n"/>
      <c r="B166" s="25" t="n"/>
      <c r="C166" s="25" t="n"/>
      <c r="D166" s="26" t="n"/>
      <c r="E166" s="25">
        <f>IF(A166="","",COUNTIFS(Relationships!$B$4:$B$1003,"CAP",Relationships!$E$4:$E$1003,"AIR",Relationships!$F$4:$F$1003,A166,Relationships!$M$4:$M$1003,"Confirmed",Relationships!$N$4:$N$1003,"OK — verify source"))</f>
        <v/>
      </c>
      <c r="F166" s="25">
        <f>IF(A166="","",COUNTIFS(Relationships!$B$4:$B$1003,"AIR",Relationships!$C$4:$C$1003,A166,Relationships!$E$4:$E$1003,"MOD",Relationships!$M$4:$M$1003,"Confirmed",Relationships!$N$4:$N$1003,"OK — verify source"))</f>
        <v/>
      </c>
      <c r="G166" s="25">
        <f>IF(A166="","",COUNTIFS(Relationships!$B$4:$B$1003,"AIR",Relationships!$C$4:$C$1003,A166,Relationships!$E$4:$E$1003,"DATA",Relationships!$M$4:$M$1003,"Confirmed",Relationships!$N$4:$N$1003,"OK — verify source"))</f>
        <v/>
      </c>
      <c r="H166" s="25">
        <f>IF(A166="","",COUNTIFS(Relationships!$B$4:$B$1003,"AIR",Relationships!$C$4:$C$1003,A166,Relationships!$E$4:$E$1003,"IF",Relationships!$M$4:$M$1003,"Confirmed",Relationships!$N$4:$N$1003,"OK — verify source"))</f>
        <v/>
      </c>
      <c r="I166" s="25">
        <f>IF(A166="","",COUNTIFS(Relationships!$B$4:$B$1003,"AIR",Relationships!$C$4:$C$1003,A166,Relationships!$E$4:$E$1003,"AG",Relationships!$M$4:$M$1003,"Confirmed",Relationships!$N$4:$N$1003,"OK — verify source"))</f>
        <v/>
      </c>
      <c r="J166" s="25">
        <f>IF(A166="","",COUNTIFS(Relationships!$B$4:$B$1003,"AIR",Relationships!$C$4:$C$1003,A166,Relationships!$E$4:$E$1003,"TOOL",Relationships!$M$4:$M$1003,"Confirmed",Relationships!$N$4:$N$1003,"OK — verify source"))</f>
        <v/>
      </c>
      <c r="K166" s="25">
        <f>IF(A166="","",COUNTIFS(Relationships!$G$4:$G$1003,A166,Relationships!$M$4:$M$1003,"Proposed"))</f>
        <v/>
      </c>
      <c r="L166" s="25">
        <f>IF(A166="","",COUNTIFS(Relationships!$G$4:$G$1003,A166,Relationships!$A$4:$A$1003,"&lt;&gt;",Relationships!$N$4:$N$1003,"&lt;&gt;OK — verify source"))</f>
        <v/>
      </c>
      <c r="M166" s="25" t="n"/>
      <c r="N166" s="25" t="n"/>
      <c r="O166" s="25">
        <f>IF(COUNTA(A166:D166,M166:N166)=0,"",IF(A166="","AIR-ID missing",IF(COUNTIF($A$4:$A$203,A166)&gt;1,"Duplicate AIR-ID",IF(OR(B166="",C166="",D166=""),"Label / source / reconciled-on missing",IF(NOT(ISNUMBER(D166)),"Reconciled-on is not a date","OK — verify source")))))</f>
        <v/>
      </c>
    </row>
    <row r="167">
      <c r="A167" s="27" t="n"/>
      <c r="B167" s="27" t="n"/>
      <c r="C167" s="27" t="n"/>
      <c r="D167" s="28" t="n"/>
      <c r="E167" s="27">
        <f>IF(A167="","",COUNTIFS(Relationships!$B$4:$B$1003,"CAP",Relationships!$E$4:$E$1003,"AIR",Relationships!$F$4:$F$1003,A167,Relationships!$M$4:$M$1003,"Confirmed",Relationships!$N$4:$N$1003,"OK — verify source"))</f>
        <v/>
      </c>
      <c r="F167" s="27">
        <f>IF(A167="","",COUNTIFS(Relationships!$B$4:$B$1003,"AIR",Relationships!$C$4:$C$1003,A167,Relationships!$E$4:$E$1003,"MOD",Relationships!$M$4:$M$1003,"Confirmed",Relationships!$N$4:$N$1003,"OK — verify source"))</f>
        <v/>
      </c>
      <c r="G167" s="27">
        <f>IF(A167="","",COUNTIFS(Relationships!$B$4:$B$1003,"AIR",Relationships!$C$4:$C$1003,A167,Relationships!$E$4:$E$1003,"DATA",Relationships!$M$4:$M$1003,"Confirmed",Relationships!$N$4:$N$1003,"OK — verify source"))</f>
        <v/>
      </c>
      <c r="H167" s="27">
        <f>IF(A167="","",COUNTIFS(Relationships!$B$4:$B$1003,"AIR",Relationships!$C$4:$C$1003,A167,Relationships!$E$4:$E$1003,"IF",Relationships!$M$4:$M$1003,"Confirmed",Relationships!$N$4:$N$1003,"OK — verify source"))</f>
        <v/>
      </c>
      <c r="I167" s="27">
        <f>IF(A167="","",COUNTIFS(Relationships!$B$4:$B$1003,"AIR",Relationships!$C$4:$C$1003,A167,Relationships!$E$4:$E$1003,"AG",Relationships!$M$4:$M$1003,"Confirmed",Relationships!$N$4:$N$1003,"OK — verify source"))</f>
        <v/>
      </c>
      <c r="J167" s="27">
        <f>IF(A167="","",COUNTIFS(Relationships!$B$4:$B$1003,"AIR",Relationships!$C$4:$C$1003,A167,Relationships!$E$4:$E$1003,"TOOL",Relationships!$M$4:$M$1003,"Confirmed",Relationships!$N$4:$N$1003,"OK — verify source"))</f>
        <v/>
      </c>
      <c r="K167" s="27">
        <f>IF(A167="","",COUNTIFS(Relationships!$G$4:$G$1003,A167,Relationships!$M$4:$M$1003,"Proposed"))</f>
        <v/>
      </c>
      <c r="L167" s="27">
        <f>IF(A167="","",COUNTIFS(Relationships!$G$4:$G$1003,A167,Relationships!$A$4:$A$1003,"&lt;&gt;",Relationships!$N$4:$N$1003,"&lt;&gt;OK — verify source"))</f>
        <v/>
      </c>
      <c r="M167" s="27" t="n"/>
      <c r="N167" s="27" t="n"/>
      <c r="O167" s="27">
        <f>IF(COUNTA(A167:D167,M167:N167)=0,"",IF(A167="","AIR-ID missing",IF(COUNTIF($A$4:$A$203,A167)&gt;1,"Duplicate AIR-ID",IF(OR(B167="",C167="",D167=""),"Label / source / reconciled-on missing",IF(NOT(ISNUMBER(D167)),"Reconciled-on is not a date","OK — verify source")))))</f>
        <v/>
      </c>
    </row>
    <row r="168">
      <c r="A168" s="25" t="n"/>
      <c r="B168" s="25" t="n"/>
      <c r="C168" s="25" t="n"/>
      <c r="D168" s="26" t="n"/>
      <c r="E168" s="25">
        <f>IF(A168="","",COUNTIFS(Relationships!$B$4:$B$1003,"CAP",Relationships!$E$4:$E$1003,"AIR",Relationships!$F$4:$F$1003,A168,Relationships!$M$4:$M$1003,"Confirmed",Relationships!$N$4:$N$1003,"OK — verify source"))</f>
        <v/>
      </c>
      <c r="F168" s="25">
        <f>IF(A168="","",COUNTIFS(Relationships!$B$4:$B$1003,"AIR",Relationships!$C$4:$C$1003,A168,Relationships!$E$4:$E$1003,"MOD",Relationships!$M$4:$M$1003,"Confirmed",Relationships!$N$4:$N$1003,"OK — verify source"))</f>
        <v/>
      </c>
      <c r="G168" s="25">
        <f>IF(A168="","",COUNTIFS(Relationships!$B$4:$B$1003,"AIR",Relationships!$C$4:$C$1003,A168,Relationships!$E$4:$E$1003,"DATA",Relationships!$M$4:$M$1003,"Confirmed",Relationships!$N$4:$N$1003,"OK — verify source"))</f>
        <v/>
      </c>
      <c r="H168" s="25">
        <f>IF(A168="","",COUNTIFS(Relationships!$B$4:$B$1003,"AIR",Relationships!$C$4:$C$1003,A168,Relationships!$E$4:$E$1003,"IF",Relationships!$M$4:$M$1003,"Confirmed",Relationships!$N$4:$N$1003,"OK — verify source"))</f>
        <v/>
      </c>
      <c r="I168" s="25">
        <f>IF(A168="","",COUNTIFS(Relationships!$B$4:$B$1003,"AIR",Relationships!$C$4:$C$1003,A168,Relationships!$E$4:$E$1003,"AG",Relationships!$M$4:$M$1003,"Confirmed",Relationships!$N$4:$N$1003,"OK — verify source"))</f>
        <v/>
      </c>
      <c r="J168" s="25">
        <f>IF(A168="","",COUNTIFS(Relationships!$B$4:$B$1003,"AIR",Relationships!$C$4:$C$1003,A168,Relationships!$E$4:$E$1003,"TOOL",Relationships!$M$4:$M$1003,"Confirmed",Relationships!$N$4:$N$1003,"OK — verify source"))</f>
        <v/>
      </c>
      <c r="K168" s="25">
        <f>IF(A168="","",COUNTIFS(Relationships!$G$4:$G$1003,A168,Relationships!$M$4:$M$1003,"Proposed"))</f>
        <v/>
      </c>
      <c r="L168" s="25">
        <f>IF(A168="","",COUNTIFS(Relationships!$G$4:$G$1003,A168,Relationships!$A$4:$A$1003,"&lt;&gt;",Relationships!$N$4:$N$1003,"&lt;&gt;OK — verify source"))</f>
        <v/>
      </c>
      <c r="M168" s="25" t="n"/>
      <c r="N168" s="25" t="n"/>
      <c r="O168" s="25">
        <f>IF(COUNTA(A168:D168,M168:N168)=0,"",IF(A168="","AIR-ID missing",IF(COUNTIF($A$4:$A$203,A168)&gt;1,"Duplicate AIR-ID",IF(OR(B168="",C168="",D168=""),"Label / source / reconciled-on missing",IF(NOT(ISNUMBER(D168)),"Reconciled-on is not a date","OK — verify source")))))</f>
        <v/>
      </c>
    </row>
    <row r="169">
      <c r="A169" s="27" t="n"/>
      <c r="B169" s="27" t="n"/>
      <c r="C169" s="27" t="n"/>
      <c r="D169" s="28" t="n"/>
      <c r="E169" s="27">
        <f>IF(A169="","",COUNTIFS(Relationships!$B$4:$B$1003,"CAP",Relationships!$E$4:$E$1003,"AIR",Relationships!$F$4:$F$1003,A169,Relationships!$M$4:$M$1003,"Confirmed",Relationships!$N$4:$N$1003,"OK — verify source"))</f>
        <v/>
      </c>
      <c r="F169" s="27">
        <f>IF(A169="","",COUNTIFS(Relationships!$B$4:$B$1003,"AIR",Relationships!$C$4:$C$1003,A169,Relationships!$E$4:$E$1003,"MOD",Relationships!$M$4:$M$1003,"Confirmed",Relationships!$N$4:$N$1003,"OK — verify source"))</f>
        <v/>
      </c>
      <c r="G169" s="27">
        <f>IF(A169="","",COUNTIFS(Relationships!$B$4:$B$1003,"AIR",Relationships!$C$4:$C$1003,A169,Relationships!$E$4:$E$1003,"DATA",Relationships!$M$4:$M$1003,"Confirmed",Relationships!$N$4:$N$1003,"OK — verify source"))</f>
        <v/>
      </c>
      <c r="H169" s="27">
        <f>IF(A169="","",COUNTIFS(Relationships!$B$4:$B$1003,"AIR",Relationships!$C$4:$C$1003,A169,Relationships!$E$4:$E$1003,"IF",Relationships!$M$4:$M$1003,"Confirmed",Relationships!$N$4:$N$1003,"OK — verify source"))</f>
        <v/>
      </c>
      <c r="I169" s="27">
        <f>IF(A169="","",COUNTIFS(Relationships!$B$4:$B$1003,"AIR",Relationships!$C$4:$C$1003,A169,Relationships!$E$4:$E$1003,"AG",Relationships!$M$4:$M$1003,"Confirmed",Relationships!$N$4:$N$1003,"OK — verify source"))</f>
        <v/>
      </c>
      <c r="J169" s="27">
        <f>IF(A169="","",COUNTIFS(Relationships!$B$4:$B$1003,"AIR",Relationships!$C$4:$C$1003,A169,Relationships!$E$4:$E$1003,"TOOL",Relationships!$M$4:$M$1003,"Confirmed",Relationships!$N$4:$N$1003,"OK — verify source"))</f>
        <v/>
      </c>
      <c r="K169" s="27">
        <f>IF(A169="","",COUNTIFS(Relationships!$G$4:$G$1003,A169,Relationships!$M$4:$M$1003,"Proposed"))</f>
        <v/>
      </c>
      <c r="L169" s="27">
        <f>IF(A169="","",COUNTIFS(Relationships!$G$4:$G$1003,A169,Relationships!$A$4:$A$1003,"&lt;&gt;",Relationships!$N$4:$N$1003,"&lt;&gt;OK — verify source"))</f>
        <v/>
      </c>
      <c r="M169" s="27" t="n"/>
      <c r="N169" s="27" t="n"/>
      <c r="O169" s="27">
        <f>IF(COUNTA(A169:D169,M169:N169)=0,"",IF(A169="","AIR-ID missing",IF(COUNTIF($A$4:$A$203,A169)&gt;1,"Duplicate AIR-ID",IF(OR(B169="",C169="",D169=""),"Label / source / reconciled-on missing",IF(NOT(ISNUMBER(D169)),"Reconciled-on is not a date","OK — verify source")))))</f>
        <v/>
      </c>
    </row>
    <row r="170">
      <c r="A170" s="25" t="n"/>
      <c r="B170" s="25" t="n"/>
      <c r="C170" s="25" t="n"/>
      <c r="D170" s="26" t="n"/>
      <c r="E170" s="25">
        <f>IF(A170="","",COUNTIFS(Relationships!$B$4:$B$1003,"CAP",Relationships!$E$4:$E$1003,"AIR",Relationships!$F$4:$F$1003,A170,Relationships!$M$4:$M$1003,"Confirmed",Relationships!$N$4:$N$1003,"OK — verify source"))</f>
        <v/>
      </c>
      <c r="F170" s="25">
        <f>IF(A170="","",COUNTIFS(Relationships!$B$4:$B$1003,"AIR",Relationships!$C$4:$C$1003,A170,Relationships!$E$4:$E$1003,"MOD",Relationships!$M$4:$M$1003,"Confirmed",Relationships!$N$4:$N$1003,"OK — verify source"))</f>
        <v/>
      </c>
      <c r="G170" s="25">
        <f>IF(A170="","",COUNTIFS(Relationships!$B$4:$B$1003,"AIR",Relationships!$C$4:$C$1003,A170,Relationships!$E$4:$E$1003,"DATA",Relationships!$M$4:$M$1003,"Confirmed",Relationships!$N$4:$N$1003,"OK — verify source"))</f>
        <v/>
      </c>
      <c r="H170" s="25">
        <f>IF(A170="","",COUNTIFS(Relationships!$B$4:$B$1003,"AIR",Relationships!$C$4:$C$1003,A170,Relationships!$E$4:$E$1003,"IF",Relationships!$M$4:$M$1003,"Confirmed",Relationships!$N$4:$N$1003,"OK — verify source"))</f>
        <v/>
      </c>
      <c r="I170" s="25">
        <f>IF(A170="","",COUNTIFS(Relationships!$B$4:$B$1003,"AIR",Relationships!$C$4:$C$1003,A170,Relationships!$E$4:$E$1003,"AG",Relationships!$M$4:$M$1003,"Confirmed",Relationships!$N$4:$N$1003,"OK — verify source"))</f>
        <v/>
      </c>
      <c r="J170" s="25">
        <f>IF(A170="","",COUNTIFS(Relationships!$B$4:$B$1003,"AIR",Relationships!$C$4:$C$1003,A170,Relationships!$E$4:$E$1003,"TOOL",Relationships!$M$4:$M$1003,"Confirmed",Relationships!$N$4:$N$1003,"OK — verify source"))</f>
        <v/>
      </c>
      <c r="K170" s="25">
        <f>IF(A170="","",COUNTIFS(Relationships!$G$4:$G$1003,A170,Relationships!$M$4:$M$1003,"Proposed"))</f>
        <v/>
      </c>
      <c r="L170" s="25">
        <f>IF(A170="","",COUNTIFS(Relationships!$G$4:$G$1003,A170,Relationships!$A$4:$A$1003,"&lt;&gt;",Relationships!$N$4:$N$1003,"&lt;&gt;OK — verify source"))</f>
        <v/>
      </c>
      <c r="M170" s="25" t="n"/>
      <c r="N170" s="25" t="n"/>
      <c r="O170" s="25">
        <f>IF(COUNTA(A170:D170,M170:N170)=0,"",IF(A170="","AIR-ID missing",IF(COUNTIF($A$4:$A$203,A170)&gt;1,"Duplicate AIR-ID",IF(OR(B170="",C170="",D170=""),"Label / source / reconciled-on missing",IF(NOT(ISNUMBER(D170)),"Reconciled-on is not a date","OK — verify source")))))</f>
        <v/>
      </c>
    </row>
    <row r="171">
      <c r="A171" s="27" t="n"/>
      <c r="B171" s="27" t="n"/>
      <c r="C171" s="27" t="n"/>
      <c r="D171" s="28" t="n"/>
      <c r="E171" s="27">
        <f>IF(A171="","",COUNTIFS(Relationships!$B$4:$B$1003,"CAP",Relationships!$E$4:$E$1003,"AIR",Relationships!$F$4:$F$1003,A171,Relationships!$M$4:$M$1003,"Confirmed",Relationships!$N$4:$N$1003,"OK — verify source"))</f>
        <v/>
      </c>
      <c r="F171" s="27">
        <f>IF(A171="","",COUNTIFS(Relationships!$B$4:$B$1003,"AIR",Relationships!$C$4:$C$1003,A171,Relationships!$E$4:$E$1003,"MOD",Relationships!$M$4:$M$1003,"Confirmed",Relationships!$N$4:$N$1003,"OK — verify source"))</f>
        <v/>
      </c>
      <c r="G171" s="27">
        <f>IF(A171="","",COUNTIFS(Relationships!$B$4:$B$1003,"AIR",Relationships!$C$4:$C$1003,A171,Relationships!$E$4:$E$1003,"DATA",Relationships!$M$4:$M$1003,"Confirmed",Relationships!$N$4:$N$1003,"OK — verify source"))</f>
        <v/>
      </c>
      <c r="H171" s="27">
        <f>IF(A171="","",COUNTIFS(Relationships!$B$4:$B$1003,"AIR",Relationships!$C$4:$C$1003,A171,Relationships!$E$4:$E$1003,"IF",Relationships!$M$4:$M$1003,"Confirmed",Relationships!$N$4:$N$1003,"OK — verify source"))</f>
        <v/>
      </c>
      <c r="I171" s="27">
        <f>IF(A171="","",COUNTIFS(Relationships!$B$4:$B$1003,"AIR",Relationships!$C$4:$C$1003,A171,Relationships!$E$4:$E$1003,"AG",Relationships!$M$4:$M$1003,"Confirmed",Relationships!$N$4:$N$1003,"OK — verify source"))</f>
        <v/>
      </c>
      <c r="J171" s="27">
        <f>IF(A171="","",COUNTIFS(Relationships!$B$4:$B$1003,"AIR",Relationships!$C$4:$C$1003,A171,Relationships!$E$4:$E$1003,"TOOL",Relationships!$M$4:$M$1003,"Confirmed",Relationships!$N$4:$N$1003,"OK — verify source"))</f>
        <v/>
      </c>
      <c r="K171" s="27">
        <f>IF(A171="","",COUNTIFS(Relationships!$G$4:$G$1003,A171,Relationships!$M$4:$M$1003,"Proposed"))</f>
        <v/>
      </c>
      <c r="L171" s="27">
        <f>IF(A171="","",COUNTIFS(Relationships!$G$4:$G$1003,A171,Relationships!$A$4:$A$1003,"&lt;&gt;",Relationships!$N$4:$N$1003,"&lt;&gt;OK — verify source"))</f>
        <v/>
      </c>
      <c r="M171" s="27" t="n"/>
      <c r="N171" s="27" t="n"/>
      <c r="O171" s="27">
        <f>IF(COUNTA(A171:D171,M171:N171)=0,"",IF(A171="","AIR-ID missing",IF(COUNTIF($A$4:$A$203,A171)&gt;1,"Duplicate AIR-ID",IF(OR(B171="",C171="",D171=""),"Label / source / reconciled-on missing",IF(NOT(ISNUMBER(D171)),"Reconciled-on is not a date","OK — verify source")))))</f>
        <v/>
      </c>
    </row>
    <row r="172">
      <c r="A172" s="25" t="n"/>
      <c r="B172" s="25" t="n"/>
      <c r="C172" s="25" t="n"/>
      <c r="D172" s="26" t="n"/>
      <c r="E172" s="25">
        <f>IF(A172="","",COUNTIFS(Relationships!$B$4:$B$1003,"CAP",Relationships!$E$4:$E$1003,"AIR",Relationships!$F$4:$F$1003,A172,Relationships!$M$4:$M$1003,"Confirmed",Relationships!$N$4:$N$1003,"OK — verify source"))</f>
        <v/>
      </c>
      <c r="F172" s="25">
        <f>IF(A172="","",COUNTIFS(Relationships!$B$4:$B$1003,"AIR",Relationships!$C$4:$C$1003,A172,Relationships!$E$4:$E$1003,"MOD",Relationships!$M$4:$M$1003,"Confirmed",Relationships!$N$4:$N$1003,"OK — verify source"))</f>
        <v/>
      </c>
      <c r="G172" s="25">
        <f>IF(A172="","",COUNTIFS(Relationships!$B$4:$B$1003,"AIR",Relationships!$C$4:$C$1003,A172,Relationships!$E$4:$E$1003,"DATA",Relationships!$M$4:$M$1003,"Confirmed",Relationships!$N$4:$N$1003,"OK — verify source"))</f>
        <v/>
      </c>
      <c r="H172" s="25">
        <f>IF(A172="","",COUNTIFS(Relationships!$B$4:$B$1003,"AIR",Relationships!$C$4:$C$1003,A172,Relationships!$E$4:$E$1003,"IF",Relationships!$M$4:$M$1003,"Confirmed",Relationships!$N$4:$N$1003,"OK — verify source"))</f>
        <v/>
      </c>
      <c r="I172" s="25">
        <f>IF(A172="","",COUNTIFS(Relationships!$B$4:$B$1003,"AIR",Relationships!$C$4:$C$1003,A172,Relationships!$E$4:$E$1003,"AG",Relationships!$M$4:$M$1003,"Confirmed",Relationships!$N$4:$N$1003,"OK — verify source"))</f>
        <v/>
      </c>
      <c r="J172" s="25">
        <f>IF(A172="","",COUNTIFS(Relationships!$B$4:$B$1003,"AIR",Relationships!$C$4:$C$1003,A172,Relationships!$E$4:$E$1003,"TOOL",Relationships!$M$4:$M$1003,"Confirmed",Relationships!$N$4:$N$1003,"OK — verify source"))</f>
        <v/>
      </c>
      <c r="K172" s="25">
        <f>IF(A172="","",COUNTIFS(Relationships!$G$4:$G$1003,A172,Relationships!$M$4:$M$1003,"Proposed"))</f>
        <v/>
      </c>
      <c r="L172" s="25">
        <f>IF(A172="","",COUNTIFS(Relationships!$G$4:$G$1003,A172,Relationships!$A$4:$A$1003,"&lt;&gt;",Relationships!$N$4:$N$1003,"&lt;&gt;OK — verify source"))</f>
        <v/>
      </c>
      <c r="M172" s="25" t="n"/>
      <c r="N172" s="25" t="n"/>
      <c r="O172" s="25">
        <f>IF(COUNTA(A172:D172,M172:N172)=0,"",IF(A172="","AIR-ID missing",IF(COUNTIF($A$4:$A$203,A172)&gt;1,"Duplicate AIR-ID",IF(OR(B172="",C172="",D172=""),"Label / source / reconciled-on missing",IF(NOT(ISNUMBER(D172)),"Reconciled-on is not a date","OK — verify source")))))</f>
        <v/>
      </c>
    </row>
    <row r="173">
      <c r="A173" s="27" t="n"/>
      <c r="B173" s="27" t="n"/>
      <c r="C173" s="27" t="n"/>
      <c r="D173" s="28" t="n"/>
      <c r="E173" s="27">
        <f>IF(A173="","",COUNTIFS(Relationships!$B$4:$B$1003,"CAP",Relationships!$E$4:$E$1003,"AIR",Relationships!$F$4:$F$1003,A173,Relationships!$M$4:$M$1003,"Confirmed",Relationships!$N$4:$N$1003,"OK — verify source"))</f>
        <v/>
      </c>
      <c r="F173" s="27">
        <f>IF(A173="","",COUNTIFS(Relationships!$B$4:$B$1003,"AIR",Relationships!$C$4:$C$1003,A173,Relationships!$E$4:$E$1003,"MOD",Relationships!$M$4:$M$1003,"Confirmed",Relationships!$N$4:$N$1003,"OK — verify source"))</f>
        <v/>
      </c>
      <c r="G173" s="27">
        <f>IF(A173="","",COUNTIFS(Relationships!$B$4:$B$1003,"AIR",Relationships!$C$4:$C$1003,A173,Relationships!$E$4:$E$1003,"DATA",Relationships!$M$4:$M$1003,"Confirmed",Relationships!$N$4:$N$1003,"OK — verify source"))</f>
        <v/>
      </c>
      <c r="H173" s="27">
        <f>IF(A173="","",COUNTIFS(Relationships!$B$4:$B$1003,"AIR",Relationships!$C$4:$C$1003,A173,Relationships!$E$4:$E$1003,"IF",Relationships!$M$4:$M$1003,"Confirmed",Relationships!$N$4:$N$1003,"OK — verify source"))</f>
        <v/>
      </c>
      <c r="I173" s="27">
        <f>IF(A173="","",COUNTIFS(Relationships!$B$4:$B$1003,"AIR",Relationships!$C$4:$C$1003,A173,Relationships!$E$4:$E$1003,"AG",Relationships!$M$4:$M$1003,"Confirmed",Relationships!$N$4:$N$1003,"OK — verify source"))</f>
        <v/>
      </c>
      <c r="J173" s="27">
        <f>IF(A173="","",COUNTIFS(Relationships!$B$4:$B$1003,"AIR",Relationships!$C$4:$C$1003,A173,Relationships!$E$4:$E$1003,"TOOL",Relationships!$M$4:$M$1003,"Confirmed",Relationships!$N$4:$N$1003,"OK — verify source"))</f>
        <v/>
      </c>
      <c r="K173" s="27">
        <f>IF(A173="","",COUNTIFS(Relationships!$G$4:$G$1003,A173,Relationships!$M$4:$M$1003,"Proposed"))</f>
        <v/>
      </c>
      <c r="L173" s="27">
        <f>IF(A173="","",COUNTIFS(Relationships!$G$4:$G$1003,A173,Relationships!$A$4:$A$1003,"&lt;&gt;",Relationships!$N$4:$N$1003,"&lt;&gt;OK — verify source"))</f>
        <v/>
      </c>
      <c r="M173" s="27" t="n"/>
      <c r="N173" s="27" t="n"/>
      <c r="O173" s="27">
        <f>IF(COUNTA(A173:D173,M173:N173)=0,"",IF(A173="","AIR-ID missing",IF(COUNTIF($A$4:$A$203,A173)&gt;1,"Duplicate AIR-ID",IF(OR(B173="",C173="",D173=""),"Label / source / reconciled-on missing",IF(NOT(ISNUMBER(D173)),"Reconciled-on is not a date","OK — verify source")))))</f>
        <v/>
      </c>
    </row>
    <row r="174">
      <c r="A174" s="25" t="n"/>
      <c r="B174" s="25" t="n"/>
      <c r="C174" s="25" t="n"/>
      <c r="D174" s="26" t="n"/>
      <c r="E174" s="25">
        <f>IF(A174="","",COUNTIFS(Relationships!$B$4:$B$1003,"CAP",Relationships!$E$4:$E$1003,"AIR",Relationships!$F$4:$F$1003,A174,Relationships!$M$4:$M$1003,"Confirmed",Relationships!$N$4:$N$1003,"OK — verify source"))</f>
        <v/>
      </c>
      <c r="F174" s="25">
        <f>IF(A174="","",COUNTIFS(Relationships!$B$4:$B$1003,"AIR",Relationships!$C$4:$C$1003,A174,Relationships!$E$4:$E$1003,"MOD",Relationships!$M$4:$M$1003,"Confirmed",Relationships!$N$4:$N$1003,"OK — verify source"))</f>
        <v/>
      </c>
      <c r="G174" s="25">
        <f>IF(A174="","",COUNTIFS(Relationships!$B$4:$B$1003,"AIR",Relationships!$C$4:$C$1003,A174,Relationships!$E$4:$E$1003,"DATA",Relationships!$M$4:$M$1003,"Confirmed",Relationships!$N$4:$N$1003,"OK — verify source"))</f>
        <v/>
      </c>
      <c r="H174" s="25">
        <f>IF(A174="","",COUNTIFS(Relationships!$B$4:$B$1003,"AIR",Relationships!$C$4:$C$1003,A174,Relationships!$E$4:$E$1003,"IF",Relationships!$M$4:$M$1003,"Confirmed",Relationships!$N$4:$N$1003,"OK — verify source"))</f>
        <v/>
      </c>
      <c r="I174" s="25">
        <f>IF(A174="","",COUNTIFS(Relationships!$B$4:$B$1003,"AIR",Relationships!$C$4:$C$1003,A174,Relationships!$E$4:$E$1003,"AG",Relationships!$M$4:$M$1003,"Confirmed",Relationships!$N$4:$N$1003,"OK — verify source"))</f>
        <v/>
      </c>
      <c r="J174" s="25">
        <f>IF(A174="","",COUNTIFS(Relationships!$B$4:$B$1003,"AIR",Relationships!$C$4:$C$1003,A174,Relationships!$E$4:$E$1003,"TOOL",Relationships!$M$4:$M$1003,"Confirmed",Relationships!$N$4:$N$1003,"OK — verify source"))</f>
        <v/>
      </c>
      <c r="K174" s="25">
        <f>IF(A174="","",COUNTIFS(Relationships!$G$4:$G$1003,A174,Relationships!$M$4:$M$1003,"Proposed"))</f>
        <v/>
      </c>
      <c r="L174" s="25">
        <f>IF(A174="","",COUNTIFS(Relationships!$G$4:$G$1003,A174,Relationships!$A$4:$A$1003,"&lt;&gt;",Relationships!$N$4:$N$1003,"&lt;&gt;OK — verify source"))</f>
        <v/>
      </c>
      <c r="M174" s="25" t="n"/>
      <c r="N174" s="25" t="n"/>
      <c r="O174" s="25">
        <f>IF(COUNTA(A174:D174,M174:N174)=0,"",IF(A174="","AIR-ID missing",IF(COUNTIF($A$4:$A$203,A174)&gt;1,"Duplicate AIR-ID",IF(OR(B174="",C174="",D174=""),"Label / source / reconciled-on missing",IF(NOT(ISNUMBER(D174)),"Reconciled-on is not a date","OK — verify source")))))</f>
        <v/>
      </c>
    </row>
    <row r="175">
      <c r="A175" s="27" t="n"/>
      <c r="B175" s="27" t="n"/>
      <c r="C175" s="27" t="n"/>
      <c r="D175" s="28" t="n"/>
      <c r="E175" s="27">
        <f>IF(A175="","",COUNTIFS(Relationships!$B$4:$B$1003,"CAP",Relationships!$E$4:$E$1003,"AIR",Relationships!$F$4:$F$1003,A175,Relationships!$M$4:$M$1003,"Confirmed",Relationships!$N$4:$N$1003,"OK — verify source"))</f>
        <v/>
      </c>
      <c r="F175" s="27">
        <f>IF(A175="","",COUNTIFS(Relationships!$B$4:$B$1003,"AIR",Relationships!$C$4:$C$1003,A175,Relationships!$E$4:$E$1003,"MOD",Relationships!$M$4:$M$1003,"Confirmed",Relationships!$N$4:$N$1003,"OK — verify source"))</f>
        <v/>
      </c>
      <c r="G175" s="27">
        <f>IF(A175="","",COUNTIFS(Relationships!$B$4:$B$1003,"AIR",Relationships!$C$4:$C$1003,A175,Relationships!$E$4:$E$1003,"DATA",Relationships!$M$4:$M$1003,"Confirmed",Relationships!$N$4:$N$1003,"OK — verify source"))</f>
        <v/>
      </c>
      <c r="H175" s="27">
        <f>IF(A175="","",COUNTIFS(Relationships!$B$4:$B$1003,"AIR",Relationships!$C$4:$C$1003,A175,Relationships!$E$4:$E$1003,"IF",Relationships!$M$4:$M$1003,"Confirmed",Relationships!$N$4:$N$1003,"OK — verify source"))</f>
        <v/>
      </c>
      <c r="I175" s="27">
        <f>IF(A175="","",COUNTIFS(Relationships!$B$4:$B$1003,"AIR",Relationships!$C$4:$C$1003,A175,Relationships!$E$4:$E$1003,"AG",Relationships!$M$4:$M$1003,"Confirmed",Relationships!$N$4:$N$1003,"OK — verify source"))</f>
        <v/>
      </c>
      <c r="J175" s="27">
        <f>IF(A175="","",COUNTIFS(Relationships!$B$4:$B$1003,"AIR",Relationships!$C$4:$C$1003,A175,Relationships!$E$4:$E$1003,"TOOL",Relationships!$M$4:$M$1003,"Confirmed",Relationships!$N$4:$N$1003,"OK — verify source"))</f>
        <v/>
      </c>
      <c r="K175" s="27">
        <f>IF(A175="","",COUNTIFS(Relationships!$G$4:$G$1003,A175,Relationships!$M$4:$M$1003,"Proposed"))</f>
        <v/>
      </c>
      <c r="L175" s="27">
        <f>IF(A175="","",COUNTIFS(Relationships!$G$4:$G$1003,A175,Relationships!$A$4:$A$1003,"&lt;&gt;",Relationships!$N$4:$N$1003,"&lt;&gt;OK — verify source"))</f>
        <v/>
      </c>
      <c r="M175" s="27" t="n"/>
      <c r="N175" s="27" t="n"/>
      <c r="O175" s="27">
        <f>IF(COUNTA(A175:D175,M175:N175)=0,"",IF(A175="","AIR-ID missing",IF(COUNTIF($A$4:$A$203,A175)&gt;1,"Duplicate AIR-ID",IF(OR(B175="",C175="",D175=""),"Label / source / reconciled-on missing",IF(NOT(ISNUMBER(D175)),"Reconciled-on is not a date","OK — verify source")))))</f>
        <v/>
      </c>
    </row>
    <row r="176">
      <c r="A176" s="25" t="n"/>
      <c r="B176" s="25" t="n"/>
      <c r="C176" s="25" t="n"/>
      <c r="D176" s="26" t="n"/>
      <c r="E176" s="25">
        <f>IF(A176="","",COUNTIFS(Relationships!$B$4:$B$1003,"CAP",Relationships!$E$4:$E$1003,"AIR",Relationships!$F$4:$F$1003,A176,Relationships!$M$4:$M$1003,"Confirmed",Relationships!$N$4:$N$1003,"OK — verify source"))</f>
        <v/>
      </c>
      <c r="F176" s="25">
        <f>IF(A176="","",COUNTIFS(Relationships!$B$4:$B$1003,"AIR",Relationships!$C$4:$C$1003,A176,Relationships!$E$4:$E$1003,"MOD",Relationships!$M$4:$M$1003,"Confirmed",Relationships!$N$4:$N$1003,"OK — verify source"))</f>
        <v/>
      </c>
      <c r="G176" s="25">
        <f>IF(A176="","",COUNTIFS(Relationships!$B$4:$B$1003,"AIR",Relationships!$C$4:$C$1003,A176,Relationships!$E$4:$E$1003,"DATA",Relationships!$M$4:$M$1003,"Confirmed",Relationships!$N$4:$N$1003,"OK — verify source"))</f>
        <v/>
      </c>
      <c r="H176" s="25">
        <f>IF(A176="","",COUNTIFS(Relationships!$B$4:$B$1003,"AIR",Relationships!$C$4:$C$1003,A176,Relationships!$E$4:$E$1003,"IF",Relationships!$M$4:$M$1003,"Confirmed",Relationships!$N$4:$N$1003,"OK — verify source"))</f>
        <v/>
      </c>
      <c r="I176" s="25">
        <f>IF(A176="","",COUNTIFS(Relationships!$B$4:$B$1003,"AIR",Relationships!$C$4:$C$1003,A176,Relationships!$E$4:$E$1003,"AG",Relationships!$M$4:$M$1003,"Confirmed",Relationships!$N$4:$N$1003,"OK — verify source"))</f>
        <v/>
      </c>
      <c r="J176" s="25">
        <f>IF(A176="","",COUNTIFS(Relationships!$B$4:$B$1003,"AIR",Relationships!$C$4:$C$1003,A176,Relationships!$E$4:$E$1003,"TOOL",Relationships!$M$4:$M$1003,"Confirmed",Relationships!$N$4:$N$1003,"OK — verify source"))</f>
        <v/>
      </c>
      <c r="K176" s="25">
        <f>IF(A176="","",COUNTIFS(Relationships!$G$4:$G$1003,A176,Relationships!$M$4:$M$1003,"Proposed"))</f>
        <v/>
      </c>
      <c r="L176" s="25">
        <f>IF(A176="","",COUNTIFS(Relationships!$G$4:$G$1003,A176,Relationships!$A$4:$A$1003,"&lt;&gt;",Relationships!$N$4:$N$1003,"&lt;&gt;OK — verify source"))</f>
        <v/>
      </c>
      <c r="M176" s="25" t="n"/>
      <c r="N176" s="25" t="n"/>
      <c r="O176" s="25">
        <f>IF(COUNTA(A176:D176,M176:N176)=0,"",IF(A176="","AIR-ID missing",IF(COUNTIF($A$4:$A$203,A176)&gt;1,"Duplicate AIR-ID",IF(OR(B176="",C176="",D176=""),"Label / source / reconciled-on missing",IF(NOT(ISNUMBER(D176)),"Reconciled-on is not a date","OK — verify source")))))</f>
        <v/>
      </c>
    </row>
    <row r="177">
      <c r="A177" s="27" t="n"/>
      <c r="B177" s="27" t="n"/>
      <c r="C177" s="27" t="n"/>
      <c r="D177" s="28" t="n"/>
      <c r="E177" s="27">
        <f>IF(A177="","",COUNTIFS(Relationships!$B$4:$B$1003,"CAP",Relationships!$E$4:$E$1003,"AIR",Relationships!$F$4:$F$1003,A177,Relationships!$M$4:$M$1003,"Confirmed",Relationships!$N$4:$N$1003,"OK — verify source"))</f>
        <v/>
      </c>
      <c r="F177" s="27">
        <f>IF(A177="","",COUNTIFS(Relationships!$B$4:$B$1003,"AIR",Relationships!$C$4:$C$1003,A177,Relationships!$E$4:$E$1003,"MOD",Relationships!$M$4:$M$1003,"Confirmed",Relationships!$N$4:$N$1003,"OK — verify source"))</f>
        <v/>
      </c>
      <c r="G177" s="27">
        <f>IF(A177="","",COUNTIFS(Relationships!$B$4:$B$1003,"AIR",Relationships!$C$4:$C$1003,A177,Relationships!$E$4:$E$1003,"DATA",Relationships!$M$4:$M$1003,"Confirmed",Relationships!$N$4:$N$1003,"OK — verify source"))</f>
        <v/>
      </c>
      <c r="H177" s="27">
        <f>IF(A177="","",COUNTIFS(Relationships!$B$4:$B$1003,"AIR",Relationships!$C$4:$C$1003,A177,Relationships!$E$4:$E$1003,"IF",Relationships!$M$4:$M$1003,"Confirmed",Relationships!$N$4:$N$1003,"OK — verify source"))</f>
        <v/>
      </c>
      <c r="I177" s="27">
        <f>IF(A177="","",COUNTIFS(Relationships!$B$4:$B$1003,"AIR",Relationships!$C$4:$C$1003,A177,Relationships!$E$4:$E$1003,"AG",Relationships!$M$4:$M$1003,"Confirmed",Relationships!$N$4:$N$1003,"OK — verify source"))</f>
        <v/>
      </c>
      <c r="J177" s="27">
        <f>IF(A177="","",COUNTIFS(Relationships!$B$4:$B$1003,"AIR",Relationships!$C$4:$C$1003,A177,Relationships!$E$4:$E$1003,"TOOL",Relationships!$M$4:$M$1003,"Confirmed",Relationships!$N$4:$N$1003,"OK — verify source"))</f>
        <v/>
      </c>
      <c r="K177" s="27">
        <f>IF(A177="","",COUNTIFS(Relationships!$G$4:$G$1003,A177,Relationships!$M$4:$M$1003,"Proposed"))</f>
        <v/>
      </c>
      <c r="L177" s="27">
        <f>IF(A177="","",COUNTIFS(Relationships!$G$4:$G$1003,A177,Relationships!$A$4:$A$1003,"&lt;&gt;",Relationships!$N$4:$N$1003,"&lt;&gt;OK — verify source"))</f>
        <v/>
      </c>
      <c r="M177" s="27" t="n"/>
      <c r="N177" s="27" t="n"/>
      <c r="O177" s="27">
        <f>IF(COUNTA(A177:D177,M177:N177)=0,"",IF(A177="","AIR-ID missing",IF(COUNTIF($A$4:$A$203,A177)&gt;1,"Duplicate AIR-ID",IF(OR(B177="",C177="",D177=""),"Label / source / reconciled-on missing",IF(NOT(ISNUMBER(D177)),"Reconciled-on is not a date","OK — verify source")))))</f>
        <v/>
      </c>
    </row>
    <row r="178">
      <c r="A178" s="25" t="n"/>
      <c r="B178" s="25" t="n"/>
      <c r="C178" s="25" t="n"/>
      <c r="D178" s="26" t="n"/>
      <c r="E178" s="25">
        <f>IF(A178="","",COUNTIFS(Relationships!$B$4:$B$1003,"CAP",Relationships!$E$4:$E$1003,"AIR",Relationships!$F$4:$F$1003,A178,Relationships!$M$4:$M$1003,"Confirmed",Relationships!$N$4:$N$1003,"OK — verify source"))</f>
        <v/>
      </c>
      <c r="F178" s="25">
        <f>IF(A178="","",COUNTIFS(Relationships!$B$4:$B$1003,"AIR",Relationships!$C$4:$C$1003,A178,Relationships!$E$4:$E$1003,"MOD",Relationships!$M$4:$M$1003,"Confirmed",Relationships!$N$4:$N$1003,"OK — verify source"))</f>
        <v/>
      </c>
      <c r="G178" s="25">
        <f>IF(A178="","",COUNTIFS(Relationships!$B$4:$B$1003,"AIR",Relationships!$C$4:$C$1003,A178,Relationships!$E$4:$E$1003,"DATA",Relationships!$M$4:$M$1003,"Confirmed",Relationships!$N$4:$N$1003,"OK — verify source"))</f>
        <v/>
      </c>
      <c r="H178" s="25">
        <f>IF(A178="","",COUNTIFS(Relationships!$B$4:$B$1003,"AIR",Relationships!$C$4:$C$1003,A178,Relationships!$E$4:$E$1003,"IF",Relationships!$M$4:$M$1003,"Confirmed",Relationships!$N$4:$N$1003,"OK — verify source"))</f>
        <v/>
      </c>
      <c r="I178" s="25">
        <f>IF(A178="","",COUNTIFS(Relationships!$B$4:$B$1003,"AIR",Relationships!$C$4:$C$1003,A178,Relationships!$E$4:$E$1003,"AG",Relationships!$M$4:$M$1003,"Confirmed",Relationships!$N$4:$N$1003,"OK — verify source"))</f>
        <v/>
      </c>
      <c r="J178" s="25">
        <f>IF(A178="","",COUNTIFS(Relationships!$B$4:$B$1003,"AIR",Relationships!$C$4:$C$1003,A178,Relationships!$E$4:$E$1003,"TOOL",Relationships!$M$4:$M$1003,"Confirmed",Relationships!$N$4:$N$1003,"OK — verify source"))</f>
        <v/>
      </c>
      <c r="K178" s="25">
        <f>IF(A178="","",COUNTIFS(Relationships!$G$4:$G$1003,A178,Relationships!$M$4:$M$1003,"Proposed"))</f>
        <v/>
      </c>
      <c r="L178" s="25">
        <f>IF(A178="","",COUNTIFS(Relationships!$G$4:$G$1003,A178,Relationships!$A$4:$A$1003,"&lt;&gt;",Relationships!$N$4:$N$1003,"&lt;&gt;OK — verify source"))</f>
        <v/>
      </c>
      <c r="M178" s="25" t="n"/>
      <c r="N178" s="25" t="n"/>
      <c r="O178" s="25">
        <f>IF(COUNTA(A178:D178,M178:N178)=0,"",IF(A178="","AIR-ID missing",IF(COUNTIF($A$4:$A$203,A178)&gt;1,"Duplicate AIR-ID",IF(OR(B178="",C178="",D178=""),"Label / source / reconciled-on missing",IF(NOT(ISNUMBER(D178)),"Reconciled-on is not a date","OK — verify source")))))</f>
        <v/>
      </c>
    </row>
    <row r="179">
      <c r="A179" s="27" t="n"/>
      <c r="B179" s="27" t="n"/>
      <c r="C179" s="27" t="n"/>
      <c r="D179" s="28" t="n"/>
      <c r="E179" s="27">
        <f>IF(A179="","",COUNTIFS(Relationships!$B$4:$B$1003,"CAP",Relationships!$E$4:$E$1003,"AIR",Relationships!$F$4:$F$1003,A179,Relationships!$M$4:$M$1003,"Confirmed",Relationships!$N$4:$N$1003,"OK — verify source"))</f>
        <v/>
      </c>
      <c r="F179" s="27">
        <f>IF(A179="","",COUNTIFS(Relationships!$B$4:$B$1003,"AIR",Relationships!$C$4:$C$1003,A179,Relationships!$E$4:$E$1003,"MOD",Relationships!$M$4:$M$1003,"Confirmed",Relationships!$N$4:$N$1003,"OK — verify source"))</f>
        <v/>
      </c>
      <c r="G179" s="27">
        <f>IF(A179="","",COUNTIFS(Relationships!$B$4:$B$1003,"AIR",Relationships!$C$4:$C$1003,A179,Relationships!$E$4:$E$1003,"DATA",Relationships!$M$4:$M$1003,"Confirmed",Relationships!$N$4:$N$1003,"OK — verify source"))</f>
        <v/>
      </c>
      <c r="H179" s="27">
        <f>IF(A179="","",COUNTIFS(Relationships!$B$4:$B$1003,"AIR",Relationships!$C$4:$C$1003,A179,Relationships!$E$4:$E$1003,"IF",Relationships!$M$4:$M$1003,"Confirmed",Relationships!$N$4:$N$1003,"OK — verify source"))</f>
        <v/>
      </c>
      <c r="I179" s="27">
        <f>IF(A179="","",COUNTIFS(Relationships!$B$4:$B$1003,"AIR",Relationships!$C$4:$C$1003,A179,Relationships!$E$4:$E$1003,"AG",Relationships!$M$4:$M$1003,"Confirmed",Relationships!$N$4:$N$1003,"OK — verify source"))</f>
        <v/>
      </c>
      <c r="J179" s="27">
        <f>IF(A179="","",COUNTIFS(Relationships!$B$4:$B$1003,"AIR",Relationships!$C$4:$C$1003,A179,Relationships!$E$4:$E$1003,"TOOL",Relationships!$M$4:$M$1003,"Confirmed",Relationships!$N$4:$N$1003,"OK — verify source"))</f>
        <v/>
      </c>
      <c r="K179" s="27">
        <f>IF(A179="","",COUNTIFS(Relationships!$G$4:$G$1003,A179,Relationships!$M$4:$M$1003,"Proposed"))</f>
        <v/>
      </c>
      <c r="L179" s="27">
        <f>IF(A179="","",COUNTIFS(Relationships!$G$4:$G$1003,A179,Relationships!$A$4:$A$1003,"&lt;&gt;",Relationships!$N$4:$N$1003,"&lt;&gt;OK — verify source"))</f>
        <v/>
      </c>
      <c r="M179" s="27" t="n"/>
      <c r="N179" s="27" t="n"/>
      <c r="O179" s="27">
        <f>IF(COUNTA(A179:D179,M179:N179)=0,"",IF(A179="","AIR-ID missing",IF(COUNTIF($A$4:$A$203,A179)&gt;1,"Duplicate AIR-ID",IF(OR(B179="",C179="",D179=""),"Label / source / reconciled-on missing",IF(NOT(ISNUMBER(D179)),"Reconciled-on is not a date","OK — verify source")))))</f>
        <v/>
      </c>
    </row>
    <row r="180">
      <c r="A180" s="25" t="n"/>
      <c r="B180" s="25" t="n"/>
      <c r="C180" s="25" t="n"/>
      <c r="D180" s="26" t="n"/>
      <c r="E180" s="25">
        <f>IF(A180="","",COUNTIFS(Relationships!$B$4:$B$1003,"CAP",Relationships!$E$4:$E$1003,"AIR",Relationships!$F$4:$F$1003,A180,Relationships!$M$4:$M$1003,"Confirmed",Relationships!$N$4:$N$1003,"OK — verify source"))</f>
        <v/>
      </c>
      <c r="F180" s="25">
        <f>IF(A180="","",COUNTIFS(Relationships!$B$4:$B$1003,"AIR",Relationships!$C$4:$C$1003,A180,Relationships!$E$4:$E$1003,"MOD",Relationships!$M$4:$M$1003,"Confirmed",Relationships!$N$4:$N$1003,"OK — verify source"))</f>
        <v/>
      </c>
      <c r="G180" s="25">
        <f>IF(A180="","",COUNTIFS(Relationships!$B$4:$B$1003,"AIR",Relationships!$C$4:$C$1003,A180,Relationships!$E$4:$E$1003,"DATA",Relationships!$M$4:$M$1003,"Confirmed",Relationships!$N$4:$N$1003,"OK — verify source"))</f>
        <v/>
      </c>
      <c r="H180" s="25">
        <f>IF(A180="","",COUNTIFS(Relationships!$B$4:$B$1003,"AIR",Relationships!$C$4:$C$1003,A180,Relationships!$E$4:$E$1003,"IF",Relationships!$M$4:$M$1003,"Confirmed",Relationships!$N$4:$N$1003,"OK — verify source"))</f>
        <v/>
      </c>
      <c r="I180" s="25">
        <f>IF(A180="","",COUNTIFS(Relationships!$B$4:$B$1003,"AIR",Relationships!$C$4:$C$1003,A180,Relationships!$E$4:$E$1003,"AG",Relationships!$M$4:$M$1003,"Confirmed",Relationships!$N$4:$N$1003,"OK — verify source"))</f>
        <v/>
      </c>
      <c r="J180" s="25">
        <f>IF(A180="","",COUNTIFS(Relationships!$B$4:$B$1003,"AIR",Relationships!$C$4:$C$1003,A180,Relationships!$E$4:$E$1003,"TOOL",Relationships!$M$4:$M$1003,"Confirmed",Relationships!$N$4:$N$1003,"OK — verify source"))</f>
        <v/>
      </c>
      <c r="K180" s="25">
        <f>IF(A180="","",COUNTIFS(Relationships!$G$4:$G$1003,A180,Relationships!$M$4:$M$1003,"Proposed"))</f>
        <v/>
      </c>
      <c r="L180" s="25">
        <f>IF(A180="","",COUNTIFS(Relationships!$G$4:$G$1003,A180,Relationships!$A$4:$A$1003,"&lt;&gt;",Relationships!$N$4:$N$1003,"&lt;&gt;OK — verify source"))</f>
        <v/>
      </c>
      <c r="M180" s="25" t="n"/>
      <c r="N180" s="25" t="n"/>
      <c r="O180" s="25">
        <f>IF(COUNTA(A180:D180,M180:N180)=0,"",IF(A180="","AIR-ID missing",IF(COUNTIF($A$4:$A$203,A180)&gt;1,"Duplicate AIR-ID",IF(OR(B180="",C180="",D180=""),"Label / source / reconciled-on missing",IF(NOT(ISNUMBER(D180)),"Reconciled-on is not a date","OK — verify source")))))</f>
        <v/>
      </c>
    </row>
    <row r="181">
      <c r="A181" s="27" t="n"/>
      <c r="B181" s="27" t="n"/>
      <c r="C181" s="27" t="n"/>
      <c r="D181" s="28" t="n"/>
      <c r="E181" s="27">
        <f>IF(A181="","",COUNTIFS(Relationships!$B$4:$B$1003,"CAP",Relationships!$E$4:$E$1003,"AIR",Relationships!$F$4:$F$1003,A181,Relationships!$M$4:$M$1003,"Confirmed",Relationships!$N$4:$N$1003,"OK — verify source"))</f>
        <v/>
      </c>
      <c r="F181" s="27">
        <f>IF(A181="","",COUNTIFS(Relationships!$B$4:$B$1003,"AIR",Relationships!$C$4:$C$1003,A181,Relationships!$E$4:$E$1003,"MOD",Relationships!$M$4:$M$1003,"Confirmed",Relationships!$N$4:$N$1003,"OK — verify source"))</f>
        <v/>
      </c>
      <c r="G181" s="27">
        <f>IF(A181="","",COUNTIFS(Relationships!$B$4:$B$1003,"AIR",Relationships!$C$4:$C$1003,A181,Relationships!$E$4:$E$1003,"DATA",Relationships!$M$4:$M$1003,"Confirmed",Relationships!$N$4:$N$1003,"OK — verify source"))</f>
        <v/>
      </c>
      <c r="H181" s="27">
        <f>IF(A181="","",COUNTIFS(Relationships!$B$4:$B$1003,"AIR",Relationships!$C$4:$C$1003,A181,Relationships!$E$4:$E$1003,"IF",Relationships!$M$4:$M$1003,"Confirmed",Relationships!$N$4:$N$1003,"OK — verify source"))</f>
        <v/>
      </c>
      <c r="I181" s="27">
        <f>IF(A181="","",COUNTIFS(Relationships!$B$4:$B$1003,"AIR",Relationships!$C$4:$C$1003,A181,Relationships!$E$4:$E$1003,"AG",Relationships!$M$4:$M$1003,"Confirmed",Relationships!$N$4:$N$1003,"OK — verify source"))</f>
        <v/>
      </c>
      <c r="J181" s="27">
        <f>IF(A181="","",COUNTIFS(Relationships!$B$4:$B$1003,"AIR",Relationships!$C$4:$C$1003,A181,Relationships!$E$4:$E$1003,"TOOL",Relationships!$M$4:$M$1003,"Confirmed",Relationships!$N$4:$N$1003,"OK — verify source"))</f>
        <v/>
      </c>
      <c r="K181" s="27">
        <f>IF(A181="","",COUNTIFS(Relationships!$G$4:$G$1003,A181,Relationships!$M$4:$M$1003,"Proposed"))</f>
        <v/>
      </c>
      <c r="L181" s="27">
        <f>IF(A181="","",COUNTIFS(Relationships!$G$4:$G$1003,A181,Relationships!$A$4:$A$1003,"&lt;&gt;",Relationships!$N$4:$N$1003,"&lt;&gt;OK — verify source"))</f>
        <v/>
      </c>
      <c r="M181" s="27" t="n"/>
      <c r="N181" s="27" t="n"/>
      <c r="O181" s="27">
        <f>IF(COUNTA(A181:D181,M181:N181)=0,"",IF(A181="","AIR-ID missing",IF(COUNTIF($A$4:$A$203,A181)&gt;1,"Duplicate AIR-ID",IF(OR(B181="",C181="",D181=""),"Label / source / reconciled-on missing",IF(NOT(ISNUMBER(D181)),"Reconciled-on is not a date","OK — verify source")))))</f>
        <v/>
      </c>
    </row>
    <row r="182">
      <c r="A182" s="25" t="n"/>
      <c r="B182" s="25" t="n"/>
      <c r="C182" s="25" t="n"/>
      <c r="D182" s="26" t="n"/>
      <c r="E182" s="25">
        <f>IF(A182="","",COUNTIFS(Relationships!$B$4:$B$1003,"CAP",Relationships!$E$4:$E$1003,"AIR",Relationships!$F$4:$F$1003,A182,Relationships!$M$4:$M$1003,"Confirmed",Relationships!$N$4:$N$1003,"OK — verify source"))</f>
        <v/>
      </c>
      <c r="F182" s="25">
        <f>IF(A182="","",COUNTIFS(Relationships!$B$4:$B$1003,"AIR",Relationships!$C$4:$C$1003,A182,Relationships!$E$4:$E$1003,"MOD",Relationships!$M$4:$M$1003,"Confirmed",Relationships!$N$4:$N$1003,"OK — verify source"))</f>
        <v/>
      </c>
      <c r="G182" s="25">
        <f>IF(A182="","",COUNTIFS(Relationships!$B$4:$B$1003,"AIR",Relationships!$C$4:$C$1003,A182,Relationships!$E$4:$E$1003,"DATA",Relationships!$M$4:$M$1003,"Confirmed",Relationships!$N$4:$N$1003,"OK — verify source"))</f>
        <v/>
      </c>
      <c r="H182" s="25">
        <f>IF(A182="","",COUNTIFS(Relationships!$B$4:$B$1003,"AIR",Relationships!$C$4:$C$1003,A182,Relationships!$E$4:$E$1003,"IF",Relationships!$M$4:$M$1003,"Confirmed",Relationships!$N$4:$N$1003,"OK — verify source"))</f>
        <v/>
      </c>
      <c r="I182" s="25">
        <f>IF(A182="","",COUNTIFS(Relationships!$B$4:$B$1003,"AIR",Relationships!$C$4:$C$1003,A182,Relationships!$E$4:$E$1003,"AG",Relationships!$M$4:$M$1003,"Confirmed",Relationships!$N$4:$N$1003,"OK — verify source"))</f>
        <v/>
      </c>
      <c r="J182" s="25">
        <f>IF(A182="","",COUNTIFS(Relationships!$B$4:$B$1003,"AIR",Relationships!$C$4:$C$1003,A182,Relationships!$E$4:$E$1003,"TOOL",Relationships!$M$4:$M$1003,"Confirmed",Relationships!$N$4:$N$1003,"OK — verify source"))</f>
        <v/>
      </c>
      <c r="K182" s="25">
        <f>IF(A182="","",COUNTIFS(Relationships!$G$4:$G$1003,A182,Relationships!$M$4:$M$1003,"Proposed"))</f>
        <v/>
      </c>
      <c r="L182" s="25">
        <f>IF(A182="","",COUNTIFS(Relationships!$G$4:$G$1003,A182,Relationships!$A$4:$A$1003,"&lt;&gt;",Relationships!$N$4:$N$1003,"&lt;&gt;OK — verify source"))</f>
        <v/>
      </c>
      <c r="M182" s="25" t="n"/>
      <c r="N182" s="25" t="n"/>
      <c r="O182" s="25">
        <f>IF(COUNTA(A182:D182,M182:N182)=0,"",IF(A182="","AIR-ID missing",IF(COUNTIF($A$4:$A$203,A182)&gt;1,"Duplicate AIR-ID",IF(OR(B182="",C182="",D182=""),"Label / source / reconciled-on missing",IF(NOT(ISNUMBER(D182)),"Reconciled-on is not a date","OK — verify source")))))</f>
        <v/>
      </c>
    </row>
    <row r="183">
      <c r="A183" s="27" t="n"/>
      <c r="B183" s="27" t="n"/>
      <c r="C183" s="27" t="n"/>
      <c r="D183" s="28" t="n"/>
      <c r="E183" s="27">
        <f>IF(A183="","",COUNTIFS(Relationships!$B$4:$B$1003,"CAP",Relationships!$E$4:$E$1003,"AIR",Relationships!$F$4:$F$1003,A183,Relationships!$M$4:$M$1003,"Confirmed",Relationships!$N$4:$N$1003,"OK — verify source"))</f>
        <v/>
      </c>
      <c r="F183" s="27">
        <f>IF(A183="","",COUNTIFS(Relationships!$B$4:$B$1003,"AIR",Relationships!$C$4:$C$1003,A183,Relationships!$E$4:$E$1003,"MOD",Relationships!$M$4:$M$1003,"Confirmed",Relationships!$N$4:$N$1003,"OK — verify source"))</f>
        <v/>
      </c>
      <c r="G183" s="27">
        <f>IF(A183="","",COUNTIFS(Relationships!$B$4:$B$1003,"AIR",Relationships!$C$4:$C$1003,A183,Relationships!$E$4:$E$1003,"DATA",Relationships!$M$4:$M$1003,"Confirmed",Relationships!$N$4:$N$1003,"OK — verify source"))</f>
        <v/>
      </c>
      <c r="H183" s="27">
        <f>IF(A183="","",COUNTIFS(Relationships!$B$4:$B$1003,"AIR",Relationships!$C$4:$C$1003,A183,Relationships!$E$4:$E$1003,"IF",Relationships!$M$4:$M$1003,"Confirmed",Relationships!$N$4:$N$1003,"OK — verify source"))</f>
        <v/>
      </c>
      <c r="I183" s="27">
        <f>IF(A183="","",COUNTIFS(Relationships!$B$4:$B$1003,"AIR",Relationships!$C$4:$C$1003,A183,Relationships!$E$4:$E$1003,"AG",Relationships!$M$4:$M$1003,"Confirmed",Relationships!$N$4:$N$1003,"OK — verify source"))</f>
        <v/>
      </c>
      <c r="J183" s="27">
        <f>IF(A183="","",COUNTIFS(Relationships!$B$4:$B$1003,"AIR",Relationships!$C$4:$C$1003,A183,Relationships!$E$4:$E$1003,"TOOL",Relationships!$M$4:$M$1003,"Confirmed",Relationships!$N$4:$N$1003,"OK — verify source"))</f>
        <v/>
      </c>
      <c r="K183" s="27">
        <f>IF(A183="","",COUNTIFS(Relationships!$G$4:$G$1003,A183,Relationships!$M$4:$M$1003,"Proposed"))</f>
        <v/>
      </c>
      <c r="L183" s="27">
        <f>IF(A183="","",COUNTIFS(Relationships!$G$4:$G$1003,A183,Relationships!$A$4:$A$1003,"&lt;&gt;",Relationships!$N$4:$N$1003,"&lt;&gt;OK — verify source"))</f>
        <v/>
      </c>
      <c r="M183" s="27" t="n"/>
      <c r="N183" s="27" t="n"/>
      <c r="O183" s="27">
        <f>IF(COUNTA(A183:D183,M183:N183)=0,"",IF(A183="","AIR-ID missing",IF(COUNTIF($A$4:$A$203,A183)&gt;1,"Duplicate AIR-ID",IF(OR(B183="",C183="",D183=""),"Label / source / reconciled-on missing",IF(NOT(ISNUMBER(D183)),"Reconciled-on is not a date","OK — verify source")))))</f>
        <v/>
      </c>
    </row>
    <row r="184">
      <c r="A184" s="25" t="n"/>
      <c r="B184" s="25" t="n"/>
      <c r="C184" s="25" t="n"/>
      <c r="D184" s="26" t="n"/>
      <c r="E184" s="25">
        <f>IF(A184="","",COUNTIFS(Relationships!$B$4:$B$1003,"CAP",Relationships!$E$4:$E$1003,"AIR",Relationships!$F$4:$F$1003,A184,Relationships!$M$4:$M$1003,"Confirmed",Relationships!$N$4:$N$1003,"OK — verify source"))</f>
        <v/>
      </c>
      <c r="F184" s="25">
        <f>IF(A184="","",COUNTIFS(Relationships!$B$4:$B$1003,"AIR",Relationships!$C$4:$C$1003,A184,Relationships!$E$4:$E$1003,"MOD",Relationships!$M$4:$M$1003,"Confirmed",Relationships!$N$4:$N$1003,"OK — verify source"))</f>
        <v/>
      </c>
      <c r="G184" s="25">
        <f>IF(A184="","",COUNTIFS(Relationships!$B$4:$B$1003,"AIR",Relationships!$C$4:$C$1003,A184,Relationships!$E$4:$E$1003,"DATA",Relationships!$M$4:$M$1003,"Confirmed",Relationships!$N$4:$N$1003,"OK — verify source"))</f>
        <v/>
      </c>
      <c r="H184" s="25">
        <f>IF(A184="","",COUNTIFS(Relationships!$B$4:$B$1003,"AIR",Relationships!$C$4:$C$1003,A184,Relationships!$E$4:$E$1003,"IF",Relationships!$M$4:$M$1003,"Confirmed",Relationships!$N$4:$N$1003,"OK — verify source"))</f>
        <v/>
      </c>
      <c r="I184" s="25">
        <f>IF(A184="","",COUNTIFS(Relationships!$B$4:$B$1003,"AIR",Relationships!$C$4:$C$1003,A184,Relationships!$E$4:$E$1003,"AG",Relationships!$M$4:$M$1003,"Confirmed",Relationships!$N$4:$N$1003,"OK — verify source"))</f>
        <v/>
      </c>
      <c r="J184" s="25">
        <f>IF(A184="","",COUNTIFS(Relationships!$B$4:$B$1003,"AIR",Relationships!$C$4:$C$1003,A184,Relationships!$E$4:$E$1003,"TOOL",Relationships!$M$4:$M$1003,"Confirmed",Relationships!$N$4:$N$1003,"OK — verify source"))</f>
        <v/>
      </c>
      <c r="K184" s="25">
        <f>IF(A184="","",COUNTIFS(Relationships!$G$4:$G$1003,A184,Relationships!$M$4:$M$1003,"Proposed"))</f>
        <v/>
      </c>
      <c r="L184" s="25">
        <f>IF(A184="","",COUNTIFS(Relationships!$G$4:$G$1003,A184,Relationships!$A$4:$A$1003,"&lt;&gt;",Relationships!$N$4:$N$1003,"&lt;&gt;OK — verify source"))</f>
        <v/>
      </c>
      <c r="M184" s="25" t="n"/>
      <c r="N184" s="25" t="n"/>
      <c r="O184" s="25">
        <f>IF(COUNTA(A184:D184,M184:N184)=0,"",IF(A184="","AIR-ID missing",IF(COUNTIF($A$4:$A$203,A184)&gt;1,"Duplicate AIR-ID",IF(OR(B184="",C184="",D184=""),"Label / source / reconciled-on missing",IF(NOT(ISNUMBER(D184)),"Reconciled-on is not a date","OK — verify source")))))</f>
        <v/>
      </c>
    </row>
    <row r="185">
      <c r="A185" s="27" t="n"/>
      <c r="B185" s="27" t="n"/>
      <c r="C185" s="27" t="n"/>
      <c r="D185" s="28" t="n"/>
      <c r="E185" s="27">
        <f>IF(A185="","",COUNTIFS(Relationships!$B$4:$B$1003,"CAP",Relationships!$E$4:$E$1003,"AIR",Relationships!$F$4:$F$1003,A185,Relationships!$M$4:$M$1003,"Confirmed",Relationships!$N$4:$N$1003,"OK — verify source"))</f>
        <v/>
      </c>
      <c r="F185" s="27">
        <f>IF(A185="","",COUNTIFS(Relationships!$B$4:$B$1003,"AIR",Relationships!$C$4:$C$1003,A185,Relationships!$E$4:$E$1003,"MOD",Relationships!$M$4:$M$1003,"Confirmed",Relationships!$N$4:$N$1003,"OK — verify source"))</f>
        <v/>
      </c>
      <c r="G185" s="27">
        <f>IF(A185="","",COUNTIFS(Relationships!$B$4:$B$1003,"AIR",Relationships!$C$4:$C$1003,A185,Relationships!$E$4:$E$1003,"DATA",Relationships!$M$4:$M$1003,"Confirmed",Relationships!$N$4:$N$1003,"OK — verify source"))</f>
        <v/>
      </c>
      <c r="H185" s="27">
        <f>IF(A185="","",COUNTIFS(Relationships!$B$4:$B$1003,"AIR",Relationships!$C$4:$C$1003,A185,Relationships!$E$4:$E$1003,"IF",Relationships!$M$4:$M$1003,"Confirmed",Relationships!$N$4:$N$1003,"OK — verify source"))</f>
        <v/>
      </c>
      <c r="I185" s="27">
        <f>IF(A185="","",COUNTIFS(Relationships!$B$4:$B$1003,"AIR",Relationships!$C$4:$C$1003,A185,Relationships!$E$4:$E$1003,"AG",Relationships!$M$4:$M$1003,"Confirmed",Relationships!$N$4:$N$1003,"OK — verify source"))</f>
        <v/>
      </c>
      <c r="J185" s="27">
        <f>IF(A185="","",COUNTIFS(Relationships!$B$4:$B$1003,"AIR",Relationships!$C$4:$C$1003,A185,Relationships!$E$4:$E$1003,"TOOL",Relationships!$M$4:$M$1003,"Confirmed",Relationships!$N$4:$N$1003,"OK — verify source"))</f>
        <v/>
      </c>
      <c r="K185" s="27">
        <f>IF(A185="","",COUNTIFS(Relationships!$G$4:$G$1003,A185,Relationships!$M$4:$M$1003,"Proposed"))</f>
        <v/>
      </c>
      <c r="L185" s="27">
        <f>IF(A185="","",COUNTIFS(Relationships!$G$4:$G$1003,A185,Relationships!$A$4:$A$1003,"&lt;&gt;",Relationships!$N$4:$N$1003,"&lt;&gt;OK — verify source"))</f>
        <v/>
      </c>
      <c r="M185" s="27" t="n"/>
      <c r="N185" s="27" t="n"/>
      <c r="O185" s="27">
        <f>IF(COUNTA(A185:D185,M185:N185)=0,"",IF(A185="","AIR-ID missing",IF(COUNTIF($A$4:$A$203,A185)&gt;1,"Duplicate AIR-ID",IF(OR(B185="",C185="",D185=""),"Label / source / reconciled-on missing",IF(NOT(ISNUMBER(D185)),"Reconciled-on is not a date","OK — verify source")))))</f>
        <v/>
      </c>
    </row>
    <row r="186">
      <c r="A186" s="25" t="n"/>
      <c r="B186" s="25" t="n"/>
      <c r="C186" s="25" t="n"/>
      <c r="D186" s="26" t="n"/>
      <c r="E186" s="25">
        <f>IF(A186="","",COUNTIFS(Relationships!$B$4:$B$1003,"CAP",Relationships!$E$4:$E$1003,"AIR",Relationships!$F$4:$F$1003,A186,Relationships!$M$4:$M$1003,"Confirmed",Relationships!$N$4:$N$1003,"OK — verify source"))</f>
        <v/>
      </c>
      <c r="F186" s="25">
        <f>IF(A186="","",COUNTIFS(Relationships!$B$4:$B$1003,"AIR",Relationships!$C$4:$C$1003,A186,Relationships!$E$4:$E$1003,"MOD",Relationships!$M$4:$M$1003,"Confirmed",Relationships!$N$4:$N$1003,"OK — verify source"))</f>
        <v/>
      </c>
      <c r="G186" s="25">
        <f>IF(A186="","",COUNTIFS(Relationships!$B$4:$B$1003,"AIR",Relationships!$C$4:$C$1003,A186,Relationships!$E$4:$E$1003,"DATA",Relationships!$M$4:$M$1003,"Confirmed",Relationships!$N$4:$N$1003,"OK — verify source"))</f>
        <v/>
      </c>
      <c r="H186" s="25">
        <f>IF(A186="","",COUNTIFS(Relationships!$B$4:$B$1003,"AIR",Relationships!$C$4:$C$1003,A186,Relationships!$E$4:$E$1003,"IF",Relationships!$M$4:$M$1003,"Confirmed",Relationships!$N$4:$N$1003,"OK — verify source"))</f>
        <v/>
      </c>
      <c r="I186" s="25">
        <f>IF(A186="","",COUNTIFS(Relationships!$B$4:$B$1003,"AIR",Relationships!$C$4:$C$1003,A186,Relationships!$E$4:$E$1003,"AG",Relationships!$M$4:$M$1003,"Confirmed",Relationships!$N$4:$N$1003,"OK — verify source"))</f>
        <v/>
      </c>
      <c r="J186" s="25">
        <f>IF(A186="","",COUNTIFS(Relationships!$B$4:$B$1003,"AIR",Relationships!$C$4:$C$1003,A186,Relationships!$E$4:$E$1003,"TOOL",Relationships!$M$4:$M$1003,"Confirmed",Relationships!$N$4:$N$1003,"OK — verify source"))</f>
        <v/>
      </c>
      <c r="K186" s="25">
        <f>IF(A186="","",COUNTIFS(Relationships!$G$4:$G$1003,A186,Relationships!$M$4:$M$1003,"Proposed"))</f>
        <v/>
      </c>
      <c r="L186" s="25">
        <f>IF(A186="","",COUNTIFS(Relationships!$G$4:$G$1003,A186,Relationships!$A$4:$A$1003,"&lt;&gt;",Relationships!$N$4:$N$1003,"&lt;&gt;OK — verify source"))</f>
        <v/>
      </c>
      <c r="M186" s="25" t="n"/>
      <c r="N186" s="25" t="n"/>
      <c r="O186" s="25">
        <f>IF(COUNTA(A186:D186,M186:N186)=0,"",IF(A186="","AIR-ID missing",IF(COUNTIF($A$4:$A$203,A186)&gt;1,"Duplicate AIR-ID",IF(OR(B186="",C186="",D186=""),"Label / source / reconciled-on missing",IF(NOT(ISNUMBER(D186)),"Reconciled-on is not a date","OK — verify source")))))</f>
        <v/>
      </c>
    </row>
    <row r="187">
      <c r="A187" s="27" t="n"/>
      <c r="B187" s="27" t="n"/>
      <c r="C187" s="27" t="n"/>
      <c r="D187" s="28" t="n"/>
      <c r="E187" s="27">
        <f>IF(A187="","",COUNTIFS(Relationships!$B$4:$B$1003,"CAP",Relationships!$E$4:$E$1003,"AIR",Relationships!$F$4:$F$1003,A187,Relationships!$M$4:$M$1003,"Confirmed",Relationships!$N$4:$N$1003,"OK — verify source"))</f>
        <v/>
      </c>
      <c r="F187" s="27">
        <f>IF(A187="","",COUNTIFS(Relationships!$B$4:$B$1003,"AIR",Relationships!$C$4:$C$1003,A187,Relationships!$E$4:$E$1003,"MOD",Relationships!$M$4:$M$1003,"Confirmed",Relationships!$N$4:$N$1003,"OK — verify source"))</f>
        <v/>
      </c>
      <c r="G187" s="27">
        <f>IF(A187="","",COUNTIFS(Relationships!$B$4:$B$1003,"AIR",Relationships!$C$4:$C$1003,A187,Relationships!$E$4:$E$1003,"DATA",Relationships!$M$4:$M$1003,"Confirmed",Relationships!$N$4:$N$1003,"OK — verify source"))</f>
        <v/>
      </c>
      <c r="H187" s="27">
        <f>IF(A187="","",COUNTIFS(Relationships!$B$4:$B$1003,"AIR",Relationships!$C$4:$C$1003,A187,Relationships!$E$4:$E$1003,"IF",Relationships!$M$4:$M$1003,"Confirmed",Relationships!$N$4:$N$1003,"OK — verify source"))</f>
        <v/>
      </c>
      <c r="I187" s="27">
        <f>IF(A187="","",COUNTIFS(Relationships!$B$4:$B$1003,"AIR",Relationships!$C$4:$C$1003,A187,Relationships!$E$4:$E$1003,"AG",Relationships!$M$4:$M$1003,"Confirmed",Relationships!$N$4:$N$1003,"OK — verify source"))</f>
        <v/>
      </c>
      <c r="J187" s="27">
        <f>IF(A187="","",COUNTIFS(Relationships!$B$4:$B$1003,"AIR",Relationships!$C$4:$C$1003,A187,Relationships!$E$4:$E$1003,"TOOL",Relationships!$M$4:$M$1003,"Confirmed",Relationships!$N$4:$N$1003,"OK — verify source"))</f>
        <v/>
      </c>
      <c r="K187" s="27">
        <f>IF(A187="","",COUNTIFS(Relationships!$G$4:$G$1003,A187,Relationships!$M$4:$M$1003,"Proposed"))</f>
        <v/>
      </c>
      <c r="L187" s="27">
        <f>IF(A187="","",COUNTIFS(Relationships!$G$4:$G$1003,A187,Relationships!$A$4:$A$1003,"&lt;&gt;",Relationships!$N$4:$N$1003,"&lt;&gt;OK — verify source"))</f>
        <v/>
      </c>
      <c r="M187" s="27" t="n"/>
      <c r="N187" s="27" t="n"/>
      <c r="O187" s="27">
        <f>IF(COUNTA(A187:D187,M187:N187)=0,"",IF(A187="","AIR-ID missing",IF(COUNTIF($A$4:$A$203,A187)&gt;1,"Duplicate AIR-ID",IF(OR(B187="",C187="",D187=""),"Label / source / reconciled-on missing",IF(NOT(ISNUMBER(D187)),"Reconciled-on is not a date","OK — verify source")))))</f>
        <v/>
      </c>
    </row>
    <row r="188">
      <c r="A188" s="25" t="n"/>
      <c r="B188" s="25" t="n"/>
      <c r="C188" s="25" t="n"/>
      <c r="D188" s="26" t="n"/>
      <c r="E188" s="25">
        <f>IF(A188="","",COUNTIFS(Relationships!$B$4:$B$1003,"CAP",Relationships!$E$4:$E$1003,"AIR",Relationships!$F$4:$F$1003,A188,Relationships!$M$4:$M$1003,"Confirmed",Relationships!$N$4:$N$1003,"OK — verify source"))</f>
        <v/>
      </c>
      <c r="F188" s="25">
        <f>IF(A188="","",COUNTIFS(Relationships!$B$4:$B$1003,"AIR",Relationships!$C$4:$C$1003,A188,Relationships!$E$4:$E$1003,"MOD",Relationships!$M$4:$M$1003,"Confirmed",Relationships!$N$4:$N$1003,"OK — verify source"))</f>
        <v/>
      </c>
      <c r="G188" s="25">
        <f>IF(A188="","",COUNTIFS(Relationships!$B$4:$B$1003,"AIR",Relationships!$C$4:$C$1003,A188,Relationships!$E$4:$E$1003,"DATA",Relationships!$M$4:$M$1003,"Confirmed",Relationships!$N$4:$N$1003,"OK — verify source"))</f>
        <v/>
      </c>
      <c r="H188" s="25">
        <f>IF(A188="","",COUNTIFS(Relationships!$B$4:$B$1003,"AIR",Relationships!$C$4:$C$1003,A188,Relationships!$E$4:$E$1003,"IF",Relationships!$M$4:$M$1003,"Confirmed",Relationships!$N$4:$N$1003,"OK — verify source"))</f>
        <v/>
      </c>
      <c r="I188" s="25">
        <f>IF(A188="","",COUNTIFS(Relationships!$B$4:$B$1003,"AIR",Relationships!$C$4:$C$1003,A188,Relationships!$E$4:$E$1003,"AG",Relationships!$M$4:$M$1003,"Confirmed",Relationships!$N$4:$N$1003,"OK — verify source"))</f>
        <v/>
      </c>
      <c r="J188" s="25">
        <f>IF(A188="","",COUNTIFS(Relationships!$B$4:$B$1003,"AIR",Relationships!$C$4:$C$1003,A188,Relationships!$E$4:$E$1003,"TOOL",Relationships!$M$4:$M$1003,"Confirmed",Relationships!$N$4:$N$1003,"OK — verify source"))</f>
        <v/>
      </c>
      <c r="K188" s="25">
        <f>IF(A188="","",COUNTIFS(Relationships!$G$4:$G$1003,A188,Relationships!$M$4:$M$1003,"Proposed"))</f>
        <v/>
      </c>
      <c r="L188" s="25">
        <f>IF(A188="","",COUNTIFS(Relationships!$G$4:$G$1003,A188,Relationships!$A$4:$A$1003,"&lt;&gt;",Relationships!$N$4:$N$1003,"&lt;&gt;OK — verify source"))</f>
        <v/>
      </c>
      <c r="M188" s="25" t="n"/>
      <c r="N188" s="25" t="n"/>
      <c r="O188" s="25">
        <f>IF(COUNTA(A188:D188,M188:N188)=0,"",IF(A188="","AIR-ID missing",IF(COUNTIF($A$4:$A$203,A188)&gt;1,"Duplicate AIR-ID",IF(OR(B188="",C188="",D188=""),"Label / source / reconciled-on missing",IF(NOT(ISNUMBER(D188)),"Reconciled-on is not a date","OK — verify source")))))</f>
        <v/>
      </c>
    </row>
    <row r="189">
      <c r="A189" s="27" t="n"/>
      <c r="B189" s="27" t="n"/>
      <c r="C189" s="27" t="n"/>
      <c r="D189" s="28" t="n"/>
      <c r="E189" s="27">
        <f>IF(A189="","",COUNTIFS(Relationships!$B$4:$B$1003,"CAP",Relationships!$E$4:$E$1003,"AIR",Relationships!$F$4:$F$1003,A189,Relationships!$M$4:$M$1003,"Confirmed",Relationships!$N$4:$N$1003,"OK — verify source"))</f>
        <v/>
      </c>
      <c r="F189" s="27">
        <f>IF(A189="","",COUNTIFS(Relationships!$B$4:$B$1003,"AIR",Relationships!$C$4:$C$1003,A189,Relationships!$E$4:$E$1003,"MOD",Relationships!$M$4:$M$1003,"Confirmed",Relationships!$N$4:$N$1003,"OK — verify source"))</f>
        <v/>
      </c>
      <c r="G189" s="27">
        <f>IF(A189="","",COUNTIFS(Relationships!$B$4:$B$1003,"AIR",Relationships!$C$4:$C$1003,A189,Relationships!$E$4:$E$1003,"DATA",Relationships!$M$4:$M$1003,"Confirmed",Relationships!$N$4:$N$1003,"OK — verify source"))</f>
        <v/>
      </c>
      <c r="H189" s="27">
        <f>IF(A189="","",COUNTIFS(Relationships!$B$4:$B$1003,"AIR",Relationships!$C$4:$C$1003,A189,Relationships!$E$4:$E$1003,"IF",Relationships!$M$4:$M$1003,"Confirmed",Relationships!$N$4:$N$1003,"OK — verify source"))</f>
        <v/>
      </c>
      <c r="I189" s="27">
        <f>IF(A189="","",COUNTIFS(Relationships!$B$4:$B$1003,"AIR",Relationships!$C$4:$C$1003,A189,Relationships!$E$4:$E$1003,"AG",Relationships!$M$4:$M$1003,"Confirmed",Relationships!$N$4:$N$1003,"OK — verify source"))</f>
        <v/>
      </c>
      <c r="J189" s="27">
        <f>IF(A189="","",COUNTIFS(Relationships!$B$4:$B$1003,"AIR",Relationships!$C$4:$C$1003,A189,Relationships!$E$4:$E$1003,"TOOL",Relationships!$M$4:$M$1003,"Confirmed",Relationships!$N$4:$N$1003,"OK — verify source"))</f>
        <v/>
      </c>
      <c r="K189" s="27">
        <f>IF(A189="","",COUNTIFS(Relationships!$G$4:$G$1003,A189,Relationships!$M$4:$M$1003,"Proposed"))</f>
        <v/>
      </c>
      <c r="L189" s="27">
        <f>IF(A189="","",COUNTIFS(Relationships!$G$4:$G$1003,A189,Relationships!$A$4:$A$1003,"&lt;&gt;",Relationships!$N$4:$N$1003,"&lt;&gt;OK — verify source"))</f>
        <v/>
      </c>
      <c r="M189" s="27" t="n"/>
      <c r="N189" s="27" t="n"/>
      <c r="O189" s="27">
        <f>IF(COUNTA(A189:D189,M189:N189)=0,"",IF(A189="","AIR-ID missing",IF(COUNTIF($A$4:$A$203,A189)&gt;1,"Duplicate AIR-ID",IF(OR(B189="",C189="",D189=""),"Label / source / reconciled-on missing",IF(NOT(ISNUMBER(D189)),"Reconciled-on is not a date","OK — verify source")))))</f>
        <v/>
      </c>
    </row>
    <row r="190">
      <c r="A190" s="25" t="n"/>
      <c r="B190" s="25" t="n"/>
      <c r="C190" s="25" t="n"/>
      <c r="D190" s="26" t="n"/>
      <c r="E190" s="25">
        <f>IF(A190="","",COUNTIFS(Relationships!$B$4:$B$1003,"CAP",Relationships!$E$4:$E$1003,"AIR",Relationships!$F$4:$F$1003,A190,Relationships!$M$4:$M$1003,"Confirmed",Relationships!$N$4:$N$1003,"OK — verify source"))</f>
        <v/>
      </c>
      <c r="F190" s="25">
        <f>IF(A190="","",COUNTIFS(Relationships!$B$4:$B$1003,"AIR",Relationships!$C$4:$C$1003,A190,Relationships!$E$4:$E$1003,"MOD",Relationships!$M$4:$M$1003,"Confirmed",Relationships!$N$4:$N$1003,"OK — verify source"))</f>
        <v/>
      </c>
      <c r="G190" s="25">
        <f>IF(A190="","",COUNTIFS(Relationships!$B$4:$B$1003,"AIR",Relationships!$C$4:$C$1003,A190,Relationships!$E$4:$E$1003,"DATA",Relationships!$M$4:$M$1003,"Confirmed",Relationships!$N$4:$N$1003,"OK — verify source"))</f>
        <v/>
      </c>
      <c r="H190" s="25">
        <f>IF(A190="","",COUNTIFS(Relationships!$B$4:$B$1003,"AIR",Relationships!$C$4:$C$1003,A190,Relationships!$E$4:$E$1003,"IF",Relationships!$M$4:$M$1003,"Confirmed",Relationships!$N$4:$N$1003,"OK — verify source"))</f>
        <v/>
      </c>
      <c r="I190" s="25">
        <f>IF(A190="","",COUNTIFS(Relationships!$B$4:$B$1003,"AIR",Relationships!$C$4:$C$1003,A190,Relationships!$E$4:$E$1003,"AG",Relationships!$M$4:$M$1003,"Confirmed",Relationships!$N$4:$N$1003,"OK — verify source"))</f>
        <v/>
      </c>
      <c r="J190" s="25">
        <f>IF(A190="","",COUNTIFS(Relationships!$B$4:$B$1003,"AIR",Relationships!$C$4:$C$1003,A190,Relationships!$E$4:$E$1003,"TOOL",Relationships!$M$4:$M$1003,"Confirmed",Relationships!$N$4:$N$1003,"OK — verify source"))</f>
        <v/>
      </c>
      <c r="K190" s="25">
        <f>IF(A190="","",COUNTIFS(Relationships!$G$4:$G$1003,A190,Relationships!$M$4:$M$1003,"Proposed"))</f>
        <v/>
      </c>
      <c r="L190" s="25">
        <f>IF(A190="","",COUNTIFS(Relationships!$G$4:$G$1003,A190,Relationships!$A$4:$A$1003,"&lt;&gt;",Relationships!$N$4:$N$1003,"&lt;&gt;OK — verify source"))</f>
        <v/>
      </c>
      <c r="M190" s="25" t="n"/>
      <c r="N190" s="25" t="n"/>
      <c r="O190" s="25">
        <f>IF(COUNTA(A190:D190,M190:N190)=0,"",IF(A190="","AIR-ID missing",IF(COUNTIF($A$4:$A$203,A190)&gt;1,"Duplicate AIR-ID",IF(OR(B190="",C190="",D190=""),"Label / source / reconciled-on missing",IF(NOT(ISNUMBER(D190)),"Reconciled-on is not a date","OK — verify source")))))</f>
        <v/>
      </c>
    </row>
    <row r="191">
      <c r="A191" s="27" t="n"/>
      <c r="B191" s="27" t="n"/>
      <c r="C191" s="27" t="n"/>
      <c r="D191" s="28" t="n"/>
      <c r="E191" s="27">
        <f>IF(A191="","",COUNTIFS(Relationships!$B$4:$B$1003,"CAP",Relationships!$E$4:$E$1003,"AIR",Relationships!$F$4:$F$1003,A191,Relationships!$M$4:$M$1003,"Confirmed",Relationships!$N$4:$N$1003,"OK — verify source"))</f>
        <v/>
      </c>
      <c r="F191" s="27">
        <f>IF(A191="","",COUNTIFS(Relationships!$B$4:$B$1003,"AIR",Relationships!$C$4:$C$1003,A191,Relationships!$E$4:$E$1003,"MOD",Relationships!$M$4:$M$1003,"Confirmed",Relationships!$N$4:$N$1003,"OK — verify source"))</f>
        <v/>
      </c>
      <c r="G191" s="27">
        <f>IF(A191="","",COUNTIFS(Relationships!$B$4:$B$1003,"AIR",Relationships!$C$4:$C$1003,A191,Relationships!$E$4:$E$1003,"DATA",Relationships!$M$4:$M$1003,"Confirmed",Relationships!$N$4:$N$1003,"OK — verify source"))</f>
        <v/>
      </c>
      <c r="H191" s="27">
        <f>IF(A191="","",COUNTIFS(Relationships!$B$4:$B$1003,"AIR",Relationships!$C$4:$C$1003,A191,Relationships!$E$4:$E$1003,"IF",Relationships!$M$4:$M$1003,"Confirmed",Relationships!$N$4:$N$1003,"OK — verify source"))</f>
        <v/>
      </c>
      <c r="I191" s="27">
        <f>IF(A191="","",COUNTIFS(Relationships!$B$4:$B$1003,"AIR",Relationships!$C$4:$C$1003,A191,Relationships!$E$4:$E$1003,"AG",Relationships!$M$4:$M$1003,"Confirmed",Relationships!$N$4:$N$1003,"OK — verify source"))</f>
        <v/>
      </c>
      <c r="J191" s="27">
        <f>IF(A191="","",COUNTIFS(Relationships!$B$4:$B$1003,"AIR",Relationships!$C$4:$C$1003,A191,Relationships!$E$4:$E$1003,"TOOL",Relationships!$M$4:$M$1003,"Confirmed",Relationships!$N$4:$N$1003,"OK — verify source"))</f>
        <v/>
      </c>
      <c r="K191" s="27">
        <f>IF(A191="","",COUNTIFS(Relationships!$G$4:$G$1003,A191,Relationships!$M$4:$M$1003,"Proposed"))</f>
        <v/>
      </c>
      <c r="L191" s="27">
        <f>IF(A191="","",COUNTIFS(Relationships!$G$4:$G$1003,A191,Relationships!$A$4:$A$1003,"&lt;&gt;",Relationships!$N$4:$N$1003,"&lt;&gt;OK — verify source"))</f>
        <v/>
      </c>
      <c r="M191" s="27" t="n"/>
      <c r="N191" s="27" t="n"/>
      <c r="O191" s="27">
        <f>IF(COUNTA(A191:D191,M191:N191)=0,"",IF(A191="","AIR-ID missing",IF(COUNTIF($A$4:$A$203,A191)&gt;1,"Duplicate AIR-ID",IF(OR(B191="",C191="",D191=""),"Label / source / reconciled-on missing",IF(NOT(ISNUMBER(D191)),"Reconciled-on is not a date","OK — verify source")))))</f>
        <v/>
      </c>
    </row>
    <row r="192">
      <c r="A192" s="25" t="n"/>
      <c r="B192" s="25" t="n"/>
      <c r="C192" s="25" t="n"/>
      <c r="D192" s="26" t="n"/>
      <c r="E192" s="25">
        <f>IF(A192="","",COUNTIFS(Relationships!$B$4:$B$1003,"CAP",Relationships!$E$4:$E$1003,"AIR",Relationships!$F$4:$F$1003,A192,Relationships!$M$4:$M$1003,"Confirmed",Relationships!$N$4:$N$1003,"OK — verify source"))</f>
        <v/>
      </c>
      <c r="F192" s="25">
        <f>IF(A192="","",COUNTIFS(Relationships!$B$4:$B$1003,"AIR",Relationships!$C$4:$C$1003,A192,Relationships!$E$4:$E$1003,"MOD",Relationships!$M$4:$M$1003,"Confirmed",Relationships!$N$4:$N$1003,"OK — verify source"))</f>
        <v/>
      </c>
      <c r="G192" s="25">
        <f>IF(A192="","",COUNTIFS(Relationships!$B$4:$B$1003,"AIR",Relationships!$C$4:$C$1003,A192,Relationships!$E$4:$E$1003,"DATA",Relationships!$M$4:$M$1003,"Confirmed",Relationships!$N$4:$N$1003,"OK — verify source"))</f>
        <v/>
      </c>
      <c r="H192" s="25">
        <f>IF(A192="","",COUNTIFS(Relationships!$B$4:$B$1003,"AIR",Relationships!$C$4:$C$1003,A192,Relationships!$E$4:$E$1003,"IF",Relationships!$M$4:$M$1003,"Confirmed",Relationships!$N$4:$N$1003,"OK — verify source"))</f>
        <v/>
      </c>
      <c r="I192" s="25">
        <f>IF(A192="","",COUNTIFS(Relationships!$B$4:$B$1003,"AIR",Relationships!$C$4:$C$1003,A192,Relationships!$E$4:$E$1003,"AG",Relationships!$M$4:$M$1003,"Confirmed",Relationships!$N$4:$N$1003,"OK — verify source"))</f>
        <v/>
      </c>
      <c r="J192" s="25">
        <f>IF(A192="","",COUNTIFS(Relationships!$B$4:$B$1003,"AIR",Relationships!$C$4:$C$1003,A192,Relationships!$E$4:$E$1003,"TOOL",Relationships!$M$4:$M$1003,"Confirmed",Relationships!$N$4:$N$1003,"OK — verify source"))</f>
        <v/>
      </c>
      <c r="K192" s="25">
        <f>IF(A192="","",COUNTIFS(Relationships!$G$4:$G$1003,A192,Relationships!$M$4:$M$1003,"Proposed"))</f>
        <v/>
      </c>
      <c r="L192" s="25">
        <f>IF(A192="","",COUNTIFS(Relationships!$G$4:$G$1003,A192,Relationships!$A$4:$A$1003,"&lt;&gt;",Relationships!$N$4:$N$1003,"&lt;&gt;OK — verify source"))</f>
        <v/>
      </c>
      <c r="M192" s="25" t="n"/>
      <c r="N192" s="25" t="n"/>
      <c r="O192" s="25">
        <f>IF(COUNTA(A192:D192,M192:N192)=0,"",IF(A192="","AIR-ID missing",IF(COUNTIF($A$4:$A$203,A192)&gt;1,"Duplicate AIR-ID",IF(OR(B192="",C192="",D192=""),"Label / source / reconciled-on missing",IF(NOT(ISNUMBER(D192)),"Reconciled-on is not a date","OK — verify source")))))</f>
        <v/>
      </c>
    </row>
    <row r="193">
      <c r="A193" s="27" t="n"/>
      <c r="B193" s="27" t="n"/>
      <c r="C193" s="27" t="n"/>
      <c r="D193" s="28" t="n"/>
      <c r="E193" s="27">
        <f>IF(A193="","",COUNTIFS(Relationships!$B$4:$B$1003,"CAP",Relationships!$E$4:$E$1003,"AIR",Relationships!$F$4:$F$1003,A193,Relationships!$M$4:$M$1003,"Confirmed",Relationships!$N$4:$N$1003,"OK — verify source"))</f>
        <v/>
      </c>
      <c r="F193" s="27">
        <f>IF(A193="","",COUNTIFS(Relationships!$B$4:$B$1003,"AIR",Relationships!$C$4:$C$1003,A193,Relationships!$E$4:$E$1003,"MOD",Relationships!$M$4:$M$1003,"Confirmed",Relationships!$N$4:$N$1003,"OK — verify source"))</f>
        <v/>
      </c>
      <c r="G193" s="27">
        <f>IF(A193="","",COUNTIFS(Relationships!$B$4:$B$1003,"AIR",Relationships!$C$4:$C$1003,A193,Relationships!$E$4:$E$1003,"DATA",Relationships!$M$4:$M$1003,"Confirmed",Relationships!$N$4:$N$1003,"OK — verify source"))</f>
        <v/>
      </c>
      <c r="H193" s="27">
        <f>IF(A193="","",COUNTIFS(Relationships!$B$4:$B$1003,"AIR",Relationships!$C$4:$C$1003,A193,Relationships!$E$4:$E$1003,"IF",Relationships!$M$4:$M$1003,"Confirmed",Relationships!$N$4:$N$1003,"OK — verify source"))</f>
        <v/>
      </c>
      <c r="I193" s="27">
        <f>IF(A193="","",COUNTIFS(Relationships!$B$4:$B$1003,"AIR",Relationships!$C$4:$C$1003,A193,Relationships!$E$4:$E$1003,"AG",Relationships!$M$4:$M$1003,"Confirmed",Relationships!$N$4:$N$1003,"OK — verify source"))</f>
        <v/>
      </c>
      <c r="J193" s="27">
        <f>IF(A193="","",COUNTIFS(Relationships!$B$4:$B$1003,"AIR",Relationships!$C$4:$C$1003,A193,Relationships!$E$4:$E$1003,"TOOL",Relationships!$M$4:$M$1003,"Confirmed",Relationships!$N$4:$N$1003,"OK — verify source"))</f>
        <v/>
      </c>
      <c r="K193" s="27">
        <f>IF(A193="","",COUNTIFS(Relationships!$G$4:$G$1003,A193,Relationships!$M$4:$M$1003,"Proposed"))</f>
        <v/>
      </c>
      <c r="L193" s="27">
        <f>IF(A193="","",COUNTIFS(Relationships!$G$4:$G$1003,A193,Relationships!$A$4:$A$1003,"&lt;&gt;",Relationships!$N$4:$N$1003,"&lt;&gt;OK — verify source"))</f>
        <v/>
      </c>
      <c r="M193" s="27" t="n"/>
      <c r="N193" s="27" t="n"/>
      <c r="O193" s="27">
        <f>IF(COUNTA(A193:D193,M193:N193)=0,"",IF(A193="","AIR-ID missing",IF(COUNTIF($A$4:$A$203,A193)&gt;1,"Duplicate AIR-ID",IF(OR(B193="",C193="",D193=""),"Label / source / reconciled-on missing",IF(NOT(ISNUMBER(D193)),"Reconciled-on is not a date","OK — verify source")))))</f>
        <v/>
      </c>
    </row>
    <row r="194">
      <c r="A194" s="25" t="n"/>
      <c r="B194" s="25" t="n"/>
      <c r="C194" s="25" t="n"/>
      <c r="D194" s="26" t="n"/>
      <c r="E194" s="25">
        <f>IF(A194="","",COUNTIFS(Relationships!$B$4:$B$1003,"CAP",Relationships!$E$4:$E$1003,"AIR",Relationships!$F$4:$F$1003,A194,Relationships!$M$4:$M$1003,"Confirmed",Relationships!$N$4:$N$1003,"OK — verify source"))</f>
        <v/>
      </c>
      <c r="F194" s="25">
        <f>IF(A194="","",COUNTIFS(Relationships!$B$4:$B$1003,"AIR",Relationships!$C$4:$C$1003,A194,Relationships!$E$4:$E$1003,"MOD",Relationships!$M$4:$M$1003,"Confirmed",Relationships!$N$4:$N$1003,"OK — verify source"))</f>
        <v/>
      </c>
      <c r="G194" s="25">
        <f>IF(A194="","",COUNTIFS(Relationships!$B$4:$B$1003,"AIR",Relationships!$C$4:$C$1003,A194,Relationships!$E$4:$E$1003,"DATA",Relationships!$M$4:$M$1003,"Confirmed",Relationships!$N$4:$N$1003,"OK — verify source"))</f>
        <v/>
      </c>
      <c r="H194" s="25">
        <f>IF(A194="","",COUNTIFS(Relationships!$B$4:$B$1003,"AIR",Relationships!$C$4:$C$1003,A194,Relationships!$E$4:$E$1003,"IF",Relationships!$M$4:$M$1003,"Confirmed",Relationships!$N$4:$N$1003,"OK — verify source"))</f>
        <v/>
      </c>
      <c r="I194" s="25">
        <f>IF(A194="","",COUNTIFS(Relationships!$B$4:$B$1003,"AIR",Relationships!$C$4:$C$1003,A194,Relationships!$E$4:$E$1003,"AG",Relationships!$M$4:$M$1003,"Confirmed",Relationships!$N$4:$N$1003,"OK — verify source"))</f>
        <v/>
      </c>
      <c r="J194" s="25">
        <f>IF(A194="","",COUNTIFS(Relationships!$B$4:$B$1003,"AIR",Relationships!$C$4:$C$1003,A194,Relationships!$E$4:$E$1003,"TOOL",Relationships!$M$4:$M$1003,"Confirmed",Relationships!$N$4:$N$1003,"OK — verify source"))</f>
        <v/>
      </c>
      <c r="K194" s="25">
        <f>IF(A194="","",COUNTIFS(Relationships!$G$4:$G$1003,A194,Relationships!$M$4:$M$1003,"Proposed"))</f>
        <v/>
      </c>
      <c r="L194" s="25">
        <f>IF(A194="","",COUNTIFS(Relationships!$G$4:$G$1003,A194,Relationships!$A$4:$A$1003,"&lt;&gt;",Relationships!$N$4:$N$1003,"&lt;&gt;OK — verify source"))</f>
        <v/>
      </c>
      <c r="M194" s="25" t="n"/>
      <c r="N194" s="25" t="n"/>
      <c r="O194" s="25">
        <f>IF(COUNTA(A194:D194,M194:N194)=0,"",IF(A194="","AIR-ID missing",IF(COUNTIF($A$4:$A$203,A194)&gt;1,"Duplicate AIR-ID",IF(OR(B194="",C194="",D194=""),"Label / source / reconciled-on missing",IF(NOT(ISNUMBER(D194)),"Reconciled-on is not a date","OK — verify source")))))</f>
        <v/>
      </c>
    </row>
    <row r="195">
      <c r="A195" s="27" t="n"/>
      <c r="B195" s="27" t="n"/>
      <c r="C195" s="27" t="n"/>
      <c r="D195" s="28" t="n"/>
      <c r="E195" s="27">
        <f>IF(A195="","",COUNTIFS(Relationships!$B$4:$B$1003,"CAP",Relationships!$E$4:$E$1003,"AIR",Relationships!$F$4:$F$1003,A195,Relationships!$M$4:$M$1003,"Confirmed",Relationships!$N$4:$N$1003,"OK — verify source"))</f>
        <v/>
      </c>
      <c r="F195" s="27">
        <f>IF(A195="","",COUNTIFS(Relationships!$B$4:$B$1003,"AIR",Relationships!$C$4:$C$1003,A195,Relationships!$E$4:$E$1003,"MOD",Relationships!$M$4:$M$1003,"Confirmed",Relationships!$N$4:$N$1003,"OK — verify source"))</f>
        <v/>
      </c>
      <c r="G195" s="27">
        <f>IF(A195="","",COUNTIFS(Relationships!$B$4:$B$1003,"AIR",Relationships!$C$4:$C$1003,A195,Relationships!$E$4:$E$1003,"DATA",Relationships!$M$4:$M$1003,"Confirmed",Relationships!$N$4:$N$1003,"OK — verify source"))</f>
        <v/>
      </c>
      <c r="H195" s="27">
        <f>IF(A195="","",COUNTIFS(Relationships!$B$4:$B$1003,"AIR",Relationships!$C$4:$C$1003,A195,Relationships!$E$4:$E$1003,"IF",Relationships!$M$4:$M$1003,"Confirmed",Relationships!$N$4:$N$1003,"OK — verify source"))</f>
        <v/>
      </c>
      <c r="I195" s="27">
        <f>IF(A195="","",COUNTIFS(Relationships!$B$4:$B$1003,"AIR",Relationships!$C$4:$C$1003,A195,Relationships!$E$4:$E$1003,"AG",Relationships!$M$4:$M$1003,"Confirmed",Relationships!$N$4:$N$1003,"OK — verify source"))</f>
        <v/>
      </c>
      <c r="J195" s="27">
        <f>IF(A195="","",COUNTIFS(Relationships!$B$4:$B$1003,"AIR",Relationships!$C$4:$C$1003,A195,Relationships!$E$4:$E$1003,"TOOL",Relationships!$M$4:$M$1003,"Confirmed",Relationships!$N$4:$N$1003,"OK — verify source"))</f>
        <v/>
      </c>
      <c r="K195" s="27">
        <f>IF(A195="","",COUNTIFS(Relationships!$G$4:$G$1003,A195,Relationships!$M$4:$M$1003,"Proposed"))</f>
        <v/>
      </c>
      <c r="L195" s="27">
        <f>IF(A195="","",COUNTIFS(Relationships!$G$4:$G$1003,A195,Relationships!$A$4:$A$1003,"&lt;&gt;",Relationships!$N$4:$N$1003,"&lt;&gt;OK — verify source"))</f>
        <v/>
      </c>
      <c r="M195" s="27" t="n"/>
      <c r="N195" s="27" t="n"/>
      <c r="O195" s="27">
        <f>IF(COUNTA(A195:D195,M195:N195)=0,"",IF(A195="","AIR-ID missing",IF(COUNTIF($A$4:$A$203,A195)&gt;1,"Duplicate AIR-ID",IF(OR(B195="",C195="",D195=""),"Label / source / reconciled-on missing",IF(NOT(ISNUMBER(D195)),"Reconciled-on is not a date","OK — verify source")))))</f>
        <v/>
      </c>
    </row>
    <row r="196">
      <c r="A196" s="25" t="n"/>
      <c r="B196" s="25" t="n"/>
      <c r="C196" s="25" t="n"/>
      <c r="D196" s="26" t="n"/>
      <c r="E196" s="25">
        <f>IF(A196="","",COUNTIFS(Relationships!$B$4:$B$1003,"CAP",Relationships!$E$4:$E$1003,"AIR",Relationships!$F$4:$F$1003,A196,Relationships!$M$4:$M$1003,"Confirmed",Relationships!$N$4:$N$1003,"OK — verify source"))</f>
        <v/>
      </c>
      <c r="F196" s="25">
        <f>IF(A196="","",COUNTIFS(Relationships!$B$4:$B$1003,"AIR",Relationships!$C$4:$C$1003,A196,Relationships!$E$4:$E$1003,"MOD",Relationships!$M$4:$M$1003,"Confirmed",Relationships!$N$4:$N$1003,"OK — verify source"))</f>
        <v/>
      </c>
      <c r="G196" s="25">
        <f>IF(A196="","",COUNTIFS(Relationships!$B$4:$B$1003,"AIR",Relationships!$C$4:$C$1003,A196,Relationships!$E$4:$E$1003,"DATA",Relationships!$M$4:$M$1003,"Confirmed",Relationships!$N$4:$N$1003,"OK — verify source"))</f>
        <v/>
      </c>
      <c r="H196" s="25">
        <f>IF(A196="","",COUNTIFS(Relationships!$B$4:$B$1003,"AIR",Relationships!$C$4:$C$1003,A196,Relationships!$E$4:$E$1003,"IF",Relationships!$M$4:$M$1003,"Confirmed",Relationships!$N$4:$N$1003,"OK — verify source"))</f>
        <v/>
      </c>
      <c r="I196" s="25">
        <f>IF(A196="","",COUNTIFS(Relationships!$B$4:$B$1003,"AIR",Relationships!$C$4:$C$1003,A196,Relationships!$E$4:$E$1003,"AG",Relationships!$M$4:$M$1003,"Confirmed",Relationships!$N$4:$N$1003,"OK — verify source"))</f>
        <v/>
      </c>
      <c r="J196" s="25">
        <f>IF(A196="","",COUNTIFS(Relationships!$B$4:$B$1003,"AIR",Relationships!$C$4:$C$1003,A196,Relationships!$E$4:$E$1003,"TOOL",Relationships!$M$4:$M$1003,"Confirmed",Relationships!$N$4:$N$1003,"OK — verify source"))</f>
        <v/>
      </c>
      <c r="K196" s="25">
        <f>IF(A196="","",COUNTIFS(Relationships!$G$4:$G$1003,A196,Relationships!$M$4:$M$1003,"Proposed"))</f>
        <v/>
      </c>
      <c r="L196" s="25">
        <f>IF(A196="","",COUNTIFS(Relationships!$G$4:$G$1003,A196,Relationships!$A$4:$A$1003,"&lt;&gt;",Relationships!$N$4:$N$1003,"&lt;&gt;OK — verify source"))</f>
        <v/>
      </c>
      <c r="M196" s="25" t="n"/>
      <c r="N196" s="25" t="n"/>
      <c r="O196" s="25">
        <f>IF(COUNTA(A196:D196,M196:N196)=0,"",IF(A196="","AIR-ID missing",IF(COUNTIF($A$4:$A$203,A196)&gt;1,"Duplicate AIR-ID",IF(OR(B196="",C196="",D196=""),"Label / source / reconciled-on missing",IF(NOT(ISNUMBER(D196)),"Reconciled-on is not a date","OK — verify source")))))</f>
        <v/>
      </c>
    </row>
    <row r="197">
      <c r="A197" s="27" t="n"/>
      <c r="B197" s="27" t="n"/>
      <c r="C197" s="27" t="n"/>
      <c r="D197" s="28" t="n"/>
      <c r="E197" s="27">
        <f>IF(A197="","",COUNTIFS(Relationships!$B$4:$B$1003,"CAP",Relationships!$E$4:$E$1003,"AIR",Relationships!$F$4:$F$1003,A197,Relationships!$M$4:$M$1003,"Confirmed",Relationships!$N$4:$N$1003,"OK — verify source"))</f>
        <v/>
      </c>
      <c r="F197" s="27">
        <f>IF(A197="","",COUNTIFS(Relationships!$B$4:$B$1003,"AIR",Relationships!$C$4:$C$1003,A197,Relationships!$E$4:$E$1003,"MOD",Relationships!$M$4:$M$1003,"Confirmed",Relationships!$N$4:$N$1003,"OK — verify source"))</f>
        <v/>
      </c>
      <c r="G197" s="27">
        <f>IF(A197="","",COUNTIFS(Relationships!$B$4:$B$1003,"AIR",Relationships!$C$4:$C$1003,A197,Relationships!$E$4:$E$1003,"DATA",Relationships!$M$4:$M$1003,"Confirmed",Relationships!$N$4:$N$1003,"OK — verify source"))</f>
        <v/>
      </c>
      <c r="H197" s="27">
        <f>IF(A197="","",COUNTIFS(Relationships!$B$4:$B$1003,"AIR",Relationships!$C$4:$C$1003,A197,Relationships!$E$4:$E$1003,"IF",Relationships!$M$4:$M$1003,"Confirmed",Relationships!$N$4:$N$1003,"OK — verify source"))</f>
        <v/>
      </c>
      <c r="I197" s="27">
        <f>IF(A197="","",COUNTIFS(Relationships!$B$4:$B$1003,"AIR",Relationships!$C$4:$C$1003,A197,Relationships!$E$4:$E$1003,"AG",Relationships!$M$4:$M$1003,"Confirmed",Relationships!$N$4:$N$1003,"OK — verify source"))</f>
        <v/>
      </c>
      <c r="J197" s="27">
        <f>IF(A197="","",COUNTIFS(Relationships!$B$4:$B$1003,"AIR",Relationships!$C$4:$C$1003,A197,Relationships!$E$4:$E$1003,"TOOL",Relationships!$M$4:$M$1003,"Confirmed",Relationships!$N$4:$N$1003,"OK — verify source"))</f>
        <v/>
      </c>
      <c r="K197" s="27">
        <f>IF(A197="","",COUNTIFS(Relationships!$G$4:$G$1003,A197,Relationships!$M$4:$M$1003,"Proposed"))</f>
        <v/>
      </c>
      <c r="L197" s="27">
        <f>IF(A197="","",COUNTIFS(Relationships!$G$4:$G$1003,A197,Relationships!$A$4:$A$1003,"&lt;&gt;",Relationships!$N$4:$N$1003,"&lt;&gt;OK — verify source"))</f>
        <v/>
      </c>
      <c r="M197" s="27" t="n"/>
      <c r="N197" s="27" t="n"/>
      <c r="O197" s="27">
        <f>IF(COUNTA(A197:D197,M197:N197)=0,"",IF(A197="","AIR-ID missing",IF(COUNTIF($A$4:$A$203,A197)&gt;1,"Duplicate AIR-ID",IF(OR(B197="",C197="",D197=""),"Label / source / reconciled-on missing",IF(NOT(ISNUMBER(D197)),"Reconciled-on is not a date","OK — verify source")))))</f>
        <v/>
      </c>
    </row>
    <row r="198">
      <c r="A198" s="25" t="n"/>
      <c r="B198" s="25" t="n"/>
      <c r="C198" s="25" t="n"/>
      <c r="D198" s="26" t="n"/>
      <c r="E198" s="25">
        <f>IF(A198="","",COUNTIFS(Relationships!$B$4:$B$1003,"CAP",Relationships!$E$4:$E$1003,"AIR",Relationships!$F$4:$F$1003,A198,Relationships!$M$4:$M$1003,"Confirmed",Relationships!$N$4:$N$1003,"OK — verify source"))</f>
        <v/>
      </c>
      <c r="F198" s="25">
        <f>IF(A198="","",COUNTIFS(Relationships!$B$4:$B$1003,"AIR",Relationships!$C$4:$C$1003,A198,Relationships!$E$4:$E$1003,"MOD",Relationships!$M$4:$M$1003,"Confirmed",Relationships!$N$4:$N$1003,"OK — verify source"))</f>
        <v/>
      </c>
      <c r="G198" s="25">
        <f>IF(A198="","",COUNTIFS(Relationships!$B$4:$B$1003,"AIR",Relationships!$C$4:$C$1003,A198,Relationships!$E$4:$E$1003,"DATA",Relationships!$M$4:$M$1003,"Confirmed",Relationships!$N$4:$N$1003,"OK — verify source"))</f>
        <v/>
      </c>
      <c r="H198" s="25">
        <f>IF(A198="","",COUNTIFS(Relationships!$B$4:$B$1003,"AIR",Relationships!$C$4:$C$1003,A198,Relationships!$E$4:$E$1003,"IF",Relationships!$M$4:$M$1003,"Confirmed",Relationships!$N$4:$N$1003,"OK — verify source"))</f>
        <v/>
      </c>
      <c r="I198" s="25">
        <f>IF(A198="","",COUNTIFS(Relationships!$B$4:$B$1003,"AIR",Relationships!$C$4:$C$1003,A198,Relationships!$E$4:$E$1003,"AG",Relationships!$M$4:$M$1003,"Confirmed",Relationships!$N$4:$N$1003,"OK — verify source"))</f>
        <v/>
      </c>
      <c r="J198" s="25">
        <f>IF(A198="","",COUNTIFS(Relationships!$B$4:$B$1003,"AIR",Relationships!$C$4:$C$1003,A198,Relationships!$E$4:$E$1003,"TOOL",Relationships!$M$4:$M$1003,"Confirmed",Relationships!$N$4:$N$1003,"OK — verify source"))</f>
        <v/>
      </c>
      <c r="K198" s="25">
        <f>IF(A198="","",COUNTIFS(Relationships!$G$4:$G$1003,A198,Relationships!$M$4:$M$1003,"Proposed"))</f>
        <v/>
      </c>
      <c r="L198" s="25">
        <f>IF(A198="","",COUNTIFS(Relationships!$G$4:$G$1003,A198,Relationships!$A$4:$A$1003,"&lt;&gt;",Relationships!$N$4:$N$1003,"&lt;&gt;OK — verify source"))</f>
        <v/>
      </c>
      <c r="M198" s="25" t="n"/>
      <c r="N198" s="25" t="n"/>
      <c r="O198" s="25">
        <f>IF(COUNTA(A198:D198,M198:N198)=0,"",IF(A198="","AIR-ID missing",IF(COUNTIF($A$4:$A$203,A198)&gt;1,"Duplicate AIR-ID",IF(OR(B198="",C198="",D198=""),"Label / source / reconciled-on missing",IF(NOT(ISNUMBER(D198)),"Reconciled-on is not a date","OK — verify source")))))</f>
        <v/>
      </c>
    </row>
    <row r="199">
      <c r="A199" s="27" t="n"/>
      <c r="B199" s="27" t="n"/>
      <c r="C199" s="27" t="n"/>
      <c r="D199" s="28" t="n"/>
      <c r="E199" s="27">
        <f>IF(A199="","",COUNTIFS(Relationships!$B$4:$B$1003,"CAP",Relationships!$E$4:$E$1003,"AIR",Relationships!$F$4:$F$1003,A199,Relationships!$M$4:$M$1003,"Confirmed",Relationships!$N$4:$N$1003,"OK — verify source"))</f>
        <v/>
      </c>
      <c r="F199" s="27">
        <f>IF(A199="","",COUNTIFS(Relationships!$B$4:$B$1003,"AIR",Relationships!$C$4:$C$1003,A199,Relationships!$E$4:$E$1003,"MOD",Relationships!$M$4:$M$1003,"Confirmed",Relationships!$N$4:$N$1003,"OK — verify source"))</f>
        <v/>
      </c>
      <c r="G199" s="27">
        <f>IF(A199="","",COUNTIFS(Relationships!$B$4:$B$1003,"AIR",Relationships!$C$4:$C$1003,A199,Relationships!$E$4:$E$1003,"DATA",Relationships!$M$4:$M$1003,"Confirmed",Relationships!$N$4:$N$1003,"OK — verify source"))</f>
        <v/>
      </c>
      <c r="H199" s="27">
        <f>IF(A199="","",COUNTIFS(Relationships!$B$4:$B$1003,"AIR",Relationships!$C$4:$C$1003,A199,Relationships!$E$4:$E$1003,"IF",Relationships!$M$4:$M$1003,"Confirmed",Relationships!$N$4:$N$1003,"OK — verify source"))</f>
        <v/>
      </c>
      <c r="I199" s="27">
        <f>IF(A199="","",COUNTIFS(Relationships!$B$4:$B$1003,"AIR",Relationships!$C$4:$C$1003,A199,Relationships!$E$4:$E$1003,"AG",Relationships!$M$4:$M$1003,"Confirmed",Relationships!$N$4:$N$1003,"OK — verify source"))</f>
        <v/>
      </c>
      <c r="J199" s="27">
        <f>IF(A199="","",COUNTIFS(Relationships!$B$4:$B$1003,"AIR",Relationships!$C$4:$C$1003,A199,Relationships!$E$4:$E$1003,"TOOL",Relationships!$M$4:$M$1003,"Confirmed",Relationships!$N$4:$N$1003,"OK — verify source"))</f>
        <v/>
      </c>
      <c r="K199" s="27">
        <f>IF(A199="","",COUNTIFS(Relationships!$G$4:$G$1003,A199,Relationships!$M$4:$M$1003,"Proposed"))</f>
        <v/>
      </c>
      <c r="L199" s="27">
        <f>IF(A199="","",COUNTIFS(Relationships!$G$4:$G$1003,A199,Relationships!$A$4:$A$1003,"&lt;&gt;",Relationships!$N$4:$N$1003,"&lt;&gt;OK — verify source"))</f>
        <v/>
      </c>
      <c r="M199" s="27" t="n"/>
      <c r="N199" s="27" t="n"/>
      <c r="O199" s="27">
        <f>IF(COUNTA(A199:D199,M199:N199)=0,"",IF(A199="","AIR-ID missing",IF(COUNTIF($A$4:$A$203,A199)&gt;1,"Duplicate AIR-ID",IF(OR(B199="",C199="",D199=""),"Label / source / reconciled-on missing",IF(NOT(ISNUMBER(D199)),"Reconciled-on is not a date","OK — verify source")))))</f>
        <v/>
      </c>
    </row>
    <row r="200">
      <c r="A200" s="25" t="n"/>
      <c r="B200" s="25" t="n"/>
      <c r="C200" s="25" t="n"/>
      <c r="D200" s="26" t="n"/>
      <c r="E200" s="25">
        <f>IF(A200="","",COUNTIFS(Relationships!$B$4:$B$1003,"CAP",Relationships!$E$4:$E$1003,"AIR",Relationships!$F$4:$F$1003,A200,Relationships!$M$4:$M$1003,"Confirmed",Relationships!$N$4:$N$1003,"OK — verify source"))</f>
        <v/>
      </c>
      <c r="F200" s="25">
        <f>IF(A200="","",COUNTIFS(Relationships!$B$4:$B$1003,"AIR",Relationships!$C$4:$C$1003,A200,Relationships!$E$4:$E$1003,"MOD",Relationships!$M$4:$M$1003,"Confirmed",Relationships!$N$4:$N$1003,"OK — verify source"))</f>
        <v/>
      </c>
      <c r="G200" s="25">
        <f>IF(A200="","",COUNTIFS(Relationships!$B$4:$B$1003,"AIR",Relationships!$C$4:$C$1003,A200,Relationships!$E$4:$E$1003,"DATA",Relationships!$M$4:$M$1003,"Confirmed",Relationships!$N$4:$N$1003,"OK — verify source"))</f>
        <v/>
      </c>
      <c r="H200" s="25">
        <f>IF(A200="","",COUNTIFS(Relationships!$B$4:$B$1003,"AIR",Relationships!$C$4:$C$1003,A200,Relationships!$E$4:$E$1003,"IF",Relationships!$M$4:$M$1003,"Confirmed",Relationships!$N$4:$N$1003,"OK — verify source"))</f>
        <v/>
      </c>
      <c r="I200" s="25">
        <f>IF(A200="","",COUNTIFS(Relationships!$B$4:$B$1003,"AIR",Relationships!$C$4:$C$1003,A200,Relationships!$E$4:$E$1003,"AG",Relationships!$M$4:$M$1003,"Confirmed",Relationships!$N$4:$N$1003,"OK — verify source"))</f>
        <v/>
      </c>
      <c r="J200" s="25">
        <f>IF(A200="","",COUNTIFS(Relationships!$B$4:$B$1003,"AIR",Relationships!$C$4:$C$1003,A200,Relationships!$E$4:$E$1003,"TOOL",Relationships!$M$4:$M$1003,"Confirmed",Relationships!$N$4:$N$1003,"OK — verify source"))</f>
        <v/>
      </c>
      <c r="K200" s="25">
        <f>IF(A200="","",COUNTIFS(Relationships!$G$4:$G$1003,A200,Relationships!$M$4:$M$1003,"Proposed"))</f>
        <v/>
      </c>
      <c r="L200" s="25">
        <f>IF(A200="","",COUNTIFS(Relationships!$G$4:$G$1003,A200,Relationships!$A$4:$A$1003,"&lt;&gt;",Relationships!$N$4:$N$1003,"&lt;&gt;OK — verify source"))</f>
        <v/>
      </c>
      <c r="M200" s="25" t="n"/>
      <c r="N200" s="25" t="n"/>
      <c r="O200" s="25">
        <f>IF(COUNTA(A200:D200,M200:N200)=0,"",IF(A200="","AIR-ID missing",IF(COUNTIF($A$4:$A$203,A200)&gt;1,"Duplicate AIR-ID",IF(OR(B200="",C200="",D200=""),"Label / source / reconciled-on missing",IF(NOT(ISNUMBER(D200)),"Reconciled-on is not a date","OK — verify source")))))</f>
        <v/>
      </c>
    </row>
    <row r="201">
      <c r="A201" s="27" t="n"/>
      <c r="B201" s="27" t="n"/>
      <c r="C201" s="27" t="n"/>
      <c r="D201" s="28" t="n"/>
      <c r="E201" s="27">
        <f>IF(A201="","",COUNTIFS(Relationships!$B$4:$B$1003,"CAP",Relationships!$E$4:$E$1003,"AIR",Relationships!$F$4:$F$1003,A201,Relationships!$M$4:$M$1003,"Confirmed",Relationships!$N$4:$N$1003,"OK — verify source"))</f>
        <v/>
      </c>
      <c r="F201" s="27">
        <f>IF(A201="","",COUNTIFS(Relationships!$B$4:$B$1003,"AIR",Relationships!$C$4:$C$1003,A201,Relationships!$E$4:$E$1003,"MOD",Relationships!$M$4:$M$1003,"Confirmed",Relationships!$N$4:$N$1003,"OK — verify source"))</f>
        <v/>
      </c>
      <c r="G201" s="27">
        <f>IF(A201="","",COUNTIFS(Relationships!$B$4:$B$1003,"AIR",Relationships!$C$4:$C$1003,A201,Relationships!$E$4:$E$1003,"DATA",Relationships!$M$4:$M$1003,"Confirmed",Relationships!$N$4:$N$1003,"OK — verify source"))</f>
        <v/>
      </c>
      <c r="H201" s="27">
        <f>IF(A201="","",COUNTIFS(Relationships!$B$4:$B$1003,"AIR",Relationships!$C$4:$C$1003,A201,Relationships!$E$4:$E$1003,"IF",Relationships!$M$4:$M$1003,"Confirmed",Relationships!$N$4:$N$1003,"OK — verify source"))</f>
        <v/>
      </c>
      <c r="I201" s="27">
        <f>IF(A201="","",COUNTIFS(Relationships!$B$4:$B$1003,"AIR",Relationships!$C$4:$C$1003,A201,Relationships!$E$4:$E$1003,"AG",Relationships!$M$4:$M$1003,"Confirmed",Relationships!$N$4:$N$1003,"OK — verify source"))</f>
        <v/>
      </c>
      <c r="J201" s="27">
        <f>IF(A201="","",COUNTIFS(Relationships!$B$4:$B$1003,"AIR",Relationships!$C$4:$C$1003,A201,Relationships!$E$4:$E$1003,"TOOL",Relationships!$M$4:$M$1003,"Confirmed",Relationships!$N$4:$N$1003,"OK — verify source"))</f>
        <v/>
      </c>
      <c r="K201" s="27">
        <f>IF(A201="","",COUNTIFS(Relationships!$G$4:$G$1003,A201,Relationships!$M$4:$M$1003,"Proposed"))</f>
        <v/>
      </c>
      <c r="L201" s="27">
        <f>IF(A201="","",COUNTIFS(Relationships!$G$4:$G$1003,A201,Relationships!$A$4:$A$1003,"&lt;&gt;",Relationships!$N$4:$N$1003,"&lt;&gt;OK — verify source"))</f>
        <v/>
      </c>
      <c r="M201" s="27" t="n"/>
      <c r="N201" s="27" t="n"/>
      <c r="O201" s="27">
        <f>IF(COUNTA(A201:D201,M201:N201)=0,"",IF(A201="","AIR-ID missing",IF(COUNTIF($A$4:$A$203,A201)&gt;1,"Duplicate AIR-ID",IF(OR(B201="",C201="",D201=""),"Label / source / reconciled-on missing",IF(NOT(ISNUMBER(D201)),"Reconciled-on is not a date","OK — verify source")))))</f>
        <v/>
      </c>
    </row>
    <row r="202">
      <c r="A202" s="25" t="n"/>
      <c r="B202" s="25" t="n"/>
      <c r="C202" s="25" t="n"/>
      <c r="D202" s="26" t="n"/>
      <c r="E202" s="25">
        <f>IF(A202="","",COUNTIFS(Relationships!$B$4:$B$1003,"CAP",Relationships!$E$4:$E$1003,"AIR",Relationships!$F$4:$F$1003,A202,Relationships!$M$4:$M$1003,"Confirmed",Relationships!$N$4:$N$1003,"OK — verify source"))</f>
        <v/>
      </c>
      <c r="F202" s="25">
        <f>IF(A202="","",COUNTIFS(Relationships!$B$4:$B$1003,"AIR",Relationships!$C$4:$C$1003,A202,Relationships!$E$4:$E$1003,"MOD",Relationships!$M$4:$M$1003,"Confirmed",Relationships!$N$4:$N$1003,"OK — verify source"))</f>
        <v/>
      </c>
      <c r="G202" s="25">
        <f>IF(A202="","",COUNTIFS(Relationships!$B$4:$B$1003,"AIR",Relationships!$C$4:$C$1003,A202,Relationships!$E$4:$E$1003,"DATA",Relationships!$M$4:$M$1003,"Confirmed",Relationships!$N$4:$N$1003,"OK — verify source"))</f>
        <v/>
      </c>
      <c r="H202" s="25">
        <f>IF(A202="","",COUNTIFS(Relationships!$B$4:$B$1003,"AIR",Relationships!$C$4:$C$1003,A202,Relationships!$E$4:$E$1003,"IF",Relationships!$M$4:$M$1003,"Confirmed",Relationships!$N$4:$N$1003,"OK — verify source"))</f>
        <v/>
      </c>
      <c r="I202" s="25">
        <f>IF(A202="","",COUNTIFS(Relationships!$B$4:$B$1003,"AIR",Relationships!$C$4:$C$1003,A202,Relationships!$E$4:$E$1003,"AG",Relationships!$M$4:$M$1003,"Confirmed",Relationships!$N$4:$N$1003,"OK — verify source"))</f>
        <v/>
      </c>
      <c r="J202" s="25">
        <f>IF(A202="","",COUNTIFS(Relationships!$B$4:$B$1003,"AIR",Relationships!$C$4:$C$1003,A202,Relationships!$E$4:$E$1003,"TOOL",Relationships!$M$4:$M$1003,"Confirmed",Relationships!$N$4:$N$1003,"OK — verify source"))</f>
        <v/>
      </c>
      <c r="K202" s="25">
        <f>IF(A202="","",COUNTIFS(Relationships!$G$4:$G$1003,A202,Relationships!$M$4:$M$1003,"Proposed"))</f>
        <v/>
      </c>
      <c r="L202" s="25">
        <f>IF(A202="","",COUNTIFS(Relationships!$G$4:$G$1003,A202,Relationships!$A$4:$A$1003,"&lt;&gt;",Relationships!$N$4:$N$1003,"&lt;&gt;OK — verify source"))</f>
        <v/>
      </c>
      <c r="M202" s="25" t="n"/>
      <c r="N202" s="25" t="n"/>
      <c r="O202" s="25">
        <f>IF(COUNTA(A202:D202,M202:N202)=0,"",IF(A202="","AIR-ID missing",IF(COUNTIF($A$4:$A$203,A202)&gt;1,"Duplicate AIR-ID",IF(OR(B202="",C202="",D202=""),"Label / source / reconciled-on missing",IF(NOT(ISNUMBER(D202)),"Reconciled-on is not a date","OK — verify source")))))</f>
        <v/>
      </c>
    </row>
    <row r="203">
      <c r="A203" s="27" t="n"/>
      <c r="B203" s="27" t="n"/>
      <c r="C203" s="27" t="n"/>
      <c r="D203" s="28" t="n"/>
      <c r="E203" s="27">
        <f>IF(A203="","",COUNTIFS(Relationships!$B$4:$B$1003,"CAP",Relationships!$E$4:$E$1003,"AIR",Relationships!$F$4:$F$1003,A203,Relationships!$M$4:$M$1003,"Confirmed",Relationships!$N$4:$N$1003,"OK — verify source"))</f>
        <v/>
      </c>
      <c r="F203" s="27">
        <f>IF(A203="","",COUNTIFS(Relationships!$B$4:$B$1003,"AIR",Relationships!$C$4:$C$1003,A203,Relationships!$E$4:$E$1003,"MOD",Relationships!$M$4:$M$1003,"Confirmed",Relationships!$N$4:$N$1003,"OK — verify source"))</f>
        <v/>
      </c>
      <c r="G203" s="27">
        <f>IF(A203="","",COUNTIFS(Relationships!$B$4:$B$1003,"AIR",Relationships!$C$4:$C$1003,A203,Relationships!$E$4:$E$1003,"DATA",Relationships!$M$4:$M$1003,"Confirmed",Relationships!$N$4:$N$1003,"OK — verify source"))</f>
        <v/>
      </c>
      <c r="H203" s="27">
        <f>IF(A203="","",COUNTIFS(Relationships!$B$4:$B$1003,"AIR",Relationships!$C$4:$C$1003,A203,Relationships!$E$4:$E$1003,"IF",Relationships!$M$4:$M$1003,"Confirmed",Relationships!$N$4:$N$1003,"OK — verify source"))</f>
        <v/>
      </c>
      <c r="I203" s="27">
        <f>IF(A203="","",COUNTIFS(Relationships!$B$4:$B$1003,"AIR",Relationships!$C$4:$C$1003,A203,Relationships!$E$4:$E$1003,"AG",Relationships!$M$4:$M$1003,"Confirmed",Relationships!$N$4:$N$1003,"OK — verify source"))</f>
        <v/>
      </c>
      <c r="J203" s="27">
        <f>IF(A203="","",COUNTIFS(Relationships!$B$4:$B$1003,"AIR",Relationships!$C$4:$C$1003,A203,Relationships!$E$4:$E$1003,"TOOL",Relationships!$M$4:$M$1003,"Confirmed",Relationships!$N$4:$N$1003,"OK — verify source"))</f>
        <v/>
      </c>
      <c r="K203" s="27">
        <f>IF(A203="","",COUNTIFS(Relationships!$G$4:$G$1003,A203,Relationships!$M$4:$M$1003,"Proposed"))</f>
        <v/>
      </c>
      <c r="L203" s="27">
        <f>IF(A203="","",COUNTIFS(Relationships!$G$4:$G$1003,A203,Relationships!$A$4:$A$1003,"&lt;&gt;",Relationships!$N$4:$N$1003,"&lt;&gt;OK — verify source"))</f>
        <v/>
      </c>
      <c r="M203" s="27" t="n"/>
      <c r="N203" s="27" t="n"/>
      <c r="O203" s="27">
        <f>IF(COUNTA(A203:D203,M203:N203)=0,"",IF(A203="","AIR-ID missing",IF(COUNTIF($A$4:$A$203,A203)&gt;1,"Duplicate AIR-ID",IF(OR(B203="",C203="",D203=""),"Label / source / reconciled-on missing",IF(NOT(ISNUMBER(D203)),"Reconciled-on is not a date","OK — verify source")))))</f>
        <v/>
      </c>
    </row>
  </sheetData>
  <mergeCells count="2">
    <mergeCell ref="A2:N2"/>
    <mergeCell ref="A1:N1"/>
  </mergeCells>
  <dataValidations count="2">
    <dataValidation sqref="M4:M203" showDropDown="0" showInputMessage="0" showErrorMessage="1" allowBlank="1" errorTitle="Controlled value" error="Select a listed value." type="list">
      <formula1>"Not reviewed,In review,Reconciled,Needs action"</formula1>
    </dataValidation>
    <dataValidation sqref="A4:A203" showDropDown="0" showInputMessage="0" showErrorMessage="1" allowBlank="1" errorTitle="Controlled value" error="Proposed AIR-ID format is AIR-nnnn (for Council confirmation). Continue only if the Council uses another format." type="custom" errorStyle="warning">
      <formula1>AND(LEFT(A4,4)="AIR-",LEN(A4)=8)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8" customWidth="1" min="1" max="1"/>
    <col width="40" customWidth="1" min="2" max="2"/>
    <col width="32" customWidth="1" min="3" max="3"/>
    <col width="25" customWidth="1" min="4" max="4"/>
    <col width="30" customWidth="1" min="5" max="5"/>
    <col width="20" customWidth="1" min="6" max="6"/>
    <col width="17" customWidth="1" min="7" max="7"/>
    <col width="18" customWidth="1" min="8" max="8"/>
    <col width="20" customWidth="1" min="9" max="9"/>
    <col width="32" customWidth="1" min="10" max="10"/>
  </cols>
  <sheetData>
    <row r="1" ht="34" customHeight="1">
      <c r="A1" s="22" t="inlineStr">
        <is>
          <t>OUTCOME-LED USE CASES</t>
        </is>
      </c>
      <c r="K1" s="17" t="n"/>
      <c r="L1" s="17" t="n"/>
      <c r="M1" s="17" t="n"/>
    </row>
    <row r="2" ht="44" customHeight="1">
      <c r="A2" s="23" t="inlineStr">
        <is>
          <t>Use AIG-INV-03 as intake source; keep one distinct outcome/workflow per stable UC-ID linked to one system AIR-ID when issued. Decision and monitoring fields are source pointers only; this map never grants approval.</t>
        </is>
      </c>
      <c r="K2" s="17" t="n"/>
      <c r="L2" s="17" t="n"/>
      <c r="M2" s="17" t="n"/>
    </row>
    <row r="3" ht="36" customHeight="1">
      <c r="A3" s="24" t="inlineStr">
        <is>
          <t>UC-ID</t>
        </is>
      </c>
      <c r="B3" s="24" t="inlineStr">
        <is>
          <t>Outcome-led use case</t>
        </is>
      </c>
      <c r="C3" s="24" t="inlineStr">
        <is>
          <t>Service / workflow</t>
        </is>
      </c>
      <c r="D3" s="24" t="inlineStr">
        <is>
          <t>Service Owner</t>
        </is>
      </c>
      <c r="E3" s="24" t="inlineStr">
        <is>
          <t>Canonical AIG-INV-03 / source ref</t>
        </is>
      </c>
      <c r="F3" s="24" t="inlineStr">
        <is>
          <t>AIR-ID (only if issued)</t>
        </is>
      </c>
      <c r="G3" s="24" t="inlineStr">
        <is>
          <t>Confidence</t>
        </is>
      </c>
      <c r="H3" s="24" t="inlineStr">
        <is>
          <t>Verified on</t>
        </is>
      </c>
      <c r="I3" s="24" t="inlineStr">
        <is>
          <t>State</t>
        </is>
      </c>
      <c r="J3" s="24" t="inlineStr">
        <is>
          <t>Row check</t>
        </is>
      </c>
      <c r="K3" s="24" t="inlineStr">
        <is>
          <t>Use-specific decision / minutes ref (pointer only)</t>
        </is>
      </c>
      <c r="L3" s="24" t="inlineStr">
        <is>
          <t>UC-specific monitoring ref (pointer only)</t>
        </is>
      </c>
      <c r="M3" s="24" t="inlineStr">
        <is>
          <t>Index role (descriptive; not approval)</t>
        </is>
      </c>
    </row>
    <row r="4">
      <c r="A4" s="25" t="n"/>
      <c r="B4" s="25" t="n"/>
      <c r="C4" s="25" t="n"/>
      <c r="D4" s="25" t="n"/>
      <c r="E4" s="25" t="n"/>
      <c r="F4" s="25" t="n"/>
      <c r="G4" s="25" t="n"/>
      <c r="H4" s="26" t="n"/>
      <c r="I4" s="25" t="n"/>
      <c r="J4" s="25">
        <f>IF(COUNTA(A4:I4)=0,"",IF(A4="","UC-ID missing",IF(COUNTIF($A$4:$A$253,A4)&gt;1,"Duplicate UC-ID",IF(OR(B4="",D4="",E4=""),"Use/owner/source missing",IF(AND(F4&lt;&gt;"",COUNTIF('System map'!$A$4:$A$203,F4)&lt;&gt;1),"AIR-ID not reconciled in map",IF(AND(I4="Confirmed",OR(H4="",NOT(ISNUMBER(H4)),G4="",G4="Unknown",G4="Low")),"Confirmed use lacks verification",IF(AND(I4="Confirmed",H4&gt;TODAY()),"Verified-on date is in the future","OK — verify source")))))))</f>
        <v/>
      </c>
      <c r="K4" s="25" t="n"/>
      <c r="L4" s="25" t="n"/>
      <c r="M4" s="25" t="n"/>
    </row>
    <row r="5">
      <c r="A5" s="27" t="n"/>
      <c r="B5" s="27" t="n"/>
      <c r="C5" s="27" t="n"/>
      <c r="D5" s="27" t="n"/>
      <c r="E5" s="27" t="n"/>
      <c r="F5" s="27" t="n"/>
      <c r="G5" s="27" t="n"/>
      <c r="H5" s="28" t="n"/>
      <c r="I5" s="27" t="n"/>
      <c r="J5" s="27">
        <f>IF(COUNTA(A5:I5)=0,"",IF(A5="","UC-ID missing",IF(COUNTIF($A$4:$A$253,A5)&gt;1,"Duplicate UC-ID",IF(OR(B5="",D5="",E5=""),"Use/owner/source missing",IF(AND(F5&lt;&gt;"",COUNTIF('System map'!$A$4:$A$203,F5)&lt;&gt;1),"AIR-ID not reconciled in map",IF(AND(I5="Confirmed",OR(H5="",NOT(ISNUMBER(H5)),G5="",G5="Unknown",G5="Low")),"Confirmed use lacks verification",IF(AND(I5="Confirmed",H5&gt;TODAY()),"Verified-on date is in the future","OK — verify source")))))))</f>
        <v/>
      </c>
      <c r="K5" s="17" t="n"/>
      <c r="L5" s="17" t="n"/>
      <c r="M5" s="17" t="n"/>
    </row>
    <row r="6">
      <c r="A6" s="25" t="n"/>
      <c r="B6" s="25" t="n"/>
      <c r="C6" s="25" t="n"/>
      <c r="D6" s="25" t="n"/>
      <c r="E6" s="25" t="n"/>
      <c r="F6" s="25" t="n"/>
      <c r="G6" s="25" t="n"/>
      <c r="H6" s="26" t="n"/>
      <c r="I6" s="25" t="n"/>
      <c r="J6" s="25">
        <f>IF(COUNTA(A6:I6)=0,"",IF(A6="","UC-ID missing",IF(COUNTIF($A$4:$A$253,A6)&gt;1,"Duplicate UC-ID",IF(OR(B6="",D6="",E6=""),"Use/owner/source missing",IF(AND(F6&lt;&gt;"",COUNTIF('System map'!$A$4:$A$203,F6)&lt;&gt;1),"AIR-ID not reconciled in map",IF(AND(I6="Confirmed",OR(H6="",NOT(ISNUMBER(H6)),G6="",G6="Unknown",G6="Low")),"Confirmed use lacks verification",IF(AND(I6="Confirmed",H6&gt;TODAY()),"Verified-on date is in the future","OK — verify source")))))))</f>
        <v/>
      </c>
      <c r="K6" s="17" t="n"/>
      <c r="L6" s="17" t="n"/>
      <c r="M6" s="17" t="n"/>
    </row>
    <row r="7">
      <c r="A7" s="27" t="n"/>
      <c r="B7" s="27" t="n"/>
      <c r="C7" s="27" t="n"/>
      <c r="D7" s="27" t="n"/>
      <c r="E7" s="27" t="n"/>
      <c r="F7" s="27" t="n"/>
      <c r="G7" s="27" t="n"/>
      <c r="H7" s="28" t="n"/>
      <c r="I7" s="27" t="n"/>
      <c r="J7" s="27">
        <f>IF(COUNTA(A7:I7)=0,"",IF(A7="","UC-ID missing",IF(COUNTIF($A$4:$A$253,A7)&gt;1,"Duplicate UC-ID",IF(OR(B7="",D7="",E7=""),"Use/owner/source missing",IF(AND(F7&lt;&gt;"",COUNTIF('System map'!$A$4:$A$203,F7)&lt;&gt;1),"AIR-ID not reconciled in map",IF(AND(I7="Confirmed",OR(H7="",NOT(ISNUMBER(H7)),G7="",G7="Unknown",G7="Low")),"Confirmed use lacks verification",IF(AND(I7="Confirmed",H7&gt;TODAY()),"Verified-on date is in the future","OK — verify source")))))))</f>
        <v/>
      </c>
      <c r="K7" s="17" t="n"/>
      <c r="L7" s="17" t="n"/>
      <c r="M7" s="17" t="n"/>
    </row>
    <row r="8">
      <c r="A8" s="25" t="n"/>
      <c r="B8" s="25" t="n"/>
      <c r="C8" s="25" t="n"/>
      <c r="D8" s="25" t="n"/>
      <c r="E8" s="25" t="n"/>
      <c r="F8" s="25" t="n"/>
      <c r="G8" s="25" t="n"/>
      <c r="H8" s="26" t="n"/>
      <c r="I8" s="25" t="n"/>
      <c r="J8" s="25">
        <f>IF(COUNTA(A8:I8)=0,"",IF(A8="","UC-ID missing",IF(COUNTIF($A$4:$A$253,A8)&gt;1,"Duplicate UC-ID",IF(OR(B8="",D8="",E8=""),"Use/owner/source missing",IF(AND(F8&lt;&gt;"",COUNTIF('System map'!$A$4:$A$203,F8)&lt;&gt;1),"AIR-ID not reconciled in map",IF(AND(I8="Confirmed",OR(H8="",NOT(ISNUMBER(H8)),G8="",G8="Unknown",G8="Low")),"Confirmed use lacks verification",IF(AND(I8="Confirmed",H8&gt;TODAY()),"Verified-on date is in the future","OK — verify source")))))))</f>
        <v/>
      </c>
      <c r="K8" s="17" t="n"/>
      <c r="L8" s="17" t="n"/>
      <c r="M8" s="17" t="n"/>
    </row>
    <row r="9">
      <c r="A9" s="27" t="n"/>
      <c r="B9" s="27" t="n"/>
      <c r="C9" s="27" t="n"/>
      <c r="D9" s="27" t="n"/>
      <c r="E9" s="27" t="n"/>
      <c r="F9" s="27" t="n"/>
      <c r="G9" s="27" t="n"/>
      <c r="H9" s="28" t="n"/>
      <c r="I9" s="27" t="n"/>
      <c r="J9" s="27">
        <f>IF(COUNTA(A9:I9)=0,"",IF(A9="","UC-ID missing",IF(COUNTIF($A$4:$A$253,A9)&gt;1,"Duplicate UC-ID",IF(OR(B9="",D9="",E9=""),"Use/owner/source missing",IF(AND(F9&lt;&gt;"",COUNTIF('System map'!$A$4:$A$203,F9)&lt;&gt;1),"AIR-ID not reconciled in map",IF(AND(I9="Confirmed",OR(H9="",NOT(ISNUMBER(H9)),G9="",G9="Unknown",G9="Low")),"Confirmed use lacks verification",IF(AND(I9="Confirmed",H9&gt;TODAY()),"Verified-on date is in the future","OK — verify source")))))))</f>
        <v/>
      </c>
      <c r="K9" s="17" t="n"/>
      <c r="L9" s="17" t="n"/>
      <c r="M9" s="17" t="n"/>
    </row>
    <row r="10">
      <c r="A10" s="25" t="n"/>
      <c r="B10" s="25" t="n"/>
      <c r="C10" s="25" t="n"/>
      <c r="D10" s="25" t="n"/>
      <c r="E10" s="25" t="n"/>
      <c r="F10" s="25" t="n"/>
      <c r="G10" s="25" t="n"/>
      <c r="H10" s="26" t="n"/>
      <c r="I10" s="25" t="n"/>
      <c r="J10" s="25">
        <f>IF(COUNTA(A10:I10)=0,"",IF(A10="","UC-ID missing",IF(COUNTIF($A$4:$A$253,A10)&gt;1,"Duplicate UC-ID",IF(OR(B10="",D10="",E10=""),"Use/owner/source missing",IF(AND(F10&lt;&gt;"",COUNTIF('System map'!$A$4:$A$203,F10)&lt;&gt;1),"AIR-ID not reconciled in map",IF(AND(I10="Confirmed",OR(H10="",NOT(ISNUMBER(H10)),G10="",G10="Unknown",G10="Low")),"Confirmed use lacks verification",IF(AND(I10="Confirmed",H10&gt;TODAY()),"Verified-on date is in the future","OK — verify source")))))))</f>
        <v/>
      </c>
      <c r="K10" s="17" t="n"/>
      <c r="L10" s="17" t="n"/>
      <c r="M10" s="1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8" t="n"/>
      <c r="I11" s="27" t="n"/>
      <c r="J11" s="27">
        <f>IF(COUNTA(A11:I11)=0,"",IF(A11="","UC-ID missing",IF(COUNTIF($A$4:$A$253,A11)&gt;1,"Duplicate UC-ID",IF(OR(B11="",D11="",E11=""),"Use/owner/source missing",IF(AND(F11&lt;&gt;"",COUNTIF('System map'!$A$4:$A$203,F11)&lt;&gt;1),"AIR-ID not reconciled in map",IF(AND(I11="Confirmed",OR(H11="",NOT(ISNUMBER(H11)),G11="",G11="Unknown",G11="Low")),"Confirmed use lacks verification",IF(AND(I11="Confirmed",H11&gt;TODAY()),"Verified-on date is in the future","OK — verify source")))))))</f>
        <v/>
      </c>
      <c r="K11" s="17" t="n"/>
      <c r="L11" s="17" t="n"/>
      <c r="M11" s="17" t="n"/>
    </row>
    <row r="12">
      <c r="A12" s="25" t="n"/>
      <c r="B12" s="25" t="n"/>
      <c r="C12" s="25" t="n"/>
      <c r="D12" s="25" t="n"/>
      <c r="E12" s="25" t="n"/>
      <c r="F12" s="25" t="n"/>
      <c r="G12" s="25" t="n"/>
      <c r="H12" s="26" t="n"/>
      <c r="I12" s="25" t="n"/>
      <c r="J12" s="25">
        <f>IF(COUNTA(A12:I12)=0,"",IF(A12="","UC-ID missing",IF(COUNTIF($A$4:$A$253,A12)&gt;1,"Duplicate UC-ID",IF(OR(B12="",D12="",E12=""),"Use/owner/source missing",IF(AND(F12&lt;&gt;"",COUNTIF('System map'!$A$4:$A$203,F12)&lt;&gt;1),"AIR-ID not reconciled in map",IF(AND(I12="Confirmed",OR(H12="",NOT(ISNUMBER(H12)),G12="",G12="Unknown",G12="Low")),"Confirmed use lacks verification",IF(AND(I12="Confirmed",H12&gt;TODAY()),"Verified-on date is in the future","OK — verify source")))))))</f>
        <v/>
      </c>
      <c r="K12" s="17" t="n"/>
      <c r="L12" s="17" t="n"/>
      <c r="M12" s="1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8" t="n"/>
      <c r="I13" s="27" t="n"/>
      <c r="J13" s="27">
        <f>IF(COUNTA(A13:I13)=0,"",IF(A13="","UC-ID missing",IF(COUNTIF($A$4:$A$253,A13)&gt;1,"Duplicate UC-ID",IF(OR(B13="",D13="",E13=""),"Use/owner/source missing",IF(AND(F13&lt;&gt;"",COUNTIF('System map'!$A$4:$A$203,F13)&lt;&gt;1),"AIR-ID not reconciled in map",IF(AND(I13="Confirmed",OR(H13="",NOT(ISNUMBER(H13)),G13="",G13="Unknown",G13="Low")),"Confirmed use lacks verification",IF(AND(I13="Confirmed",H13&gt;TODAY()),"Verified-on date is in the future","OK — verify source")))))))</f>
        <v/>
      </c>
      <c r="K13" s="17" t="n"/>
      <c r="L13" s="17" t="n"/>
      <c r="M13" s="17" t="n"/>
    </row>
    <row r="14">
      <c r="A14" s="25" t="n"/>
      <c r="B14" s="25" t="n"/>
      <c r="C14" s="25" t="n"/>
      <c r="D14" s="25" t="n"/>
      <c r="E14" s="25" t="n"/>
      <c r="F14" s="25" t="n"/>
      <c r="G14" s="25" t="n"/>
      <c r="H14" s="26" t="n"/>
      <c r="I14" s="25" t="n"/>
      <c r="J14" s="25">
        <f>IF(COUNTA(A14:I14)=0,"",IF(A14="","UC-ID missing",IF(COUNTIF($A$4:$A$253,A14)&gt;1,"Duplicate UC-ID",IF(OR(B14="",D14="",E14=""),"Use/owner/source missing",IF(AND(F14&lt;&gt;"",COUNTIF('System map'!$A$4:$A$203,F14)&lt;&gt;1),"AIR-ID not reconciled in map",IF(AND(I14="Confirmed",OR(H14="",NOT(ISNUMBER(H14)),G14="",G14="Unknown",G14="Low")),"Confirmed use lacks verification",IF(AND(I14="Confirmed",H14&gt;TODAY()),"Verified-on date is in the future","OK — verify source")))))))</f>
        <v/>
      </c>
      <c r="K14" s="17" t="n"/>
      <c r="L14" s="17" t="n"/>
      <c r="M14" s="1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8" t="n"/>
      <c r="I15" s="27" t="n"/>
      <c r="J15" s="27">
        <f>IF(COUNTA(A15:I15)=0,"",IF(A15="","UC-ID missing",IF(COUNTIF($A$4:$A$253,A15)&gt;1,"Duplicate UC-ID",IF(OR(B15="",D15="",E15=""),"Use/owner/source missing",IF(AND(F15&lt;&gt;"",COUNTIF('System map'!$A$4:$A$203,F15)&lt;&gt;1),"AIR-ID not reconciled in map",IF(AND(I15="Confirmed",OR(H15="",NOT(ISNUMBER(H15)),G15="",G15="Unknown",G15="Low")),"Confirmed use lacks verification",IF(AND(I15="Confirmed",H15&gt;TODAY()),"Verified-on date is in the future","OK — verify source")))))))</f>
        <v/>
      </c>
      <c r="K15" s="17" t="n"/>
      <c r="L15" s="17" t="n"/>
      <c r="M15" s="17" t="n"/>
    </row>
    <row r="16">
      <c r="A16" s="25" t="n"/>
      <c r="B16" s="25" t="n"/>
      <c r="C16" s="25" t="n"/>
      <c r="D16" s="25" t="n"/>
      <c r="E16" s="25" t="n"/>
      <c r="F16" s="25" t="n"/>
      <c r="G16" s="25" t="n"/>
      <c r="H16" s="26" t="n"/>
      <c r="I16" s="25" t="n"/>
      <c r="J16" s="25">
        <f>IF(COUNTA(A16:I16)=0,"",IF(A16="","UC-ID missing",IF(COUNTIF($A$4:$A$253,A16)&gt;1,"Duplicate UC-ID",IF(OR(B16="",D16="",E16=""),"Use/owner/source missing",IF(AND(F16&lt;&gt;"",COUNTIF('System map'!$A$4:$A$203,F16)&lt;&gt;1),"AIR-ID not reconciled in map",IF(AND(I16="Confirmed",OR(H16="",NOT(ISNUMBER(H16)),G16="",G16="Unknown",G16="Low")),"Confirmed use lacks verification",IF(AND(I16="Confirmed",H16&gt;TODAY()),"Verified-on date is in the future","OK — verify source")))))))</f>
        <v/>
      </c>
      <c r="K16" s="17" t="n"/>
      <c r="L16" s="17" t="n"/>
      <c r="M16" s="1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8" t="n"/>
      <c r="I17" s="27" t="n"/>
      <c r="J17" s="27">
        <f>IF(COUNTA(A17:I17)=0,"",IF(A17="","UC-ID missing",IF(COUNTIF($A$4:$A$253,A17)&gt;1,"Duplicate UC-ID",IF(OR(B17="",D17="",E17=""),"Use/owner/source missing",IF(AND(F17&lt;&gt;"",COUNTIF('System map'!$A$4:$A$203,F17)&lt;&gt;1),"AIR-ID not reconciled in map",IF(AND(I17="Confirmed",OR(H17="",NOT(ISNUMBER(H17)),G17="",G17="Unknown",G17="Low")),"Confirmed use lacks verification",IF(AND(I17="Confirmed",H17&gt;TODAY()),"Verified-on date is in the future","OK — verify source")))))))</f>
        <v/>
      </c>
      <c r="K17" s="17" t="n"/>
      <c r="L17" s="17" t="n"/>
      <c r="M17" s="17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6" t="n"/>
      <c r="I18" s="25" t="n"/>
      <c r="J18" s="25">
        <f>IF(COUNTA(A18:I18)=0,"",IF(A18="","UC-ID missing",IF(COUNTIF($A$4:$A$253,A18)&gt;1,"Duplicate UC-ID",IF(OR(B18="",D18="",E18=""),"Use/owner/source missing",IF(AND(F18&lt;&gt;"",COUNTIF('System map'!$A$4:$A$203,F18)&lt;&gt;1),"AIR-ID not reconciled in map",IF(AND(I18="Confirmed",OR(H18="",NOT(ISNUMBER(H18)),G18="",G18="Unknown",G18="Low")),"Confirmed use lacks verification",IF(AND(I18="Confirmed",H18&gt;TODAY()),"Verified-on date is in the future","OK — verify source")))))))</f>
        <v/>
      </c>
      <c r="K18" s="17" t="n"/>
      <c r="L18" s="17" t="n"/>
      <c r="M18" s="1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8" t="n"/>
      <c r="I19" s="27" t="n"/>
      <c r="J19" s="27">
        <f>IF(COUNTA(A19:I19)=0,"",IF(A19="","UC-ID missing",IF(COUNTIF($A$4:$A$253,A19)&gt;1,"Duplicate UC-ID",IF(OR(B19="",D19="",E19=""),"Use/owner/source missing",IF(AND(F19&lt;&gt;"",COUNTIF('System map'!$A$4:$A$203,F19)&lt;&gt;1),"AIR-ID not reconciled in map",IF(AND(I19="Confirmed",OR(H19="",NOT(ISNUMBER(H19)),G19="",G19="Unknown",G19="Low")),"Confirmed use lacks verification",IF(AND(I19="Confirmed",H19&gt;TODAY()),"Verified-on date is in the future","OK — verify source")))))))</f>
        <v/>
      </c>
      <c r="K19" s="17" t="n"/>
      <c r="L19" s="17" t="n"/>
      <c r="M19" s="17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6" t="n"/>
      <c r="I20" s="25" t="n"/>
      <c r="J20" s="25">
        <f>IF(COUNTA(A20:I20)=0,"",IF(A20="","UC-ID missing",IF(COUNTIF($A$4:$A$253,A20)&gt;1,"Duplicate UC-ID",IF(OR(B20="",D20="",E20=""),"Use/owner/source missing",IF(AND(F20&lt;&gt;"",COUNTIF('System map'!$A$4:$A$203,F20)&lt;&gt;1),"AIR-ID not reconciled in map",IF(AND(I20="Confirmed",OR(H20="",NOT(ISNUMBER(H20)),G20="",G20="Unknown",G20="Low")),"Confirmed use lacks verification",IF(AND(I20="Confirmed",H20&gt;TODAY()),"Verified-on date is in the future","OK — verify source")))))))</f>
        <v/>
      </c>
      <c r="K20" s="17" t="n"/>
      <c r="L20" s="17" t="n"/>
      <c r="M20" s="1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8" t="n"/>
      <c r="I21" s="27" t="n"/>
      <c r="J21" s="27">
        <f>IF(COUNTA(A21:I21)=0,"",IF(A21="","UC-ID missing",IF(COUNTIF($A$4:$A$253,A21)&gt;1,"Duplicate UC-ID",IF(OR(B21="",D21="",E21=""),"Use/owner/source missing",IF(AND(F21&lt;&gt;"",COUNTIF('System map'!$A$4:$A$203,F21)&lt;&gt;1),"AIR-ID not reconciled in map",IF(AND(I21="Confirmed",OR(H21="",NOT(ISNUMBER(H21)),G21="",G21="Unknown",G21="Low")),"Confirmed use lacks verification",IF(AND(I21="Confirmed",H21&gt;TODAY()),"Verified-on date is in the future","OK — verify source")))))))</f>
        <v/>
      </c>
      <c r="K21" s="17" t="n"/>
      <c r="L21" s="17" t="n"/>
      <c r="M21" s="17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6" t="n"/>
      <c r="I22" s="25" t="n"/>
      <c r="J22" s="25">
        <f>IF(COUNTA(A22:I22)=0,"",IF(A22="","UC-ID missing",IF(COUNTIF($A$4:$A$253,A22)&gt;1,"Duplicate UC-ID",IF(OR(B22="",D22="",E22=""),"Use/owner/source missing",IF(AND(F22&lt;&gt;"",COUNTIF('System map'!$A$4:$A$203,F22)&lt;&gt;1),"AIR-ID not reconciled in map",IF(AND(I22="Confirmed",OR(H22="",NOT(ISNUMBER(H22)),G22="",G22="Unknown",G22="Low")),"Confirmed use lacks verification",IF(AND(I22="Confirmed",H22&gt;TODAY()),"Verified-on date is in the future","OK — verify source")))))))</f>
        <v/>
      </c>
      <c r="K22" s="17" t="n"/>
      <c r="L22" s="17" t="n"/>
      <c r="M22" s="1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8" t="n"/>
      <c r="I23" s="27" t="n"/>
      <c r="J23" s="27">
        <f>IF(COUNTA(A23:I23)=0,"",IF(A23="","UC-ID missing",IF(COUNTIF($A$4:$A$253,A23)&gt;1,"Duplicate UC-ID",IF(OR(B23="",D23="",E23=""),"Use/owner/source missing",IF(AND(F23&lt;&gt;"",COUNTIF('System map'!$A$4:$A$203,F23)&lt;&gt;1),"AIR-ID not reconciled in map",IF(AND(I23="Confirmed",OR(H23="",NOT(ISNUMBER(H23)),G23="",G23="Unknown",G23="Low")),"Confirmed use lacks verification",IF(AND(I23="Confirmed",H23&gt;TODAY()),"Verified-on date is in the future","OK — verify source")))))))</f>
        <v/>
      </c>
      <c r="K23" s="17" t="n"/>
      <c r="L23" s="17" t="n"/>
      <c r="M23" s="17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6" t="n"/>
      <c r="I24" s="25" t="n"/>
      <c r="J24" s="25">
        <f>IF(COUNTA(A24:I24)=0,"",IF(A24="","UC-ID missing",IF(COUNTIF($A$4:$A$253,A24)&gt;1,"Duplicate UC-ID",IF(OR(B24="",D24="",E24=""),"Use/owner/source missing",IF(AND(F24&lt;&gt;"",COUNTIF('System map'!$A$4:$A$203,F24)&lt;&gt;1),"AIR-ID not reconciled in map",IF(AND(I24="Confirmed",OR(H24="",NOT(ISNUMBER(H24)),G24="",G24="Unknown",G24="Low")),"Confirmed use lacks verification",IF(AND(I24="Confirmed",H24&gt;TODAY()),"Verified-on date is in the future","OK — verify source")))))))</f>
        <v/>
      </c>
      <c r="K24" s="17" t="n"/>
      <c r="L24" s="17" t="n"/>
      <c r="M24" s="1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8" t="n"/>
      <c r="I25" s="27" t="n"/>
      <c r="J25" s="27">
        <f>IF(COUNTA(A25:I25)=0,"",IF(A25="","UC-ID missing",IF(COUNTIF($A$4:$A$253,A25)&gt;1,"Duplicate UC-ID",IF(OR(B25="",D25="",E25=""),"Use/owner/source missing",IF(AND(F25&lt;&gt;"",COUNTIF('System map'!$A$4:$A$203,F25)&lt;&gt;1),"AIR-ID not reconciled in map",IF(AND(I25="Confirmed",OR(H25="",NOT(ISNUMBER(H25)),G25="",G25="Unknown",G25="Low")),"Confirmed use lacks verification",IF(AND(I25="Confirmed",H25&gt;TODAY()),"Verified-on date is in the future","OK — verify source")))))))</f>
        <v/>
      </c>
      <c r="K25" s="17" t="n"/>
      <c r="L25" s="17" t="n"/>
      <c r="M25" s="17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6" t="n"/>
      <c r="I26" s="25" t="n"/>
      <c r="J26" s="25">
        <f>IF(COUNTA(A26:I26)=0,"",IF(A26="","UC-ID missing",IF(COUNTIF($A$4:$A$253,A26)&gt;1,"Duplicate UC-ID",IF(OR(B26="",D26="",E26=""),"Use/owner/source missing",IF(AND(F26&lt;&gt;"",COUNTIF('System map'!$A$4:$A$203,F26)&lt;&gt;1),"AIR-ID not reconciled in map",IF(AND(I26="Confirmed",OR(H26="",NOT(ISNUMBER(H26)),G26="",G26="Unknown",G26="Low")),"Confirmed use lacks verification",IF(AND(I26="Confirmed",H26&gt;TODAY()),"Verified-on date is in the future","OK — verify source")))))))</f>
        <v/>
      </c>
      <c r="K26" s="17" t="n"/>
      <c r="L26" s="17" t="n"/>
      <c r="M26" s="1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8" t="n"/>
      <c r="I27" s="27" t="n"/>
      <c r="J27" s="27">
        <f>IF(COUNTA(A27:I27)=0,"",IF(A27="","UC-ID missing",IF(COUNTIF($A$4:$A$253,A27)&gt;1,"Duplicate UC-ID",IF(OR(B27="",D27="",E27=""),"Use/owner/source missing",IF(AND(F27&lt;&gt;"",COUNTIF('System map'!$A$4:$A$203,F27)&lt;&gt;1),"AIR-ID not reconciled in map",IF(AND(I27="Confirmed",OR(H27="",NOT(ISNUMBER(H27)),G27="",G27="Unknown",G27="Low")),"Confirmed use lacks verification",IF(AND(I27="Confirmed",H27&gt;TODAY()),"Verified-on date is in the future","OK — verify source")))))))</f>
        <v/>
      </c>
      <c r="K27" s="17" t="n"/>
      <c r="L27" s="17" t="n"/>
      <c r="M27" s="17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6" t="n"/>
      <c r="I28" s="25" t="n"/>
      <c r="J28" s="25">
        <f>IF(COUNTA(A28:I28)=0,"",IF(A28="","UC-ID missing",IF(COUNTIF($A$4:$A$253,A28)&gt;1,"Duplicate UC-ID",IF(OR(B28="",D28="",E28=""),"Use/owner/source missing",IF(AND(F28&lt;&gt;"",COUNTIF('System map'!$A$4:$A$203,F28)&lt;&gt;1),"AIR-ID not reconciled in map",IF(AND(I28="Confirmed",OR(H28="",NOT(ISNUMBER(H28)),G28="",G28="Unknown",G28="Low")),"Confirmed use lacks verification",IF(AND(I28="Confirmed",H28&gt;TODAY()),"Verified-on date is in the future","OK — verify source")))))))</f>
        <v/>
      </c>
      <c r="K28" s="17" t="n"/>
      <c r="L28" s="17" t="n"/>
      <c r="M28" s="1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8" t="n"/>
      <c r="I29" s="27" t="n"/>
      <c r="J29" s="27">
        <f>IF(COUNTA(A29:I29)=0,"",IF(A29="","UC-ID missing",IF(COUNTIF($A$4:$A$253,A29)&gt;1,"Duplicate UC-ID",IF(OR(B29="",D29="",E29=""),"Use/owner/source missing",IF(AND(F29&lt;&gt;"",COUNTIF('System map'!$A$4:$A$203,F29)&lt;&gt;1),"AIR-ID not reconciled in map",IF(AND(I29="Confirmed",OR(H29="",NOT(ISNUMBER(H29)),G29="",G29="Unknown",G29="Low")),"Confirmed use lacks verification",IF(AND(I29="Confirmed",H29&gt;TODAY()),"Verified-on date is in the future","OK — verify source")))))))</f>
        <v/>
      </c>
      <c r="K29" s="17" t="n"/>
      <c r="L29" s="17" t="n"/>
      <c r="M29" s="17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6" t="n"/>
      <c r="I30" s="25" t="n"/>
      <c r="J30" s="25">
        <f>IF(COUNTA(A30:I30)=0,"",IF(A30="","UC-ID missing",IF(COUNTIF($A$4:$A$253,A30)&gt;1,"Duplicate UC-ID",IF(OR(B30="",D30="",E30=""),"Use/owner/source missing",IF(AND(F30&lt;&gt;"",COUNTIF('System map'!$A$4:$A$203,F30)&lt;&gt;1),"AIR-ID not reconciled in map",IF(AND(I30="Confirmed",OR(H30="",NOT(ISNUMBER(H30)),G30="",G30="Unknown",G30="Low")),"Confirmed use lacks verification",IF(AND(I30="Confirmed",H30&gt;TODAY()),"Verified-on date is in the future","OK — verify source")))))))</f>
        <v/>
      </c>
      <c r="K30" s="17" t="n"/>
      <c r="L30" s="17" t="n"/>
      <c r="M30" s="1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8" t="n"/>
      <c r="I31" s="27" t="n"/>
      <c r="J31" s="27">
        <f>IF(COUNTA(A31:I31)=0,"",IF(A31="","UC-ID missing",IF(COUNTIF($A$4:$A$253,A31)&gt;1,"Duplicate UC-ID",IF(OR(B31="",D31="",E31=""),"Use/owner/source missing",IF(AND(F31&lt;&gt;"",COUNTIF('System map'!$A$4:$A$203,F31)&lt;&gt;1),"AIR-ID not reconciled in map",IF(AND(I31="Confirmed",OR(H31="",NOT(ISNUMBER(H31)),G31="",G31="Unknown",G31="Low")),"Confirmed use lacks verification",IF(AND(I31="Confirmed",H31&gt;TODAY()),"Verified-on date is in the future","OK — verify source")))))))</f>
        <v/>
      </c>
      <c r="K31" s="17" t="n"/>
      <c r="L31" s="17" t="n"/>
      <c r="M31" s="17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6" t="n"/>
      <c r="I32" s="25" t="n"/>
      <c r="J32" s="25">
        <f>IF(COUNTA(A32:I32)=0,"",IF(A32="","UC-ID missing",IF(COUNTIF($A$4:$A$253,A32)&gt;1,"Duplicate UC-ID",IF(OR(B32="",D32="",E32=""),"Use/owner/source missing",IF(AND(F32&lt;&gt;"",COUNTIF('System map'!$A$4:$A$203,F32)&lt;&gt;1),"AIR-ID not reconciled in map",IF(AND(I32="Confirmed",OR(H32="",NOT(ISNUMBER(H32)),G32="",G32="Unknown",G32="Low")),"Confirmed use lacks verification",IF(AND(I32="Confirmed",H32&gt;TODAY()),"Verified-on date is in the future","OK — verify source")))))))</f>
        <v/>
      </c>
      <c r="K32" s="17" t="n"/>
      <c r="L32" s="17" t="n"/>
      <c r="M32" s="1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8" t="n"/>
      <c r="I33" s="27" t="n"/>
      <c r="J33" s="27">
        <f>IF(COUNTA(A33:I33)=0,"",IF(A33="","UC-ID missing",IF(COUNTIF($A$4:$A$253,A33)&gt;1,"Duplicate UC-ID",IF(OR(B33="",D33="",E33=""),"Use/owner/source missing",IF(AND(F33&lt;&gt;"",COUNTIF('System map'!$A$4:$A$203,F33)&lt;&gt;1),"AIR-ID not reconciled in map",IF(AND(I33="Confirmed",OR(H33="",NOT(ISNUMBER(H33)),G33="",G33="Unknown",G33="Low")),"Confirmed use lacks verification",IF(AND(I33="Confirmed",H33&gt;TODAY()),"Verified-on date is in the future","OK — verify source")))))))</f>
        <v/>
      </c>
      <c r="K33" s="17" t="n"/>
      <c r="L33" s="17" t="n"/>
      <c r="M33" s="17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6" t="n"/>
      <c r="I34" s="25" t="n"/>
      <c r="J34" s="25">
        <f>IF(COUNTA(A34:I34)=0,"",IF(A34="","UC-ID missing",IF(COUNTIF($A$4:$A$253,A34)&gt;1,"Duplicate UC-ID",IF(OR(B34="",D34="",E34=""),"Use/owner/source missing",IF(AND(F34&lt;&gt;"",COUNTIF('System map'!$A$4:$A$203,F34)&lt;&gt;1),"AIR-ID not reconciled in map",IF(AND(I34="Confirmed",OR(H34="",NOT(ISNUMBER(H34)),G34="",G34="Unknown",G34="Low")),"Confirmed use lacks verification",IF(AND(I34="Confirmed",H34&gt;TODAY()),"Verified-on date is in the future","OK — verify source")))))))</f>
        <v/>
      </c>
      <c r="K34" s="17" t="n"/>
      <c r="L34" s="17" t="n"/>
      <c r="M34" s="1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8" t="n"/>
      <c r="I35" s="27" t="n"/>
      <c r="J35" s="27">
        <f>IF(COUNTA(A35:I35)=0,"",IF(A35="","UC-ID missing",IF(COUNTIF($A$4:$A$253,A35)&gt;1,"Duplicate UC-ID",IF(OR(B35="",D35="",E35=""),"Use/owner/source missing",IF(AND(F35&lt;&gt;"",COUNTIF('System map'!$A$4:$A$203,F35)&lt;&gt;1),"AIR-ID not reconciled in map",IF(AND(I35="Confirmed",OR(H35="",NOT(ISNUMBER(H35)),G35="",G35="Unknown",G35="Low")),"Confirmed use lacks verification",IF(AND(I35="Confirmed",H35&gt;TODAY()),"Verified-on date is in the future","OK — verify source")))))))</f>
        <v/>
      </c>
      <c r="K35" s="17" t="n"/>
      <c r="L35" s="17" t="n"/>
      <c r="M35" s="17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6" t="n"/>
      <c r="I36" s="25" t="n"/>
      <c r="J36" s="25">
        <f>IF(COUNTA(A36:I36)=0,"",IF(A36="","UC-ID missing",IF(COUNTIF($A$4:$A$253,A36)&gt;1,"Duplicate UC-ID",IF(OR(B36="",D36="",E36=""),"Use/owner/source missing",IF(AND(F36&lt;&gt;"",COUNTIF('System map'!$A$4:$A$203,F36)&lt;&gt;1),"AIR-ID not reconciled in map",IF(AND(I36="Confirmed",OR(H36="",NOT(ISNUMBER(H36)),G36="",G36="Unknown",G36="Low")),"Confirmed use lacks verification",IF(AND(I36="Confirmed",H36&gt;TODAY()),"Verified-on date is in the future","OK — verify source")))))))</f>
        <v/>
      </c>
      <c r="K36" s="17" t="n"/>
      <c r="L36" s="17" t="n"/>
      <c r="M36" s="1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8" t="n"/>
      <c r="I37" s="27" t="n"/>
      <c r="J37" s="27">
        <f>IF(COUNTA(A37:I37)=0,"",IF(A37="","UC-ID missing",IF(COUNTIF($A$4:$A$253,A37)&gt;1,"Duplicate UC-ID",IF(OR(B37="",D37="",E37=""),"Use/owner/source missing",IF(AND(F37&lt;&gt;"",COUNTIF('System map'!$A$4:$A$203,F37)&lt;&gt;1),"AIR-ID not reconciled in map",IF(AND(I37="Confirmed",OR(H37="",NOT(ISNUMBER(H37)),G37="",G37="Unknown",G37="Low")),"Confirmed use lacks verification",IF(AND(I37="Confirmed",H37&gt;TODAY()),"Verified-on date is in the future","OK — verify source")))))))</f>
        <v/>
      </c>
      <c r="K37" s="17" t="n"/>
      <c r="L37" s="17" t="n"/>
      <c r="M37" s="17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6" t="n"/>
      <c r="I38" s="25" t="n"/>
      <c r="J38" s="25">
        <f>IF(COUNTA(A38:I38)=0,"",IF(A38="","UC-ID missing",IF(COUNTIF($A$4:$A$253,A38)&gt;1,"Duplicate UC-ID",IF(OR(B38="",D38="",E38=""),"Use/owner/source missing",IF(AND(F38&lt;&gt;"",COUNTIF('System map'!$A$4:$A$203,F38)&lt;&gt;1),"AIR-ID not reconciled in map",IF(AND(I38="Confirmed",OR(H38="",NOT(ISNUMBER(H38)),G38="",G38="Unknown",G38="Low")),"Confirmed use lacks verification",IF(AND(I38="Confirmed",H38&gt;TODAY()),"Verified-on date is in the future","OK — verify source")))))))</f>
        <v/>
      </c>
      <c r="K38" s="17" t="n"/>
      <c r="L38" s="17" t="n"/>
      <c r="M38" s="1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8" t="n"/>
      <c r="I39" s="27" t="n"/>
      <c r="J39" s="27">
        <f>IF(COUNTA(A39:I39)=0,"",IF(A39="","UC-ID missing",IF(COUNTIF($A$4:$A$253,A39)&gt;1,"Duplicate UC-ID",IF(OR(B39="",D39="",E39=""),"Use/owner/source missing",IF(AND(F39&lt;&gt;"",COUNTIF('System map'!$A$4:$A$203,F39)&lt;&gt;1),"AIR-ID not reconciled in map",IF(AND(I39="Confirmed",OR(H39="",NOT(ISNUMBER(H39)),G39="",G39="Unknown",G39="Low")),"Confirmed use lacks verification",IF(AND(I39="Confirmed",H39&gt;TODAY()),"Verified-on date is in the future","OK — verify source")))))))</f>
        <v/>
      </c>
      <c r="K39" s="17" t="n"/>
      <c r="L39" s="17" t="n"/>
      <c r="M39" s="17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6" t="n"/>
      <c r="I40" s="25" t="n"/>
      <c r="J40" s="25">
        <f>IF(COUNTA(A40:I40)=0,"",IF(A40="","UC-ID missing",IF(COUNTIF($A$4:$A$253,A40)&gt;1,"Duplicate UC-ID",IF(OR(B40="",D40="",E40=""),"Use/owner/source missing",IF(AND(F40&lt;&gt;"",COUNTIF('System map'!$A$4:$A$203,F40)&lt;&gt;1),"AIR-ID not reconciled in map",IF(AND(I40="Confirmed",OR(H40="",NOT(ISNUMBER(H40)),G40="",G40="Unknown",G40="Low")),"Confirmed use lacks verification",IF(AND(I40="Confirmed",H40&gt;TODAY()),"Verified-on date is in the future","OK — verify source")))))))</f>
        <v/>
      </c>
      <c r="K40" s="17" t="n"/>
      <c r="L40" s="17" t="n"/>
      <c r="M40" s="1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8" t="n"/>
      <c r="I41" s="27" t="n"/>
      <c r="J41" s="27">
        <f>IF(COUNTA(A41:I41)=0,"",IF(A41="","UC-ID missing",IF(COUNTIF($A$4:$A$253,A41)&gt;1,"Duplicate UC-ID",IF(OR(B41="",D41="",E41=""),"Use/owner/source missing",IF(AND(F41&lt;&gt;"",COUNTIF('System map'!$A$4:$A$203,F41)&lt;&gt;1),"AIR-ID not reconciled in map",IF(AND(I41="Confirmed",OR(H41="",NOT(ISNUMBER(H41)),G41="",G41="Unknown",G41="Low")),"Confirmed use lacks verification",IF(AND(I41="Confirmed",H41&gt;TODAY()),"Verified-on date is in the future","OK — verify source")))))))</f>
        <v/>
      </c>
      <c r="K41" s="17" t="n"/>
      <c r="L41" s="17" t="n"/>
      <c r="M41" s="17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6" t="n"/>
      <c r="I42" s="25" t="n"/>
      <c r="J42" s="25">
        <f>IF(COUNTA(A42:I42)=0,"",IF(A42="","UC-ID missing",IF(COUNTIF($A$4:$A$253,A42)&gt;1,"Duplicate UC-ID",IF(OR(B42="",D42="",E42=""),"Use/owner/source missing",IF(AND(F42&lt;&gt;"",COUNTIF('System map'!$A$4:$A$203,F42)&lt;&gt;1),"AIR-ID not reconciled in map",IF(AND(I42="Confirmed",OR(H42="",NOT(ISNUMBER(H42)),G42="",G42="Unknown",G42="Low")),"Confirmed use lacks verification",IF(AND(I42="Confirmed",H42&gt;TODAY()),"Verified-on date is in the future","OK — verify source")))))))</f>
        <v/>
      </c>
      <c r="K42" s="17" t="n"/>
      <c r="L42" s="17" t="n"/>
      <c r="M42" s="1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8" t="n"/>
      <c r="I43" s="27" t="n"/>
      <c r="J43" s="27">
        <f>IF(COUNTA(A43:I43)=0,"",IF(A43="","UC-ID missing",IF(COUNTIF($A$4:$A$253,A43)&gt;1,"Duplicate UC-ID",IF(OR(B43="",D43="",E43=""),"Use/owner/source missing",IF(AND(F43&lt;&gt;"",COUNTIF('System map'!$A$4:$A$203,F43)&lt;&gt;1),"AIR-ID not reconciled in map",IF(AND(I43="Confirmed",OR(H43="",NOT(ISNUMBER(H43)),G43="",G43="Unknown",G43="Low")),"Confirmed use lacks verification",IF(AND(I43="Confirmed",H43&gt;TODAY()),"Verified-on date is in the future","OK — verify source")))))))</f>
        <v/>
      </c>
      <c r="K43" s="17" t="n"/>
      <c r="L43" s="17" t="n"/>
      <c r="M43" s="17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6" t="n"/>
      <c r="I44" s="25" t="n"/>
      <c r="J44" s="25">
        <f>IF(COUNTA(A44:I44)=0,"",IF(A44="","UC-ID missing",IF(COUNTIF($A$4:$A$253,A44)&gt;1,"Duplicate UC-ID",IF(OR(B44="",D44="",E44=""),"Use/owner/source missing",IF(AND(F44&lt;&gt;"",COUNTIF('System map'!$A$4:$A$203,F44)&lt;&gt;1),"AIR-ID not reconciled in map",IF(AND(I44="Confirmed",OR(H44="",NOT(ISNUMBER(H44)),G44="",G44="Unknown",G44="Low")),"Confirmed use lacks verification",IF(AND(I44="Confirmed",H44&gt;TODAY()),"Verified-on date is in the future","OK — verify source")))))))</f>
        <v/>
      </c>
      <c r="K44" s="17" t="n"/>
      <c r="L44" s="17" t="n"/>
      <c r="M44" s="1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8" t="n"/>
      <c r="I45" s="27" t="n"/>
      <c r="J45" s="27">
        <f>IF(COUNTA(A45:I45)=0,"",IF(A45="","UC-ID missing",IF(COUNTIF($A$4:$A$253,A45)&gt;1,"Duplicate UC-ID",IF(OR(B45="",D45="",E45=""),"Use/owner/source missing",IF(AND(F45&lt;&gt;"",COUNTIF('System map'!$A$4:$A$203,F45)&lt;&gt;1),"AIR-ID not reconciled in map",IF(AND(I45="Confirmed",OR(H45="",NOT(ISNUMBER(H45)),G45="",G45="Unknown",G45="Low")),"Confirmed use lacks verification",IF(AND(I45="Confirmed",H45&gt;TODAY()),"Verified-on date is in the future","OK — verify source")))))))</f>
        <v/>
      </c>
      <c r="K45" s="17" t="n"/>
      <c r="L45" s="17" t="n"/>
      <c r="M45" s="17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6" t="n"/>
      <c r="I46" s="25" t="n"/>
      <c r="J46" s="25">
        <f>IF(COUNTA(A46:I46)=0,"",IF(A46="","UC-ID missing",IF(COUNTIF($A$4:$A$253,A46)&gt;1,"Duplicate UC-ID",IF(OR(B46="",D46="",E46=""),"Use/owner/source missing",IF(AND(F46&lt;&gt;"",COUNTIF('System map'!$A$4:$A$203,F46)&lt;&gt;1),"AIR-ID not reconciled in map",IF(AND(I46="Confirmed",OR(H46="",NOT(ISNUMBER(H46)),G46="",G46="Unknown",G46="Low")),"Confirmed use lacks verification",IF(AND(I46="Confirmed",H46&gt;TODAY()),"Verified-on date is in the future","OK — verify source")))))))</f>
        <v/>
      </c>
      <c r="K46" s="17" t="n"/>
      <c r="L46" s="17" t="n"/>
      <c r="M46" s="1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8" t="n"/>
      <c r="I47" s="27" t="n"/>
      <c r="J47" s="27">
        <f>IF(COUNTA(A47:I47)=0,"",IF(A47="","UC-ID missing",IF(COUNTIF($A$4:$A$253,A47)&gt;1,"Duplicate UC-ID",IF(OR(B47="",D47="",E47=""),"Use/owner/source missing",IF(AND(F47&lt;&gt;"",COUNTIF('System map'!$A$4:$A$203,F47)&lt;&gt;1),"AIR-ID not reconciled in map",IF(AND(I47="Confirmed",OR(H47="",NOT(ISNUMBER(H47)),G47="",G47="Unknown",G47="Low")),"Confirmed use lacks verification",IF(AND(I47="Confirmed",H47&gt;TODAY()),"Verified-on date is in the future","OK — verify source")))))))</f>
        <v/>
      </c>
      <c r="K47" s="17" t="n"/>
      <c r="L47" s="17" t="n"/>
      <c r="M47" s="17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6" t="n"/>
      <c r="I48" s="25" t="n"/>
      <c r="J48" s="25">
        <f>IF(COUNTA(A48:I48)=0,"",IF(A48="","UC-ID missing",IF(COUNTIF($A$4:$A$253,A48)&gt;1,"Duplicate UC-ID",IF(OR(B48="",D48="",E48=""),"Use/owner/source missing",IF(AND(F48&lt;&gt;"",COUNTIF('System map'!$A$4:$A$203,F48)&lt;&gt;1),"AIR-ID not reconciled in map",IF(AND(I48="Confirmed",OR(H48="",NOT(ISNUMBER(H48)),G48="",G48="Unknown",G48="Low")),"Confirmed use lacks verification",IF(AND(I48="Confirmed",H48&gt;TODAY()),"Verified-on date is in the future","OK — verify source")))))))</f>
        <v/>
      </c>
      <c r="K48" s="17" t="n"/>
      <c r="L48" s="17" t="n"/>
      <c r="M48" s="1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8" t="n"/>
      <c r="I49" s="27" t="n"/>
      <c r="J49" s="27">
        <f>IF(COUNTA(A49:I49)=0,"",IF(A49="","UC-ID missing",IF(COUNTIF($A$4:$A$253,A49)&gt;1,"Duplicate UC-ID",IF(OR(B49="",D49="",E49=""),"Use/owner/source missing",IF(AND(F49&lt;&gt;"",COUNTIF('System map'!$A$4:$A$203,F49)&lt;&gt;1),"AIR-ID not reconciled in map",IF(AND(I49="Confirmed",OR(H49="",NOT(ISNUMBER(H49)),G49="",G49="Unknown",G49="Low")),"Confirmed use lacks verification",IF(AND(I49="Confirmed",H49&gt;TODAY()),"Verified-on date is in the future","OK — verify source")))))))</f>
        <v/>
      </c>
      <c r="K49" s="17" t="n"/>
      <c r="L49" s="17" t="n"/>
      <c r="M49" s="17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6" t="n"/>
      <c r="I50" s="25" t="n"/>
      <c r="J50" s="25">
        <f>IF(COUNTA(A50:I50)=0,"",IF(A50="","UC-ID missing",IF(COUNTIF($A$4:$A$253,A50)&gt;1,"Duplicate UC-ID",IF(OR(B50="",D50="",E50=""),"Use/owner/source missing",IF(AND(F50&lt;&gt;"",COUNTIF('System map'!$A$4:$A$203,F50)&lt;&gt;1),"AIR-ID not reconciled in map",IF(AND(I50="Confirmed",OR(H50="",NOT(ISNUMBER(H50)),G50="",G50="Unknown",G50="Low")),"Confirmed use lacks verification",IF(AND(I50="Confirmed",H50&gt;TODAY()),"Verified-on date is in the future","OK — verify source")))))))</f>
        <v/>
      </c>
      <c r="K50" s="17" t="n"/>
      <c r="L50" s="17" t="n"/>
      <c r="M50" s="1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8" t="n"/>
      <c r="I51" s="27" t="n"/>
      <c r="J51" s="27">
        <f>IF(COUNTA(A51:I51)=0,"",IF(A51="","UC-ID missing",IF(COUNTIF($A$4:$A$253,A51)&gt;1,"Duplicate UC-ID",IF(OR(B51="",D51="",E51=""),"Use/owner/source missing",IF(AND(F51&lt;&gt;"",COUNTIF('System map'!$A$4:$A$203,F51)&lt;&gt;1),"AIR-ID not reconciled in map",IF(AND(I51="Confirmed",OR(H51="",NOT(ISNUMBER(H51)),G51="",G51="Unknown",G51="Low")),"Confirmed use lacks verification",IF(AND(I51="Confirmed",H51&gt;TODAY()),"Verified-on date is in the future","OK — verify source")))))))</f>
        <v/>
      </c>
      <c r="K51" s="17" t="n"/>
      <c r="L51" s="17" t="n"/>
      <c r="M51" s="17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6" t="n"/>
      <c r="I52" s="25" t="n"/>
      <c r="J52" s="25">
        <f>IF(COUNTA(A52:I52)=0,"",IF(A52="","UC-ID missing",IF(COUNTIF($A$4:$A$253,A52)&gt;1,"Duplicate UC-ID",IF(OR(B52="",D52="",E52=""),"Use/owner/source missing",IF(AND(F52&lt;&gt;"",COUNTIF('System map'!$A$4:$A$203,F52)&lt;&gt;1),"AIR-ID not reconciled in map",IF(AND(I52="Confirmed",OR(H52="",NOT(ISNUMBER(H52)),G52="",G52="Unknown",G52="Low")),"Confirmed use lacks verification",IF(AND(I52="Confirmed",H52&gt;TODAY()),"Verified-on date is in the future","OK — verify source")))))))</f>
        <v/>
      </c>
      <c r="K52" s="17" t="n"/>
      <c r="L52" s="17" t="n"/>
      <c r="M52" s="1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8" t="n"/>
      <c r="I53" s="27" t="n"/>
      <c r="J53" s="27">
        <f>IF(COUNTA(A53:I53)=0,"",IF(A53="","UC-ID missing",IF(COUNTIF($A$4:$A$253,A53)&gt;1,"Duplicate UC-ID",IF(OR(B53="",D53="",E53=""),"Use/owner/source missing",IF(AND(F53&lt;&gt;"",COUNTIF('System map'!$A$4:$A$203,F53)&lt;&gt;1),"AIR-ID not reconciled in map",IF(AND(I53="Confirmed",OR(H53="",NOT(ISNUMBER(H53)),G53="",G53="Unknown",G53="Low")),"Confirmed use lacks verification",IF(AND(I53="Confirmed",H53&gt;TODAY()),"Verified-on date is in the future","OK — verify source")))))))</f>
        <v/>
      </c>
      <c r="K53" s="17" t="n"/>
      <c r="L53" s="17" t="n"/>
      <c r="M53" s="17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6" t="n"/>
      <c r="I54" s="25" t="n"/>
      <c r="J54" s="25">
        <f>IF(COUNTA(A54:I54)=0,"",IF(A54="","UC-ID missing",IF(COUNTIF($A$4:$A$253,A54)&gt;1,"Duplicate UC-ID",IF(OR(B54="",D54="",E54=""),"Use/owner/source missing",IF(AND(F54&lt;&gt;"",COUNTIF('System map'!$A$4:$A$203,F54)&lt;&gt;1),"AIR-ID not reconciled in map",IF(AND(I54="Confirmed",OR(H54="",NOT(ISNUMBER(H54)),G54="",G54="Unknown",G54="Low")),"Confirmed use lacks verification",IF(AND(I54="Confirmed",H54&gt;TODAY()),"Verified-on date is in the future","OK — verify source")))))))</f>
        <v/>
      </c>
      <c r="K54" s="17" t="n"/>
      <c r="L54" s="17" t="n"/>
      <c r="M54" s="1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8" t="n"/>
      <c r="I55" s="27" t="n"/>
      <c r="J55" s="27">
        <f>IF(COUNTA(A55:I55)=0,"",IF(A55="","UC-ID missing",IF(COUNTIF($A$4:$A$253,A55)&gt;1,"Duplicate UC-ID",IF(OR(B55="",D55="",E55=""),"Use/owner/source missing",IF(AND(F55&lt;&gt;"",COUNTIF('System map'!$A$4:$A$203,F55)&lt;&gt;1),"AIR-ID not reconciled in map",IF(AND(I55="Confirmed",OR(H55="",NOT(ISNUMBER(H55)),G55="",G55="Unknown",G55="Low")),"Confirmed use lacks verification",IF(AND(I55="Confirmed",H55&gt;TODAY()),"Verified-on date is in the future","OK — verify source")))))))</f>
        <v/>
      </c>
      <c r="K55" s="17" t="n"/>
      <c r="L55" s="17" t="n"/>
      <c r="M55" s="17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6" t="n"/>
      <c r="I56" s="25" t="n"/>
      <c r="J56" s="25">
        <f>IF(COUNTA(A56:I56)=0,"",IF(A56="","UC-ID missing",IF(COUNTIF($A$4:$A$253,A56)&gt;1,"Duplicate UC-ID",IF(OR(B56="",D56="",E56=""),"Use/owner/source missing",IF(AND(F56&lt;&gt;"",COUNTIF('System map'!$A$4:$A$203,F56)&lt;&gt;1),"AIR-ID not reconciled in map",IF(AND(I56="Confirmed",OR(H56="",NOT(ISNUMBER(H56)),G56="",G56="Unknown",G56="Low")),"Confirmed use lacks verification",IF(AND(I56="Confirmed",H56&gt;TODAY()),"Verified-on date is in the future","OK — verify source")))))))</f>
        <v/>
      </c>
      <c r="K56" s="17" t="n"/>
      <c r="L56" s="17" t="n"/>
      <c r="M56" s="1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8" t="n"/>
      <c r="I57" s="27" t="n"/>
      <c r="J57" s="27">
        <f>IF(COUNTA(A57:I57)=0,"",IF(A57="","UC-ID missing",IF(COUNTIF($A$4:$A$253,A57)&gt;1,"Duplicate UC-ID",IF(OR(B57="",D57="",E57=""),"Use/owner/source missing",IF(AND(F57&lt;&gt;"",COUNTIF('System map'!$A$4:$A$203,F57)&lt;&gt;1),"AIR-ID not reconciled in map",IF(AND(I57="Confirmed",OR(H57="",NOT(ISNUMBER(H57)),G57="",G57="Unknown",G57="Low")),"Confirmed use lacks verification",IF(AND(I57="Confirmed",H57&gt;TODAY()),"Verified-on date is in the future","OK — verify source")))))))</f>
        <v/>
      </c>
      <c r="K57" s="17" t="n"/>
      <c r="L57" s="17" t="n"/>
      <c r="M57" s="17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6" t="n"/>
      <c r="I58" s="25" t="n"/>
      <c r="J58" s="25">
        <f>IF(COUNTA(A58:I58)=0,"",IF(A58="","UC-ID missing",IF(COUNTIF($A$4:$A$253,A58)&gt;1,"Duplicate UC-ID",IF(OR(B58="",D58="",E58=""),"Use/owner/source missing",IF(AND(F58&lt;&gt;"",COUNTIF('System map'!$A$4:$A$203,F58)&lt;&gt;1),"AIR-ID not reconciled in map",IF(AND(I58="Confirmed",OR(H58="",NOT(ISNUMBER(H58)),G58="",G58="Unknown",G58="Low")),"Confirmed use lacks verification",IF(AND(I58="Confirmed",H58&gt;TODAY()),"Verified-on date is in the future","OK — verify source")))))))</f>
        <v/>
      </c>
      <c r="K58" s="17" t="n"/>
      <c r="L58" s="17" t="n"/>
      <c r="M58" s="1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8" t="n"/>
      <c r="I59" s="27" t="n"/>
      <c r="J59" s="27">
        <f>IF(COUNTA(A59:I59)=0,"",IF(A59="","UC-ID missing",IF(COUNTIF($A$4:$A$253,A59)&gt;1,"Duplicate UC-ID",IF(OR(B59="",D59="",E59=""),"Use/owner/source missing",IF(AND(F59&lt;&gt;"",COUNTIF('System map'!$A$4:$A$203,F59)&lt;&gt;1),"AIR-ID not reconciled in map",IF(AND(I59="Confirmed",OR(H59="",NOT(ISNUMBER(H59)),G59="",G59="Unknown",G59="Low")),"Confirmed use lacks verification",IF(AND(I59="Confirmed",H59&gt;TODAY()),"Verified-on date is in the future","OK — verify source")))))))</f>
        <v/>
      </c>
      <c r="K59" s="17" t="n"/>
      <c r="L59" s="17" t="n"/>
      <c r="M59" s="17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6" t="n"/>
      <c r="I60" s="25" t="n"/>
      <c r="J60" s="25">
        <f>IF(COUNTA(A60:I60)=0,"",IF(A60="","UC-ID missing",IF(COUNTIF($A$4:$A$253,A60)&gt;1,"Duplicate UC-ID",IF(OR(B60="",D60="",E60=""),"Use/owner/source missing",IF(AND(F60&lt;&gt;"",COUNTIF('System map'!$A$4:$A$203,F60)&lt;&gt;1),"AIR-ID not reconciled in map",IF(AND(I60="Confirmed",OR(H60="",NOT(ISNUMBER(H60)),G60="",G60="Unknown",G60="Low")),"Confirmed use lacks verification",IF(AND(I60="Confirmed",H60&gt;TODAY()),"Verified-on date is in the future","OK — verify source")))))))</f>
        <v/>
      </c>
      <c r="K60" s="17" t="n"/>
      <c r="L60" s="17" t="n"/>
      <c r="M60" s="1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8" t="n"/>
      <c r="I61" s="27" t="n"/>
      <c r="J61" s="27">
        <f>IF(COUNTA(A61:I61)=0,"",IF(A61="","UC-ID missing",IF(COUNTIF($A$4:$A$253,A61)&gt;1,"Duplicate UC-ID",IF(OR(B61="",D61="",E61=""),"Use/owner/source missing",IF(AND(F61&lt;&gt;"",COUNTIF('System map'!$A$4:$A$203,F61)&lt;&gt;1),"AIR-ID not reconciled in map",IF(AND(I61="Confirmed",OR(H61="",NOT(ISNUMBER(H61)),G61="",G61="Unknown",G61="Low")),"Confirmed use lacks verification",IF(AND(I61="Confirmed",H61&gt;TODAY()),"Verified-on date is in the future","OK — verify source")))))))</f>
        <v/>
      </c>
      <c r="K61" s="17" t="n"/>
      <c r="L61" s="17" t="n"/>
      <c r="M61" s="17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6" t="n"/>
      <c r="I62" s="25" t="n"/>
      <c r="J62" s="25">
        <f>IF(COUNTA(A62:I62)=0,"",IF(A62="","UC-ID missing",IF(COUNTIF($A$4:$A$253,A62)&gt;1,"Duplicate UC-ID",IF(OR(B62="",D62="",E62=""),"Use/owner/source missing",IF(AND(F62&lt;&gt;"",COUNTIF('System map'!$A$4:$A$203,F62)&lt;&gt;1),"AIR-ID not reconciled in map",IF(AND(I62="Confirmed",OR(H62="",NOT(ISNUMBER(H62)),G62="",G62="Unknown",G62="Low")),"Confirmed use lacks verification",IF(AND(I62="Confirmed",H62&gt;TODAY()),"Verified-on date is in the future","OK — verify source")))))))</f>
        <v/>
      </c>
      <c r="K62" s="17" t="n"/>
      <c r="L62" s="17" t="n"/>
      <c r="M62" s="1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8" t="n"/>
      <c r="I63" s="27" t="n"/>
      <c r="J63" s="27">
        <f>IF(COUNTA(A63:I63)=0,"",IF(A63="","UC-ID missing",IF(COUNTIF($A$4:$A$253,A63)&gt;1,"Duplicate UC-ID",IF(OR(B63="",D63="",E63=""),"Use/owner/source missing",IF(AND(F63&lt;&gt;"",COUNTIF('System map'!$A$4:$A$203,F63)&lt;&gt;1),"AIR-ID not reconciled in map",IF(AND(I63="Confirmed",OR(H63="",NOT(ISNUMBER(H63)),G63="",G63="Unknown",G63="Low")),"Confirmed use lacks verification",IF(AND(I63="Confirmed",H63&gt;TODAY()),"Verified-on date is in the future","OK — verify source")))))))</f>
        <v/>
      </c>
      <c r="K63" s="17" t="n"/>
      <c r="L63" s="17" t="n"/>
      <c r="M63" s="17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6" t="n"/>
      <c r="I64" s="25" t="n"/>
      <c r="J64" s="25">
        <f>IF(COUNTA(A64:I64)=0,"",IF(A64="","UC-ID missing",IF(COUNTIF($A$4:$A$253,A64)&gt;1,"Duplicate UC-ID",IF(OR(B64="",D64="",E64=""),"Use/owner/source missing",IF(AND(F64&lt;&gt;"",COUNTIF('System map'!$A$4:$A$203,F64)&lt;&gt;1),"AIR-ID not reconciled in map",IF(AND(I64="Confirmed",OR(H64="",NOT(ISNUMBER(H64)),G64="",G64="Unknown",G64="Low")),"Confirmed use lacks verification",IF(AND(I64="Confirmed",H64&gt;TODAY()),"Verified-on date is in the future","OK — verify source")))))))</f>
        <v/>
      </c>
      <c r="K64" s="17" t="n"/>
      <c r="L64" s="17" t="n"/>
      <c r="M64" s="1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8" t="n"/>
      <c r="I65" s="27" t="n"/>
      <c r="J65" s="27">
        <f>IF(COUNTA(A65:I65)=0,"",IF(A65="","UC-ID missing",IF(COUNTIF($A$4:$A$253,A65)&gt;1,"Duplicate UC-ID",IF(OR(B65="",D65="",E65=""),"Use/owner/source missing",IF(AND(F65&lt;&gt;"",COUNTIF('System map'!$A$4:$A$203,F65)&lt;&gt;1),"AIR-ID not reconciled in map",IF(AND(I65="Confirmed",OR(H65="",NOT(ISNUMBER(H65)),G65="",G65="Unknown",G65="Low")),"Confirmed use lacks verification",IF(AND(I65="Confirmed",H65&gt;TODAY()),"Verified-on date is in the future","OK — verify source")))))))</f>
        <v/>
      </c>
      <c r="K65" s="17" t="n"/>
      <c r="L65" s="17" t="n"/>
      <c r="M65" s="17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6" t="n"/>
      <c r="I66" s="25" t="n"/>
      <c r="J66" s="25">
        <f>IF(COUNTA(A66:I66)=0,"",IF(A66="","UC-ID missing",IF(COUNTIF($A$4:$A$253,A66)&gt;1,"Duplicate UC-ID",IF(OR(B66="",D66="",E66=""),"Use/owner/source missing",IF(AND(F66&lt;&gt;"",COUNTIF('System map'!$A$4:$A$203,F66)&lt;&gt;1),"AIR-ID not reconciled in map",IF(AND(I66="Confirmed",OR(H66="",NOT(ISNUMBER(H66)),G66="",G66="Unknown",G66="Low")),"Confirmed use lacks verification",IF(AND(I66="Confirmed",H66&gt;TODAY()),"Verified-on date is in the future","OK — verify source")))))))</f>
        <v/>
      </c>
      <c r="K66" s="17" t="n"/>
      <c r="L66" s="17" t="n"/>
      <c r="M66" s="1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8" t="n"/>
      <c r="I67" s="27" t="n"/>
      <c r="J67" s="27">
        <f>IF(COUNTA(A67:I67)=0,"",IF(A67="","UC-ID missing",IF(COUNTIF($A$4:$A$253,A67)&gt;1,"Duplicate UC-ID",IF(OR(B67="",D67="",E67=""),"Use/owner/source missing",IF(AND(F67&lt;&gt;"",COUNTIF('System map'!$A$4:$A$203,F67)&lt;&gt;1),"AIR-ID not reconciled in map",IF(AND(I67="Confirmed",OR(H67="",NOT(ISNUMBER(H67)),G67="",G67="Unknown",G67="Low")),"Confirmed use lacks verification",IF(AND(I67="Confirmed",H67&gt;TODAY()),"Verified-on date is in the future","OK — verify source")))))))</f>
        <v/>
      </c>
      <c r="K67" s="17" t="n"/>
      <c r="L67" s="17" t="n"/>
      <c r="M67" s="17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6" t="n"/>
      <c r="I68" s="25" t="n"/>
      <c r="J68" s="25">
        <f>IF(COUNTA(A68:I68)=0,"",IF(A68="","UC-ID missing",IF(COUNTIF($A$4:$A$253,A68)&gt;1,"Duplicate UC-ID",IF(OR(B68="",D68="",E68=""),"Use/owner/source missing",IF(AND(F68&lt;&gt;"",COUNTIF('System map'!$A$4:$A$203,F68)&lt;&gt;1),"AIR-ID not reconciled in map",IF(AND(I68="Confirmed",OR(H68="",NOT(ISNUMBER(H68)),G68="",G68="Unknown",G68="Low")),"Confirmed use lacks verification",IF(AND(I68="Confirmed",H68&gt;TODAY()),"Verified-on date is in the future","OK — verify source")))))))</f>
        <v/>
      </c>
      <c r="K68" s="17" t="n"/>
      <c r="L68" s="17" t="n"/>
      <c r="M68" s="1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8" t="n"/>
      <c r="I69" s="27" t="n"/>
      <c r="J69" s="27">
        <f>IF(COUNTA(A69:I69)=0,"",IF(A69="","UC-ID missing",IF(COUNTIF($A$4:$A$253,A69)&gt;1,"Duplicate UC-ID",IF(OR(B69="",D69="",E69=""),"Use/owner/source missing",IF(AND(F69&lt;&gt;"",COUNTIF('System map'!$A$4:$A$203,F69)&lt;&gt;1),"AIR-ID not reconciled in map",IF(AND(I69="Confirmed",OR(H69="",NOT(ISNUMBER(H69)),G69="",G69="Unknown",G69="Low")),"Confirmed use lacks verification",IF(AND(I69="Confirmed",H69&gt;TODAY()),"Verified-on date is in the future","OK — verify source")))))))</f>
        <v/>
      </c>
      <c r="K69" s="17" t="n"/>
      <c r="L69" s="17" t="n"/>
      <c r="M69" s="17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6" t="n"/>
      <c r="I70" s="25" t="n"/>
      <c r="J70" s="25">
        <f>IF(COUNTA(A70:I70)=0,"",IF(A70="","UC-ID missing",IF(COUNTIF($A$4:$A$253,A70)&gt;1,"Duplicate UC-ID",IF(OR(B70="",D70="",E70=""),"Use/owner/source missing",IF(AND(F70&lt;&gt;"",COUNTIF('System map'!$A$4:$A$203,F70)&lt;&gt;1),"AIR-ID not reconciled in map",IF(AND(I70="Confirmed",OR(H70="",NOT(ISNUMBER(H70)),G70="",G70="Unknown",G70="Low")),"Confirmed use lacks verification",IF(AND(I70="Confirmed",H70&gt;TODAY()),"Verified-on date is in the future","OK — verify source")))))))</f>
        <v/>
      </c>
      <c r="K70" s="17" t="n"/>
      <c r="L70" s="17" t="n"/>
      <c r="M70" s="1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8" t="n"/>
      <c r="I71" s="27" t="n"/>
      <c r="J71" s="27">
        <f>IF(COUNTA(A71:I71)=0,"",IF(A71="","UC-ID missing",IF(COUNTIF($A$4:$A$253,A71)&gt;1,"Duplicate UC-ID",IF(OR(B71="",D71="",E71=""),"Use/owner/source missing",IF(AND(F71&lt;&gt;"",COUNTIF('System map'!$A$4:$A$203,F71)&lt;&gt;1),"AIR-ID not reconciled in map",IF(AND(I71="Confirmed",OR(H71="",NOT(ISNUMBER(H71)),G71="",G71="Unknown",G71="Low")),"Confirmed use lacks verification",IF(AND(I71="Confirmed",H71&gt;TODAY()),"Verified-on date is in the future","OK — verify source")))))))</f>
        <v/>
      </c>
      <c r="K71" s="17" t="n"/>
      <c r="L71" s="17" t="n"/>
      <c r="M71" s="17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6" t="n"/>
      <c r="I72" s="25" t="n"/>
      <c r="J72" s="25">
        <f>IF(COUNTA(A72:I72)=0,"",IF(A72="","UC-ID missing",IF(COUNTIF($A$4:$A$253,A72)&gt;1,"Duplicate UC-ID",IF(OR(B72="",D72="",E72=""),"Use/owner/source missing",IF(AND(F72&lt;&gt;"",COUNTIF('System map'!$A$4:$A$203,F72)&lt;&gt;1),"AIR-ID not reconciled in map",IF(AND(I72="Confirmed",OR(H72="",NOT(ISNUMBER(H72)),G72="",G72="Unknown",G72="Low")),"Confirmed use lacks verification",IF(AND(I72="Confirmed",H72&gt;TODAY()),"Verified-on date is in the future","OK — verify source")))))))</f>
        <v/>
      </c>
      <c r="K72" s="17" t="n"/>
      <c r="L72" s="17" t="n"/>
      <c r="M72" s="1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8" t="n"/>
      <c r="I73" s="27" t="n"/>
      <c r="J73" s="27">
        <f>IF(COUNTA(A73:I73)=0,"",IF(A73="","UC-ID missing",IF(COUNTIF($A$4:$A$253,A73)&gt;1,"Duplicate UC-ID",IF(OR(B73="",D73="",E73=""),"Use/owner/source missing",IF(AND(F73&lt;&gt;"",COUNTIF('System map'!$A$4:$A$203,F73)&lt;&gt;1),"AIR-ID not reconciled in map",IF(AND(I73="Confirmed",OR(H73="",NOT(ISNUMBER(H73)),G73="",G73="Unknown",G73="Low")),"Confirmed use lacks verification",IF(AND(I73="Confirmed",H73&gt;TODAY()),"Verified-on date is in the future","OK — verify source")))))))</f>
        <v/>
      </c>
      <c r="K73" s="17" t="n"/>
      <c r="L73" s="17" t="n"/>
      <c r="M73" s="17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6" t="n"/>
      <c r="I74" s="25" t="n"/>
      <c r="J74" s="25">
        <f>IF(COUNTA(A74:I74)=0,"",IF(A74="","UC-ID missing",IF(COUNTIF($A$4:$A$253,A74)&gt;1,"Duplicate UC-ID",IF(OR(B74="",D74="",E74=""),"Use/owner/source missing",IF(AND(F74&lt;&gt;"",COUNTIF('System map'!$A$4:$A$203,F74)&lt;&gt;1),"AIR-ID not reconciled in map",IF(AND(I74="Confirmed",OR(H74="",NOT(ISNUMBER(H74)),G74="",G74="Unknown",G74="Low")),"Confirmed use lacks verification",IF(AND(I74="Confirmed",H74&gt;TODAY()),"Verified-on date is in the future","OK — verify source")))))))</f>
        <v/>
      </c>
      <c r="K74" s="17" t="n"/>
      <c r="L74" s="17" t="n"/>
      <c r="M74" s="1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8" t="n"/>
      <c r="I75" s="27" t="n"/>
      <c r="J75" s="27">
        <f>IF(COUNTA(A75:I75)=0,"",IF(A75="","UC-ID missing",IF(COUNTIF($A$4:$A$253,A75)&gt;1,"Duplicate UC-ID",IF(OR(B75="",D75="",E75=""),"Use/owner/source missing",IF(AND(F75&lt;&gt;"",COUNTIF('System map'!$A$4:$A$203,F75)&lt;&gt;1),"AIR-ID not reconciled in map",IF(AND(I75="Confirmed",OR(H75="",NOT(ISNUMBER(H75)),G75="",G75="Unknown",G75="Low")),"Confirmed use lacks verification",IF(AND(I75="Confirmed",H75&gt;TODAY()),"Verified-on date is in the future","OK — verify source")))))))</f>
        <v/>
      </c>
      <c r="K75" s="17" t="n"/>
      <c r="L75" s="17" t="n"/>
      <c r="M75" s="17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6" t="n"/>
      <c r="I76" s="25" t="n"/>
      <c r="J76" s="25">
        <f>IF(COUNTA(A76:I76)=0,"",IF(A76="","UC-ID missing",IF(COUNTIF($A$4:$A$253,A76)&gt;1,"Duplicate UC-ID",IF(OR(B76="",D76="",E76=""),"Use/owner/source missing",IF(AND(F76&lt;&gt;"",COUNTIF('System map'!$A$4:$A$203,F76)&lt;&gt;1),"AIR-ID not reconciled in map",IF(AND(I76="Confirmed",OR(H76="",NOT(ISNUMBER(H76)),G76="",G76="Unknown",G76="Low")),"Confirmed use lacks verification",IF(AND(I76="Confirmed",H76&gt;TODAY()),"Verified-on date is in the future","OK — verify source")))))))</f>
        <v/>
      </c>
      <c r="K76" s="17" t="n"/>
      <c r="L76" s="17" t="n"/>
      <c r="M76" s="1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8" t="n"/>
      <c r="I77" s="27" t="n"/>
      <c r="J77" s="27">
        <f>IF(COUNTA(A77:I77)=0,"",IF(A77="","UC-ID missing",IF(COUNTIF($A$4:$A$253,A77)&gt;1,"Duplicate UC-ID",IF(OR(B77="",D77="",E77=""),"Use/owner/source missing",IF(AND(F77&lt;&gt;"",COUNTIF('System map'!$A$4:$A$203,F77)&lt;&gt;1),"AIR-ID not reconciled in map",IF(AND(I77="Confirmed",OR(H77="",NOT(ISNUMBER(H77)),G77="",G77="Unknown",G77="Low")),"Confirmed use lacks verification",IF(AND(I77="Confirmed",H77&gt;TODAY()),"Verified-on date is in the future","OK — verify source")))))))</f>
        <v/>
      </c>
      <c r="K77" s="17" t="n"/>
      <c r="L77" s="17" t="n"/>
      <c r="M77" s="17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6" t="n"/>
      <c r="I78" s="25" t="n"/>
      <c r="J78" s="25">
        <f>IF(COUNTA(A78:I78)=0,"",IF(A78="","UC-ID missing",IF(COUNTIF($A$4:$A$253,A78)&gt;1,"Duplicate UC-ID",IF(OR(B78="",D78="",E78=""),"Use/owner/source missing",IF(AND(F78&lt;&gt;"",COUNTIF('System map'!$A$4:$A$203,F78)&lt;&gt;1),"AIR-ID not reconciled in map",IF(AND(I78="Confirmed",OR(H78="",NOT(ISNUMBER(H78)),G78="",G78="Unknown",G78="Low")),"Confirmed use lacks verification",IF(AND(I78="Confirmed",H78&gt;TODAY()),"Verified-on date is in the future","OK — verify source")))))))</f>
        <v/>
      </c>
      <c r="K78" s="17" t="n"/>
      <c r="L78" s="17" t="n"/>
      <c r="M78" s="1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8" t="n"/>
      <c r="I79" s="27" t="n"/>
      <c r="J79" s="27">
        <f>IF(COUNTA(A79:I79)=0,"",IF(A79="","UC-ID missing",IF(COUNTIF($A$4:$A$253,A79)&gt;1,"Duplicate UC-ID",IF(OR(B79="",D79="",E79=""),"Use/owner/source missing",IF(AND(F79&lt;&gt;"",COUNTIF('System map'!$A$4:$A$203,F79)&lt;&gt;1),"AIR-ID not reconciled in map",IF(AND(I79="Confirmed",OR(H79="",NOT(ISNUMBER(H79)),G79="",G79="Unknown",G79="Low")),"Confirmed use lacks verification",IF(AND(I79="Confirmed",H79&gt;TODAY()),"Verified-on date is in the future","OK — verify source")))))))</f>
        <v/>
      </c>
      <c r="K79" s="17" t="n"/>
      <c r="L79" s="17" t="n"/>
      <c r="M79" s="17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6" t="n"/>
      <c r="I80" s="25" t="n"/>
      <c r="J80" s="25">
        <f>IF(COUNTA(A80:I80)=0,"",IF(A80="","UC-ID missing",IF(COUNTIF($A$4:$A$253,A80)&gt;1,"Duplicate UC-ID",IF(OR(B80="",D80="",E80=""),"Use/owner/source missing",IF(AND(F80&lt;&gt;"",COUNTIF('System map'!$A$4:$A$203,F80)&lt;&gt;1),"AIR-ID not reconciled in map",IF(AND(I80="Confirmed",OR(H80="",NOT(ISNUMBER(H80)),G80="",G80="Unknown",G80="Low")),"Confirmed use lacks verification",IF(AND(I80="Confirmed",H80&gt;TODAY()),"Verified-on date is in the future","OK — verify source")))))))</f>
        <v/>
      </c>
      <c r="K80" s="17" t="n"/>
      <c r="L80" s="17" t="n"/>
      <c r="M80" s="1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8" t="n"/>
      <c r="I81" s="27" t="n"/>
      <c r="J81" s="27">
        <f>IF(COUNTA(A81:I81)=0,"",IF(A81="","UC-ID missing",IF(COUNTIF($A$4:$A$253,A81)&gt;1,"Duplicate UC-ID",IF(OR(B81="",D81="",E81=""),"Use/owner/source missing",IF(AND(F81&lt;&gt;"",COUNTIF('System map'!$A$4:$A$203,F81)&lt;&gt;1),"AIR-ID not reconciled in map",IF(AND(I81="Confirmed",OR(H81="",NOT(ISNUMBER(H81)),G81="",G81="Unknown",G81="Low")),"Confirmed use lacks verification",IF(AND(I81="Confirmed",H81&gt;TODAY()),"Verified-on date is in the future","OK — verify source")))))))</f>
        <v/>
      </c>
      <c r="K81" s="17" t="n"/>
      <c r="L81" s="17" t="n"/>
      <c r="M81" s="17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6" t="n"/>
      <c r="I82" s="25" t="n"/>
      <c r="J82" s="25">
        <f>IF(COUNTA(A82:I82)=0,"",IF(A82="","UC-ID missing",IF(COUNTIF($A$4:$A$253,A82)&gt;1,"Duplicate UC-ID",IF(OR(B82="",D82="",E82=""),"Use/owner/source missing",IF(AND(F82&lt;&gt;"",COUNTIF('System map'!$A$4:$A$203,F82)&lt;&gt;1),"AIR-ID not reconciled in map",IF(AND(I82="Confirmed",OR(H82="",NOT(ISNUMBER(H82)),G82="",G82="Unknown",G82="Low")),"Confirmed use lacks verification",IF(AND(I82="Confirmed",H82&gt;TODAY()),"Verified-on date is in the future","OK — verify source")))))))</f>
        <v/>
      </c>
      <c r="K82" s="17" t="n"/>
      <c r="L82" s="17" t="n"/>
      <c r="M82" s="1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8" t="n"/>
      <c r="I83" s="27" t="n"/>
      <c r="J83" s="27">
        <f>IF(COUNTA(A83:I83)=0,"",IF(A83="","UC-ID missing",IF(COUNTIF($A$4:$A$253,A83)&gt;1,"Duplicate UC-ID",IF(OR(B83="",D83="",E83=""),"Use/owner/source missing",IF(AND(F83&lt;&gt;"",COUNTIF('System map'!$A$4:$A$203,F83)&lt;&gt;1),"AIR-ID not reconciled in map",IF(AND(I83="Confirmed",OR(H83="",NOT(ISNUMBER(H83)),G83="",G83="Unknown",G83="Low")),"Confirmed use lacks verification",IF(AND(I83="Confirmed",H83&gt;TODAY()),"Verified-on date is in the future","OK — verify source")))))))</f>
        <v/>
      </c>
      <c r="K83" s="17" t="n"/>
      <c r="L83" s="17" t="n"/>
      <c r="M83" s="17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6" t="n"/>
      <c r="I84" s="25" t="n"/>
      <c r="J84" s="25">
        <f>IF(COUNTA(A84:I84)=0,"",IF(A84="","UC-ID missing",IF(COUNTIF($A$4:$A$253,A84)&gt;1,"Duplicate UC-ID",IF(OR(B84="",D84="",E84=""),"Use/owner/source missing",IF(AND(F84&lt;&gt;"",COUNTIF('System map'!$A$4:$A$203,F84)&lt;&gt;1),"AIR-ID not reconciled in map",IF(AND(I84="Confirmed",OR(H84="",NOT(ISNUMBER(H84)),G84="",G84="Unknown",G84="Low")),"Confirmed use lacks verification",IF(AND(I84="Confirmed",H84&gt;TODAY()),"Verified-on date is in the future","OK — verify source")))))))</f>
        <v/>
      </c>
      <c r="K84" s="17" t="n"/>
      <c r="L84" s="17" t="n"/>
      <c r="M84" s="1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8" t="n"/>
      <c r="I85" s="27" t="n"/>
      <c r="J85" s="27">
        <f>IF(COUNTA(A85:I85)=0,"",IF(A85="","UC-ID missing",IF(COUNTIF($A$4:$A$253,A85)&gt;1,"Duplicate UC-ID",IF(OR(B85="",D85="",E85=""),"Use/owner/source missing",IF(AND(F85&lt;&gt;"",COUNTIF('System map'!$A$4:$A$203,F85)&lt;&gt;1),"AIR-ID not reconciled in map",IF(AND(I85="Confirmed",OR(H85="",NOT(ISNUMBER(H85)),G85="",G85="Unknown",G85="Low")),"Confirmed use lacks verification",IF(AND(I85="Confirmed",H85&gt;TODAY()),"Verified-on date is in the future","OK — verify source")))))))</f>
        <v/>
      </c>
      <c r="K85" s="17" t="n"/>
      <c r="L85" s="17" t="n"/>
      <c r="M85" s="17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6" t="n"/>
      <c r="I86" s="25" t="n"/>
      <c r="J86" s="25">
        <f>IF(COUNTA(A86:I86)=0,"",IF(A86="","UC-ID missing",IF(COUNTIF($A$4:$A$253,A86)&gt;1,"Duplicate UC-ID",IF(OR(B86="",D86="",E86=""),"Use/owner/source missing",IF(AND(F86&lt;&gt;"",COUNTIF('System map'!$A$4:$A$203,F86)&lt;&gt;1),"AIR-ID not reconciled in map",IF(AND(I86="Confirmed",OR(H86="",NOT(ISNUMBER(H86)),G86="",G86="Unknown",G86="Low")),"Confirmed use lacks verification",IF(AND(I86="Confirmed",H86&gt;TODAY()),"Verified-on date is in the future","OK — verify source")))))))</f>
        <v/>
      </c>
      <c r="K86" s="17" t="n"/>
      <c r="L86" s="17" t="n"/>
      <c r="M86" s="1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8" t="n"/>
      <c r="I87" s="27" t="n"/>
      <c r="J87" s="27">
        <f>IF(COUNTA(A87:I87)=0,"",IF(A87="","UC-ID missing",IF(COUNTIF($A$4:$A$253,A87)&gt;1,"Duplicate UC-ID",IF(OR(B87="",D87="",E87=""),"Use/owner/source missing",IF(AND(F87&lt;&gt;"",COUNTIF('System map'!$A$4:$A$203,F87)&lt;&gt;1),"AIR-ID not reconciled in map",IF(AND(I87="Confirmed",OR(H87="",NOT(ISNUMBER(H87)),G87="",G87="Unknown",G87="Low")),"Confirmed use lacks verification",IF(AND(I87="Confirmed",H87&gt;TODAY()),"Verified-on date is in the future","OK — verify source")))))))</f>
        <v/>
      </c>
      <c r="K87" s="17" t="n"/>
      <c r="L87" s="17" t="n"/>
      <c r="M87" s="17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6" t="n"/>
      <c r="I88" s="25" t="n"/>
      <c r="J88" s="25">
        <f>IF(COUNTA(A88:I88)=0,"",IF(A88="","UC-ID missing",IF(COUNTIF($A$4:$A$253,A88)&gt;1,"Duplicate UC-ID",IF(OR(B88="",D88="",E88=""),"Use/owner/source missing",IF(AND(F88&lt;&gt;"",COUNTIF('System map'!$A$4:$A$203,F88)&lt;&gt;1),"AIR-ID not reconciled in map",IF(AND(I88="Confirmed",OR(H88="",NOT(ISNUMBER(H88)),G88="",G88="Unknown",G88="Low")),"Confirmed use lacks verification",IF(AND(I88="Confirmed",H88&gt;TODAY()),"Verified-on date is in the future","OK — verify source")))))))</f>
        <v/>
      </c>
      <c r="K88" s="17" t="n"/>
      <c r="L88" s="17" t="n"/>
      <c r="M88" s="1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8" t="n"/>
      <c r="I89" s="27" t="n"/>
      <c r="J89" s="27">
        <f>IF(COUNTA(A89:I89)=0,"",IF(A89="","UC-ID missing",IF(COUNTIF($A$4:$A$253,A89)&gt;1,"Duplicate UC-ID",IF(OR(B89="",D89="",E89=""),"Use/owner/source missing",IF(AND(F89&lt;&gt;"",COUNTIF('System map'!$A$4:$A$203,F89)&lt;&gt;1),"AIR-ID not reconciled in map",IF(AND(I89="Confirmed",OR(H89="",NOT(ISNUMBER(H89)),G89="",G89="Unknown",G89="Low")),"Confirmed use lacks verification",IF(AND(I89="Confirmed",H89&gt;TODAY()),"Verified-on date is in the future","OK — verify source")))))))</f>
        <v/>
      </c>
      <c r="K89" s="17" t="n"/>
      <c r="L89" s="17" t="n"/>
      <c r="M89" s="17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6" t="n"/>
      <c r="I90" s="25" t="n"/>
      <c r="J90" s="25">
        <f>IF(COUNTA(A90:I90)=0,"",IF(A90="","UC-ID missing",IF(COUNTIF($A$4:$A$253,A90)&gt;1,"Duplicate UC-ID",IF(OR(B90="",D90="",E90=""),"Use/owner/source missing",IF(AND(F90&lt;&gt;"",COUNTIF('System map'!$A$4:$A$203,F90)&lt;&gt;1),"AIR-ID not reconciled in map",IF(AND(I90="Confirmed",OR(H90="",NOT(ISNUMBER(H90)),G90="",G90="Unknown",G90="Low")),"Confirmed use lacks verification",IF(AND(I90="Confirmed",H90&gt;TODAY()),"Verified-on date is in the future","OK — verify source")))))))</f>
        <v/>
      </c>
      <c r="K90" s="17" t="n"/>
      <c r="L90" s="17" t="n"/>
      <c r="M90" s="17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8" t="n"/>
      <c r="I91" s="27" t="n"/>
      <c r="J91" s="27">
        <f>IF(COUNTA(A91:I91)=0,"",IF(A91="","UC-ID missing",IF(COUNTIF($A$4:$A$253,A91)&gt;1,"Duplicate UC-ID",IF(OR(B91="",D91="",E91=""),"Use/owner/source missing",IF(AND(F91&lt;&gt;"",COUNTIF('System map'!$A$4:$A$203,F91)&lt;&gt;1),"AIR-ID not reconciled in map",IF(AND(I91="Confirmed",OR(H91="",NOT(ISNUMBER(H91)),G91="",G91="Unknown",G91="Low")),"Confirmed use lacks verification",IF(AND(I91="Confirmed",H91&gt;TODAY()),"Verified-on date is in the future","OK — verify source")))))))</f>
        <v/>
      </c>
      <c r="K91" s="17" t="n"/>
      <c r="L91" s="17" t="n"/>
      <c r="M91" s="17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6" t="n"/>
      <c r="I92" s="25" t="n"/>
      <c r="J92" s="25">
        <f>IF(COUNTA(A92:I92)=0,"",IF(A92="","UC-ID missing",IF(COUNTIF($A$4:$A$253,A92)&gt;1,"Duplicate UC-ID",IF(OR(B92="",D92="",E92=""),"Use/owner/source missing",IF(AND(F92&lt;&gt;"",COUNTIF('System map'!$A$4:$A$203,F92)&lt;&gt;1),"AIR-ID not reconciled in map",IF(AND(I92="Confirmed",OR(H92="",NOT(ISNUMBER(H92)),G92="",G92="Unknown",G92="Low")),"Confirmed use lacks verification",IF(AND(I92="Confirmed",H92&gt;TODAY()),"Verified-on date is in the future","OK — verify source")))))))</f>
        <v/>
      </c>
      <c r="K92" s="17" t="n"/>
      <c r="L92" s="17" t="n"/>
      <c r="M92" s="17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8" t="n"/>
      <c r="I93" s="27" t="n"/>
      <c r="J93" s="27">
        <f>IF(COUNTA(A93:I93)=0,"",IF(A93="","UC-ID missing",IF(COUNTIF($A$4:$A$253,A93)&gt;1,"Duplicate UC-ID",IF(OR(B93="",D93="",E93=""),"Use/owner/source missing",IF(AND(F93&lt;&gt;"",COUNTIF('System map'!$A$4:$A$203,F93)&lt;&gt;1),"AIR-ID not reconciled in map",IF(AND(I93="Confirmed",OR(H93="",NOT(ISNUMBER(H93)),G93="",G93="Unknown",G93="Low")),"Confirmed use lacks verification",IF(AND(I93="Confirmed",H93&gt;TODAY()),"Verified-on date is in the future","OK — verify source")))))))</f>
        <v/>
      </c>
      <c r="K93" s="17" t="n"/>
      <c r="L93" s="17" t="n"/>
      <c r="M93" s="17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6" t="n"/>
      <c r="I94" s="25" t="n"/>
      <c r="J94" s="25">
        <f>IF(COUNTA(A94:I94)=0,"",IF(A94="","UC-ID missing",IF(COUNTIF($A$4:$A$253,A94)&gt;1,"Duplicate UC-ID",IF(OR(B94="",D94="",E94=""),"Use/owner/source missing",IF(AND(F94&lt;&gt;"",COUNTIF('System map'!$A$4:$A$203,F94)&lt;&gt;1),"AIR-ID not reconciled in map",IF(AND(I94="Confirmed",OR(H94="",NOT(ISNUMBER(H94)),G94="",G94="Unknown",G94="Low")),"Confirmed use lacks verification",IF(AND(I94="Confirmed",H94&gt;TODAY()),"Verified-on date is in the future","OK — verify source")))))))</f>
        <v/>
      </c>
      <c r="K94" s="17" t="n"/>
      <c r="L94" s="17" t="n"/>
      <c r="M94" s="17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8" t="n"/>
      <c r="I95" s="27" t="n"/>
      <c r="J95" s="27">
        <f>IF(COUNTA(A95:I95)=0,"",IF(A95="","UC-ID missing",IF(COUNTIF($A$4:$A$253,A95)&gt;1,"Duplicate UC-ID",IF(OR(B95="",D95="",E95=""),"Use/owner/source missing",IF(AND(F95&lt;&gt;"",COUNTIF('System map'!$A$4:$A$203,F95)&lt;&gt;1),"AIR-ID not reconciled in map",IF(AND(I95="Confirmed",OR(H95="",NOT(ISNUMBER(H95)),G95="",G95="Unknown",G95="Low")),"Confirmed use lacks verification",IF(AND(I95="Confirmed",H95&gt;TODAY()),"Verified-on date is in the future","OK — verify source")))))))</f>
        <v/>
      </c>
      <c r="K95" s="17" t="n"/>
      <c r="L95" s="17" t="n"/>
      <c r="M95" s="17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6" t="n"/>
      <c r="I96" s="25" t="n"/>
      <c r="J96" s="25">
        <f>IF(COUNTA(A96:I96)=0,"",IF(A96="","UC-ID missing",IF(COUNTIF($A$4:$A$253,A96)&gt;1,"Duplicate UC-ID",IF(OR(B96="",D96="",E96=""),"Use/owner/source missing",IF(AND(F96&lt;&gt;"",COUNTIF('System map'!$A$4:$A$203,F96)&lt;&gt;1),"AIR-ID not reconciled in map",IF(AND(I96="Confirmed",OR(H96="",NOT(ISNUMBER(H96)),G96="",G96="Unknown",G96="Low")),"Confirmed use lacks verification",IF(AND(I96="Confirmed",H96&gt;TODAY()),"Verified-on date is in the future","OK — verify source")))))))</f>
        <v/>
      </c>
      <c r="K96" s="17" t="n"/>
      <c r="L96" s="17" t="n"/>
      <c r="M96" s="1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8" t="n"/>
      <c r="I97" s="27" t="n"/>
      <c r="J97" s="27">
        <f>IF(COUNTA(A97:I97)=0,"",IF(A97="","UC-ID missing",IF(COUNTIF($A$4:$A$253,A97)&gt;1,"Duplicate UC-ID",IF(OR(B97="",D97="",E97=""),"Use/owner/source missing",IF(AND(F97&lt;&gt;"",COUNTIF('System map'!$A$4:$A$203,F97)&lt;&gt;1),"AIR-ID not reconciled in map",IF(AND(I97="Confirmed",OR(H97="",NOT(ISNUMBER(H97)),G97="",G97="Unknown",G97="Low")),"Confirmed use lacks verification",IF(AND(I97="Confirmed",H97&gt;TODAY()),"Verified-on date is in the future","OK — verify source")))))))</f>
        <v/>
      </c>
      <c r="K97" s="17" t="n"/>
      <c r="L97" s="17" t="n"/>
      <c r="M97" s="17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6" t="n"/>
      <c r="I98" s="25" t="n"/>
      <c r="J98" s="25">
        <f>IF(COUNTA(A98:I98)=0,"",IF(A98="","UC-ID missing",IF(COUNTIF($A$4:$A$253,A98)&gt;1,"Duplicate UC-ID",IF(OR(B98="",D98="",E98=""),"Use/owner/source missing",IF(AND(F98&lt;&gt;"",COUNTIF('System map'!$A$4:$A$203,F98)&lt;&gt;1),"AIR-ID not reconciled in map",IF(AND(I98="Confirmed",OR(H98="",NOT(ISNUMBER(H98)),G98="",G98="Unknown",G98="Low")),"Confirmed use lacks verification",IF(AND(I98="Confirmed",H98&gt;TODAY()),"Verified-on date is in the future","OK — verify source")))))))</f>
        <v/>
      </c>
      <c r="K98" s="17" t="n"/>
      <c r="L98" s="17" t="n"/>
      <c r="M98" s="17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8" t="n"/>
      <c r="I99" s="27" t="n"/>
      <c r="J99" s="27">
        <f>IF(COUNTA(A99:I99)=0,"",IF(A99="","UC-ID missing",IF(COUNTIF($A$4:$A$253,A99)&gt;1,"Duplicate UC-ID",IF(OR(B99="",D99="",E99=""),"Use/owner/source missing",IF(AND(F99&lt;&gt;"",COUNTIF('System map'!$A$4:$A$203,F99)&lt;&gt;1),"AIR-ID not reconciled in map",IF(AND(I99="Confirmed",OR(H99="",NOT(ISNUMBER(H99)),G99="",G99="Unknown",G99="Low")),"Confirmed use lacks verification",IF(AND(I99="Confirmed",H99&gt;TODAY()),"Verified-on date is in the future","OK — verify source")))))))</f>
        <v/>
      </c>
      <c r="K99" s="17" t="n"/>
      <c r="L99" s="17" t="n"/>
      <c r="M99" s="17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6" t="n"/>
      <c r="I100" s="25" t="n"/>
      <c r="J100" s="25">
        <f>IF(COUNTA(A100:I100)=0,"",IF(A100="","UC-ID missing",IF(COUNTIF($A$4:$A$253,A100)&gt;1,"Duplicate UC-ID",IF(OR(B100="",D100="",E100=""),"Use/owner/source missing",IF(AND(F100&lt;&gt;"",COUNTIF('System map'!$A$4:$A$203,F100)&lt;&gt;1),"AIR-ID not reconciled in map",IF(AND(I100="Confirmed",OR(H100="",NOT(ISNUMBER(H100)),G100="",G100="Unknown",G100="Low")),"Confirmed use lacks verification",IF(AND(I100="Confirmed",H100&gt;TODAY()),"Verified-on date is in the future","OK — verify source")))))))</f>
        <v/>
      </c>
      <c r="K100" s="17" t="n"/>
      <c r="L100" s="17" t="n"/>
      <c r="M100" s="17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8" t="n"/>
      <c r="I101" s="27" t="n"/>
      <c r="J101" s="27">
        <f>IF(COUNTA(A101:I101)=0,"",IF(A101="","UC-ID missing",IF(COUNTIF($A$4:$A$253,A101)&gt;1,"Duplicate UC-ID",IF(OR(B101="",D101="",E101=""),"Use/owner/source missing",IF(AND(F101&lt;&gt;"",COUNTIF('System map'!$A$4:$A$203,F101)&lt;&gt;1),"AIR-ID not reconciled in map",IF(AND(I101="Confirmed",OR(H101="",NOT(ISNUMBER(H101)),G101="",G101="Unknown",G101="Low")),"Confirmed use lacks verification",IF(AND(I101="Confirmed",H101&gt;TODAY()),"Verified-on date is in the future","OK — verify source")))))))</f>
        <v/>
      </c>
      <c r="K101" s="17" t="n"/>
      <c r="L101" s="17" t="n"/>
      <c r="M101" s="17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6" t="n"/>
      <c r="I102" s="25" t="n"/>
      <c r="J102" s="25">
        <f>IF(COUNTA(A102:I102)=0,"",IF(A102="","UC-ID missing",IF(COUNTIF($A$4:$A$253,A102)&gt;1,"Duplicate UC-ID",IF(OR(B102="",D102="",E102=""),"Use/owner/source missing",IF(AND(F102&lt;&gt;"",COUNTIF('System map'!$A$4:$A$203,F102)&lt;&gt;1),"AIR-ID not reconciled in map",IF(AND(I102="Confirmed",OR(H102="",NOT(ISNUMBER(H102)),G102="",G102="Unknown",G102="Low")),"Confirmed use lacks verification",IF(AND(I102="Confirmed",H102&gt;TODAY()),"Verified-on date is in the future","OK — verify source")))))))</f>
        <v/>
      </c>
      <c r="K102" s="17" t="n"/>
      <c r="L102" s="17" t="n"/>
      <c r="M102" s="17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8" t="n"/>
      <c r="I103" s="27" t="n"/>
      <c r="J103" s="27">
        <f>IF(COUNTA(A103:I103)=0,"",IF(A103="","UC-ID missing",IF(COUNTIF($A$4:$A$253,A103)&gt;1,"Duplicate UC-ID",IF(OR(B103="",D103="",E103=""),"Use/owner/source missing",IF(AND(F103&lt;&gt;"",COUNTIF('System map'!$A$4:$A$203,F103)&lt;&gt;1),"AIR-ID not reconciled in map",IF(AND(I103="Confirmed",OR(H103="",NOT(ISNUMBER(H103)),G103="",G103="Unknown",G103="Low")),"Confirmed use lacks verification",IF(AND(I103="Confirmed",H103&gt;TODAY()),"Verified-on date is in the future","OK — verify source")))))))</f>
        <v/>
      </c>
      <c r="K103" s="17" t="n"/>
      <c r="L103" s="17" t="n"/>
      <c r="M103" s="17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6" t="n"/>
      <c r="I104" s="25" t="n"/>
      <c r="J104" s="25">
        <f>IF(COUNTA(A104:I104)=0,"",IF(A104="","UC-ID missing",IF(COUNTIF($A$4:$A$253,A104)&gt;1,"Duplicate UC-ID",IF(OR(B104="",D104="",E104=""),"Use/owner/source missing",IF(AND(F104&lt;&gt;"",COUNTIF('System map'!$A$4:$A$203,F104)&lt;&gt;1),"AIR-ID not reconciled in map",IF(AND(I104="Confirmed",OR(H104="",NOT(ISNUMBER(H104)),G104="",G104="Unknown",G104="Low")),"Confirmed use lacks verification",IF(AND(I104="Confirmed",H104&gt;TODAY()),"Verified-on date is in the future","OK — verify source")))))))</f>
        <v/>
      </c>
      <c r="K104" s="17" t="n"/>
      <c r="L104" s="17" t="n"/>
      <c r="M104" s="17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8" t="n"/>
      <c r="I105" s="27" t="n"/>
      <c r="J105" s="27">
        <f>IF(COUNTA(A105:I105)=0,"",IF(A105="","UC-ID missing",IF(COUNTIF($A$4:$A$253,A105)&gt;1,"Duplicate UC-ID",IF(OR(B105="",D105="",E105=""),"Use/owner/source missing",IF(AND(F105&lt;&gt;"",COUNTIF('System map'!$A$4:$A$203,F105)&lt;&gt;1),"AIR-ID not reconciled in map",IF(AND(I105="Confirmed",OR(H105="",NOT(ISNUMBER(H105)),G105="",G105="Unknown",G105="Low")),"Confirmed use lacks verification",IF(AND(I105="Confirmed",H105&gt;TODAY()),"Verified-on date is in the future","OK — verify source")))))))</f>
        <v/>
      </c>
      <c r="K105" s="17" t="n"/>
      <c r="L105" s="17" t="n"/>
      <c r="M105" s="17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6" t="n"/>
      <c r="I106" s="25" t="n"/>
      <c r="J106" s="25">
        <f>IF(COUNTA(A106:I106)=0,"",IF(A106="","UC-ID missing",IF(COUNTIF($A$4:$A$253,A106)&gt;1,"Duplicate UC-ID",IF(OR(B106="",D106="",E106=""),"Use/owner/source missing",IF(AND(F106&lt;&gt;"",COUNTIF('System map'!$A$4:$A$203,F106)&lt;&gt;1),"AIR-ID not reconciled in map",IF(AND(I106="Confirmed",OR(H106="",NOT(ISNUMBER(H106)),G106="",G106="Unknown",G106="Low")),"Confirmed use lacks verification",IF(AND(I106="Confirmed",H106&gt;TODAY()),"Verified-on date is in the future","OK — verify source")))))))</f>
        <v/>
      </c>
      <c r="K106" s="17" t="n"/>
      <c r="L106" s="17" t="n"/>
      <c r="M106" s="17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8" t="n"/>
      <c r="I107" s="27" t="n"/>
      <c r="J107" s="27">
        <f>IF(COUNTA(A107:I107)=0,"",IF(A107="","UC-ID missing",IF(COUNTIF($A$4:$A$253,A107)&gt;1,"Duplicate UC-ID",IF(OR(B107="",D107="",E107=""),"Use/owner/source missing",IF(AND(F107&lt;&gt;"",COUNTIF('System map'!$A$4:$A$203,F107)&lt;&gt;1),"AIR-ID not reconciled in map",IF(AND(I107="Confirmed",OR(H107="",NOT(ISNUMBER(H107)),G107="",G107="Unknown",G107="Low")),"Confirmed use lacks verification",IF(AND(I107="Confirmed",H107&gt;TODAY()),"Verified-on date is in the future","OK — verify source")))))))</f>
        <v/>
      </c>
      <c r="K107" s="17" t="n"/>
      <c r="L107" s="17" t="n"/>
      <c r="M107" s="17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6" t="n"/>
      <c r="I108" s="25" t="n"/>
      <c r="J108" s="25">
        <f>IF(COUNTA(A108:I108)=0,"",IF(A108="","UC-ID missing",IF(COUNTIF($A$4:$A$253,A108)&gt;1,"Duplicate UC-ID",IF(OR(B108="",D108="",E108=""),"Use/owner/source missing",IF(AND(F108&lt;&gt;"",COUNTIF('System map'!$A$4:$A$203,F108)&lt;&gt;1),"AIR-ID not reconciled in map",IF(AND(I108="Confirmed",OR(H108="",NOT(ISNUMBER(H108)),G108="",G108="Unknown",G108="Low")),"Confirmed use lacks verification",IF(AND(I108="Confirmed",H108&gt;TODAY()),"Verified-on date is in the future","OK — verify source")))))))</f>
        <v/>
      </c>
      <c r="K108" s="17" t="n"/>
      <c r="L108" s="17" t="n"/>
      <c r="M108" s="17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8" t="n"/>
      <c r="I109" s="27" t="n"/>
      <c r="J109" s="27">
        <f>IF(COUNTA(A109:I109)=0,"",IF(A109="","UC-ID missing",IF(COUNTIF($A$4:$A$253,A109)&gt;1,"Duplicate UC-ID",IF(OR(B109="",D109="",E109=""),"Use/owner/source missing",IF(AND(F109&lt;&gt;"",COUNTIF('System map'!$A$4:$A$203,F109)&lt;&gt;1),"AIR-ID not reconciled in map",IF(AND(I109="Confirmed",OR(H109="",NOT(ISNUMBER(H109)),G109="",G109="Unknown",G109="Low")),"Confirmed use lacks verification",IF(AND(I109="Confirmed",H109&gt;TODAY()),"Verified-on date is in the future","OK — verify source")))))))</f>
        <v/>
      </c>
      <c r="K109" s="17" t="n"/>
      <c r="L109" s="17" t="n"/>
      <c r="M109" s="17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6" t="n"/>
      <c r="I110" s="25" t="n"/>
      <c r="J110" s="25">
        <f>IF(COUNTA(A110:I110)=0,"",IF(A110="","UC-ID missing",IF(COUNTIF($A$4:$A$253,A110)&gt;1,"Duplicate UC-ID",IF(OR(B110="",D110="",E110=""),"Use/owner/source missing",IF(AND(F110&lt;&gt;"",COUNTIF('System map'!$A$4:$A$203,F110)&lt;&gt;1),"AIR-ID not reconciled in map",IF(AND(I110="Confirmed",OR(H110="",NOT(ISNUMBER(H110)),G110="",G110="Unknown",G110="Low")),"Confirmed use lacks verification",IF(AND(I110="Confirmed",H110&gt;TODAY()),"Verified-on date is in the future","OK — verify source")))))))</f>
        <v/>
      </c>
      <c r="K110" s="17" t="n"/>
      <c r="L110" s="17" t="n"/>
      <c r="M110" s="17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8" t="n"/>
      <c r="I111" s="27" t="n"/>
      <c r="J111" s="27">
        <f>IF(COUNTA(A111:I111)=0,"",IF(A111="","UC-ID missing",IF(COUNTIF($A$4:$A$253,A111)&gt;1,"Duplicate UC-ID",IF(OR(B111="",D111="",E111=""),"Use/owner/source missing",IF(AND(F111&lt;&gt;"",COUNTIF('System map'!$A$4:$A$203,F111)&lt;&gt;1),"AIR-ID not reconciled in map",IF(AND(I111="Confirmed",OR(H111="",NOT(ISNUMBER(H111)),G111="",G111="Unknown",G111="Low")),"Confirmed use lacks verification",IF(AND(I111="Confirmed",H111&gt;TODAY()),"Verified-on date is in the future","OK — verify source")))))))</f>
        <v/>
      </c>
      <c r="K111" s="17" t="n"/>
      <c r="L111" s="17" t="n"/>
      <c r="M111" s="17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6" t="n"/>
      <c r="I112" s="25" t="n"/>
      <c r="J112" s="25">
        <f>IF(COUNTA(A112:I112)=0,"",IF(A112="","UC-ID missing",IF(COUNTIF($A$4:$A$253,A112)&gt;1,"Duplicate UC-ID",IF(OR(B112="",D112="",E112=""),"Use/owner/source missing",IF(AND(F112&lt;&gt;"",COUNTIF('System map'!$A$4:$A$203,F112)&lt;&gt;1),"AIR-ID not reconciled in map",IF(AND(I112="Confirmed",OR(H112="",NOT(ISNUMBER(H112)),G112="",G112="Unknown",G112="Low")),"Confirmed use lacks verification",IF(AND(I112="Confirmed",H112&gt;TODAY()),"Verified-on date is in the future","OK — verify source")))))))</f>
        <v/>
      </c>
      <c r="K112" s="17" t="n"/>
      <c r="L112" s="17" t="n"/>
      <c r="M112" s="17" t="n"/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8" t="n"/>
      <c r="I113" s="27" t="n"/>
      <c r="J113" s="27">
        <f>IF(COUNTA(A113:I113)=0,"",IF(A113="","UC-ID missing",IF(COUNTIF($A$4:$A$253,A113)&gt;1,"Duplicate UC-ID",IF(OR(B113="",D113="",E113=""),"Use/owner/source missing",IF(AND(F113&lt;&gt;"",COUNTIF('System map'!$A$4:$A$203,F113)&lt;&gt;1),"AIR-ID not reconciled in map",IF(AND(I113="Confirmed",OR(H113="",NOT(ISNUMBER(H113)),G113="",G113="Unknown",G113="Low")),"Confirmed use lacks verification",IF(AND(I113="Confirmed",H113&gt;TODAY()),"Verified-on date is in the future","OK — verify source")))))))</f>
        <v/>
      </c>
      <c r="K113" s="17" t="n"/>
      <c r="L113" s="17" t="n"/>
      <c r="M113" s="17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6" t="n"/>
      <c r="I114" s="25" t="n"/>
      <c r="J114" s="25">
        <f>IF(COUNTA(A114:I114)=0,"",IF(A114="","UC-ID missing",IF(COUNTIF($A$4:$A$253,A114)&gt;1,"Duplicate UC-ID",IF(OR(B114="",D114="",E114=""),"Use/owner/source missing",IF(AND(F114&lt;&gt;"",COUNTIF('System map'!$A$4:$A$203,F114)&lt;&gt;1),"AIR-ID not reconciled in map",IF(AND(I114="Confirmed",OR(H114="",NOT(ISNUMBER(H114)),G114="",G114="Unknown",G114="Low")),"Confirmed use lacks verification",IF(AND(I114="Confirmed",H114&gt;TODAY()),"Verified-on date is in the future","OK — verify source")))))))</f>
        <v/>
      </c>
      <c r="K114" s="17" t="n"/>
      <c r="L114" s="17" t="n"/>
      <c r="M114" s="17" t="n"/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8" t="n"/>
      <c r="I115" s="27" t="n"/>
      <c r="J115" s="27">
        <f>IF(COUNTA(A115:I115)=0,"",IF(A115="","UC-ID missing",IF(COUNTIF($A$4:$A$253,A115)&gt;1,"Duplicate UC-ID",IF(OR(B115="",D115="",E115=""),"Use/owner/source missing",IF(AND(F115&lt;&gt;"",COUNTIF('System map'!$A$4:$A$203,F115)&lt;&gt;1),"AIR-ID not reconciled in map",IF(AND(I115="Confirmed",OR(H115="",NOT(ISNUMBER(H115)),G115="",G115="Unknown",G115="Low")),"Confirmed use lacks verification",IF(AND(I115="Confirmed",H115&gt;TODAY()),"Verified-on date is in the future","OK — verify source")))))))</f>
        <v/>
      </c>
      <c r="K115" s="17" t="n"/>
      <c r="L115" s="17" t="n"/>
      <c r="M115" s="17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6" t="n"/>
      <c r="I116" s="25" t="n"/>
      <c r="J116" s="25">
        <f>IF(COUNTA(A116:I116)=0,"",IF(A116="","UC-ID missing",IF(COUNTIF($A$4:$A$253,A116)&gt;1,"Duplicate UC-ID",IF(OR(B116="",D116="",E116=""),"Use/owner/source missing",IF(AND(F116&lt;&gt;"",COUNTIF('System map'!$A$4:$A$203,F116)&lt;&gt;1),"AIR-ID not reconciled in map",IF(AND(I116="Confirmed",OR(H116="",NOT(ISNUMBER(H116)),G116="",G116="Unknown",G116="Low")),"Confirmed use lacks verification",IF(AND(I116="Confirmed",H116&gt;TODAY()),"Verified-on date is in the future","OK — verify source")))))))</f>
        <v/>
      </c>
      <c r="K116" s="17" t="n"/>
      <c r="L116" s="17" t="n"/>
      <c r="M116" s="17" t="n"/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8" t="n"/>
      <c r="I117" s="27" t="n"/>
      <c r="J117" s="27">
        <f>IF(COUNTA(A117:I117)=0,"",IF(A117="","UC-ID missing",IF(COUNTIF($A$4:$A$253,A117)&gt;1,"Duplicate UC-ID",IF(OR(B117="",D117="",E117=""),"Use/owner/source missing",IF(AND(F117&lt;&gt;"",COUNTIF('System map'!$A$4:$A$203,F117)&lt;&gt;1),"AIR-ID not reconciled in map",IF(AND(I117="Confirmed",OR(H117="",NOT(ISNUMBER(H117)),G117="",G117="Unknown",G117="Low")),"Confirmed use lacks verification",IF(AND(I117="Confirmed",H117&gt;TODAY()),"Verified-on date is in the future","OK — verify source")))))))</f>
        <v/>
      </c>
      <c r="K117" s="17" t="n"/>
      <c r="L117" s="17" t="n"/>
      <c r="M117" s="17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6" t="n"/>
      <c r="I118" s="25" t="n"/>
      <c r="J118" s="25">
        <f>IF(COUNTA(A118:I118)=0,"",IF(A118="","UC-ID missing",IF(COUNTIF($A$4:$A$253,A118)&gt;1,"Duplicate UC-ID",IF(OR(B118="",D118="",E118=""),"Use/owner/source missing",IF(AND(F118&lt;&gt;"",COUNTIF('System map'!$A$4:$A$203,F118)&lt;&gt;1),"AIR-ID not reconciled in map",IF(AND(I118="Confirmed",OR(H118="",NOT(ISNUMBER(H118)),G118="",G118="Unknown",G118="Low")),"Confirmed use lacks verification",IF(AND(I118="Confirmed",H118&gt;TODAY()),"Verified-on date is in the future","OK — verify source")))))))</f>
        <v/>
      </c>
      <c r="K118" s="17" t="n"/>
      <c r="L118" s="17" t="n"/>
      <c r="M118" s="17" t="n"/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8" t="n"/>
      <c r="I119" s="27" t="n"/>
      <c r="J119" s="27">
        <f>IF(COUNTA(A119:I119)=0,"",IF(A119="","UC-ID missing",IF(COUNTIF($A$4:$A$253,A119)&gt;1,"Duplicate UC-ID",IF(OR(B119="",D119="",E119=""),"Use/owner/source missing",IF(AND(F119&lt;&gt;"",COUNTIF('System map'!$A$4:$A$203,F119)&lt;&gt;1),"AIR-ID not reconciled in map",IF(AND(I119="Confirmed",OR(H119="",NOT(ISNUMBER(H119)),G119="",G119="Unknown",G119="Low")),"Confirmed use lacks verification",IF(AND(I119="Confirmed",H119&gt;TODAY()),"Verified-on date is in the future","OK — verify source")))))))</f>
        <v/>
      </c>
      <c r="K119" s="17" t="n"/>
      <c r="L119" s="17" t="n"/>
      <c r="M119" s="17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6" t="n"/>
      <c r="I120" s="25" t="n"/>
      <c r="J120" s="25">
        <f>IF(COUNTA(A120:I120)=0,"",IF(A120="","UC-ID missing",IF(COUNTIF($A$4:$A$253,A120)&gt;1,"Duplicate UC-ID",IF(OR(B120="",D120="",E120=""),"Use/owner/source missing",IF(AND(F120&lt;&gt;"",COUNTIF('System map'!$A$4:$A$203,F120)&lt;&gt;1),"AIR-ID not reconciled in map",IF(AND(I120="Confirmed",OR(H120="",NOT(ISNUMBER(H120)),G120="",G120="Unknown",G120="Low")),"Confirmed use lacks verification",IF(AND(I120="Confirmed",H120&gt;TODAY()),"Verified-on date is in the future","OK — verify source")))))))</f>
        <v/>
      </c>
      <c r="K120" s="17" t="n"/>
      <c r="L120" s="17" t="n"/>
      <c r="M120" s="17" t="n"/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8" t="n"/>
      <c r="I121" s="27" t="n"/>
      <c r="J121" s="27">
        <f>IF(COUNTA(A121:I121)=0,"",IF(A121="","UC-ID missing",IF(COUNTIF($A$4:$A$253,A121)&gt;1,"Duplicate UC-ID",IF(OR(B121="",D121="",E121=""),"Use/owner/source missing",IF(AND(F121&lt;&gt;"",COUNTIF('System map'!$A$4:$A$203,F121)&lt;&gt;1),"AIR-ID not reconciled in map",IF(AND(I121="Confirmed",OR(H121="",NOT(ISNUMBER(H121)),G121="",G121="Unknown",G121="Low")),"Confirmed use lacks verification",IF(AND(I121="Confirmed",H121&gt;TODAY()),"Verified-on date is in the future","OK — verify source")))))))</f>
        <v/>
      </c>
      <c r="K121" s="17" t="n"/>
      <c r="L121" s="17" t="n"/>
      <c r="M121" s="17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6" t="n"/>
      <c r="I122" s="25" t="n"/>
      <c r="J122" s="25">
        <f>IF(COUNTA(A122:I122)=0,"",IF(A122="","UC-ID missing",IF(COUNTIF($A$4:$A$253,A122)&gt;1,"Duplicate UC-ID",IF(OR(B122="",D122="",E122=""),"Use/owner/source missing",IF(AND(F122&lt;&gt;"",COUNTIF('System map'!$A$4:$A$203,F122)&lt;&gt;1),"AIR-ID not reconciled in map",IF(AND(I122="Confirmed",OR(H122="",NOT(ISNUMBER(H122)),G122="",G122="Unknown",G122="Low")),"Confirmed use lacks verification",IF(AND(I122="Confirmed",H122&gt;TODAY()),"Verified-on date is in the future","OK — verify source")))))))</f>
        <v/>
      </c>
      <c r="K122" s="17" t="n"/>
      <c r="L122" s="17" t="n"/>
      <c r="M122" s="17" t="n"/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8" t="n"/>
      <c r="I123" s="27" t="n"/>
      <c r="J123" s="27">
        <f>IF(COUNTA(A123:I123)=0,"",IF(A123="","UC-ID missing",IF(COUNTIF($A$4:$A$253,A123)&gt;1,"Duplicate UC-ID",IF(OR(B123="",D123="",E123=""),"Use/owner/source missing",IF(AND(F123&lt;&gt;"",COUNTIF('System map'!$A$4:$A$203,F123)&lt;&gt;1),"AIR-ID not reconciled in map",IF(AND(I123="Confirmed",OR(H123="",NOT(ISNUMBER(H123)),G123="",G123="Unknown",G123="Low")),"Confirmed use lacks verification",IF(AND(I123="Confirmed",H123&gt;TODAY()),"Verified-on date is in the future","OK — verify source")))))))</f>
        <v/>
      </c>
      <c r="K123" s="17" t="n"/>
      <c r="L123" s="17" t="n"/>
      <c r="M123" s="17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6" t="n"/>
      <c r="I124" s="25" t="n"/>
      <c r="J124" s="25">
        <f>IF(COUNTA(A124:I124)=0,"",IF(A124="","UC-ID missing",IF(COUNTIF($A$4:$A$253,A124)&gt;1,"Duplicate UC-ID",IF(OR(B124="",D124="",E124=""),"Use/owner/source missing",IF(AND(F124&lt;&gt;"",COUNTIF('System map'!$A$4:$A$203,F124)&lt;&gt;1),"AIR-ID not reconciled in map",IF(AND(I124="Confirmed",OR(H124="",NOT(ISNUMBER(H124)),G124="",G124="Unknown",G124="Low")),"Confirmed use lacks verification",IF(AND(I124="Confirmed",H124&gt;TODAY()),"Verified-on date is in the future","OK — verify source")))))))</f>
        <v/>
      </c>
      <c r="K124" s="17" t="n"/>
      <c r="L124" s="17" t="n"/>
      <c r="M124" s="17" t="n"/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8" t="n"/>
      <c r="I125" s="27" t="n"/>
      <c r="J125" s="27">
        <f>IF(COUNTA(A125:I125)=0,"",IF(A125="","UC-ID missing",IF(COUNTIF($A$4:$A$253,A125)&gt;1,"Duplicate UC-ID",IF(OR(B125="",D125="",E125=""),"Use/owner/source missing",IF(AND(F125&lt;&gt;"",COUNTIF('System map'!$A$4:$A$203,F125)&lt;&gt;1),"AIR-ID not reconciled in map",IF(AND(I125="Confirmed",OR(H125="",NOT(ISNUMBER(H125)),G125="",G125="Unknown",G125="Low")),"Confirmed use lacks verification",IF(AND(I125="Confirmed",H125&gt;TODAY()),"Verified-on date is in the future","OK — verify source")))))))</f>
        <v/>
      </c>
      <c r="K125" s="17" t="n"/>
      <c r="L125" s="17" t="n"/>
      <c r="M125" s="17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6" t="n"/>
      <c r="I126" s="25" t="n"/>
      <c r="J126" s="25">
        <f>IF(COUNTA(A126:I126)=0,"",IF(A126="","UC-ID missing",IF(COUNTIF($A$4:$A$253,A126)&gt;1,"Duplicate UC-ID",IF(OR(B126="",D126="",E126=""),"Use/owner/source missing",IF(AND(F126&lt;&gt;"",COUNTIF('System map'!$A$4:$A$203,F126)&lt;&gt;1),"AIR-ID not reconciled in map",IF(AND(I126="Confirmed",OR(H126="",NOT(ISNUMBER(H126)),G126="",G126="Unknown",G126="Low")),"Confirmed use lacks verification",IF(AND(I126="Confirmed",H126&gt;TODAY()),"Verified-on date is in the future","OK — verify source")))))))</f>
        <v/>
      </c>
      <c r="K126" s="17" t="n"/>
      <c r="L126" s="17" t="n"/>
      <c r="M126" s="17" t="n"/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8" t="n"/>
      <c r="I127" s="27" t="n"/>
      <c r="J127" s="27">
        <f>IF(COUNTA(A127:I127)=0,"",IF(A127="","UC-ID missing",IF(COUNTIF($A$4:$A$253,A127)&gt;1,"Duplicate UC-ID",IF(OR(B127="",D127="",E127=""),"Use/owner/source missing",IF(AND(F127&lt;&gt;"",COUNTIF('System map'!$A$4:$A$203,F127)&lt;&gt;1),"AIR-ID not reconciled in map",IF(AND(I127="Confirmed",OR(H127="",NOT(ISNUMBER(H127)),G127="",G127="Unknown",G127="Low")),"Confirmed use lacks verification",IF(AND(I127="Confirmed",H127&gt;TODAY()),"Verified-on date is in the future","OK — verify source")))))))</f>
        <v/>
      </c>
      <c r="K127" s="17" t="n"/>
      <c r="L127" s="17" t="n"/>
      <c r="M127" s="17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6" t="n"/>
      <c r="I128" s="25" t="n"/>
      <c r="J128" s="25">
        <f>IF(COUNTA(A128:I128)=0,"",IF(A128="","UC-ID missing",IF(COUNTIF($A$4:$A$253,A128)&gt;1,"Duplicate UC-ID",IF(OR(B128="",D128="",E128=""),"Use/owner/source missing",IF(AND(F128&lt;&gt;"",COUNTIF('System map'!$A$4:$A$203,F128)&lt;&gt;1),"AIR-ID not reconciled in map",IF(AND(I128="Confirmed",OR(H128="",NOT(ISNUMBER(H128)),G128="",G128="Unknown",G128="Low")),"Confirmed use lacks verification",IF(AND(I128="Confirmed",H128&gt;TODAY()),"Verified-on date is in the future","OK — verify source")))))))</f>
        <v/>
      </c>
      <c r="K128" s="17" t="n"/>
      <c r="L128" s="17" t="n"/>
      <c r="M128" s="17" t="n"/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8" t="n"/>
      <c r="I129" s="27" t="n"/>
      <c r="J129" s="27">
        <f>IF(COUNTA(A129:I129)=0,"",IF(A129="","UC-ID missing",IF(COUNTIF($A$4:$A$253,A129)&gt;1,"Duplicate UC-ID",IF(OR(B129="",D129="",E129=""),"Use/owner/source missing",IF(AND(F129&lt;&gt;"",COUNTIF('System map'!$A$4:$A$203,F129)&lt;&gt;1),"AIR-ID not reconciled in map",IF(AND(I129="Confirmed",OR(H129="",NOT(ISNUMBER(H129)),G129="",G129="Unknown",G129="Low")),"Confirmed use lacks verification",IF(AND(I129="Confirmed",H129&gt;TODAY()),"Verified-on date is in the future","OK — verify source")))))))</f>
        <v/>
      </c>
      <c r="K129" s="17" t="n"/>
      <c r="L129" s="17" t="n"/>
      <c r="M129" s="17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6" t="n"/>
      <c r="I130" s="25" t="n"/>
      <c r="J130" s="25">
        <f>IF(COUNTA(A130:I130)=0,"",IF(A130="","UC-ID missing",IF(COUNTIF($A$4:$A$253,A130)&gt;1,"Duplicate UC-ID",IF(OR(B130="",D130="",E130=""),"Use/owner/source missing",IF(AND(F130&lt;&gt;"",COUNTIF('System map'!$A$4:$A$203,F130)&lt;&gt;1),"AIR-ID not reconciled in map",IF(AND(I130="Confirmed",OR(H130="",NOT(ISNUMBER(H130)),G130="",G130="Unknown",G130="Low")),"Confirmed use lacks verification",IF(AND(I130="Confirmed",H130&gt;TODAY()),"Verified-on date is in the future","OK — verify source")))))))</f>
        <v/>
      </c>
      <c r="K130" s="17" t="n"/>
      <c r="L130" s="17" t="n"/>
      <c r="M130" s="17" t="n"/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8" t="n"/>
      <c r="I131" s="27" t="n"/>
      <c r="J131" s="27">
        <f>IF(COUNTA(A131:I131)=0,"",IF(A131="","UC-ID missing",IF(COUNTIF($A$4:$A$253,A131)&gt;1,"Duplicate UC-ID",IF(OR(B131="",D131="",E131=""),"Use/owner/source missing",IF(AND(F131&lt;&gt;"",COUNTIF('System map'!$A$4:$A$203,F131)&lt;&gt;1),"AIR-ID not reconciled in map",IF(AND(I131="Confirmed",OR(H131="",NOT(ISNUMBER(H131)),G131="",G131="Unknown",G131="Low")),"Confirmed use lacks verification",IF(AND(I131="Confirmed",H131&gt;TODAY()),"Verified-on date is in the future","OK — verify source")))))))</f>
        <v/>
      </c>
      <c r="K131" s="17" t="n"/>
      <c r="L131" s="17" t="n"/>
      <c r="M131" s="17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6" t="n"/>
      <c r="I132" s="25" t="n"/>
      <c r="J132" s="25">
        <f>IF(COUNTA(A132:I132)=0,"",IF(A132="","UC-ID missing",IF(COUNTIF($A$4:$A$253,A132)&gt;1,"Duplicate UC-ID",IF(OR(B132="",D132="",E132=""),"Use/owner/source missing",IF(AND(F132&lt;&gt;"",COUNTIF('System map'!$A$4:$A$203,F132)&lt;&gt;1),"AIR-ID not reconciled in map",IF(AND(I132="Confirmed",OR(H132="",NOT(ISNUMBER(H132)),G132="",G132="Unknown",G132="Low")),"Confirmed use lacks verification",IF(AND(I132="Confirmed",H132&gt;TODAY()),"Verified-on date is in the future","OK — verify source")))))))</f>
        <v/>
      </c>
      <c r="K132" s="17" t="n"/>
      <c r="L132" s="17" t="n"/>
      <c r="M132" s="17" t="n"/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8" t="n"/>
      <c r="I133" s="27" t="n"/>
      <c r="J133" s="27">
        <f>IF(COUNTA(A133:I133)=0,"",IF(A133="","UC-ID missing",IF(COUNTIF($A$4:$A$253,A133)&gt;1,"Duplicate UC-ID",IF(OR(B133="",D133="",E133=""),"Use/owner/source missing",IF(AND(F133&lt;&gt;"",COUNTIF('System map'!$A$4:$A$203,F133)&lt;&gt;1),"AIR-ID not reconciled in map",IF(AND(I133="Confirmed",OR(H133="",NOT(ISNUMBER(H133)),G133="",G133="Unknown",G133="Low")),"Confirmed use lacks verification",IF(AND(I133="Confirmed",H133&gt;TODAY()),"Verified-on date is in the future","OK — verify source")))))))</f>
        <v/>
      </c>
      <c r="K133" s="17" t="n"/>
      <c r="L133" s="17" t="n"/>
      <c r="M133" s="17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6" t="n"/>
      <c r="I134" s="25" t="n"/>
      <c r="J134" s="25">
        <f>IF(COUNTA(A134:I134)=0,"",IF(A134="","UC-ID missing",IF(COUNTIF($A$4:$A$253,A134)&gt;1,"Duplicate UC-ID",IF(OR(B134="",D134="",E134=""),"Use/owner/source missing",IF(AND(F134&lt;&gt;"",COUNTIF('System map'!$A$4:$A$203,F134)&lt;&gt;1),"AIR-ID not reconciled in map",IF(AND(I134="Confirmed",OR(H134="",NOT(ISNUMBER(H134)),G134="",G134="Unknown",G134="Low")),"Confirmed use lacks verification",IF(AND(I134="Confirmed",H134&gt;TODAY()),"Verified-on date is in the future","OK — verify source")))))))</f>
        <v/>
      </c>
      <c r="K134" s="17" t="n"/>
      <c r="L134" s="17" t="n"/>
      <c r="M134" s="17" t="n"/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8" t="n"/>
      <c r="I135" s="27" t="n"/>
      <c r="J135" s="27">
        <f>IF(COUNTA(A135:I135)=0,"",IF(A135="","UC-ID missing",IF(COUNTIF($A$4:$A$253,A135)&gt;1,"Duplicate UC-ID",IF(OR(B135="",D135="",E135=""),"Use/owner/source missing",IF(AND(F135&lt;&gt;"",COUNTIF('System map'!$A$4:$A$203,F135)&lt;&gt;1),"AIR-ID not reconciled in map",IF(AND(I135="Confirmed",OR(H135="",NOT(ISNUMBER(H135)),G135="",G135="Unknown",G135="Low")),"Confirmed use lacks verification",IF(AND(I135="Confirmed",H135&gt;TODAY()),"Verified-on date is in the future","OK — verify source")))))))</f>
        <v/>
      </c>
      <c r="K135" s="17" t="n"/>
      <c r="L135" s="17" t="n"/>
      <c r="M135" s="17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6" t="n"/>
      <c r="I136" s="25" t="n"/>
      <c r="J136" s="25">
        <f>IF(COUNTA(A136:I136)=0,"",IF(A136="","UC-ID missing",IF(COUNTIF($A$4:$A$253,A136)&gt;1,"Duplicate UC-ID",IF(OR(B136="",D136="",E136=""),"Use/owner/source missing",IF(AND(F136&lt;&gt;"",COUNTIF('System map'!$A$4:$A$203,F136)&lt;&gt;1),"AIR-ID not reconciled in map",IF(AND(I136="Confirmed",OR(H136="",NOT(ISNUMBER(H136)),G136="",G136="Unknown",G136="Low")),"Confirmed use lacks verification",IF(AND(I136="Confirmed",H136&gt;TODAY()),"Verified-on date is in the future","OK — verify source")))))))</f>
        <v/>
      </c>
      <c r="K136" s="17" t="n"/>
      <c r="L136" s="17" t="n"/>
      <c r="M136" s="17" t="n"/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8" t="n"/>
      <c r="I137" s="27" t="n"/>
      <c r="J137" s="27">
        <f>IF(COUNTA(A137:I137)=0,"",IF(A137="","UC-ID missing",IF(COUNTIF($A$4:$A$253,A137)&gt;1,"Duplicate UC-ID",IF(OR(B137="",D137="",E137=""),"Use/owner/source missing",IF(AND(F137&lt;&gt;"",COUNTIF('System map'!$A$4:$A$203,F137)&lt;&gt;1),"AIR-ID not reconciled in map",IF(AND(I137="Confirmed",OR(H137="",NOT(ISNUMBER(H137)),G137="",G137="Unknown",G137="Low")),"Confirmed use lacks verification",IF(AND(I137="Confirmed",H137&gt;TODAY()),"Verified-on date is in the future","OK — verify source")))))))</f>
        <v/>
      </c>
      <c r="K137" s="17" t="n"/>
      <c r="L137" s="17" t="n"/>
      <c r="M137" s="17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6" t="n"/>
      <c r="I138" s="25" t="n"/>
      <c r="J138" s="25">
        <f>IF(COUNTA(A138:I138)=0,"",IF(A138="","UC-ID missing",IF(COUNTIF($A$4:$A$253,A138)&gt;1,"Duplicate UC-ID",IF(OR(B138="",D138="",E138=""),"Use/owner/source missing",IF(AND(F138&lt;&gt;"",COUNTIF('System map'!$A$4:$A$203,F138)&lt;&gt;1),"AIR-ID not reconciled in map",IF(AND(I138="Confirmed",OR(H138="",NOT(ISNUMBER(H138)),G138="",G138="Unknown",G138="Low")),"Confirmed use lacks verification",IF(AND(I138="Confirmed",H138&gt;TODAY()),"Verified-on date is in the future","OK — verify source")))))))</f>
        <v/>
      </c>
      <c r="K138" s="17" t="n"/>
      <c r="L138" s="17" t="n"/>
      <c r="M138" s="17" t="n"/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8" t="n"/>
      <c r="I139" s="27" t="n"/>
      <c r="J139" s="27">
        <f>IF(COUNTA(A139:I139)=0,"",IF(A139="","UC-ID missing",IF(COUNTIF($A$4:$A$253,A139)&gt;1,"Duplicate UC-ID",IF(OR(B139="",D139="",E139=""),"Use/owner/source missing",IF(AND(F139&lt;&gt;"",COUNTIF('System map'!$A$4:$A$203,F139)&lt;&gt;1),"AIR-ID not reconciled in map",IF(AND(I139="Confirmed",OR(H139="",NOT(ISNUMBER(H139)),G139="",G139="Unknown",G139="Low")),"Confirmed use lacks verification",IF(AND(I139="Confirmed",H139&gt;TODAY()),"Verified-on date is in the future","OK — verify source")))))))</f>
        <v/>
      </c>
      <c r="K139" s="17" t="n"/>
      <c r="L139" s="17" t="n"/>
      <c r="M139" s="17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6" t="n"/>
      <c r="I140" s="25" t="n"/>
      <c r="J140" s="25">
        <f>IF(COUNTA(A140:I140)=0,"",IF(A140="","UC-ID missing",IF(COUNTIF($A$4:$A$253,A140)&gt;1,"Duplicate UC-ID",IF(OR(B140="",D140="",E140=""),"Use/owner/source missing",IF(AND(F140&lt;&gt;"",COUNTIF('System map'!$A$4:$A$203,F140)&lt;&gt;1),"AIR-ID not reconciled in map",IF(AND(I140="Confirmed",OR(H140="",NOT(ISNUMBER(H140)),G140="",G140="Unknown",G140="Low")),"Confirmed use lacks verification",IF(AND(I140="Confirmed",H140&gt;TODAY()),"Verified-on date is in the future","OK — verify source")))))))</f>
        <v/>
      </c>
      <c r="K140" s="17" t="n"/>
      <c r="L140" s="17" t="n"/>
      <c r="M140" s="17" t="n"/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8" t="n"/>
      <c r="I141" s="27" t="n"/>
      <c r="J141" s="27">
        <f>IF(COUNTA(A141:I141)=0,"",IF(A141="","UC-ID missing",IF(COUNTIF($A$4:$A$253,A141)&gt;1,"Duplicate UC-ID",IF(OR(B141="",D141="",E141=""),"Use/owner/source missing",IF(AND(F141&lt;&gt;"",COUNTIF('System map'!$A$4:$A$203,F141)&lt;&gt;1),"AIR-ID not reconciled in map",IF(AND(I141="Confirmed",OR(H141="",NOT(ISNUMBER(H141)),G141="",G141="Unknown",G141="Low")),"Confirmed use lacks verification",IF(AND(I141="Confirmed",H141&gt;TODAY()),"Verified-on date is in the future","OK — verify source")))))))</f>
        <v/>
      </c>
      <c r="K141" s="17" t="n"/>
      <c r="L141" s="17" t="n"/>
      <c r="M141" s="17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6" t="n"/>
      <c r="I142" s="25" t="n"/>
      <c r="J142" s="25">
        <f>IF(COUNTA(A142:I142)=0,"",IF(A142="","UC-ID missing",IF(COUNTIF($A$4:$A$253,A142)&gt;1,"Duplicate UC-ID",IF(OR(B142="",D142="",E142=""),"Use/owner/source missing",IF(AND(F142&lt;&gt;"",COUNTIF('System map'!$A$4:$A$203,F142)&lt;&gt;1),"AIR-ID not reconciled in map",IF(AND(I142="Confirmed",OR(H142="",NOT(ISNUMBER(H142)),G142="",G142="Unknown",G142="Low")),"Confirmed use lacks verification",IF(AND(I142="Confirmed",H142&gt;TODAY()),"Verified-on date is in the future","OK — verify source")))))))</f>
        <v/>
      </c>
      <c r="K142" s="17" t="n"/>
      <c r="L142" s="17" t="n"/>
      <c r="M142" s="17" t="n"/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8" t="n"/>
      <c r="I143" s="27" t="n"/>
      <c r="J143" s="27">
        <f>IF(COUNTA(A143:I143)=0,"",IF(A143="","UC-ID missing",IF(COUNTIF($A$4:$A$253,A143)&gt;1,"Duplicate UC-ID",IF(OR(B143="",D143="",E143=""),"Use/owner/source missing",IF(AND(F143&lt;&gt;"",COUNTIF('System map'!$A$4:$A$203,F143)&lt;&gt;1),"AIR-ID not reconciled in map",IF(AND(I143="Confirmed",OR(H143="",NOT(ISNUMBER(H143)),G143="",G143="Unknown",G143="Low")),"Confirmed use lacks verification",IF(AND(I143="Confirmed",H143&gt;TODAY()),"Verified-on date is in the future","OK — verify source")))))))</f>
        <v/>
      </c>
      <c r="K143" s="17" t="n"/>
      <c r="L143" s="17" t="n"/>
      <c r="M143" s="17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6" t="n"/>
      <c r="I144" s="25" t="n"/>
      <c r="J144" s="25">
        <f>IF(COUNTA(A144:I144)=0,"",IF(A144="","UC-ID missing",IF(COUNTIF($A$4:$A$253,A144)&gt;1,"Duplicate UC-ID",IF(OR(B144="",D144="",E144=""),"Use/owner/source missing",IF(AND(F144&lt;&gt;"",COUNTIF('System map'!$A$4:$A$203,F144)&lt;&gt;1),"AIR-ID not reconciled in map",IF(AND(I144="Confirmed",OR(H144="",NOT(ISNUMBER(H144)),G144="",G144="Unknown",G144="Low")),"Confirmed use lacks verification",IF(AND(I144="Confirmed",H144&gt;TODAY()),"Verified-on date is in the future","OK — verify source")))))))</f>
        <v/>
      </c>
      <c r="K144" s="17" t="n"/>
      <c r="L144" s="17" t="n"/>
      <c r="M144" s="17" t="n"/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8" t="n"/>
      <c r="I145" s="27" t="n"/>
      <c r="J145" s="27">
        <f>IF(COUNTA(A145:I145)=0,"",IF(A145="","UC-ID missing",IF(COUNTIF($A$4:$A$253,A145)&gt;1,"Duplicate UC-ID",IF(OR(B145="",D145="",E145=""),"Use/owner/source missing",IF(AND(F145&lt;&gt;"",COUNTIF('System map'!$A$4:$A$203,F145)&lt;&gt;1),"AIR-ID not reconciled in map",IF(AND(I145="Confirmed",OR(H145="",NOT(ISNUMBER(H145)),G145="",G145="Unknown",G145="Low")),"Confirmed use lacks verification",IF(AND(I145="Confirmed",H145&gt;TODAY()),"Verified-on date is in the future","OK — verify source")))))))</f>
        <v/>
      </c>
      <c r="K145" s="17" t="n"/>
      <c r="L145" s="17" t="n"/>
      <c r="M145" s="17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6" t="n"/>
      <c r="I146" s="25" t="n"/>
      <c r="J146" s="25">
        <f>IF(COUNTA(A146:I146)=0,"",IF(A146="","UC-ID missing",IF(COUNTIF($A$4:$A$253,A146)&gt;1,"Duplicate UC-ID",IF(OR(B146="",D146="",E146=""),"Use/owner/source missing",IF(AND(F146&lt;&gt;"",COUNTIF('System map'!$A$4:$A$203,F146)&lt;&gt;1),"AIR-ID not reconciled in map",IF(AND(I146="Confirmed",OR(H146="",NOT(ISNUMBER(H146)),G146="",G146="Unknown",G146="Low")),"Confirmed use lacks verification",IF(AND(I146="Confirmed",H146&gt;TODAY()),"Verified-on date is in the future","OK — verify source")))))))</f>
        <v/>
      </c>
      <c r="K146" s="17" t="n"/>
      <c r="L146" s="17" t="n"/>
      <c r="M146" s="17" t="n"/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8" t="n"/>
      <c r="I147" s="27" t="n"/>
      <c r="J147" s="27">
        <f>IF(COUNTA(A147:I147)=0,"",IF(A147="","UC-ID missing",IF(COUNTIF($A$4:$A$253,A147)&gt;1,"Duplicate UC-ID",IF(OR(B147="",D147="",E147=""),"Use/owner/source missing",IF(AND(F147&lt;&gt;"",COUNTIF('System map'!$A$4:$A$203,F147)&lt;&gt;1),"AIR-ID not reconciled in map",IF(AND(I147="Confirmed",OR(H147="",NOT(ISNUMBER(H147)),G147="",G147="Unknown",G147="Low")),"Confirmed use lacks verification",IF(AND(I147="Confirmed",H147&gt;TODAY()),"Verified-on date is in the future","OK — verify source")))))))</f>
        <v/>
      </c>
      <c r="K147" s="17" t="n"/>
      <c r="L147" s="17" t="n"/>
      <c r="M147" s="17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6" t="n"/>
      <c r="I148" s="25" t="n"/>
      <c r="J148" s="25">
        <f>IF(COUNTA(A148:I148)=0,"",IF(A148="","UC-ID missing",IF(COUNTIF($A$4:$A$253,A148)&gt;1,"Duplicate UC-ID",IF(OR(B148="",D148="",E148=""),"Use/owner/source missing",IF(AND(F148&lt;&gt;"",COUNTIF('System map'!$A$4:$A$203,F148)&lt;&gt;1),"AIR-ID not reconciled in map",IF(AND(I148="Confirmed",OR(H148="",NOT(ISNUMBER(H148)),G148="",G148="Unknown",G148="Low")),"Confirmed use lacks verification",IF(AND(I148="Confirmed",H148&gt;TODAY()),"Verified-on date is in the future","OK — verify source")))))))</f>
        <v/>
      </c>
      <c r="K148" s="17" t="n"/>
      <c r="L148" s="17" t="n"/>
      <c r="M148" s="17" t="n"/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8" t="n"/>
      <c r="I149" s="27" t="n"/>
      <c r="J149" s="27">
        <f>IF(COUNTA(A149:I149)=0,"",IF(A149="","UC-ID missing",IF(COUNTIF($A$4:$A$253,A149)&gt;1,"Duplicate UC-ID",IF(OR(B149="",D149="",E149=""),"Use/owner/source missing",IF(AND(F149&lt;&gt;"",COUNTIF('System map'!$A$4:$A$203,F149)&lt;&gt;1),"AIR-ID not reconciled in map",IF(AND(I149="Confirmed",OR(H149="",NOT(ISNUMBER(H149)),G149="",G149="Unknown",G149="Low")),"Confirmed use lacks verification",IF(AND(I149="Confirmed",H149&gt;TODAY()),"Verified-on date is in the future","OK — verify source")))))))</f>
        <v/>
      </c>
      <c r="K149" s="17" t="n"/>
      <c r="L149" s="17" t="n"/>
      <c r="M149" s="17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6" t="n"/>
      <c r="I150" s="25" t="n"/>
      <c r="J150" s="25">
        <f>IF(COUNTA(A150:I150)=0,"",IF(A150="","UC-ID missing",IF(COUNTIF($A$4:$A$253,A150)&gt;1,"Duplicate UC-ID",IF(OR(B150="",D150="",E150=""),"Use/owner/source missing",IF(AND(F150&lt;&gt;"",COUNTIF('System map'!$A$4:$A$203,F150)&lt;&gt;1),"AIR-ID not reconciled in map",IF(AND(I150="Confirmed",OR(H150="",NOT(ISNUMBER(H150)),G150="",G150="Unknown",G150="Low")),"Confirmed use lacks verification",IF(AND(I150="Confirmed",H150&gt;TODAY()),"Verified-on date is in the future","OK — verify source")))))))</f>
        <v/>
      </c>
      <c r="K150" s="17" t="n"/>
      <c r="L150" s="17" t="n"/>
      <c r="M150" s="17" t="n"/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8" t="n"/>
      <c r="I151" s="27" t="n"/>
      <c r="J151" s="27">
        <f>IF(COUNTA(A151:I151)=0,"",IF(A151="","UC-ID missing",IF(COUNTIF($A$4:$A$253,A151)&gt;1,"Duplicate UC-ID",IF(OR(B151="",D151="",E151=""),"Use/owner/source missing",IF(AND(F151&lt;&gt;"",COUNTIF('System map'!$A$4:$A$203,F151)&lt;&gt;1),"AIR-ID not reconciled in map",IF(AND(I151="Confirmed",OR(H151="",NOT(ISNUMBER(H151)),G151="",G151="Unknown",G151="Low")),"Confirmed use lacks verification",IF(AND(I151="Confirmed",H151&gt;TODAY()),"Verified-on date is in the future","OK — verify source")))))))</f>
        <v/>
      </c>
      <c r="K151" s="17" t="n"/>
      <c r="L151" s="17" t="n"/>
      <c r="M151" s="17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6" t="n"/>
      <c r="I152" s="25" t="n"/>
      <c r="J152" s="25">
        <f>IF(COUNTA(A152:I152)=0,"",IF(A152="","UC-ID missing",IF(COUNTIF($A$4:$A$253,A152)&gt;1,"Duplicate UC-ID",IF(OR(B152="",D152="",E152=""),"Use/owner/source missing",IF(AND(F152&lt;&gt;"",COUNTIF('System map'!$A$4:$A$203,F152)&lt;&gt;1),"AIR-ID not reconciled in map",IF(AND(I152="Confirmed",OR(H152="",NOT(ISNUMBER(H152)),G152="",G152="Unknown",G152="Low")),"Confirmed use lacks verification",IF(AND(I152="Confirmed",H152&gt;TODAY()),"Verified-on date is in the future","OK — verify source")))))))</f>
        <v/>
      </c>
      <c r="K152" s="17" t="n"/>
      <c r="L152" s="17" t="n"/>
      <c r="M152" s="17" t="n"/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8" t="n"/>
      <c r="I153" s="27" t="n"/>
      <c r="J153" s="27">
        <f>IF(COUNTA(A153:I153)=0,"",IF(A153="","UC-ID missing",IF(COUNTIF($A$4:$A$253,A153)&gt;1,"Duplicate UC-ID",IF(OR(B153="",D153="",E153=""),"Use/owner/source missing",IF(AND(F153&lt;&gt;"",COUNTIF('System map'!$A$4:$A$203,F153)&lt;&gt;1),"AIR-ID not reconciled in map",IF(AND(I153="Confirmed",OR(H153="",NOT(ISNUMBER(H153)),G153="",G153="Unknown",G153="Low")),"Confirmed use lacks verification",IF(AND(I153="Confirmed",H153&gt;TODAY()),"Verified-on date is in the future","OK — verify source")))))))</f>
        <v/>
      </c>
      <c r="K153" s="17" t="n"/>
      <c r="L153" s="17" t="n"/>
      <c r="M153" s="17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6" t="n"/>
      <c r="I154" s="25" t="n"/>
      <c r="J154" s="25">
        <f>IF(COUNTA(A154:I154)=0,"",IF(A154="","UC-ID missing",IF(COUNTIF($A$4:$A$253,A154)&gt;1,"Duplicate UC-ID",IF(OR(B154="",D154="",E154=""),"Use/owner/source missing",IF(AND(F154&lt;&gt;"",COUNTIF('System map'!$A$4:$A$203,F154)&lt;&gt;1),"AIR-ID not reconciled in map",IF(AND(I154="Confirmed",OR(H154="",NOT(ISNUMBER(H154)),G154="",G154="Unknown",G154="Low")),"Confirmed use lacks verification",IF(AND(I154="Confirmed",H154&gt;TODAY()),"Verified-on date is in the future","OK — verify source")))))))</f>
        <v/>
      </c>
      <c r="K154" s="17" t="n"/>
      <c r="L154" s="17" t="n"/>
      <c r="M154" s="17" t="n"/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8" t="n"/>
      <c r="I155" s="27" t="n"/>
      <c r="J155" s="27">
        <f>IF(COUNTA(A155:I155)=0,"",IF(A155="","UC-ID missing",IF(COUNTIF($A$4:$A$253,A155)&gt;1,"Duplicate UC-ID",IF(OR(B155="",D155="",E155=""),"Use/owner/source missing",IF(AND(F155&lt;&gt;"",COUNTIF('System map'!$A$4:$A$203,F155)&lt;&gt;1),"AIR-ID not reconciled in map",IF(AND(I155="Confirmed",OR(H155="",NOT(ISNUMBER(H155)),G155="",G155="Unknown",G155="Low")),"Confirmed use lacks verification",IF(AND(I155="Confirmed",H155&gt;TODAY()),"Verified-on date is in the future","OK — verify source")))))))</f>
        <v/>
      </c>
      <c r="K155" s="17" t="n"/>
      <c r="L155" s="17" t="n"/>
      <c r="M155" s="17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6" t="n"/>
      <c r="I156" s="25" t="n"/>
      <c r="J156" s="25">
        <f>IF(COUNTA(A156:I156)=0,"",IF(A156="","UC-ID missing",IF(COUNTIF($A$4:$A$253,A156)&gt;1,"Duplicate UC-ID",IF(OR(B156="",D156="",E156=""),"Use/owner/source missing",IF(AND(F156&lt;&gt;"",COUNTIF('System map'!$A$4:$A$203,F156)&lt;&gt;1),"AIR-ID not reconciled in map",IF(AND(I156="Confirmed",OR(H156="",NOT(ISNUMBER(H156)),G156="",G156="Unknown",G156="Low")),"Confirmed use lacks verification",IF(AND(I156="Confirmed",H156&gt;TODAY()),"Verified-on date is in the future","OK — verify source")))))))</f>
        <v/>
      </c>
      <c r="K156" s="17" t="n"/>
      <c r="L156" s="17" t="n"/>
      <c r="M156" s="17" t="n"/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8" t="n"/>
      <c r="I157" s="27" t="n"/>
      <c r="J157" s="27">
        <f>IF(COUNTA(A157:I157)=0,"",IF(A157="","UC-ID missing",IF(COUNTIF($A$4:$A$253,A157)&gt;1,"Duplicate UC-ID",IF(OR(B157="",D157="",E157=""),"Use/owner/source missing",IF(AND(F157&lt;&gt;"",COUNTIF('System map'!$A$4:$A$203,F157)&lt;&gt;1),"AIR-ID not reconciled in map",IF(AND(I157="Confirmed",OR(H157="",NOT(ISNUMBER(H157)),G157="",G157="Unknown",G157="Low")),"Confirmed use lacks verification",IF(AND(I157="Confirmed",H157&gt;TODAY()),"Verified-on date is in the future","OK — verify source")))))))</f>
        <v/>
      </c>
      <c r="K157" s="17" t="n"/>
      <c r="L157" s="17" t="n"/>
      <c r="M157" s="17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6" t="n"/>
      <c r="I158" s="25" t="n"/>
      <c r="J158" s="25">
        <f>IF(COUNTA(A158:I158)=0,"",IF(A158="","UC-ID missing",IF(COUNTIF($A$4:$A$253,A158)&gt;1,"Duplicate UC-ID",IF(OR(B158="",D158="",E158=""),"Use/owner/source missing",IF(AND(F158&lt;&gt;"",COUNTIF('System map'!$A$4:$A$203,F158)&lt;&gt;1),"AIR-ID not reconciled in map",IF(AND(I158="Confirmed",OR(H158="",NOT(ISNUMBER(H158)),G158="",G158="Unknown",G158="Low")),"Confirmed use lacks verification",IF(AND(I158="Confirmed",H158&gt;TODAY()),"Verified-on date is in the future","OK — verify source")))))))</f>
        <v/>
      </c>
      <c r="K158" s="17" t="n"/>
      <c r="L158" s="17" t="n"/>
      <c r="M158" s="17" t="n"/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8" t="n"/>
      <c r="I159" s="27" t="n"/>
      <c r="J159" s="27">
        <f>IF(COUNTA(A159:I159)=0,"",IF(A159="","UC-ID missing",IF(COUNTIF($A$4:$A$253,A159)&gt;1,"Duplicate UC-ID",IF(OR(B159="",D159="",E159=""),"Use/owner/source missing",IF(AND(F159&lt;&gt;"",COUNTIF('System map'!$A$4:$A$203,F159)&lt;&gt;1),"AIR-ID not reconciled in map",IF(AND(I159="Confirmed",OR(H159="",NOT(ISNUMBER(H159)),G159="",G159="Unknown",G159="Low")),"Confirmed use lacks verification",IF(AND(I159="Confirmed",H159&gt;TODAY()),"Verified-on date is in the future","OK — verify source")))))))</f>
        <v/>
      </c>
      <c r="K159" s="17" t="n"/>
      <c r="L159" s="17" t="n"/>
      <c r="M159" s="17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6" t="n"/>
      <c r="I160" s="25" t="n"/>
      <c r="J160" s="25">
        <f>IF(COUNTA(A160:I160)=0,"",IF(A160="","UC-ID missing",IF(COUNTIF($A$4:$A$253,A160)&gt;1,"Duplicate UC-ID",IF(OR(B160="",D160="",E160=""),"Use/owner/source missing",IF(AND(F160&lt;&gt;"",COUNTIF('System map'!$A$4:$A$203,F160)&lt;&gt;1),"AIR-ID not reconciled in map",IF(AND(I160="Confirmed",OR(H160="",NOT(ISNUMBER(H160)),G160="",G160="Unknown",G160="Low")),"Confirmed use lacks verification",IF(AND(I160="Confirmed",H160&gt;TODAY()),"Verified-on date is in the future","OK — verify source")))))))</f>
        <v/>
      </c>
      <c r="K160" s="17" t="n"/>
      <c r="L160" s="17" t="n"/>
      <c r="M160" s="17" t="n"/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8" t="n"/>
      <c r="I161" s="27" t="n"/>
      <c r="J161" s="27">
        <f>IF(COUNTA(A161:I161)=0,"",IF(A161="","UC-ID missing",IF(COUNTIF($A$4:$A$253,A161)&gt;1,"Duplicate UC-ID",IF(OR(B161="",D161="",E161=""),"Use/owner/source missing",IF(AND(F161&lt;&gt;"",COUNTIF('System map'!$A$4:$A$203,F161)&lt;&gt;1),"AIR-ID not reconciled in map",IF(AND(I161="Confirmed",OR(H161="",NOT(ISNUMBER(H161)),G161="",G161="Unknown",G161="Low")),"Confirmed use lacks verification",IF(AND(I161="Confirmed",H161&gt;TODAY()),"Verified-on date is in the future","OK — verify source")))))))</f>
        <v/>
      </c>
      <c r="K161" s="17" t="n"/>
      <c r="L161" s="17" t="n"/>
      <c r="M161" s="17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6" t="n"/>
      <c r="I162" s="25" t="n"/>
      <c r="J162" s="25">
        <f>IF(COUNTA(A162:I162)=0,"",IF(A162="","UC-ID missing",IF(COUNTIF($A$4:$A$253,A162)&gt;1,"Duplicate UC-ID",IF(OR(B162="",D162="",E162=""),"Use/owner/source missing",IF(AND(F162&lt;&gt;"",COUNTIF('System map'!$A$4:$A$203,F162)&lt;&gt;1),"AIR-ID not reconciled in map",IF(AND(I162="Confirmed",OR(H162="",NOT(ISNUMBER(H162)),G162="",G162="Unknown",G162="Low")),"Confirmed use lacks verification",IF(AND(I162="Confirmed",H162&gt;TODAY()),"Verified-on date is in the future","OK — verify source")))))))</f>
        <v/>
      </c>
      <c r="K162" s="17" t="n"/>
      <c r="L162" s="17" t="n"/>
      <c r="M162" s="17" t="n"/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8" t="n"/>
      <c r="I163" s="27" t="n"/>
      <c r="J163" s="27">
        <f>IF(COUNTA(A163:I163)=0,"",IF(A163="","UC-ID missing",IF(COUNTIF($A$4:$A$253,A163)&gt;1,"Duplicate UC-ID",IF(OR(B163="",D163="",E163=""),"Use/owner/source missing",IF(AND(F163&lt;&gt;"",COUNTIF('System map'!$A$4:$A$203,F163)&lt;&gt;1),"AIR-ID not reconciled in map",IF(AND(I163="Confirmed",OR(H163="",NOT(ISNUMBER(H163)),G163="",G163="Unknown",G163="Low")),"Confirmed use lacks verification",IF(AND(I163="Confirmed",H163&gt;TODAY()),"Verified-on date is in the future","OK — verify source")))))))</f>
        <v/>
      </c>
      <c r="K163" s="17" t="n"/>
      <c r="L163" s="17" t="n"/>
      <c r="M163" s="17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6" t="n"/>
      <c r="I164" s="25" t="n"/>
      <c r="J164" s="25">
        <f>IF(COUNTA(A164:I164)=0,"",IF(A164="","UC-ID missing",IF(COUNTIF($A$4:$A$253,A164)&gt;1,"Duplicate UC-ID",IF(OR(B164="",D164="",E164=""),"Use/owner/source missing",IF(AND(F164&lt;&gt;"",COUNTIF('System map'!$A$4:$A$203,F164)&lt;&gt;1),"AIR-ID not reconciled in map",IF(AND(I164="Confirmed",OR(H164="",NOT(ISNUMBER(H164)),G164="",G164="Unknown",G164="Low")),"Confirmed use lacks verification",IF(AND(I164="Confirmed",H164&gt;TODAY()),"Verified-on date is in the future","OK — verify source")))))))</f>
        <v/>
      </c>
      <c r="K164" s="17" t="n"/>
      <c r="L164" s="17" t="n"/>
      <c r="M164" s="17" t="n"/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8" t="n"/>
      <c r="I165" s="27" t="n"/>
      <c r="J165" s="27">
        <f>IF(COUNTA(A165:I165)=0,"",IF(A165="","UC-ID missing",IF(COUNTIF($A$4:$A$253,A165)&gt;1,"Duplicate UC-ID",IF(OR(B165="",D165="",E165=""),"Use/owner/source missing",IF(AND(F165&lt;&gt;"",COUNTIF('System map'!$A$4:$A$203,F165)&lt;&gt;1),"AIR-ID not reconciled in map",IF(AND(I165="Confirmed",OR(H165="",NOT(ISNUMBER(H165)),G165="",G165="Unknown",G165="Low")),"Confirmed use lacks verification",IF(AND(I165="Confirmed",H165&gt;TODAY()),"Verified-on date is in the future","OK — verify source")))))))</f>
        <v/>
      </c>
      <c r="K165" s="17" t="n"/>
      <c r="L165" s="17" t="n"/>
      <c r="M165" s="17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6" t="n"/>
      <c r="I166" s="25" t="n"/>
      <c r="J166" s="25">
        <f>IF(COUNTA(A166:I166)=0,"",IF(A166="","UC-ID missing",IF(COUNTIF($A$4:$A$253,A166)&gt;1,"Duplicate UC-ID",IF(OR(B166="",D166="",E166=""),"Use/owner/source missing",IF(AND(F166&lt;&gt;"",COUNTIF('System map'!$A$4:$A$203,F166)&lt;&gt;1),"AIR-ID not reconciled in map",IF(AND(I166="Confirmed",OR(H166="",NOT(ISNUMBER(H166)),G166="",G166="Unknown",G166="Low")),"Confirmed use lacks verification",IF(AND(I166="Confirmed",H166&gt;TODAY()),"Verified-on date is in the future","OK — verify source")))))))</f>
        <v/>
      </c>
      <c r="K166" s="17" t="n"/>
      <c r="L166" s="17" t="n"/>
      <c r="M166" s="17" t="n"/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8" t="n"/>
      <c r="I167" s="27" t="n"/>
      <c r="J167" s="27">
        <f>IF(COUNTA(A167:I167)=0,"",IF(A167="","UC-ID missing",IF(COUNTIF($A$4:$A$253,A167)&gt;1,"Duplicate UC-ID",IF(OR(B167="",D167="",E167=""),"Use/owner/source missing",IF(AND(F167&lt;&gt;"",COUNTIF('System map'!$A$4:$A$203,F167)&lt;&gt;1),"AIR-ID not reconciled in map",IF(AND(I167="Confirmed",OR(H167="",NOT(ISNUMBER(H167)),G167="",G167="Unknown",G167="Low")),"Confirmed use lacks verification",IF(AND(I167="Confirmed",H167&gt;TODAY()),"Verified-on date is in the future","OK — verify source")))))))</f>
        <v/>
      </c>
      <c r="K167" s="17" t="n"/>
      <c r="L167" s="17" t="n"/>
      <c r="M167" s="17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6" t="n"/>
      <c r="I168" s="25" t="n"/>
      <c r="J168" s="25">
        <f>IF(COUNTA(A168:I168)=0,"",IF(A168="","UC-ID missing",IF(COUNTIF($A$4:$A$253,A168)&gt;1,"Duplicate UC-ID",IF(OR(B168="",D168="",E168=""),"Use/owner/source missing",IF(AND(F168&lt;&gt;"",COUNTIF('System map'!$A$4:$A$203,F168)&lt;&gt;1),"AIR-ID not reconciled in map",IF(AND(I168="Confirmed",OR(H168="",NOT(ISNUMBER(H168)),G168="",G168="Unknown",G168="Low")),"Confirmed use lacks verification",IF(AND(I168="Confirmed",H168&gt;TODAY()),"Verified-on date is in the future","OK — verify source")))))))</f>
        <v/>
      </c>
      <c r="K168" s="17" t="n"/>
      <c r="L168" s="17" t="n"/>
      <c r="M168" s="17" t="n"/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8" t="n"/>
      <c r="I169" s="27" t="n"/>
      <c r="J169" s="27">
        <f>IF(COUNTA(A169:I169)=0,"",IF(A169="","UC-ID missing",IF(COUNTIF($A$4:$A$253,A169)&gt;1,"Duplicate UC-ID",IF(OR(B169="",D169="",E169=""),"Use/owner/source missing",IF(AND(F169&lt;&gt;"",COUNTIF('System map'!$A$4:$A$203,F169)&lt;&gt;1),"AIR-ID not reconciled in map",IF(AND(I169="Confirmed",OR(H169="",NOT(ISNUMBER(H169)),G169="",G169="Unknown",G169="Low")),"Confirmed use lacks verification",IF(AND(I169="Confirmed",H169&gt;TODAY()),"Verified-on date is in the future","OK — verify source")))))))</f>
        <v/>
      </c>
      <c r="K169" s="17" t="n"/>
      <c r="L169" s="17" t="n"/>
      <c r="M169" s="17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6" t="n"/>
      <c r="I170" s="25" t="n"/>
      <c r="J170" s="25">
        <f>IF(COUNTA(A170:I170)=0,"",IF(A170="","UC-ID missing",IF(COUNTIF($A$4:$A$253,A170)&gt;1,"Duplicate UC-ID",IF(OR(B170="",D170="",E170=""),"Use/owner/source missing",IF(AND(F170&lt;&gt;"",COUNTIF('System map'!$A$4:$A$203,F170)&lt;&gt;1),"AIR-ID not reconciled in map",IF(AND(I170="Confirmed",OR(H170="",NOT(ISNUMBER(H170)),G170="",G170="Unknown",G170="Low")),"Confirmed use lacks verification",IF(AND(I170="Confirmed",H170&gt;TODAY()),"Verified-on date is in the future","OK — verify source")))))))</f>
        <v/>
      </c>
      <c r="K170" s="17" t="n"/>
      <c r="L170" s="17" t="n"/>
      <c r="M170" s="17" t="n"/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8" t="n"/>
      <c r="I171" s="27" t="n"/>
      <c r="J171" s="27">
        <f>IF(COUNTA(A171:I171)=0,"",IF(A171="","UC-ID missing",IF(COUNTIF($A$4:$A$253,A171)&gt;1,"Duplicate UC-ID",IF(OR(B171="",D171="",E171=""),"Use/owner/source missing",IF(AND(F171&lt;&gt;"",COUNTIF('System map'!$A$4:$A$203,F171)&lt;&gt;1),"AIR-ID not reconciled in map",IF(AND(I171="Confirmed",OR(H171="",NOT(ISNUMBER(H171)),G171="",G171="Unknown",G171="Low")),"Confirmed use lacks verification",IF(AND(I171="Confirmed",H171&gt;TODAY()),"Verified-on date is in the future","OK — verify source")))))))</f>
        <v/>
      </c>
      <c r="K171" s="17" t="n"/>
      <c r="L171" s="17" t="n"/>
      <c r="M171" s="17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6" t="n"/>
      <c r="I172" s="25" t="n"/>
      <c r="J172" s="25">
        <f>IF(COUNTA(A172:I172)=0,"",IF(A172="","UC-ID missing",IF(COUNTIF($A$4:$A$253,A172)&gt;1,"Duplicate UC-ID",IF(OR(B172="",D172="",E172=""),"Use/owner/source missing",IF(AND(F172&lt;&gt;"",COUNTIF('System map'!$A$4:$A$203,F172)&lt;&gt;1),"AIR-ID not reconciled in map",IF(AND(I172="Confirmed",OR(H172="",NOT(ISNUMBER(H172)),G172="",G172="Unknown",G172="Low")),"Confirmed use lacks verification",IF(AND(I172="Confirmed",H172&gt;TODAY()),"Verified-on date is in the future","OK — verify source")))))))</f>
        <v/>
      </c>
      <c r="K172" s="17" t="n"/>
      <c r="L172" s="17" t="n"/>
      <c r="M172" s="17" t="n"/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8" t="n"/>
      <c r="I173" s="27" t="n"/>
      <c r="J173" s="27">
        <f>IF(COUNTA(A173:I173)=0,"",IF(A173="","UC-ID missing",IF(COUNTIF($A$4:$A$253,A173)&gt;1,"Duplicate UC-ID",IF(OR(B173="",D173="",E173=""),"Use/owner/source missing",IF(AND(F173&lt;&gt;"",COUNTIF('System map'!$A$4:$A$203,F173)&lt;&gt;1),"AIR-ID not reconciled in map",IF(AND(I173="Confirmed",OR(H173="",NOT(ISNUMBER(H173)),G173="",G173="Unknown",G173="Low")),"Confirmed use lacks verification",IF(AND(I173="Confirmed",H173&gt;TODAY()),"Verified-on date is in the future","OK — verify source")))))))</f>
        <v/>
      </c>
      <c r="K173" s="17" t="n"/>
      <c r="L173" s="17" t="n"/>
      <c r="M173" s="17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6" t="n"/>
      <c r="I174" s="25" t="n"/>
      <c r="J174" s="25">
        <f>IF(COUNTA(A174:I174)=0,"",IF(A174="","UC-ID missing",IF(COUNTIF($A$4:$A$253,A174)&gt;1,"Duplicate UC-ID",IF(OR(B174="",D174="",E174=""),"Use/owner/source missing",IF(AND(F174&lt;&gt;"",COUNTIF('System map'!$A$4:$A$203,F174)&lt;&gt;1),"AIR-ID not reconciled in map",IF(AND(I174="Confirmed",OR(H174="",NOT(ISNUMBER(H174)),G174="",G174="Unknown",G174="Low")),"Confirmed use lacks verification",IF(AND(I174="Confirmed",H174&gt;TODAY()),"Verified-on date is in the future","OK — verify source")))))))</f>
        <v/>
      </c>
      <c r="K174" s="17" t="n"/>
      <c r="L174" s="17" t="n"/>
      <c r="M174" s="17" t="n"/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8" t="n"/>
      <c r="I175" s="27" t="n"/>
      <c r="J175" s="27">
        <f>IF(COUNTA(A175:I175)=0,"",IF(A175="","UC-ID missing",IF(COUNTIF($A$4:$A$253,A175)&gt;1,"Duplicate UC-ID",IF(OR(B175="",D175="",E175=""),"Use/owner/source missing",IF(AND(F175&lt;&gt;"",COUNTIF('System map'!$A$4:$A$203,F175)&lt;&gt;1),"AIR-ID not reconciled in map",IF(AND(I175="Confirmed",OR(H175="",NOT(ISNUMBER(H175)),G175="",G175="Unknown",G175="Low")),"Confirmed use lacks verification",IF(AND(I175="Confirmed",H175&gt;TODAY()),"Verified-on date is in the future","OK — verify source")))))))</f>
        <v/>
      </c>
      <c r="K175" s="17" t="n"/>
      <c r="L175" s="17" t="n"/>
      <c r="M175" s="17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6" t="n"/>
      <c r="I176" s="25" t="n"/>
      <c r="J176" s="25">
        <f>IF(COUNTA(A176:I176)=0,"",IF(A176="","UC-ID missing",IF(COUNTIF($A$4:$A$253,A176)&gt;1,"Duplicate UC-ID",IF(OR(B176="",D176="",E176=""),"Use/owner/source missing",IF(AND(F176&lt;&gt;"",COUNTIF('System map'!$A$4:$A$203,F176)&lt;&gt;1),"AIR-ID not reconciled in map",IF(AND(I176="Confirmed",OR(H176="",NOT(ISNUMBER(H176)),G176="",G176="Unknown",G176="Low")),"Confirmed use lacks verification",IF(AND(I176="Confirmed",H176&gt;TODAY()),"Verified-on date is in the future","OK — verify source")))))))</f>
        <v/>
      </c>
      <c r="K176" s="17" t="n"/>
      <c r="L176" s="17" t="n"/>
      <c r="M176" s="17" t="n"/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8" t="n"/>
      <c r="I177" s="27" t="n"/>
      <c r="J177" s="27">
        <f>IF(COUNTA(A177:I177)=0,"",IF(A177="","UC-ID missing",IF(COUNTIF($A$4:$A$253,A177)&gt;1,"Duplicate UC-ID",IF(OR(B177="",D177="",E177=""),"Use/owner/source missing",IF(AND(F177&lt;&gt;"",COUNTIF('System map'!$A$4:$A$203,F177)&lt;&gt;1),"AIR-ID not reconciled in map",IF(AND(I177="Confirmed",OR(H177="",NOT(ISNUMBER(H177)),G177="",G177="Unknown",G177="Low")),"Confirmed use lacks verification",IF(AND(I177="Confirmed",H177&gt;TODAY()),"Verified-on date is in the future","OK — verify source")))))))</f>
        <v/>
      </c>
      <c r="K177" s="17" t="n"/>
      <c r="L177" s="17" t="n"/>
      <c r="M177" s="17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6" t="n"/>
      <c r="I178" s="25" t="n"/>
      <c r="J178" s="25">
        <f>IF(COUNTA(A178:I178)=0,"",IF(A178="","UC-ID missing",IF(COUNTIF($A$4:$A$253,A178)&gt;1,"Duplicate UC-ID",IF(OR(B178="",D178="",E178=""),"Use/owner/source missing",IF(AND(F178&lt;&gt;"",COUNTIF('System map'!$A$4:$A$203,F178)&lt;&gt;1),"AIR-ID not reconciled in map",IF(AND(I178="Confirmed",OR(H178="",NOT(ISNUMBER(H178)),G178="",G178="Unknown",G178="Low")),"Confirmed use lacks verification",IF(AND(I178="Confirmed",H178&gt;TODAY()),"Verified-on date is in the future","OK — verify source")))))))</f>
        <v/>
      </c>
      <c r="K178" s="17" t="n"/>
      <c r="L178" s="17" t="n"/>
      <c r="M178" s="17" t="n"/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8" t="n"/>
      <c r="I179" s="27" t="n"/>
      <c r="J179" s="27">
        <f>IF(COUNTA(A179:I179)=0,"",IF(A179="","UC-ID missing",IF(COUNTIF($A$4:$A$253,A179)&gt;1,"Duplicate UC-ID",IF(OR(B179="",D179="",E179=""),"Use/owner/source missing",IF(AND(F179&lt;&gt;"",COUNTIF('System map'!$A$4:$A$203,F179)&lt;&gt;1),"AIR-ID not reconciled in map",IF(AND(I179="Confirmed",OR(H179="",NOT(ISNUMBER(H179)),G179="",G179="Unknown",G179="Low")),"Confirmed use lacks verification",IF(AND(I179="Confirmed",H179&gt;TODAY()),"Verified-on date is in the future","OK — verify source")))))))</f>
        <v/>
      </c>
      <c r="K179" s="17" t="n"/>
      <c r="L179" s="17" t="n"/>
      <c r="M179" s="17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6" t="n"/>
      <c r="I180" s="25" t="n"/>
      <c r="J180" s="25">
        <f>IF(COUNTA(A180:I180)=0,"",IF(A180="","UC-ID missing",IF(COUNTIF($A$4:$A$253,A180)&gt;1,"Duplicate UC-ID",IF(OR(B180="",D180="",E180=""),"Use/owner/source missing",IF(AND(F180&lt;&gt;"",COUNTIF('System map'!$A$4:$A$203,F180)&lt;&gt;1),"AIR-ID not reconciled in map",IF(AND(I180="Confirmed",OR(H180="",NOT(ISNUMBER(H180)),G180="",G180="Unknown",G180="Low")),"Confirmed use lacks verification",IF(AND(I180="Confirmed",H180&gt;TODAY()),"Verified-on date is in the future","OK — verify source")))))))</f>
        <v/>
      </c>
      <c r="K180" s="17" t="n"/>
      <c r="L180" s="17" t="n"/>
      <c r="M180" s="17" t="n"/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8" t="n"/>
      <c r="I181" s="27" t="n"/>
      <c r="J181" s="27">
        <f>IF(COUNTA(A181:I181)=0,"",IF(A181="","UC-ID missing",IF(COUNTIF($A$4:$A$253,A181)&gt;1,"Duplicate UC-ID",IF(OR(B181="",D181="",E181=""),"Use/owner/source missing",IF(AND(F181&lt;&gt;"",COUNTIF('System map'!$A$4:$A$203,F181)&lt;&gt;1),"AIR-ID not reconciled in map",IF(AND(I181="Confirmed",OR(H181="",NOT(ISNUMBER(H181)),G181="",G181="Unknown",G181="Low")),"Confirmed use lacks verification",IF(AND(I181="Confirmed",H181&gt;TODAY()),"Verified-on date is in the future","OK — verify source")))))))</f>
        <v/>
      </c>
      <c r="K181" s="17" t="n"/>
      <c r="L181" s="17" t="n"/>
      <c r="M181" s="17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6" t="n"/>
      <c r="I182" s="25" t="n"/>
      <c r="J182" s="25">
        <f>IF(COUNTA(A182:I182)=0,"",IF(A182="","UC-ID missing",IF(COUNTIF($A$4:$A$253,A182)&gt;1,"Duplicate UC-ID",IF(OR(B182="",D182="",E182=""),"Use/owner/source missing",IF(AND(F182&lt;&gt;"",COUNTIF('System map'!$A$4:$A$203,F182)&lt;&gt;1),"AIR-ID not reconciled in map",IF(AND(I182="Confirmed",OR(H182="",NOT(ISNUMBER(H182)),G182="",G182="Unknown",G182="Low")),"Confirmed use lacks verification",IF(AND(I182="Confirmed",H182&gt;TODAY()),"Verified-on date is in the future","OK — verify source")))))))</f>
        <v/>
      </c>
      <c r="K182" s="17" t="n"/>
      <c r="L182" s="17" t="n"/>
      <c r="M182" s="17" t="n"/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8" t="n"/>
      <c r="I183" s="27" t="n"/>
      <c r="J183" s="27">
        <f>IF(COUNTA(A183:I183)=0,"",IF(A183="","UC-ID missing",IF(COUNTIF($A$4:$A$253,A183)&gt;1,"Duplicate UC-ID",IF(OR(B183="",D183="",E183=""),"Use/owner/source missing",IF(AND(F183&lt;&gt;"",COUNTIF('System map'!$A$4:$A$203,F183)&lt;&gt;1),"AIR-ID not reconciled in map",IF(AND(I183="Confirmed",OR(H183="",NOT(ISNUMBER(H183)),G183="",G183="Unknown",G183="Low")),"Confirmed use lacks verification",IF(AND(I183="Confirmed",H183&gt;TODAY()),"Verified-on date is in the future","OK — verify source")))))))</f>
        <v/>
      </c>
      <c r="K183" s="17" t="n"/>
      <c r="L183" s="17" t="n"/>
      <c r="M183" s="17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6" t="n"/>
      <c r="I184" s="25" t="n"/>
      <c r="J184" s="25">
        <f>IF(COUNTA(A184:I184)=0,"",IF(A184="","UC-ID missing",IF(COUNTIF($A$4:$A$253,A184)&gt;1,"Duplicate UC-ID",IF(OR(B184="",D184="",E184=""),"Use/owner/source missing",IF(AND(F184&lt;&gt;"",COUNTIF('System map'!$A$4:$A$203,F184)&lt;&gt;1),"AIR-ID not reconciled in map",IF(AND(I184="Confirmed",OR(H184="",NOT(ISNUMBER(H184)),G184="",G184="Unknown",G184="Low")),"Confirmed use lacks verification",IF(AND(I184="Confirmed",H184&gt;TODAY()),"Verified-on date is in the future","OK — verify source")))))))</f>
        <v/>
      </c>
      <c r="K184" s="17" t="n"/>
      <c r="L184" s="17" t="n"/>
      <c r="M184" s="17" t="n"/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8" t="n"/>
      <c r="I185" s="27" t="n"/>
      <c r="J185" s="27">
        <f>IF(COUNTA(A185:I185)=0,"",IF(A185="","UC-ID missing",IF(COUNTIF($A$4:$A$253,A185)&gt;1,"Duplicate UC-ID",IF(OR(B185="",D185="",E185=""),"Use/owner/source missing",IF(AND(F185&lt;&gt;"",COUNTIF('System map'!$A$4:$A$203,F185)&lt;&gt;1),"AIR-ID not reconciled in map",IF(AND(I185="Confirmed",OR(H185="",NOT(ISNUMBER(H185)),G185="",G185="Unknown",G185="Low")),"Confirmed use lacks verification",IF(AND(I185="Confirmed",H185&gt;TODAY()),"Verified-on date is in the future","OK — verify source")))))))</f>
        <v/>
      </c>
      <c r="K185" s="17" t="n"/>
      <c r="L185" s="17" t="n"/>
      <c r="M185" s="17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6" t="n"/>
      <c r="I186" s="25" t="n"/>
      <c r="J186" s="25">
        <f>IF(COUNTA(A186:I186)=0,"",IF(A186="","UC-ID missing",IF(COUNTIF($A$4:$A$253,A186)&gt;1,"Duplicate UC-ID",IF(OR(B186="",D186="",E186=""),"Use/owner/source missing",IF(AND(F186&lt;&gt;"",COUNTIF('System map'!$A$4:$A$203,F186)&lt;&gt;1),"AIR-ID not reconciled in map",IF(AND(I186="Confirmed",OR(H186="",NOT(ISNUMBER(H186)),G186="",G186="Unknown",G186="Low")),"Confirmed use lacks verification",IF(AND(I186="Confirmed",H186&gt;TODAY()),"Verified-on date is in the future","OK — verify source")))))))</f>
        <v/>
      </c>
      <c r="K186" s="17" t="n"/>
      <c r="L186" s="17" t="n"/>
      <c r="M186" s="17" t="n"/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8" t="n"/>
      <c r="I187" s="27" t="n"/>
      <c r="J187" s="27">
        <f>IF(COUNTA(A187:I187)=0,"",IF(A187="","UC-ID missing",IF(COUNTIF($A$4:$A$253,A187)&gt;1,"Duplicate UC-ID",IF(OR(B187="",D187="",E187=""),"Use/owner/source missing",IF(AND(F187&lt;&gt;"",COUNTIF('System map'!$A$4:$A$203,F187)&lt;&gt;1),"AIR-ID not reconciled in map",IF(AND(I187="Confirmed",OR(H187="",NOT(ISNUMBER(H187)),G187="",G187="Unknown",G187="Low")),"Confirmed use lacks verification",IF(AND(I187="Confirmed",H187&gt;TODAY()),"Verified-on date is in the future","OK — verify source")))))))</f>
        <v/>
      </c>
      <c r="K187" s="17" t="n"/>
      <c r="L187" s="17" t="n"/>
      <c r="M187" s="17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6" t="n"/>
      <c r="I188" s="25" t="n"/>
      <c r="J188" s="25">
        <f>IF(COUNTA(A188:I188)=0,"",IF(A188="","UC-ID missing",IF(COUNTIF($A$4:$A$253,A188)&gt;1,"Duplicate UC-ID",IF(OR(B188="",D188="",E188=""),"Use/owner/source missing",IF(AND(F188&lt;&gt;"",COUNTIF('System map'!$A$4:$A$203,F188)&lt;&gt;1),"AIR-ID not reconciled in map",IF(AND(I188="Confirmed",OR(H188="",NOT(ISNUMBER(H188)),G188="",G188="Unknown",G188="Low")),"Confirmed use lacks verification",IF(AND(I188="Confirmed",H188&gt;TODAY()),"Verified-on date is in the future","OK — verify source")))))))</f>
        <v/>
      </c>
      <c r="K188" s="17" t="n"/>
      <c r="L188" s="17" t="n"/>
      <c r="M188" s="17" t="n"/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8" t="n"/>
      <c r="I189" s="27" t="n"/>
      <c r="J189" s="27">
        <f>IF(COUNTA(A189:I189)=0,"",IF(A189="","UC-ID missing",IF(COUNTIF($A$4:$A$253,A189)&gt;1,"Duplicate UC-ID",IF(OR(B189="",D189="",E189=""),"Use/owner/source missing",IF(AND(F189&lt;&gt;"",COUNTIF('System map'!$A$4:$A$203,F189)&lt;&gt;1),"AIR-ID not reconciled in map",IF(AND(I189="Confirmed",OR(H189="",NOT(ISNUMBER(H189)),G189="",G189="Unknown",G189="Low")),"Confirmed use lacks verification",IF(AND(I189="Confirmed",H189&gt;TODAY()),"Verified-on date is in the future","OK — verify source")))))))</f>
        <v/>
      </c>
      <c r="K189" s="17" t="n"/>
      <c r="L189" s="17" t="n"/>
      <c r="M189" s="17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6" t="n"/>
      <c r="I190" s="25" t="n"/>
      <c r="J190" s="25">
        <f>IF(COUNTA(A190:I190)=0,"",IF(A190="","UC-ID missing",IF(COUNTIF($A$4:$A$253,A190)&gt;1,"Duplicate UC-ID",IF(OR(B190="",D190="",E190=""),"Use/owner/source missing",IF(AND(F190&lt;&gt;"",COUNTIF('System map'!$A$4:$A$203,F190)&lt;&gt;1),"AIR-ID not reconciled in map",IF(AND(I190="Confirmed",OR(H190="",NOT(ISNUMBER(H190)),G190="",G190="Unknown",G190="Low")),"Confirmed use lacks verification",IF(AND(I190="Confirmed",H190&gt;TODAY()),"Verified-on date is in the future","OK — verify source")))))))</f>
        <v/>
      </c>
      <c r="K190" s="17" t="n"/>
      <c r="L190" s="17" t="n"/>
      <c r="M190" s="17" t="n"/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8" t="n"/>
      <c r="I191" s="27" t="n"/>
      <c r="J191" s="27">
        <f>IF(COUNTA(A191:I191)=0,"",IF(A191="","UC-ID missing",IF(COUNTIF($A$4:$A$253,A191)&gt;1,"Duplicate UC-ID",IF(OR(B191="",D191="",E191=""),"Use/owner/source missing",IF(AND(F191&lt;&gt;"",COUNTIF('System map'!$A$4:$A$203,F191)&lt;&gt;1),"AIR-ID not reconciled in map",IF(AND(I191="Confirmed",OR(H191="",NOT(ISNUMBER(H191)),G191="",G191="Unknown",G191="Low")),"Confirmed use lacks verification",IF(AND(I191="Confirmed",H191&gt;TODAY()),"Verified-on date is in the future","OK — verify source")))))))</f>
        <v/>
      </c>
      <c r="K191" s="17" t="n"/>
      <c r="L191" s="17" t="n"/>
      <c r="M191" s="17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6" t="n"/>
      <c r="I192" s="25" t="n"/>
      <c r="J192" s="25">
        <f>IF(COUNTA(A192:I192)=0,"",IF(A192="","UC-ID missing",IF(COUNTIF($A$4:$A$253,A192)&gt;1,"Duplicate UC-ID",IF(OR(B192="",D192="",E192=""),"Use/owner/source missing",IF(AND(F192&lt;&gt;"",COUNTIF('System map'!$A$4:$A$203,F192)&lt;&gt;1),"AIR-ID not reconciled in map",IF(AND(I192="Confirmed",OR(H192="",NOT(ISNUMBER(H192)),G192="",G192="Unknown",G192="Low")),"Confirmed use lacks verification",IF(AND(I192="Confirmed",H192&gt;TODAY()),"Verified-on date is in the future","OK — verify source")))))))</f>
        <v/>
      </c>
      <c r="K192" s="17" t="n"/>
      <c r="L192" s="17" t="n"/>
      <c r="M192" s="17" t="n"/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8" t="n"/>
      <c r="I193" s="27" t="n"/>
      <c r="J193" s="27">
        <f>IF(COUNTA(A193:I193)=0,"",IF(A193="","UC-ID missing",IF(COUNTIF($A$4:$A$253,A193)&gt;1,"Duplicate UC-ID",IF(OR(B193="",D193="",E193=""),"Use/owner/source missing",IF(AND(F193&lt;&gt;"",COUNTIF('System map'!$A$4:$A$203,F193)&lt;&gt;1),"AIR-ID not reconciled in map",IF(AND(I193="Confirmed",OR(H193="",NOT(ISNUMBER(H193)),G193="",G193="Unknown",G193="Low")),"Confirmed use lacks verification",IF(AND(I193="Confirmed",H193&gt;TODAY()),"Verified-on date is in the future","OK — verify source")))))))</f>
        <v/>
      </c>
      <c r="K193" s="17" t="n"/>
      <c r="L193" s="17" t="n"/>
      <c r="M193" s="17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6" t="n"/>
      <c r="I194" s="25" t="n"/>
      <c r="J194" s="25">
        <f>IF(COUNTA(A194:I194)=0,"",IF(A194="","UC-ID missing",IF(COUNTIF($A$4:$A$253,A194)&gt;1,"Duplicate UC-ID",IF(OR(B194="",D194="",E194=""),"Use/owner/source missing",IF(AND(F194&lt;&gt;"",COUNTIF('System map'!$A$4:$A$203,F194)&lt;&gt;1),"AIR-ID not reconciled in map",IF(AND(I194="Confirmed",OR(H194="",NOT(ISNUMBER(H194)),G194="",G194="Unknown",G194="Low")),"Confirmed use lacks verification",IF(AND(I194="Confirmed",H194&gt;TODAY()),"Verified-on date is in the future","OK — verify source")))))))</f>
        <v/>
      </c>
      <c r="K194" s="17" t="n"/>
      <c r="L194" s="17" t="n"/>
      <c r="M194" s="17" t="n"/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8" t="n"/>
      <c r="I195" s="27" t="n"/>
      <c r="J195" s="27">
        <f>IF(COUNTA(A195:I195)=0,"",IF(A195="","UC-ID missing",IF(COUNTIF($A$4:$A$253,A195)&gt;1,"Duplicate UC-ID",IF(OR(B195="",D195="",E195=""),"Use/owner/source missing",IF(AND(F195&lt;&gt;"",COUNTIF('System map'!$A$4:$A$203,F195)&lt;&gt;1),"AIR-ID not reconciled in map",IF(AND(I195="Confirmed",OR(H195="",NOT(ISNUMBER(H195)),G195="",G195="Unknown",G195="Low")),"Confirmed use lacks verification",IF(AND(I195="Confirmed",H195&gt;TODAY()),"Verified-on date is in the future","OK — verify source")))))))</f>
        <v/>
      </c>
      <c r="K195" s="17" t="n"/>
      <c r="L195" s="17" t="n"/>
      <c r="M195" s="17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6" t="n"/>
      <c r="I196" s="25" t="n"/>
      <c r="J196" s="25">
        <f>IF(COUNTA(A196:I196)=0,"",IF(A196="","UC-ID missing",IF(COUNTIF($A$4:$A$253,A196)&gt;1,"Duplicate UC-ID",IF(OR(B196="",D196="",E196=""),"Use/owner/source missing",IF(AND(F196&lt;&gt;"",COUNTIF('System map'!$A$4:$A$203,F196)&lt;&gt;1),"AIR-ID not reconciled in map",IF(AND(I196="Confirmed",OR(H196="",NOT(ISNUMBER(H196)),G196="",G196="Unknown",G196="Low")),"Confirmed use lacks verification",IF(AND(I196="Confirmed",H196&gt;TODAY()),"Verified-on date is in the future","OK — verify source")))))))</f>
        <v/>
      </c>
      <c r="K196" s="17" t="n"/>
      <c r="L196" s="17" t="n"/>
      <c r="M196" s="17" t="n"/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8" t="n"/>
      <c r="I197" s="27" t="n"/>
      <c r="J197" s="27">
        <f>IF(COUNTA(A197:I197)=0,"",IF(A197="","UC-ID missing",IF(COUNTIF($A$4:$A$253,A197)&gt;1,"Duplicate UC-ID",IF(OR(B197="",D197="",E197=""),"Use/owner/source missing",IF(AND(F197&lt;&gt;"",COUNTIF('System map'!$A$4:$A$203,F197)&lt;&gt;1),"AIR-ID not reconciled in map",IF(AND(I197="Confirmed",OR(H197="",NOT(ISNUMBER(H197)),G197="",G197="Unknown",G197="Low")),"Confirmed use lacks verification",IF(AND(I197="Confirmed",H197&gt;TODAY()),"Verified-on date is in the future","OK — verify source")))))))</f>
        <v/>
      </c>
      <c r="K197" s="17" t="n"/>
      <c r="L197" s="17" t="n"/>
      <c r="M197" s="17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6" t="n"/>
      <c r="I198" s="25" t="n"/>
      <c r="J198" s="25">
        <f>IF(COUNTA(A198:I198)=0,"",IF(A198="","UC-ID missing",IF(COUNTIF($A$4:$A$253,A198)&gt;1,"Duplicate UC-ID",IF(OR(B198="",D198="",E198=""),"Use/owner/source missing",IF(AND(F198&lt;&gt;"",COUNTIF('System map'!$A$4:$A$203,F198)&lt;&gt;1),"AIR-ID not reconciled in map",IF(AND(I198="Confirmed",OR(H198="",NOT(ISNUMBER(H198)),G198="",G198="Unknown",G198="Low")),"Confirmed use lacks verification",IF(AND(I198="Confirmed",H198&gt;TODAY()),"Verified-on date is in the future","OK — verify source")))))))</f>
        <v/>
      </c>
      <c r="K198" s="17" t="n"/>
      <c r="L198" s="17" t="n"/>
      <c r="M198" s="17" t="n"/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8" t="n"/>
      <c r="I199" s="27" t="n"/>
      <c r="J199" s="27">
        <f>IF(COUNTA(A199:I199)=0,"",IF(A199="","UC-ID missing",IF(COUNTIF($A$4:$A$253,A199)&gt;1,"Duplicate UC-ID",IF(OR(B199="",D199="",E199=""),"Use/owner/source missing",IF(AND(F199&lt;&gt;"",COUNTIF('System map'!$A$4:$A$203,F199)&lt;&gt;1),"AIR-ID not reconciled in map",IF(AND(I199="Confirmed",OR(H199="",NOT(ISNUMBER(H199)),G199="",G199="Unknown",G199="Low")),"Confirmed use lacks verification",IF(AND(I199="Confirmed",H199&gt;TODAY()),"Verified-on date is in the future","OK — verify source")))))))</f>
        <v/>
      </c>
      <c r="K199" s="17" t="n"/>
      <c r="L199" s="17" t="n"/>
      <c r="M199" s="17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6" t="n"/>
      <c r="I200" s="25" t="n"/>
      <c r="J200" s="25">
        <f>IF(COUNTA(A200:I200)=0,"",IF(A200="","UC-ID missing",IF(COUNTIF($A$4:$A$253,A200)&gt;1,"Duplicate UC-ID",IF(OR(B200="",D200="",E200=""),"Use/owner/source missing",IF(AND(F200&lt;&gt;"",COUNTIF('System map'!$A$4:$A$203,F200)&lt;&gt;1),"AIR-ID not reconciled in map",IF(AND(I200="Confirmed",OR(H200="",NOT(ISNUMBER(H200)),G200="",G200="Unknown",G200="Low")),"Confirmed use lacks verification",IF(AND(I200="Confirmed",H200&gt;TODAY()),"Verified-on date is in the future","OK — verify source")))))))</f>
        <v/>
      </c>
      <c r="K200" s="17" t="n"/>
      <c r="L200" s="17" t="n"/>
      <c r="M200" s="17" t="n"/>
    </row>
    <row r="201">
      <c r="A201" s="27" t="n"/>
      <c r="B201" s="27" t="n"/>
      <c r="C201" s="27" t="n"/>
      <c r="D201" s="27" t="n"/>
      <c r="E201" s="27" t="n"/>
      <c r="F201" s="27" t="n"/>
      <c r="G201" s="27" t="n"/>
      <c r="H201" s="28" t="n"/>
      <c r="I201" s="27" t="n"/>
      <c r="J201" s="27">
        <f>IF(COUNTA(A201:I201)=0,"",IF(A201="","UC-ID missing",IF(COUNTIF($A$4:$A$253,A201)&gt;1,"Duplicate UC-ID",IF(OR(B201="",D201="",E201=""),"Use/owner/source missing",IF(AND(F201&lt;&gt;"",COUNTIF('System map'!$A$4:$A$203,F201)&lt;&gt;1),"AIR-ID not reconciled in map",IF(AND(I201="Confirmed",OR(H201="",NOT(ISNUMBER(H201)),G201="",G201="Unknown",G201="Low")),"Confirmed use lacks verification",IF(AND(I201="Confirmed",H201&gt;TODAY()),"Verified-on date is in the future","OK — verify source")))))))</f>
        <v/>
      </c>
      <c r="K201" s="17" t="n"/>
      <c r="L201" s="17" t="n"/>
      <c r="M201" s="17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6" t="n"/>
      <c r="I202" s="25" t="n"/>
      <c r="J202" s="25">
        <f>IF(COUNTA(A202:I202)=0,"",IF(A202="","UC-ID missing",IF(COUNTIF($A$4:$A$253,A202)&gt;1,"Duplicate UC-ID",IF(OR(B202="",D202="",E202=""),"Use/owner/source missing",IF(AND(F202&lt;&gt;"",COUNTIF('System map'!$A$4:$A$203,F202)&lt;&gt;1),"AIR-ID not reconciled in map",IF(AND(I202="Confirmed",OR(H202="",NOT(ISNUMBER(H202)),G202="",G202="Unknown",G202="Low")),"Confirmed use lacks verification",IF(AND(I202="Confirmed",H202&gt;TODAY()),"Verified-on date is in the future","OK — verify source")))))))</f>
        <v/>
      </c>
      <c r="K202" s="17" t="n"/>
      <c r="L202" s="17" t="n"/>
      <c r="M202" s="17" t="n"/>
    </row>
    <row r="203">
      <c r="A203" s="27" t="n"/>
      <c r="B203" s="27" t="n"/>
      <c r="C203" s="27" t="n"/>
      <c r="D203" s="27" t="n"/>
      <c r="E203" s="27" t="n"/>
      <c r="F203" s="27" t="n"/>
      <c r="G203" s="27" t="n"/>
      <c r="H203" s="28" t="n"/>
      <c r="I203" s="27" t="n"/>
      <c r="J203" s="27">
        <f>IF(COUNTA(A203:I203)=0,"",IF(A203="","UC-ID missing",IF(COUNTIF($A$4:$A$253,A203)&gt;1,"Duplicate UC-ID",IF(OR(B203="",D203="",E203=""),"Use/owner/source missing",IF(AND(F203&lt;&gt;"",COUNTIF('System map'!$A$4:$A$203,F203)&lt;&gt;1),"AIR-ID not reconciled in map",IF(AND(I203="Confirmed",OR(H203="",NOT(ISNUMBER(H203)),G203="",G203="Unknown",G203="Low")),"Confirmed use lacks verification",IF(AND(I203="Confirmed",H203&gt;TODAY()),"Verified-on date is in the future","OK — verify source")))))))</f>
        <v/>
      </c>
      <c r="K203" s="17" t="n"/>
      <c r="L203" s="17" t="n"/>
      <c r="M203" s="17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6" t="n"/>
      <c r="I204" s="25" t="n"/>
      <c r="J204" s="25">
        <f>IF(COUNTA(A204:I204)=0,"",IF(A204="","UC-ID missing",IF(COUNTIF($A$4:$A$253,A204)&gt;1,"Duplicate UC-ID",IF(OR(B204="",D204="",E204=""),"Use/owner/source missing",IF(AND(F204&lt;&gt;"",COUNTIF('System map'!$A$4:$A$203,F204)&lt;&gt;1),"AIR-ID not reconciled in map",IF(AND(I204="Confirmed",OR(H204="",NOT(ISNUMBER(H204)),G204="",G204="Unknown",G204="Low")),"Confirmed use lacks verification",IF(AND(I204="Confirmed",H204&gt;TODAY()),"Verified-on date is in the future","OK — verify source")))))))</f>
        <v/>
      </c>
      <c r="K204" s="17" t="n"/>
      <c r="L204" s="17" t="n"/>
      <c r="M204" s="17" t="n"/>
    </row>
    <row r="205">
      <c r="A205" s="27" t="n"/>
      <c r="B205" s="27" t="n"/>
      <c r="C205" s="27" t="n"/>
      <c r="D205" s="27" t="n"/>
      <c r="E205" s="27" t="n"/>
      <c r="F205" s="27" t="n"/>
      <c r="G205" s="27" t="n"/>
      <c r="H205" s="28" t="n"/>
      <c r="I205" s="27" t="n"/>
      <c r="J205" s="27">
        <f>IF(COUNTA(A205:I205)=0,"",IF(A205="","UC-ID missing",IF(COUNTIF($A$4:$A$253,A205)&gt;1,"Duplicate UC-ID",IF(OR(B205="",D205="",E205=""),"Use/owner/source missing",IF(AND(F205&lt;&gt;"",COUNTIF('System map'!$A$4:$A$203,F205)&lt;&gt;1),"AIR-ID not reconciled in map",IF(AND(I205="Confirmed",OR(H205="",NOT(ISNUMBER(H205)),G205="",G205="Unknown",G205="Low")),"Confirmed use lacks verification",IF(AND(I205="Confirmed",H205&gt;TODAY()),"Verified-on date is in the future","OK — verify source")))))))</f>
        <v/>
      </c>
      <c r="K205" s="17" t="n"/>
      <c r="L205" s="17" t="n"/>
      <c r="M205" s="17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6" t="n"/>
      <c r="I206" s="25" t="n"/>
      <c r="J206" s="25">
        <f>IF(COUNTA(A206:I206)=0,"",IF(A206="","UC-ID missing",IF(COUNTIF($A$4:$A$253,A206)&gt;1,"Duplicate UC-ID",IF(OR(B206="",D206="",E206=""),"Use/owner/source missing",IF(AND(F206&lt;&gt;"",COUNTIF('System map'!$A$4:$A$203,F206)&lt;&gt;1),"AIR-ID not reconciled in map",IF(AND(I206="Confirmed",OR(H206="",NOT(ISNUMBER(H206)),G206="",G206="Unknown",G206="Low")),"Confirmed use lacks verification",IF(AND(I206="Confirmed",H206&gt;TODAY()),"Verified-on date is in the future","OK — verify source")))))))</f>
        <v/>
      </c>
      <c r="K206" s="17" t="n"/>
      <c r="L206" s="17" t="n"/>
      <c r="M206" s="17" t="n"/>
    </row>
    <row r="207">
      <c r="A207" s="27" t="n"/>
      <c r="B207" s="27" t="n"/>
      <c r="C207" s="27" t="n"/>
      <c r="D207" s="27" t="n"/>
      <c r="E207" s="27" t="n"/>
      <c r="F207" s="27" t="n"/>
      <c r="G207" s="27" t="n"/>
      <c r="H207" s="28" t="n"/>
      <c r="I207" s="27" t="n"/>
      <c r="J207" s="27">
        <f>IF(COUNTA(A207:I207)=0,"",IF(A207="","UC-ID missing",IF(COUNTIF($A$4:$A$253,A207)&gt;1,"Duplicate UC-ID",IF(OR(B207="",D207="",E207=""),"Use/owner/source missing",IF(AND(F207&lt;&gt;"",COUNTIF('System map'!$A$4:$A$203,F207)&lt;&gt;1),"AIR-ID not reconciled in map",IF(AND(I207="Confirmed",OR(H207="",NOT(ISNUMBER(H207)),G207="",G207="Unknown",G207="Low")),"Confirmed use lacks verification",IF(AND(I207="Confirmed",H207&gt;TODAY()),"Verified-on date is in the future","OK — verify source")))))))</f>
        <v/>
      </c>
      <c r="K207" s="17" t="n"/>
      <c r="L207" s="17" t="n"/>
      <c r="M207" s="17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6" t="n"/>
      <c r="I208" s="25" t="n"/>
      <c r="J208" s="25">
        <f>IF(COUNTA(A208:I208)=0,"",IF(A208="","UC-ID missing",IF(COUNTIF($A$4:$A$253,A208)&gt;1,"Duplicate UC-ID",IF(OR(B208="",D208="",E208=""),"Use/owner/source missing",IF(AND(F208&lt;&gt;"",COUNTIF('System map'!$A$4:$A$203,F208)&lt;&gt;1),"AIR-ID not reconciled in map",IF(AND(I208="Confirmed",OR(H208="",NOT(ISNUMBER(H208)),G208="",G208="Unknown",G208="Low")),"Confirmed use lacks verification",IF(AND(I208="Confirmed",H208&gt;TODAY()),"Verified-on date is in the future","OK — verify source")))))))</f>
        <v/>
      </c>
      <c r="K208" s="17" t="n"/>
      <c r="L208" s="17" t="n"/>
      <c r="M208" s="17" t="n"/>
    </row>
    <row r="209">
      <c r="A209" s="27" t="n"/>
      <c r="B209" s="27" t="n"/>
      <c r="C209" s="27" t="n"/>
      <c r="D209" s="27" t="n"/>
      <c r="E209" s="27" t="n"/>
      <c r="F209" s="27" t="n"/>
      <c r="G209" s="27" t="n"/>
      <c r="H209" s="28" t="n"/>
      <c r="I209" s="27" t="n"/>
      <c r="J209" s="27">
        <f>IF(COUNTA(A209:I209)=0,"",IF(A209="","UC-ID missing",IF(COUNTIF($A$4:$A$253,A209)&gt;1,"Duplicate UC-ID",IF(OR(B209="",D209="",E209=""),"Use/owner/source missing",IF(AND(F209&lt;&gt;"",COUNTIF('System map'!$A$4:$A$203,F209)&lt;&gt;1),"AIR-ID not reconciled in map",IF(AND(I209="Confirmed",OR(H209="",NOT(ISNUMBER(H209)),G209="",G209="Unknown",G209="Low")),"Confirmed use lacks verification",IF(AND(I209="Confirmed",H209&gt;TODAY()),"Verified-on date is in the future","OK — verify source")))))))</f>
        <v/>
      </c>
      <c r="K209" s="17" t="n"/>
      <c r="L209" s="17" t="n"/>
      <c r="M209" s="17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6" t="n"/>
      <c r="I210" s="25" t="n"/>
      <c r="J210" s="25">
        <f>IF(COUNTA(A210:I210)=0,"",IF(A210="","UC-ID missing",IF(COUNTIF($A$4:$A$253,A210)&gt;1,"Duplicate UC-ID",IF(OR(B210="",D210="",E210=""),"Use/owner/source missing",IF(AND(F210&lt;&gt;"",COUNTIF('System map'!$A$4:$A$203,F210)&lt;&gt;1),"AIR-ID not reconciled in map",IF(AND(I210="Confirmed",OR(H210="",NOT(ISNUMBER(H210)),G210="",G210="Unknown",G210="Low")),"Confirmed use lacks verification",IF(AND(I210="Confirmed",H210&gt;TODAY()),"Verified-on date is in the future","OK — verify source")))))))</f>
        <v/>
      </c>
      <c r="K210" s="17" t="n"/>
      <c r="L210" s="17" t="n"/>
      <c r="M210" s="17" t="n"/>
    </row>
    <row r="211">
      <c r="A211" s="27" t="n"/>
      <c r="B211" s="27" t="n"/>
      <c r="C211" s="27" t="n"/>
      <c r="D211" s="27" t="n"/>
      <c r="E211" s="27" t="n"/>
      <c r="F211" s="27" t="n"/>
      <c r="G211" s="27" t="n"/>
      <c r="H211" s="28" t="n"/>
      <c r="I211" s="27" t="n"/>
      <c r="J211" s="27">
        <f>IF(COUNTA(A211:I211)=0,"",IF(A211="","UC-ID missing",IF(COUNTIF($A$4:$A$253,A211)&gt;1,"Duplicate UC-ID",IF(OR(B211="",D211="",E211=""),"Use/owner/source missing",IF(AND(F211&lt;&gt;"",COUNTIF('System map'!$A$4:$A$203,F211)&lt;&gt;1),"AIR-ID not reconciled in map",IF(AND(I211="Confirmed",OR(H211="",NOT(ISNUMBER(H211)),G211="",G211="Unknown",G211="Low")),"Confirmed use lacks verification",IF(AND(I211="Confirmed",H211&gt;TODAY()),"Verified-on date is in the future","OK — verify source")))))))</f>
        <v/>
      </c>
      <c r="K211" s="17" t="n"/>
      <c r="L211" s="17" t="n"/>
      <c r="M211" s="17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6" t="n"/>
      <c r="I212" s="25" t="n"/>
      <c r="J212" s="25">
        <f>IF(COUNTA(A212:I212)=0,"",IF(A212="","UC-ID missing",IF(COUNTIF($A$4:$A$253,A212)&gt;1,"Duplicate UC-ID",IF(OR(B212="",D212="",E212=""),"Use/owner/source missing",IF(AND(F212&lt;&gt;"",COUNTIF('System map'!$A$4:$A$203,F212)&lt;&gt;1),"AIR-ID not reconciled in map",IF(AND(I212="Confirmed",OR(H212="",NOT(ISNUMBER(H212)),G212="",G212="Unknown",G212="Low")),"Confirmed use lacks verification",IF(AND(I212="Confirmed",H212&gt;TODAY()),"Verified-on date is in the future","OK — verify source")))))))</f>
        <v/>
      </c>
      <c r="K212" s="17" t="n"/>
      <c r="L212" s="17" t="n"/>
      <c r="M212" s="17" t="n"/>
    </row>
    <row r="213">
      <c r="A213" s="27" t="n"/>
      <c r="B213" s="27" t="n"/>
      <c r="C213" s="27" t="n"/>
      <c r="D213" s="27" t="n"/>
      <c r="E213" s="27" t="n"/>
      <c r="F213" s="27" t="n"/>
      <c r="G213" s="27" t="n"/>
      <c r="H213" s="28" t="n"/>
      <c r="I213" s="27" t="n"/>
      <c r="J213" s="27">
        <f>IF(COUNTA(A213:I213)=0,"",IF(A213="","UC-ID missing",IF(COUNTIF($A$4:$A$253,A213)&gt;1,"Duplicate UC-ID",IF(OR(B213="",D213="",E213=""),"Use/owner/source missing",IF(AND(F213&lt;&gt;"",COUNTIF('System map'!$A$4:$A$203,F213)&lt;&gt;1),"AIR-ID not reconciled in map",IF(AND(I213="Confirmed",OR(H213="",NOT(ISNUMBER(H213)),G213="",G213="Unknown",G213="Low")),"Confirmed use lacks verification",IF(AND(I213="Confirmed",H213&gt;TODAY()),"Verified-on date is in the future","OK — verify source")))))))</f>
        <v/>
      </c>
      <c r="K213" s="17" t="n"/>
      <c r="L213" s="17" t="n"/>
      <c r="M213" s="17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6" t="n"/>
      <c r="I214" s="25" t="n"/>
      <c r="J214" s="25">
        <f>IF(COUNTA(A214:I214)=0,"",IF(A214="","UC-ID missing",IF(COUNTIF($A$4:$A$253,A214)&gt;1,"Duplicate UC-ID",IF(OR(B214="",D214="",E214=""),"Use/owner/source missing",IF(AND(F214&lt;&gt;"",COUNTIF('System map'!$A$4:$A$203,F214)&lt;&gt;1),"AIR-ID not reconciled in map",IF(AND(I214="Confirmed",OR(H214="",NOT(ISNUMBER(H214)),G214="",G214="Unknown",G214="Low")),"Confirmed use lacks verification",IF(AND(I214="Confirmed",H214&gt;TODAY()),"Verified-on date is in the future","OK — verify source")))))))</f>
        <v/>
      </c>
      <c r="K214" s="17" t="n"/>
      <c r="L214" s="17" t="n"/>
      <c r="M214" s="17" t="n"/>
    </row>
    <row r="215">
      <c r="A215" s="27" t="n"/>
      <c r="B215" s="27" t="n"/>
      <c r="C215" s="27" t="n"/>
      <c r="D215" s="27" t="n"/>
      <c r="E215" s="27" t="n"/>
      <c r="F215" s="27" t="n"/>
      <c r="G215" s="27" t="n"/>
      <c r="H215" s="28" t="n"/>
      <c r="I215" s="27" t="n"/>
      <c r="J215" s="27">
        <f>IF(COUNTA(A215:I215)=0,"",IF(A215="","UC-ID missing",IF(COUNTIF($A$4:$A$253,A215)&gt;1,"Duplicate UC-ID",IF(OR(B215="",D215="",E215=""),"Use/owner/source missing",IF(AND(F215&lt;&gt;"",COUNTIF('System map'!$A$4:$A$203,F215)&lt;&gt;1),"AIR-ID not reconciled in map",IF(AND(I215="Confirmed",OR(H215="",NOT(ISNUMBER(H215)),G215="",G215="Unknown",G215="Low")),"Confirmed use lacks verification",IF(AND(I215="Confirmed",H215&gt;TODAY()),"Verified-on date is in the future","OK — verify source")))))))</f>
        <v/>
      </c>
      <c r="K215" s="17" t="n"/>
      <c r="L215" s="17" t="n"/>
      <c r="M215" s="17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6" t="n"/>
      <c r="I216" s="25" t="n"/>
      <c r="J216" s="25">
        <f>IF(COUNTA(A216:I216)=0,"",IF(A216="","UC-ID missing",IF(COUNTIF($A$4:$A$253,A216)&gt;1,"Duplicate UC-ID",IF(OR(B216="",D216="",E216=""),"Use/owner/source missing",IF(AND(F216&lt;&gt;"",COUNTIF('System map'!$A$4:$A$203,F216)&lt;&gt;1),"AIR-ID not reconciled in map",IF(AND(I216="Confirmed",OR(H216="",NOT(ISNUMBER(H216)),G216="",G216="Unknown",G216="Low")),"Confirmed use lacks verification",IF(AND(I216="Confirmed",H216&gt;TODAY()),"Verified-on date is in the future","OK — verify source")))))))</f>
        <v/>
      </c>
      <c r="K216" s="17" t="n"/>
      <c r="L216" s="17" t="n"/>
      <c r="M216" s="17" t="n"/>
    </row>
    <row r="217">
      <c r="A217" s="27" t="n"/>
      <c r="B217" s="27" t="n"/>
      <c r="C217" s="27" t="n"/>
      <c r="D217" s="27" t="n"/>
      <c r="E217" s="27" t="n"/>
      <c r="F217" s="27" t="n"/>
      <c r="G217" s="27" t="n"/>
      <c r="H217" s="28" t="n"/>
      <c r="I217" s="27" t="n"/>
      <c r="J217" s="27">
        <f>IF(COUNTA(A217:I217)=0,"",IF(A217="","UC-ID missing",IF(COUNTIF($A$4:$A$253,A217)&gt;1,"Duplicate UC-ID",IF(OR(B217="",D217="",E217=""),"Use/owner/source missing",IF(AND(F217&lt;&gt;"",COUNTIF('System map'!$A$4:$A$203,F217)&lt;&gt;1),"AIR-ID not reconciled in map",IF(AND(I217="Confirmed",OR(H217="",NOT(ISNUMBER(H217)),G217="",G217="Unknown",G217="Low")),"Confirmed use lacks verification",IF(AND(I217="Confirmed",H217&gt;TODAY()),"Verified-on date is in the future","OK — verify source")))))))</f>
        <v/>
      </c>
      <c r="K217" s="17" t="n"/>
      <c r="L217" s="17" t="n"/>
      <c r="M217" s="17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6" t="n"/>
      <c r="I218" s="25" t="n"/>
      <c r="J218" s="25">
        <f>IF(COUNTA(A218:I218)=0,"",IF(A218="","UC-ID missing",IF(COUNTIF($A$4:$A$253,A218)&gt;1,"Duplicate UC-ID",IF(OR(B218="",D218="",E218=""),"Use/owner/source missing",IF(AND(F218&lt;&gt;"",COUNTIF('System map'!$A$4:$A$203,F218)&lt;&gt;1),"AIR-ID not reconciled in map",IF(AND(I218="Confirmed",OR(H218="",NOT(ISNUMBER(H218)),G218="",G218="Unknown",G218="Low")),"Confirmed use lacks verification",IF(AND(I218="Confirmed",H218&gt;TODAY()),"Verified-on date is in the future","OK — verify source")))))))</f>
        <v/>
      </c>
      <c r="K218" s="17" t="n"/>
      <c r="L218" s="17" t="n"/>
      <c r="M218" s="17" t="n"/>
    </row>
    <row r="219">
      <c r="A219" s="27" t="n"/>
      <c r="B219" s="27" t="n"/>
      <c r="C219" s="27" t="n"/>
      <c r="D219" s="27" t="n"/>
      <c r="E219" s="27" t="n"/>
      <c r="F219" s="27" t="n"/>
      <c r="G219" s="27" t="n"/>
      <c r="H219" s="28" t="n"/>
      <c r="I219" s="27" t="n"/>
      <c r="J219" s="27">
        <f>IF(COUNTA(A219:I219)=0,"",IF(A219="","UC-ID missing",IF(COUNTIF($A$4:$A$253,A219)&gt;1,"Duplicate UC-ID",IF(OR(B219="",D219="",E219=""),"Use/owner/source missing",IF(AND(F219&lt;&gt;"",COUNTIF('System map'!$A$4:$A$203,F219)&lt;&gt;1),"AIR-ID not reconciled in map",IF(AND(I219="Confirmed",OR(H219="",NOT(ISNUMBER(H219)),G219="",G219="Unknown",G219="Low")),"Confirmed use lacks verification",IF(AND(I219="Confirmed",H219&gt;TODAY()),"Verified-on date is in the future","OK — verify source")))))))</f>
        <v/>
      </c>
      <c r="K219" s="17" t="n"/>
      <c r="L219" s="17" t="n"/>
      <c r="M219" s="17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6" t="n"/>
      <c r="I220" s="25" t="n"/>
      <c r="J220" s="25">
        <f>IF(COUNTA(A220:I220)=0,"",IF(A220="","UC-ID missing",IF(COUNTIF($A$4:$A$253,A220)&gt;1,"Duplicate UC-ID",IF(OR(B220="",D220="",E220=""),"Use/owner/source missing",IF(AND(F220&lt;&gt;"",COUNTIF('System map'!$A$4:$A$203,F220)&lt;&gt;1),"AIR-ID not reconciled in map",IF(AND(I220="Confirmed",OR(H220="",NOT(ISNUMBER(H220)),G220="",G220="Unknown",G220="Low")),"Confirmed use lacks verification",IF(AND(I220="Confirmed",H220&gt;TODAY()),"Verified-on date is in the future","OK — verify source")))))))</f>
        <v/>
      </c>
      <c r="K220" s="17" t="n"/>
      <c r="L220" s="17" t="n"/>
      <c r="M220" s="17" t="n"/>
    </row>
    <row r="221">
      <c r="A221" s="27" t="n"/>
      <c r="B221" s="27" t="n"/>
      <c r="C221" s="27" t="n"/>
      <c r="D221" s="27" t="n"/>
      <c r="E221" s="27" t="n"/>
      <c r="F221" s="27" t="n"/>
      <c r="G221" s="27" t="n"/>
      <c r="H221" s="28" t="n"/>
      <c r="I221" s="27" t="n"/>
      <c r="J221" s="27">
        <f>IF(COUNTA(A221:I221)=0,"",IF(A221="","UC-ID missing",IF(COUNTIF($A$4:$A$253,A221)&gt;1,"Duplicate UC-ID",IF(OR(B221="",D221="",E221=""),"Use/owner/source missing",IF(AND(F221&lt;&gt;"",COUNTIF('System map'!$A$4:$A$203,F221)&lt;&gt;1),"AIR-ID not reconciled in map",IF(AND(I221="Confirmed",OR(H221="",NOT(ISNUMBER(H221)),G221="",G221="Unknown",G221="Low")),"Confirmed use lacks verification",IF(AND(I221="Confirmed",H221&gt;TODAY()),"Verified-on date is in the future","OK — verify source")))))))</f>
        <v/>
      </c>
      <c r="K221" s="17" t="n"/>
      <c r="L221" s="17" t="n"/>
      <c r="M221" s="17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6" t="n"/>
      <c r="I222" s="25" t="n"/>
      <c r="J222" s="25">
        <f>IF(COUNTA(A222:I222)=0,"",IF(A222="","UC-ID missing",IF(COUNTIF($A$4:$A$253,A222)&gt;1,"Duplicate UC-ID",IF(OR(B222="",D222="",E222=""),"Use/owner/source missing",IF(AND(F222&lt;&gt;"",COUNTIF('System map'!$A$4:$A$203,F222)&lt;&gt;1),"AIR-ID not reconciled in map",IF(AND(I222="Confirmed",OR(H222="",NOT(ISNUMBER(H222)),G222="",G222="Unknown",G222="Low")),"Confirmed use lacks verification",IF(AND(I222="Confirmed",H222&gt;TODAY()),"Verified-on date is in the future","OK — verify source")))))))</f>
        <v/>
      </c>
      <c r="K222" s="17" t="n"/>
      <c r="L222" s="17" t="n"/>
      <c r="M222" s="17" t="n"/>
    </row>
    <row r="223">
      <c r="A223" s="27" t="n"/>
      <c r="B223" s="27" t="n"/>
      <c r="C223" s="27" t="n"/>
      <c r="D223" s="27" t="n"/>
      <c r="E223" s="27" t="n"/>
      <c r="F223" s="27" t="n"/>
      <c r="G223" s="27" t="n"/>
      <c r="H223" s="28" t="n"/>
      <c r="I223" s="27" t="n"/>
      <c r="J223" s="27">
        <f>IF(COUNTA(A223:I223)=0,"",IF(A223="","UC-ID missing",IF(COUNTIF($A$4:$A$253,A223)&gt;1,"Duplicate UC-ID",IF(OR(B223="",D223="",E223=""),"Use/owner/source missing",IF(AND(F223&lt;&gt;"",COUNTIF('System map'!$A$4:$A$203,F223)&lt;&gt;1),"AIR-ID not reconciled in map",IF(AND(I223="Confirmed",OR(H223="",NOT(ISNUMBER(H223)),G223="",G223="Unknown",G223="Low")),"Confirmed use lacks verification",IF(AND(I223="Confirmed",H223&gt;TODAY()),"Verified-on date is in the future","OK — verify source")))))))</f>
        <v/>
      </c>
      <c r="K223" s="17" t="n"/>
      <c r="L223" s="17" t="n"/>
      <c r="M223" s="17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6" t="n"/>
      <c r="I224" s="25" t="n"/>
      <c r="J224" s="25">
        <f>IF(COUNTA(A224:I224)=0,"",IF(A224="","UC-ID missing",IF(COUNTIF($A$4:$A$253,A224)&gt;1,"Duplicate UC-ID",IF(OR(B224="",D224="",E224=""),"Use/owner/source missing",IF(AND(F224&lt;&gt;"",COUNTIF('System map'!$A$4:$A$203,F224)&lt;&gt;1),"AIR-ID not reconciled in map",IF(AND(I224="Confirmed",OR(H224="",NOT(ISNUMBER(H224)),G224="",G224="Unknown",G224="Low")),"Confirmed use lacks verification",IF(AND(I224="Confirmed",H224&gt;TODAY()),"Verified-on date is in the future","OK — verify source")))))))</f>
        <v/>
      </c>
      <c r="K224" s="17" t="n"/>
      <c r="L224" s="17" t="n"/>
      <c r="M224" s="17" t="n"/>
    </row>
    <row r="225">
      <c r="A225" s="27" t="n"/>
      <c r="B225" s="27" t="n"/>
      <c r="C225" s="27" t="n"/>
      <c r="D225" s="27" t="n"/>
      <c r="E225" s="27" t="n"/>
      <c r="F225" s="27" t="n"/>
      <c r="G225" s="27" t="n"/>
      <c r="H225" s="28" t="n"/>
      <c r="I225" s="27" t="n"/>
      <c r="J225" s="27">
        <f>IF(COUNTA(A225:I225)=0,"",IF(A225="","UC-ID missing",IF(COUNTIF($A$4:$A$253,A225)&gt;1,"Duplicate UC-ID",IF(OR(B225="",D225="",E225=""),"Use/owner/source missing",IF(AND(F225&lt;&gt;"",COUNTIF('System map'!$A$4:$A$203,F225)&lt;&gt;1),"AIR-ID not reconciled in map",IF(AND(I225="Confirmed",OR(H225="",NOT(ISNUMBER(H225)),G225="",G225="Unknown",G225="Low")),"Confirmed use lacks verification",IF(AND(I225="Confirmed",H225&gt;TODAY()),"Verified-on date is in the future","OK — verify source")))))))</f>
        <v/>
      </c>
      <c r="K225" s="17" t="n"/>
      <c r="L225" s="17" t="n"/>
      <c r="M225" s="17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6" t="n"/>
      <c r="I226" s="25" t="n"/>
      <c r="J226" s="25">
        <f>IF(COUNTA(A226:I226)=0,"",IF(A226="","UC-ID missing",IF(COUNTIF($A$4:$A$253,A226)&gt;1,"Duplicate UC-ID",IF(OR(B226="",D226="",E226=""),"Use/owner/source missing",IF(AND(F226&lt;&gt;"",COUNTIF('System map'!$A$4:$A$203,F226)&lt;&gt;1),"AIR-ID not reconciled in map",IF(AND(I226="Confirmed",OR(H226="",NOT(ISNUMBER(H226)),G226="",G226="Unknown",G226="Low")),"Confirmed use lacks verification",IF(AND(I226="Confirmed",H226&gt;TODAY()),"Verified-on date is in the future","OK — verify source")))))))</f>
        <v/>
      </c>
      <c r="K226" s="17" t="n"/>
      <c r="L226" s="17" t="n"/>
      <c r="M226" s="17" t="n"/>
    </row>
    <row r="227">
      <c r="A227" s="27" t="n"/>
      <c r="B227" s="27" t="n"/>
      <c r="C227" s="27" t="n"/>
      <c r="D227" s="27" t="n"/>
      <c r="E227" s="27" t="n"/>
      <c r="F227" s="27" t="n"/>
      <c r="G227" s="27" t="n"/>
      <c r="H227" s="28" t="n"/>
      <c r="I227" s="27" t="n"/>
      <c r="J227" s="27">
        <f>IF(COUNTA(A227:I227)=0,"",IF(A227="","UC-ID missing",IF(COUNTIF($A$4:$A$253,A227)&gt;1,"Duplicate UC-ID",IF(OR(B227="",D227="",E227=""),"Use/owner/source missing",IF(AND(F227&lt;&gt;"",COUNTIF('System map'!$A$4:$A$203,F227)&lt;&gt;1),"AIR-ID not reconciled in map",IF(AND(I227="Confirmed",OR(H227="",NOT(ISNUMBER(H227)),G227="",G227="Unknown",G227="Low")),"Confirmed use lacks verification",IF(AND(I227="Confirmed",H227&gt;TODAY()),"Verified-on date is in the future","OK — verify source")))))))</f>
        <v/>
      </c>
      <c r="K227" s="17" t="n"/>
      <c r="L227" s="17" t="n"/>
      <c r="M227" s="17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6" t="n"/>
      <c r="I228" s="25" t="n"/>
      <c r="J228" s="25">
        <f>IF(COUNTA(A228:I228)=0,"",IF(A228="","UC-ID missing",IF(COUNTIF($A$4:$A$253,A228)&gt;1,"Duplicate UC-ID",IF(OR(B228="",D228="",E228=""),"Use/owner/source missing",IF(AND(F228&lt;&gt;"",COUNTIF('System map'!$A$4:$A$203,F228)&lt;&gt;1),"AIR-ID not reconciled in map",IF(AND(I228="Confirmed",OR(H228="",NOT(ISNUMBER(H228)),G228="",G228="Unknown",G228="Low")),"Confirmed use lacks verification",IF(AND(I228="Confirmed",H228&gt;TODAY()),"Verified-on date is in the future","OK — verify source")))))))</f>
        <v/>
      </c>
      <c r="K228" s="17" t="n"/>
      <c r="L228" s="17" t="n"/>
      <c r="M228" s="17" t="n"/>
    </row>
    <row r="229">
      <c r="A229" s="27" t="n"/>
      <c r="B229" s="27" t="n"/>
      <c r="C229" s="27" t="n"/>
      <c r="D229" s="27" t="n"/>
      <c r="E229" s="27" t="n"/>
      <c r="F229" s="27" t="n"/>
      <c r="G229" s="27" t="n"/>
      <c r="H229" s="28" t="n"/>
      <c r="I229" s="27" t="n"/>
      <c r="J229" s="27">
        <f>IF(COUNTA(A229:I229)=0,"",IF(A229="","UC-ID missing",IF(COUNTIF($A$4:$A$253,A229)&gt;1,"Duplicate UC-ID",IF(OR(B229="",D229="",E229=""),"Use/owner/source missing",IF(AND(F229&lt;&gt;"",COUNTIF('System map'!$A$4:$A$203,F229)&lt;&gt;1),"AIR-ID not reconciled in map",IF(AND(I229="Confirmed",OR(H229="",NOT(ISNUMBER(H229)),G229="",G229="Unknown",G229="Low")),"Confirmed use lacks verification",IF(AND(I229="Confirmed",H229&gt;TODAY()),"Verified-on date is in the future","OK — verify source")))))))</f>
        <v/>
      </c>
      <c r="K229" s="17" t="n"/>
      <c r="L229" s="17" t="n"/>
      <c r="M229" s="17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6" t="n"/>
      <c r="I230" s="25" t="n"/>
      <c r="J230" s="25">
        <f>IF(COUNTA(A230:I230)=0,"",IF(A230="","UC-ID missing",IF(COUNTIF($A$4:$A$253,A230)&gt;1,"Duplicate UC-ID",IF(OR(B230="",D230="",E230=""),"Use/owner/source missing",IF(AND(F230&lt;&gt;"",COUNTIF('System map'!$A$4:$A$203,F230)&lt;&gt;1),"AIR-ID not reconciled in map",IF(AND(I230="Confirmed",OR(H230="",NOT(ISNUMBER(H230)),G230="",G230="Unknown",G230="Low")),"Confirmed use lacks verification",IF(AND(I230="Confirmed",H230&gt;TODAY()),"Verified-on date is in the future","OK — verify source")))))))</f>
        <v/>
      </c>
      <c r="K230" s="17" t="n"/>
      <c r="L230" s="17" t="n"/>
      <c r="M230" s="17" t="n"/>
    </row>
    <row r="231">
      <c r="A231" s="27" t="n"/>
      <c r="B231" s="27" t="n"/>
      <c r="C231" s="27" t="n"/>
      <c r="D231" s="27" t="n"/>
      <c r="E231" s="27" t="n"/>
      <c r="F231" s="27" t="n"/>
      <c r="G231" s="27" t="n"/>
      <c r="H231" s="28" t="n"/>
      <c r="I231" s="27" t="n"/>
      <c r="J231" s="27">
        <f>IF(COUNTA(A231:I231)=0,"",IF(A231="","UC-ID missing",IF(COUNTIF($A$4:$A$253,A231)&gt;1,"Duplicate UC-ID",IF(OR(B231="",D231="",E231=""),"Use/owner/source missing",IF(AND(F231&lt;&gt;"",COUNTIF('System map'!$A$4:$A$203,F231)&lt;&gt;1),"AIR-ID not reconciled in map",IF(AND(I231="Confirmed",OR(H231="",NOT(ISNUMBER(H231)),G231="",G231="Unknown",G231="Low")),"Confirmed use lacks verification",IF(AND(I231="Confirmed",H231&gt;TODAY()),"Verified-on date is in the future","OK — verify source")))))))</f>
        <v/>
      </c>
      <c r="K231" s="17" t="n"/>
      <c r="L231" s="17" t="n"/>
      <c r="M231" s="17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6" t="n"/>
      <c r="I232" s="25" t="n"/>
      <c r="J232" s="25">
        <f>IF(COUNTA(A232:I232)=0,"",IF(A232="","UC-ID missing",IF(COUNTIF($A$4:$A$253,A232)&gt;1,"Duplicate UC-ID",IF(OR(B232="",D232="",E232=""),"Use/owner/source missing",IF(AND(F232&lt;&gt;"",COUNTIF('System map'!$A$4:$A$203,F232)&lt;&gt;1),"AIR-ID not reconciled in map",IF(AND(I232="Confirmed",OR(H232="",NOT(ISNUMBER(H232)),G232="",G232="Unknown",G232="Low")),"Confirmed use lacks verification",IF(AND(I232="Confirmed",H232&gt;TODAY()),"Verified-on date is in the future","OK — verify source")))))))</f>
        <v/>
      </c>
      <c r="K232" s="17" t="n"/>
      <c r="L232" s="17" t="n"/>
      <c r="M232" s="17" t="n"/>
    </row>
    <row r="233">
      <c r="A233" s="27" t="n"/>
      <c r="B233" s="27" t="n"/>
      <c r="C233" s="27" t="n"/>
      <c r="D233" s="27" t="n"/>
      <c r="E233" s="27" t="n"/>
      <c r="F233" s="27" t="n"/>
      <c r="G233" s="27" t="n"/>
      <c r="H233" s="28" t="n"/>
      <c r="I233" s="27" t="n"/>
      <c r="J233" s="27">
        <f>IF(COUNTA(A233:I233)=0,"",IF(A233="","UC-ID missing",IF(COUNTIF($A$4:$A$253,A233)&gt;1,"Duplicate UC-ID",IF(OR(B233="",D233="",E233=""),"Use/owner/source missing",IF(AND(F233&lt;&gt;"",COUNTIF('System map'!$A$4:$A$203,F233)&lt;&gt;1),"AIR-ID not reconciled in map",IF(AND(I233="Confirmed",OR(H233="",NOT(ISNUMBER(H233)),G233="",G233="Unknown",G233="Low")),"Confirmed use lacks verification",IF(AND(I233="Confirmed",H233&gt;TODAY()),"Verified-on date is in the future","OK — verify source")))))))</f>
        <v/>
      </c>
      <c r="K233" s="17" t="n"/>
      <c r="L233" s="17" t="n"/>
      <c r="M233" s="17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6" t="n"/>
      <c r="I234" s="25" t="n"/>
      <c r="J234" s="25">
        <f>IF(COUNTA(A234:I234)=0,"",IF(A234="","UC-ID missing",IF(COUNTIF($A$4:$A$253,A234)&gt;1,"Duplicate UC-ID",IF(OR(B234="",D234="",E234=""),"Use/owner/source missing",IF(AND(F234&lt;&gt;"",COUNTIF('System map'!$A$4:$A$203,F234)&lt;&gt;1),"AIR-ID not reconciled in map",IF(AND(I234="Confirmed",OR(H234="",NOT(ISNUMBER(H234)),G234="",G234="Unknown",G234="Low")),"Confirmed use lacks verification",IF(AND(I234="Confirmed",H234&gt;TODAY()),"Verified-on date is in the future","OK — verify source")))))))</f>
        <v/>
      </c>
      <c r="K234" s="17" t="n"/>
      <c r="L234" s="17" t="n"/>
      <c r="M234" s="17" t="n"/>
    </row>
    <row r="235">
      <c r="A235" s="27" t="n"/>
      <c r="B235" s="27" t="n"/>
      <c r="C235" s="27" t="n"/>
      <c r="D235" s="27" t="n"/>
      <c r="E235" s="27" t="n"/>
      <c r="F235" s="27" t="n"/>
      <c r="G235" s="27" t="n"/>
      <c r="H235" s="28" t="n"/>
      <c r="I235" s="27" t="n"/>
      <c r="J235" s="27">
        <f>IF(COUNTA(A235:I235)=0,"",IF(A235="","UC-ID missing",IF(COUNTIF($A$4:$A$253,A235)&gt;1,"Duplicate UC-ID",IF(OR(B235="",D235="",E235=""),"Use/owner/source missing",IF(AND(F235&lt;&gt;"",COUNTIF('System map'!$A$4:$A$203,F235)&lt;&gt;1),"AIR-ID not reconciled in map",IF(AND(I235="Confirmed",OR(H235="",NOT(ISNUMBER(H235)),G235="",G235="Unknown",G235="Low")),"Confirmed use lacks verification",IF(AND(I235="Confirmed",H235&gt;TODAY()),"Verified-on date is in the future","OK — verify source")))))))</f>
        <v/>
      </c>
      <c r="K235" s="17" t="n"/>
      <c r="L235" s="17" t="n"/>
      <c r="M235" s="17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6" t="n"/>
      <c r="I236" s="25" t="n"/>
      <c r="J236" s="25">
        <f>IF(COUNTA(A236:I236)=0,"",IF(A236="","UC-ID missing",IF(COUNTIF($A$4:$A$253,A236)&gt;1,"Duplicate UC-ID",IF(OR(B236="",D236="",E236=""),"Use/owner/source missing",IF(AND(F236&lt;&gt;"",COUNTIF('System map'!$A$4:$A$203,F236)&lt;&gt;1),"AIR-ID not reconciled in map",IF(AND(I236="Confirmed",OR(H236="",NOT(ISNUMBER(H236)),G236="",G236="Unknown",G236="Low")),"Confirmed use lacks verification",IF(AND(I236="Confirmed",H236&gt;TODAY()),"Verified-on date is in the future","OK — verify source")))))))</f>
        <v/>
      </c>
      <c r="K236" s="17" t="n"/>
      <c r="L236" s="17" t="n"/>
      <c r="M236" s="17" t="n"/>
    </row>
    <row r="237">
      <c r="A237" s="27" t="n"/>
      <c r="B237" s="27" t="n"/>
      <c r="C237" s="27" t="n"/>
      <c r="D237" s="27" t="n"/>
      <c r="E237" s="27" t="n"/>
      <c r="F237" s="27" t="n"/>
      <c r="G237" s="27" t="n"/>
      <c r="H237" s="28" t="n"/>
      <c r="I237" s="27" t="n"/>
      <c r="J237" s="27">
        <f>IF(COUNTA(A237:I237)=0,"",IF(A237="","UC-ID missing",IF(COUNTIF($A$4:$A$253,A237)&gt;1,"Duplicate UC-ID",IF(OR(B237="",D237="",E237=""),"Use/owner/source missing",IF(AND(F237&lt;&gt;"",COUNTIF('System map'!$A$4:$A$203,F237)&lt;&gt;1),"AIR-ID not reconciled in map",IF(AND(I237="Confirmed",OR(H237="",NOT(ISNUMBER(H237)),G237="",G237="Unknown",G237="Low")),"Confirmed use lacks verification",IF(AND(I237="Confirmed",H237&gt;TODAY()),"Verified-on date is in the future","OK — verify source")))))))</f>
        <v/>
      </c>
      <c r="K237" s="17" t="n"/>
      <c r="L237" s="17" t="n"/>
      <c r="M237" s="17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6" t="n"/>
      <c r="I238" s="25" t="n"/>
      <c r="J238" s="25">
        <f>IF(COUNTA(A238:I238)=0,"",IF(A238="","UC-ID missing",IF(COUNTIF($A$4:$A$253,A238)&gt;1,"Duplicate UC-ID",IF(OR(B238="",D238="",E238=""),"Use/owner/source missing",IF(AND(F238&lt;&gt;"",COUNTIF('System map'!$A$4:$A$203,F238)&lt;&gt;1),"AIR-ID not reconciled in map",IF(AND(I238="Confirmed",OR(H238="",NOT(ISNUMBER(H238)),G238="",G238="Unknown",G238="Low")),"Confirmed use lacks verification",IF(AND(I238="Confirmed",H238&gt;TODAY()),"Verified-on date is in the future","OK — verify source")))))))</f>
        <v/>
      </c>
      <c r="K238" s="17" t="n"/>
      <c r="L238" s="17" t="n"/>
      <c r="M238" s="17" t="n"/>
    </row>
    <row r="239">
      <c r="A239" s="27" t="n"/>
      <c r="B239" s="27" t="n"/>
      <c r="C239" s="27" t="n"/>
      <c r="D239" s="27" t="n"/>
      <c r="E239" s="27" t="n"/>
      <c r="F239" s="27" t="n"/>
      <c r="G239" s="27" t="n"/>
      <c r="H239" s="28" t="n"/>
      <c r="I239" s="27" t="n"/>
      <c r="J239" s="27">
        <f>IF(COUNTA(A239:I239)=0,"",IF(A239="","UC-ID missing",IF(COUNTIF($A$4:$A$253,A239)&gt;1,"Duplicate UC-ID",IF(OR(B239="",D239="",E239=""),"Use/owner/source missing",IF(AND(F239&lt;&gt;"",COUNTIF('System map'!$A$4:$A$203,F239)&lt;&gt;1),"AIR-ID not reconciled in map",IF(AND(I239="Confirmed",OR(H239="",NOT(ISNUMBER(H239)),G239="",G239="Unknown",G239="Low")),"Confirmed use lacks verification",IF(AND(I239="Confirmed",H239&gt;TODAY()),"Verified-on date is in the future","OK — verify source")))))))</f>
        <v/>
      </c>
      <c r="K239" s="17" t="n"/>
      <c r="L239" s="17" t="n"/>
      <c r="M239" s="17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6" t="n"/>
      <c r="I240" s="25" t="n"/>
      <c r="J240" s="25">
        <f>IF(COUNTA(A240:I240)=0,"",IF(A240="","UC-ID missing",IF(COUNTIF($A$4:$A$253,A240)&gt;1,"Duplicate UC-ID",IF(OR(B240="",D240="",E240=""),"Use/owner/source missing",IF(AND(F240&lt;&gt;"",COUNTIF('System map'!$A$4:$A$203,F240)&lt;&gt;1),"AIR-ID not reconciled in map",IF(AND(I240="Confirmed",OR(H240="",NOT(ISNUMBER(H240)),G240="",G240="Unknown",G240="Low")),"Confirmed use lacks verification",IF(AND(I240="Confirmed",H240&gt;TODAY()),"Verified-on date is in the future","OK — verify source")))))))</f>
        <v/>
      </c>
      <c r="K240" s="17" t="n"/>
      <c r="L240" s="17" t="n"/>
      <c r="M240" s="17" t="n"/>
    </row>
    <row r="241">
      <c r="A241" s="27" t="n"/>
      <c r="B241" s="27" t="n"/>
      <c r="C241" s="27" t="n"/>
      <c r="D241" s="27" t="n"/>
      <c r="E241" s="27" t="n"/>
      <c r="F241" s="27" t="n"/>
      <c r="G241" s="27" t="n"/>
      <c r="H241" s="28" t="n"/>
      <c r="I241" s="27" t="n"/>
      <c r="J241" s="27">
        <f>IF(COUNTA(A241:I241)=0,"",IF(A241="","UC-ID missing",IF(COUNTIF($A$4:$A$253,A241)&gt;1,"Duplicate UC-ID",IF(OR(B241="",D241="",E241=""),"Use/owner/source missing",IF(AND(F241&lt;&gt;"",COUNTIF('System map'!$A$4:$A$203,F241)&lt;&gt;1),"AIR-ID not reconciled in map",IF(AND(I241="Confirmed",OR(H241="",NOT(ISNUMBER(H241)),G241="",G241="Unknown",G241="Low")),"Confirmed use lacks verification",IF(AND(I241="Confirmed",H241&gt;TODAY()),"Verified-on date is in the future","OK — verify source")))))))</f>
        <v/>
      </c>
      <c r="K241" s="17" t="n"/>
      <c r="L241" s="17" t="n"/>
      <c r="M241" s="17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6" t="n"/>
      <c r="I242" s="25" t="n"/>
      <c r="J242" s="25">
        <f>IF(COUNTA(A242:I242)=0,"",IF(A242="","UC-ID missing",IF(COUNTIF($A$4:$A$253,A242)&gt;1,"Duplicate UC-ID",IF(OR(B242="",D242="",E242=""),"Use/owner/source missing",IF(AND(F242&lt;&gt;"",COUNTIF('System map'!$A$4:$A$203,F242)&lt;&gt;1),"AIR-ID not reconciled in map",IF(AND(I242="Confirmed",OR(H242="",NOT(ISNUMBER(H242)),G242="",G242="Unknown",G242="Low")),"Confirmed use lacks verification",IF(AND(I242="Confirmed",H242&gt;TODAY()),"Verified-on date is in the future","OK — verify source")))))))</f>
        <v/>
      </c>
      <c r="K242" s="17" t="n"/>
      <c r="L242" s="17" t="n"/>
      <c r="M242" s="17" t="n"/>
    </row>
    <row r="243">
      <c r="A243" s="27" t="n"/>
      <c r="B243" s="27" t="n"/>
      <c r="C243" s="27" t="n"/>
      <c r="D243" s="27" t="n"/>
      <c r="E243" s="27" t="n"/>
      <c r="F243" s="27" t="n"/>
      <c r="G243" s="27" t="n"/>
      <c r="H243" s="28" t="n"/>
      <c r="I243" s="27" t="n"/>
      <c r="J243" s="27">
        <f>IF(COUNTA(A243:I243)=0,"",IF(A243="","UC-ID missing",IF(COUNTIF($A$4:$A$253,A243)&gt;1,"Duplicate UC-ID",IF(OR(B243="",D243="",E243=""),"Use/owner/source missing",IF(AND(F243&lt;&gt;"",COUNTIF('System map'!$A$4:$A$203,F243)&lt;&gt;1),"AIR-ID not reconciled in map",IF(AND(I243="Confirmed",OR(H243="",NOT(ISNUMBER(H243)),G243="",G243="Unknown",G243="Low")),"Confirmed use lacks verification",IF(AND(I243="Confirmed",H243&gt;TODAY()),"Verified-on date is in the future","OK — verify source")))))))</f>
        <v/>
      </c>
      <c r="K243" s="17" t="n"/>
      <c r="L243" s="17" t="n"/>
      <c r="M243" s="17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6" t="n"/>
      <c r="I244" s="25" t="n"/>
      <c r="J244" s="25">
        <f>IF(COUNTA(A244:I244)=0,"",IF(A244="","UC-ID missing",IF(COUNTIF($A$4:$A$253,A244)&gt;1,"Duplicate UC-ID",IF(OR(B244="",D244="",E244=""),"Use/owner/source missing",IF(AND(F244&lt;&gt;"",COUNTIF('System map'!$A$4:$A$203,F244)&lt;&gt;1),"AIR-ID not reconciled in map",IF(AND(I244="Confirmed",OR(H244="",NOT(ISNUMBER(H244)),G244="",G244="Unknown",G244="Low")),"Confirmed use lacks verification",IF(AND(I244="Confirmed",H244&gt;TODAY()),"Verified-on date is in the future","OK — verify source")))))))</f>
        <v/>
      </c>
      <c r="K244" s="17" t="n"/>
      <c r="L244" s="17" t="n"/>
      <c r="M244" s="17" t="n"/>
    </row>
    <row r="245">
      <c r="A245" s="27" t="n"/>
      <c r="B245" s="27" t="n"/>
      <c r="C245" s="27" t="n"/>
      <c r="D245" s="27" t="n"/>
      <c r="E245" s="27" t="n"/>
      <c r="F245" s="27" t="n"/>
      <c r="G245" s="27" t="n"/>
      <c r="H245" s="28" t="n"/>
      <c r="I245" s="27" t="n"/>
      <c r="J245" s="27">
        <f>IF(COUNTA(A245:I245)=0,"",IF(A245="","UC-ID missing",IF(COUNTIF($A$4:$A$253,A245)&gt;1,"Duplicate UC-ID",IF(OR(B245="",D245="",E245=""),"Use/owner/source missing",IF(AND(F245&lt;&gt;"",COUNTIF('System map'!$A$4:$A$203,F245)&lt;&gt;1),"AIR-ID not reconciled in map",IF(AND(I245="Confirmed",OR(H245="",NOT(ISNUMBER(H245)),G245="",G245="Unknown",G245="Low")),"Confirmed use lacks verification",IF(AND(I245="Confirmed",H245&gt;TODAY()),"Verified-on date is in the future","OK — verify source")))))))</f>
        <v/>
      </c>
      <c r="K245" s="17" t="n"/>
      <c r="L245" s="17" t="n"/>
      <c r="M245" s="17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6" t="n"/>
      <c r="I246" s="25" t="n"/>
      <c r="J246" s="25">
        <f>IF(COUNTA(A246:I246)=0,"",IF(A246="","UC-ID missing",IF(COUNTIF($A$4:$A$253,A246)&gt;1,"Duplicate UC-ID",IF(OR(B246="",D246="",E246=""),"Use/owner/source missing",IF(AND(F246&lt;&gt;"",COUNTIF('System map'!$A$4:$A$203,F246)&lt;&gt;1),"AIR-ID not reconciled in map",IF(AND(I246="Confirmed",OR(H246="",NOT(ISNUMBER(H246)),G246="",G246="Unknown",G246="Low")),"Confirmed use lacks verification",IF(AND(I246="Confirmed",H246&gt;TODAY()),"Verified-on date is in the future","OK — verify source")))))))</f>
        <v/>
      </c>
      <c r="K246" s="17" t="n"/>
      <c r="L246" s="17" t="n"/>
      <c r="M246" s="17" t="n"/>
    </row>
    <row r="247">
      <c r="A247" s="27" t="n"/>
      <c r="B247" s="27" t="n"/>
      <c r="C247" s="27" t="n"/>
      <c r="D247" s="27" t="n"/>
      <c r="E247" s="27" t="n"/>
      <c r="F247" s="27" t="n"/>
      <c r="G247" s="27" t="n"/>
      <c r="H247" s="28" t="n"/>
      <c r="I247" s="27" t="n"/>
      <c r="J247" s="27">
        <f>IF(COUNTA(A247:I247)=0,"",IF(A247="","UC-ID missing",IF(COUNTIF($A$4:$A$253,A247)&gt;1,"Duplicate UC-ID",IF(OR(B247="",D247="",E247=""),"Use/owner/source missing",IF(AND(F247&lt;&gt;"",COUNTIF('System map'!$A$4:$A$203,F247)&lt;&gt;1),"AIR-ID not reconciled in map",IF(AND(I247="Confirmed",OR(H247="",NOT(ISNUMBER(H247)),G247="",G247="Unknown",G247="Low")),"Confirmed use lacks verification",IF(AND(I247="Confirmed",H247&gt;TODAY()),"Verified-on date is in the future","OK — verify source")))))))</f>
        <v/>
      </c>
      <c r="K247" s="17" t="n"/>
      <c r="L247" s="17" t="n"/>
      <c r="M247" s="17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6" t="n"/>
      <c r="I248" s="25" t="n"/>
      <c r="J248" s="25">
        <f>IF(COUNTA(A248:I248)=0,"",IF(A248="","UC-ID missing",IF(COUNTIF($A$4:$A$253,A248)&gt;1,"Duplicate UC-ID",IF(OR(B248="",D248="",E248=""),"Use/owner/source missing",IF(AND(F248&lt;&gt;"",COUNTIF('System map'!$A$4:$A$203,F248)&lt;&gt;1),"AIR-ID not reconciled in map",IF(AND(I248="Confirmed",OR(H248="",NOT(ISNUMBER(H248)),G248="",G248="Unknown",G248="Low")),"Confirmed use lacks verification",IF(AND(I248="Confirmed",H248&gt;TODAY()),"Verified-on date is in the future","OK — verify source")))))))</f>
        <v/>
      </c>
      <c r="K248" s="17" t="n"/>
      <c r="L248" s="17" t="n"/>
      <c r="M248" s="17" t="n"/>
    </row>
    <row r="249">
      <c r="A249" s="27" t="n"/>
      <c r="B249" s="27" t="n"/>
      <c r="C249" s="27" t="n"/>
      <c r="D249" s="27" t="n"/>
      <c r="E249" s="27" t="n"/>
      <c r="F249" s="27" t="n"/>
      <c r="G249" s="27" t="n"/>
      <c r="H249" s="28" t="n"/>
      <c r="I249" s="27" t="n"/>
      <c r="J249" s="27">
        <f>IF(COUNTA(A249:I249)=0,"",IF(A249="","UC-ID missing",IF(COUNTIF($A$4:$A$253,A249)&gt;1,"Duplicate UC-ID",IF(OR(B249="",D249="",E249=""),"Use/owner/source missing",IF(AND(F249&lt;&gt;"",COUNTIF('System map'!$A$4:$A$203,F249)&lt;&gt;1),"AIR-ID not reconciled in map",IF(AND(I249="Confirmed",OR(H249="",NOT(ISNUMBER(H249)),G249="",G249="Unknown",G249="Low")),"Confirmed use lacks verification",IF(AND(I249="Confirmed",H249&gt;TODAY()),"Verified-on date is in the future","OK — verify source")))))))</f>
        <v/>
      </c>
      <c r="K249" s="17" t="n"/>
      <c r="L249" s="17" t="n"/>
      <c r="M249" s="17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6" t="n"/>
      <c r="I250" s="25" t="n"/>
      <c r="J250" s="25">
        <f>IF(COUNTA(A250:I250)=0,"",IF(A250="","UC-ID missing",IF(COUNTIF($A$4:$A$253,A250)&gt;1,"Duplicate UC-ID",IF(OR(B250="",D250="",E250=""),"Use/owner/source missing",IF(AND(F250&lt;&gt;"",COUNTIF('System map'!$A$4:$A$203,F250)&lt;&gt;1),"AIR-ID not reconciled in map",IF(AND(I250="Confirmed",OR(H250="",NOT(ISNUMBER(H250)),G250="",G250="Unknown",G250="Low")),"Confirmed use lacks verification",IF(AND(I250="Confirmed",H250&gt;TODAY()),"Verified-on date is in the future","OK — verify source")))))))</f>
        <v/>
      </c>
      <c r="K250" s="17" t="n"/>
      <c r="L250" s="17" t="n"/>
      <c r="M250" s="17" t="n"/>
    </row>
    <row r="251">
      <c r="A251" s="27" t="n"/>
      <c r="B251" s="27" t="n"/>
      <c r="C251" s="27" t="n"/>
      <c r="D251" s="27" t="n"/>
      <c r="E251" s="27" t="n"/>
      <c r="F251" s="27" t="n"/>
      <c r="G251" s="27" t="n"/>
      <c r="H251" s="28" t="n"/>
      <c r="I251" s="27" t="n"/>
      <c r="J251" s="27">
        <f>IF(COUNTA(A251:I251)=0,"",IF(A251="","UC-ID missing",IF(COUNTIF($A$4:$A$253,A251)&gt;1,"Duplicate UC-ID",IF(OR(B251="",D251="",E251=""),"Use/owner/source missing",IF(AND(F251&lt;&gt;"",COUNTIF('System map'!$A$4:$A$203,F251)&lt;&gt;1),"AIR-ID not reconciled in map",IF(AND(I251="Confirmed",OR(H251="",NOT(ISNUMBER(H251)),G251="",G251="Unknown",G251="Low")),"Confirmed use lacks verification",IF(AND(I251="Confirmed",H251&gt;TODAY()),"Verified-on date is in the future","OK — verify source")))))))</f>
        <v/>
      </c>
      <c r="K251" s="17" t="n"/>
      <c r="L251" s="17" t="n"/>
      <c r="M251" s="17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6" t="n"/>
      <c r="I252" s="25" t="n"/>
      <c r="J252" s="25">
        <f>IF(COUNTA(A252:I252)=0,"",IF(A252="","UC-ID missing",IF(COUNTIF($A$4:$A$253,A252)&gt;1,"Duplicate UC-ID",IF(OR(B252="",D252="",E252=""),"Use/owner/source missing",IF(AND(F252&lt;&gt;"",COUNTIF('System map'!$A$4:$A$203,F252)&lt;&gt;1),"AIR-ID not reconciled in map",IF(AND(I252="Confirmed",OR(H252="",NOT(ISNUMBER(H252)),G252="",G252="Unknown",G252="Low")),"Confirmed use lacks verification",IF(AND(I252="Confirmed",H252&gt;TODAY()),"Verified-on date is in the future","OK — verify source")))))))</f>
        <v/>
      </c>
      <c r="K252" s="17" t="n"/>
      <c r="L252" s="17" t="n"/>
      <c r="M252" s="17" t="n"/>
    </row>
    <row r="253">
      <c r="A253" s="27" t="n"/>
      <c r="B253" s="27" t="n"/>
      <c r="C253" s="27" t="n"/>
      <c r="D253" s="27" t="n"/>
      <c r="E253" s="27" t="n"/>
      <c r="F253" s="27" t="n"/>
      <c r="G253" s="27" t="n"/>
      <c r="H253" s="28" t="n"/>
      <c r="I253" s="27" t="n"/>
      <c r="J253" s="27">
        <f>IF(COUNTA(A253:I253)=0,"",IF(A253="","UC-ID missing",IF(COUNTIF($A$4:$A$253,A253)&gt;1,"Duplicate UC-ID",IF(OR(B253="",D253="",E253=""),"Use/owner/source missing",IF(AND(F253&lt;&gt;"",COUNTIF('System map'!$A$4:$A$203,F253)&lt;&gt;1),"AIR-ID not reconciled in map",IF(AND(I253="Confirmed",OR(H253="",NOT(ISNUMBER(H253)),G253="",G253="Unknown",G253="Low")),"Confirmed use lacks verification",IF(AND(I253="Confirmed",H253&gt;TODAY()),"Verified-on date is in the future","OK — verify source")))))))</f>
        <v/>
      </c>
      <c r="K253" s="17" t="n"/>
      <c r="L253" s="17" t="n"/>
      <c r="M253" s="17" t="n"/>
    </row>
  </sheetData>
  <mergeCells count="2">
    <mergeCell ref="A1:J1"/>
    <mergeCell ref="A2:J2"/>
  </mergeCells>
  <dataValidations count="3">
    <dataValidation sqref="G4:G253" showDropDown="0" showInputMessage="0" showErrorMessage="1" allowBlank="1" errorTitle="Controlled value" error="Select a listed value." type="list">
      <formula1>"High,Medium,Low,Unknown"</formula1>
    </dataValidation>
    <dataValidation sqref="I4:I253" showDropDown="0" showInputMessage="0" showErrorMessage="1" allowBlank="1" errorTitle="Controlled value" error="Select a listed value." type="list">
      <formula1>"Proposed,Confirmed,Superseded"</formula1>
    </dataValidation>
    <dataValidation sqref="H4:H253" showDropDown="0" showInputMessage="0" showErrorMessage="1" allowBlank="1" errorTitle="Controlled value" error="Enter the verification date." type="date" errorStyle="stop" operator="greaterThan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32" customWidth="1" min="4" max="4"/>
    <col width="46" customWidth="1" min="5" max="5"/>
    <col width="26" customWidth="1" min="6" max="6"/>
    <col width="30" customWidth="1" min="7" max="7"/>
    <col width="17" customWidth="1" min="8" max="8"/>
    <col width="18" customWidth="1" min="9" max="9"/>
    <col width="20" customWidth="1" min="10" max="10"/>
    <col width="32" customWidth="1" min="11" max="11"/>
  </cols>
  <sheetData>
    <row r="1" ht="34" customHeight="1">
      <c r="A1" s="22" t="inlineStr">
        <is>
          <t>ATOMIC REUSABLE CAPABILITIES</t>
        </is>
      </c>
    </row>
    <row r="2" ht="44" customHeight="1">
      <c r="A2" s="23" t="inlineStr">
        <is>
          <t>Describe a function as a verb + noun, not as a vendor product, AI agent permission or project title. Reuse an existing canonical capability catalogue if agreed.</t>
        </is>
      </c>
    </row>
    <row r="3" ht="36" customHeight="1">
      <c r="A3" s="24" t="inlineStr">
        <is>
          <t>CAP-ID</t>
        </is>
      </c>
      <c r="B3" s="24" t="inlineStr">
        <is>
          <t>Function (verb + noun)</t>
        </is>
      </c>
      <c r="C3" s="24" t="inlineStr">
        <is>
          <t>Inputs</t>
        </is>
      </c>
      <c r="D3" s="24" t="inlineStr">
        <is>
          <t>Outputs</t>
        </is>
      </c>
      <c r="E3" s="24" t="inlineStr">
        <is>
          <t>Boundary / excluded use</t>
        </is>
      </c>
      <c r="F3" s="24" t="inlineStr">
        <is>
          <t>Capability owner</t>
        </is>
      </c>
      <c r="G3" s="24" t="inlineStr">
        <is>
          <t>Definition source ref</t>
        </is>
      </c>
      <c r="H3" s="24" t="inlineStr">
        <is>
          <t>Confidence</t>
        </is>
      </c>
      <c r="I3" s="24" t="inlineStr">
        <is>
          <t>Verified on</t>
        </is>
      </c>
      <c r="J3" s="24" t="inlineStr">
        <is>
          <t>State</t>
        </is>
      </c>
      <c r="K3" s="24" t="inlineStr">
        <is>
          <t>Row check</t>
        </is>
      </c>
    </row>
    <row r="4">
      <c r="A4" s="25" t="n"/>
      <c r="B4" s="25" t="n"/>
      <c r="C4" s="25" t="n"/>
      <c r="D4" s="25" t="n"/>
      <c r="E4" s="25" t="n"/>
      <c r="F4" s="25" t="n"/>
      <c r="G4" s="25" t="n"/>
      <c r="H4" s="25" t="n"/>
      <c r="I4" s="26" t="n"/>
      <c r="J4" s="25" t="n"/>
      <c r="K4" s="25">
        <f>IF(COUNTA(A4:J4)=0,"",IF(A4="","CAP-ID missing",IF(COUNTIF($A$4:$A$253,A4)&gt;1,"Duplicate CAP-ID",IF(OR(B4="",C4="",D4="",E4="",F4="",G4=""),"Definition / owner / source missing",IF(AND(J4="Confirmed",OR(I4="",H4="",H4="Unknown",H4="Low")),"Confirmed capability lacks verification","OK — verify source")))))</f>
        <v/>
      </c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  <c r="I5" s="28" t="n"/>
      <c r="J5" s="27" t="n"/>
      <c r="K5" s="27">
        <f>IF(COUNTA(A5:J5)=0,"",IF(A5="","CAP-ID missing",IF(COUNTIF($A$4:$A$253,A5)&gt;1,"Duplicate CAP-ID",IF(OR(B5="",C5="",D5="",E5="",F5="",G5=""),"Definition / owner / source missing",IF(AND(J5="Confirmed",OR(I5="",H5="",H5="Unknown",H5="Low")),"Confirmed capability lacks verification","OK — verify source")))))</f>
        <v/>
      </c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26" t="n"/>
      <c r="J6" s="25" t="n"/>
      <c r="K6" s="25">
        <f>IF(COUNTA(A6:J6)=0,"",IF(A6="","CAP-ID missing",IF(COUNTIF($A$4:$A$253,A6)&gt;1,"Duplicate CAP-ID",IF(OR(B6="",C6="",D6="",E6="",F6="",G6=""),"Definition / owner / source missing",IF(AND(J6="Confirmed",OR(I6="",H6="",H6="Unknown",H6="Low")),"Confirmed capability lacks verification","OK — verify source")))))</f>
        <v/>
      </c>
    </row>
    <row r="7">
      <c r="A7" s="27" t="n"/>
      <c r="B7" s="27" t="n"/>
      <c r="C7" s="27" t="n"/>
      <c r="D7" s="27" t="n"/>
      <c r="E7" s="27" t="n"/>
      <c r="F7" s="27" t="n"/>
      <c r="G7" s="27" t="n"/>
      <c r="H7" s="27" t="n"/>
      <c r="I7" s="28" t="n"/>
      <c r="J7" s="27" t="n"/>
      <c r="K7" s="27">
        <f>IF(COUNTA(A7:J7)=0,"",IF(A7="","CAP-ID missing",IF(COUNTIF($A$4:$A$253,A7)&gt;1,"Duplicate CAP-ID",IF(OR(B7="",C7="",D7="",E7="",F7="",G7=""),"Definition / owner / source missing",IF(AND(J7="Confirmed",OR(I7="",H7="",H7="Unknown",H7="Low")),"Confirmed capability lacks verification","OK — verify source")))))</f>
        <v/>
      </c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26" t="n"/>
      <c r="J8" s="25" t="n"/>
      <c r="K8" s="25">
        <f>IF(COUNTA(A8:J8)=0,"",IF(A8="","CAP-ID missing",IF(COUNTIF($A$4:$A$253,A8)&gt;1,"Duplicate CAP-ID",IF(OR(B8="",C8="",D8="",E8="",F8="",G8=""),"Definition / owner / source missing",IF(AND(J8="Confirmed",OR(I8="",H8="",H8="Unknown",H8="Low")),"Confirmed capability lacks verification","OK — verify source")))))</f>
        <v/>
      </c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  <c r="I9" s="28" t="n"/>
      <c r="J9" s="27" t="n"/>
      <c r="K9" s="27">
        <f>IF(COUNTA(A9:J9)=0,"",IF(A9="","CAP-ID missing",IF(COUNTIF($A$4:$A$253,A9)&gt;1,"Duplicate CAP-ID",IF(OR(B9="",C9="",D9="",E9="",F9="",G9=""),"Definition / owner / source missing",IF(AND(J9="Confirmed",OR(I9="",H9="",H9="Unknown",H9="Low")),"Confirmed capability lacks verification","OK — verify source")))))</f>
        <v/>
      </c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6" t="n"/>
      <c r="J10" s="25" t="n"/>
      <c r="K10" s="25">
        <f>IF(COUNTA(A10:J10)=0,"",IF(A10="","CAP-ID missing",IF(COUNTIF($A$4:$A$253,A10)&gt;1,"Duplicate CAP-ID",IF(OR(B10="",C10="",D10="",E10="",F10="",G10=""),"Definition / owner / source missing",IF(AND(J10="Confirmed",OR(I10="",H10="",H10="Unknown",H10="Low")),"Confirmed capability lacks verification","OK — verify source")))))</f>
        <v/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8" t="n"/>
      <c r="J11" s="27" t="n"/>
      <c r="K11" s="27">
        <f>IF(COUNTA(A11:J11)=0,"",IF(A11="","CAP-ID missing",IF(COUNTIF($A$4:$A$253,A11)&gt;1,"Duplicate CAP-ID",IF(OR(B11="",C11="",D11="",E11="",F11="",G11=""),"Definition / owner / source missing",IF(AND(J11="Confirmed",OR(I11="",H11="",H11="Unknown",H11="Low")),"Confirmed capability lacks verification","OK — verify source")))))</f>
        <v/>
      </c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6" t="n"/>
      <c r="J12" s="25" t="n"/>
      <c r="K12" s="25">
        <f>IF(COUNTA(A12:J12)=0,"",IF(A12="","CAP-ID missing",IF(COUNTIF($A$4:$A$253,A12)&gt;1,"Duplicate CAP-ID",IF(OR(B12="",C12="",D12="",E12="",F12="",G12=""),"Definition / owner / source missing",IF(AND(J12="Confirmed",OR(I12="",H12="",H12="Unknown",H12="Low")),"Confirmed capability lacks verification","OK — verify source")))))</f>
        <v/>
      </c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8" t="n"/>
      <c r="J13" s="27" t="n"/>
      <c r="K13" s="27">
        <f>IF(COUNTA(A13:J13)=0,"",IF(A13="","CAP-ID missing",IF(COUNTIF($A$4:$A$253,A13)&gt;1,"Duplicate CAP-ID",IF(OR(B13="",C13="",D13="",E13="",F13="",G13=""),"Definition / owner / source missing",IF(AND(J13="Confirmed",OR(I13="",H13="",H13="Unknown",H13="Low")),"Confirmed capability lacks verification","OK — verify source")))))</f>
        <v/>
      </c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6" t="n"/>
      <c r="J14" s="25" t="n"/>
      <c r="K14" s="25">
        <f>IF(COUNTA(A14:J14)=0,"",IF(A14="","CAP-ID missing",IF(COUNTIF($A$4:$A$253,A14)&gt;1,"Duplicate CAP-ID",IF(OR(B14="",C14="",D14="",E14="",F14="",G14=""),"Definition / owner / source missing",IF(AND(J14="Confirmed",OR(I14="",H14="",H14="Unknown",H14="Low")),"Confirmed capability lacks verification","OK — verify source")))))</f>
        <v/>
      </c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8" t="n"/>
      <c r="J15" s="27" t="n"/>
      <c r="K15" s="27">
        <f>IF(COUNTA(A15:J15)=0,"",IF(A15="","CAP-ID missing",IF(COUNTIF($A$4:$A$253,A15)&gt;1,"Duplicate CAP-ID",IF(OR(B15="",C15="",D15="",E15="",F15="",G15=""),"Definition / owner / source missing",IF(AND(J15="Confirmed",OR(I15="",H15="",H15="Unknown",H15="Low")),"Confirmed capability lacks verification","OK — verify source")))))</f>
        <v/>
      </c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6" t="n"/>
      <c r="J16" s="25" t="n"/>
      <c r="K16" s="25">
        <f>IF(COUNTA(A16:J16)=0,"",IF(A16="","CAP-ID missing",IF(COUNTIF($A$4:$A$253,A16)&gt;1,"Duplicate CAP-ID",IF(OR(B16="",C16="",D16="",E16="",F16="",G16=""),"Definition / owner / source missing",IF(AND(J16="Confirmed",OR(I16="",H16="",H16="Unknown",H16="Low")),"Confirmed capability lacks verification","OK — verify source")))))</f>
        <v/>
      </c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8" t="n"/>
      <c r="J17" s="27" t="n"/>
      <c r="K17" s="27">
        <f>IF(COUNTA(A17:J17)=0,"",IF(A17="","CAP-ID missing",IF(COUNTIF($A$4:$A$253,A17)&gt;1,"Duplicate CAP-ID",IF(OR(B17="",C17="",D17="",E17="",F17="",G17=""),"Definition / owner / source missing",IF(AND(J17="Confirmed",OR(I17="",H17="",H17="Unknown",H17="Low")),"Confirmed capability lacks verification","OK — verify source")))))</f>
        <v/>
      </c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6" t="n"/>
      <c r="J18" s="25" t="n"/>
      <c r="K18" s="25">
        <f>IF(COUNTA(A18:J18)=0,"",IF(A18="","CAP-ID missing",IF(COUNTIF($A$4:$A$253,A18)&gt;1,"Duplicate CAP-ID",IF(OR(B18="",C18="",D18="",E18="",F18="",G18=""),"Definition / owner / source missing",IF(AND(J18="Confirmed",OR(I18="",H18="",H18="Unknown",H18="Low")),"Confirmed capability lacks verification","OK — verify source")))))</f>
        <v/>
      </c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8" t="n"/>
      <c r="J19" s="27" t="n"/>
      <c r="K19" s="27">
        <f>IF(COUNTA(A19:J19)=0,"",IF(A19="","CAP-ID missing",IF(COUNTIF($A$4:$A$253,A19)&gt;1,"Duplicate CAP-ID",IF(OR(B19="",C19="",D19="",E19="",F19="",G19=""),"Definition / owner / source missing",IF(AND(J19="Confirmed",OR(I19="",H19="",H19="Unknown",H19="Low")),"Confirmed capability lacks verification","OK — verify source")))))</f>
        <v/>
      </c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6" t="n"/>
      <c r="J20" s="25" t="n"/>
      <c r="K20" s="25">
        <f>IF(COUNTA(A20:J20)=0,"",IF(A20="","CAP-ID missing",IF(COUNTIF($A$4:$A$253,A20)&gt;1,"Duplicate CAP-ID",IF(OR(B20="",C20="",D20="",E20="",F20="",G20=""),"Definition / owner / source missing",IF(AND(J20="Confirmed",OR(I20="",H20="",H20="Unknown",H20="Low")),"Confirmed capability lacks verification","OK — verify source")))))</f>
        <v/>
      </c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8" t="n"/>
      <c r="J21" s="27" t="n"/>
      <c r="K21" s="27">
        <f>IF(COUNTA(A21:J21)=0,"",IF(A21="","CAP-ID missing",IF(COUNTIF($A$4:$A$253,A21)&gt;1,"Duplicate CAP-ID",IF(OR(B21="",C21="",D21="",E21="",F21="",G21=""),"Definition / owner / source missing",IF(AND(J21="Confirmed",OR(I21="",H21="",H21="Unknown",H21="Low")),"Confirmed capability lacks verification","OK — verify source")))))</f>
        <v/>
      </c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6" t="n"/>
      <c r="J22" s="25" t="n"/>
      <c r="K22" s="25">
        <f>IF(COUNTA(A22:J22)=0,"",IF(A22="","CAP-ID missing",IF(COUNTIF($A$4:$A$253,A22)&gt;1,"Duplicate CAP-ID",IF(OR(B22="",C22="",D22="",E22="",F22="",G22=""),"Definition / owner / source missing",IF(AND(J22="Confirmed",OR(I22="",H22="",H22="Unknown",H22="Low")),"Confirmed capability lacks verification","OK — verify source")))))</f>
        <v/>
      </c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8" t="n"/>
      <c r="J23" s="27" t="n"/>
      <c r="K23" s="27">
        <f>IF(COUNTA(A23:J23)=0,"",IF(A23="","CAP-ID missing",IF(COUNTIF($A$4:$A$253,A23)&gt;1,"Duplicate CAP-ID",IF(OR(B23="",C23="",D23="",E23="",F23="",G23=""),"Definition / owner / source missing",IF(AND(J23="Confirmed",OR(I23="",H23="",H23="Unknown",H23="Low")),"Confirmed capability lacks verification","OK — verify source")))))</f>
        <v/>
      </c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6" t="n"/>
      <c r="J24" s="25" t="n"/>
      <c r="K24" s="25">
        <f>IF(COUNTA(A24:J24)=0,"",IF(A24="","CAP-ID missing",IF(COUNTIF($A$4:$A$253,A24)&gt;1,"Duplicate CAP-ID",IF(OR(B24="",C24="",D24="",E24="",F24="",G24=""),"Definition / owner / source missing",IF(AND(J24="Confirmed",OR(I24="",H24="",H24="Unknown",H24="Low")),"Confirmed capability lacks verification","OK — verify source")))))</f>
        <v/>
      </c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8" t="n"/>
      <c r="J25" s="27" t="n"/>
      <c r="K25" s="27">
        <f>IF(COUNTA(A25:J25)=0,"",IF(A25="","CAP-ID missing",IF(COUNTIF($A$4:$A$253,A25)&gt;1,"Duplicate CAP-ID",IF(OR(B25="",C25="",D25="",E25="",F25="",G25=""),"Definition / owner / source missing",IF(AND(J25="Confirmed",OR(I25="",H25="",H25="Unknown",H25="Low")),"Confirmed capability lacks verification","OK — verify source")))))</f>
        <v/>
      </c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6" t="n"/>
      <c r="J26" s="25" t="n"/>
      <c r="K26" s="25">
        <f>IF(COUNTA(A26:J26)=0,"",IF(A26="","CAP-ID missing",IF(COUNTIF($A$4:$A$253,A26)&gt;1,"Duplicate CAP-ID",IF(OR(B26="",C26="",D26="",E26="",F26="",G26=""),"Definition / owner / source missing",IF(AND(J26="Confirmed",OR(I26="",H26="",H26="Unknown",H26="Low")),"Confirmed capability lacks verification","OK — verify source")))))</f>
        <v/>
      </c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8" t="n"/>
      <c r="J27" s="27" t="n"/>
      <c r="K27" s="27">
        <f>IF(COUNTA(A27:J27)=0,"",IF(A27="","CAP-ID missing",IF(COUNTIF($A$4:$A$253,A27)&gt;1,"Duplicate CAP-ID",IF(OR(B27="",C27="",D27="",E27="",F27="",G27=""),"Definition / owner / source missing",IF(AND(J27="Confirmed",OR(I27="",H27="",H27="Unknown",H27="Low")),"Confirmed capability lacks verification","OK — verify source")))))</f>
        <v/>
      </c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6" t="n"/>
      <c r="J28" s="25" t="n"/>
      <c r="K28" s="25">
        <f>IF(COUNTA(A28:J28)=0,"",IF(A28="","CAP-ID missing",IF(COUNTIF($A$4:$A$253,A28)&gt;1,"Duplicate CAP-ID",IF(OR(B28="",C28="",D28="",E28="",F28="",G28=""),"Definition / owner / source missing",IF(AND(J28="Confirmed",OR(I28="",H28="",H28="Unknown",H28="Low")),"Confirmed capability lacks verification","OK — verify source")))))</f>
        <v/>
      </c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8" t="n"/>
      <c r="J29" s="27" t="n"/>
      <c r="K29" s="27">
        <f>IF(COUNTA(A29:J29)=0,"",IF(A29="","CAP-ID missing",IF(COUNTIF($A$4:$A$253,A29)&gt;1,"Duplicate CAP-ID",IF(OR(B29="",C29="",D29="",E29="",F29="",G29=""),"Definition / owner / source missing",IF(AND(J29="Confirmed",OR(I29="",H29="",H29="Unknown",H29="Low")),"Confirmed capability lacks verification","OK — verify source")))))</f>
        <v/>
      </c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6" t="n"/>
      <c r="J30" s="25" t="n"/>
      <c r="K30" s="25">
        <f>IF(COUNTA(A30:J30)=0,"",IF(A30="","CAP-ID missing",IF(COUNTIF($A$4:$A$253,A30)&gt;1,"Duplicate CAP-ID",IF(OR(B30="",C30="",D30="",E30="",F30="",G30=""),"Definition / owner / source missing",IF(AND(J30="Confirmed",OR(I30="",H30="",H30="Unknown",H30="Low")),"Confirmed capability lacks verification","OK — verify source")))))</f>
        <v/>
      </c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8" t="n"/>
      <c r="J31" s="27" t="n"/>
      <c r="K31" s="27">
        <f>IF(COUNTA(A31:J31)=0,"",IF(A31="","CAP-ID missing",IF(COUNTIF($A$4:$A$253,A31)&gt;1,"Duplicate CAP-ID",IF(OR(B31="",C31="",D31="",E31="",F31="",G31=""),"Definition / owner / source missing",IF(AND(J31="Confirmed",OR(I31="",H31="",H31="Unknown",H31="Low")),"Confirmed capability lacks verification","OK — verify source")))))</f>
        <v/>
      </c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6" t="n"/>
      <c r="J32" s="25" t="n"/>
      <c r="K32" s="25">
        <f>IF(COUNTA(A32:J32)=0,"",IF(A32="","CAP-ID missing",IF(COUNTIF($A$4:$A$253,A32)&gt;1,"Duplicate CAP-ID",IF(OR(B32="",C32="",D32="",E32="",F32="",G32=""),"Definition / owner / source missing",IF(AND(J32="Confirmed",OR(I32="",H32="",H32="Unknown",H32="Low")),"Confirmed capability lacks verification","OK — verify source")))))</f>
        <v/>
      </c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8" t="n"/>
      <c r="J33" s="27" t="n"/>
      <c r="K33" s="27">
        <f>IF(COUNTA(A33:J33)=0,"",IF(A33="","CAP-ID missing",IF(COUNTIF($A$4:$A$253,A33)&gt;1,"Duplicate CAP-ID",IF(OR(B33="",C33="",D33="",E33="",F33="",G33=""),"Definition / owner / source missing",IF(AND(J33="Confirmed",OR(I33="",H33="",H33="Unknown",H33="Low")),"Confirmed capability lacks verification","OK — verify source")))))</f>
        <v/>
      </c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6" t="n"/>
      <c r="J34" s="25" t="n"/>
      <c r="K34" s="25">
        <f>IF(COUNTA(A34:J34)=0,"",IF(A34="","CAP-ID missing",IF(COUNTIF($A$4:$A$253,A34)&gt;1,"Duplicate CAP-ID",IF(OR(B34="",C34="",D34="",E34="",F34="",G34=""),"Definition / owner / source missing",IF(AND(J34="Confirmed",OR(I34="",H34="",H34="Unknown",H34="Low")),"Confirmed capability lacks verification","OK — verify source")))))</f>
        <v/>
      </c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8" t="n"/>
      <c r="J35" s="27" t="n"/>
      <c r="K35" s="27">
        <f>IF(COUNTA(A35:J35)=0,"",IF(A35="","CAP-ID missing",IF(COUNTIF($A$4:$A$253,A35)&gt;1,"Duplicate CAP-ID",IF(OR(B35="",C35="",D35="",E35="",F35="",G35=""),"Definition / owner / source missing",IF(AND(J35="Confirmed",OR(I35="",H35="",H35="Unknown",H35="Low")),"Confirmed capability lacks verification","OK — verify source")))))</f>
        <v/>
      </c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6" t="n"/>
      <c r="J36" s="25" t="n"/>
      <c r="K36" s="25">
        <f>IF(COUNTA(A36:J36)=0,"",IF(A36="","CAP-ID missing",IF(COUNTIF($A$4:$A$253,A36)&gt;1,"Duplicate CAP-ID",IF(OR(B36="",C36="",D36="",E36="",F36="",G36=""),"Definition / owner / source missing",IF(AND(J36="Confirmed",OR(I36="",H36="",H36="Unknown",H36="Low")),"Confirmed capability lacks verification","OK — verify source")))))</f>
        <v/>
      </c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8" t="n"/>
      <c r="J37" s="27" t="n"/>
      <c r="K37" s="27">
        <f>IF(COUNTA(A37:J37)=0,"",IF(A37="","CAP-ID missing",IF(COUNTIF($A$4:$A$253,A37)&gt;1,"Duplicate CAP-ID",IF(OR(B37="",C37="",D37="",E37="",F37="",G37=""),"Definition / owner / source missing",IF(AND(J37="Confirmed",OR(I37="",H37="",H37="Unknown",H37="Low")),"Confirmed capability lacks verification","OK — verify source")))))</f>
        <v/>
      </c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6" t="n"/>
      <c r="J38" s="25" t="n"/>
      <c r="K38" s="25">
        <f>IF(COUNTA(A38:J38)=0,"",IF(A38="","CAP-ID missing",IF(COUNTIF($A$4:$A$253,A38)&gt;1,"Duplicate CAP-ID",IF(OR(B38="",C38="",D38="",E38="",F38="",G38=""),"Definition / owner / source missing",IF(AND(J38="Confirmed",OR(I38="",H38="",H38="Unknown",H38="Low")),"Confirmed capability lacks verification","OK — verify source")))))</f>
        <v/>
      </c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8" t="n"/>
      <c r="J39" s="27" t="n"/>
      <c r="K39" s="27">
        <f>IF(COUNTA(A39:J39)=0,"",IF(A39="","CAP-ID missing",IF(COUNTIF($A$4:$A$253,A39)&gt;1,"Duplicate CAP-ID",IF(OR(B39="",C39="",D39="",E39="",F39="",G39=""),"Definition / owner / source missing",IF(AND(J39="Confirmed",OR(I39="",H39="",H39="Unknown",H39="Low")),"Confirmed capability lacks verification","OK — verify source")))))</f>
        <v/>
      </c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6" t="n"/>
      <c r="J40" s="25" t="n"/>
      <c r="K40" s="25">
        <f>IF(COUNTA(A40:J40)=0,"",IF(A40="","CAP-ID missing",IF(COUNTIF($A$4:$A$253,A40)&gt;1,"Duplicate CAP-ID",IF(OR(B40="",C40="",D40="",E40="",F40="",G40=""),"Definition / owner / source missing",IF(AND(J40="Confirmed",OR(I40="",H40="",H40="Unknown",H40="Low")),"Confirmed capability lacks verification","OK — verify source")))))</f>
        <v/>
      </c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8" t="n"/>
      <c r="J41" s="27" t="n"/>
      <c r="K41" s="27">
        <f>IF(COUNTA(A41:J41)=0,"",IF(A41="","CAP-ID missing",IF(COUNTIF($A$4:$A$253,A41)&gt;1,"Duplicate CAP-ID",IF(OR(B41="",C41="",D41="",E41="",F41="",G41=""),"Definition / owner / source missing",IF(AND(J41="Confirmed",OR(I41="",H41="",H41="Unknown",H41="Low")),"Confirmed capability lacks verification","OK — verify source")))))</f>
        <v/>
      </c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6" t="n"/>
      <c r="J42" s="25" t="n"/>
      <c r="K42" s="25">
        <f>IF(COUNTA(A42:J42)=0,"",IF(A42="","CAP-ID missing",IF(COUNTIF($A$4:$A$253,A42)&gt;1,"Duplicate CAP-ID",IF(OR(B42="",C42="",D42="",E42="",F42="",G42=""),"Definition / owner / source missing",IF(AND(J42="Confirmed",OR(I42="",H42="",H42="Unknown",H42="Low")),"Confirmed capability lacks verification","OK — verify source")))))</f>
        <v/>
      </c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8" t="n"/>
      <c r="J43" s="27" t="n"/>
      <c r="K43" s="27">
        <f>IF(COUNTA(A43:J43)=0,"",IF(A43="","CAP-ID missing",IF(COUNTIF($A$4:$A$253,A43)&gt;1,"Duplicate CAP-ID",IF(OR(B43="",C43="",D43="",E43="",F43="",G43=""),"Definition / owner / source missing",IF(AND(J43="Confirmed",OR(I43="",H43="",H43="Unknown",H43="Low")),"Confirmed capability lacks verification","OK — verify source")))))</f>
        <v/>
      </c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6" t="n"/>
      <c r="J44" s="25" t="n"/>
      <c r="K44" s="25">
        <f>IF(COUNTA(A44:J44)=0,"",IF(A44="","CAP-ID missing",IF(COUNTIF($A$4:$A$253,A44)&gt;1,"Duplicate CAP-ID",IF(OR(B44="",C44="",D44="",E44="",F44="",G44=""),"Definition / owner / source missing",IF(AND(J44="Confirmed",OR(I44="",H44="",H44="Unknown",H44="Low")),"Confirmed capability lacks verification","OK — verify source")))))</f>
        <v/>
      </c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8" t="n"/>
      <c r="J45" s="27" t="n"/>
      <c r="K45" s="27">
        <f>IF(COUNTA(A45:J45)=0,"",IF(A45="","CAP-ID missing",IF(COUNTIF($A$4:$A$253,A45)&gt;1,"Duplicate CAP-ID",IF(OR(B45="",C45="",D45="",E45="",F45="",G45=""),"Definition / owner / source missing",IF(AND(J45="Confirmed",OR(I45="",H45="",H45="Unknown",H45="Low")),"Confirmed capability lacks verification","OK — verify source")))))</f>
        <v/>
      </c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6" t="n"/>
      <c r="J46" s="25" t="n"/>
      <c r="K46" s="25">
        <f>IF(COUNTA(A46:J46)=0,"",IF(A46="","CAP-ID missing",IF(COUNTIF($A$4:$A$253,A46)&gt;1,"Duplicate CAP-ID",IF(OR(B46="",C46="",D46="",E46="",F46="",G46=""),"Definition / owner / source missing",IF(AND(J46="Confirmed",OR(I46="",H46="",H46="Unknown",H46="Low")),"Confirmed capability lacks verification","OK — verify source")))))</f>
        <v/>
      </c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8" t="n"/>
      <c r="J47" s="27" t="n"/>
      <c r="K47" s="27">
        <f>IF(COUNTA(A47:J47)=0,"",IF(A47="","CAP-ID missing",IF(COUNTIF($A$4:$A$253,A47)&gt;1,"Duplicate CAP-ID",IF(OR(B47="",C47="",D47="",E47="",F47="",G47=""),"Definition / owner / source missing",IF(AND(J47="Confirmed",OR(I47="",H47="",H47="Unknown",H47="Low")),"Confirmed capability lacks verification","OK — verify source")))))</f>
        <v/>
      </c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6" t="n"/>
      <c r="J48" s="25" t="n"/>
      <c r="K48" s="25">
        <f>IF(COUNTA(A48:J48)=0,"",IF(A48="","CAP-ID missing",IF(COUNTIF($A$4:$A$253,A48)&gt;1,"Duplicate CAP-ID",IF(OR(B48="",C48="",D48="",E48="",F48="",G48=""),"Definition / owner / source missing",IF(AND(J48="Confirmed",OR(I48="",H48="",H48="Unknown",H48="Low")),"Confirmed capability lacks verification","OK — verify source")))))</f>
        <v/>
      </c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8" t="n"/>
      <c r="J49" s="27" t="n"/>
      <c r="K49" s="27">
        <f>IF(COUNTA(A49:J49)=0,"",IF(A49="","CAP-ID missing",IF(COUNTIF($A$4:$A$253,A49)&gt;1,"Duplicate CAP-ID",IF(OR(B49="",C49="",D49="",E49="",F49="",G49=""),"Definition / owner / source missing",IF(AND(J49="Confirmed",OR(I49="",H49="",H49="Unknown",H49="Low")),"Confirmed capability lacks verification","OK — verify source")))))</f>
        <v/>
      </c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6" t="n"/>
      <c r="J50" s="25" t="n"/>
      <c r="K50" s="25">
        <f>IF(COUNTA(A50:J50)=0,"",IF(A50="","CAP-ID missing",IF(COUNTIF($A$4:$A$253,A50)&gt;1,"Duplicate CAP-ID",IF(OR(B50="",C50="",D50="",E50="",F50="",G50=""),"Definition / owner / source missing",IF(AND(J50="Confirmed",OR(I50="",H50="",H50="Unknown",H50="Low")),"Confirmed capability lacks verification","OK — verify source")))))</f>
        <v/>
      </c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8" t="n"/>
      <c r="J51" s="27" t="n"/>
      <c r="K51" s="27">
        <f>IF(COUNTA(A51:J51)=0,"",IF(A51="","CAP-ID missing",IF(COUNTIF($A$4:$A$253,A51)&gt;1,"Duplicate CAP-ID",IF(OR(B51="",C51="",D51="",E51="",F51="",G51=""),"Definition / owner / source missing",IF(AND(J51="Confirmed",OR(I51="",H51="",H51="Unknown",H51="Low")),"Confirmed capability lacks verification","OK — verify source")))))</f>
        <v/>
      </c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6" t="n"/>
      <c r="J52" s="25" t="n"/>
      <c r="K52" s="25">
        <f>IF(COUNTA(A52:J52)=0,"",IF(A52="","CAP-ID missing",IF(COUNTIF($A$4:$A$253,A52)&gt;1,"Duplicate CAP-ID",IF(OR(B52="",C52="",D52="",E52="",F52="",G52=""),"Definition / owner / source missing",IF(AND(J52="Confirmed",OR(I52="",H52="",H52="Unknown",H52="Low")),"Confirmed capability lacks verification","OK — verify source")))))</f>
        <v/>
      </c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8" t="n"/>
      <c r="J53" s="27" t="n"/>
      <c r="K53" s="27">
        <f>IF(COUNTA(A53:J53)=0,"",IF(A53="","CAP-ID missing",IF(COUNTIF($A$4:$A$253,A53)&gt;1,"Duplicate CAP-ID",IF(OR(B53="",C53="",D53="",E53="",F53="",G53=""),"Definition / owner / source missing",IF(AND(J53="Confirmed",OR(I53="",H53="",H53="Unknown",H53="Low")),"Confirmed capability lacks verification","OK — verify source")))))</f>
        <v/>
      </c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6" t="n"/>
      <c r="J54" s="25" t="n"/>
      <c r="K54" s="25">
        <f>IF(COUNTA(A54:J54)=0,"",IF(A54="","CAP-ID missing",IF(COUNTIF($A$4:$A$253,A54)&gt;1,"Duplicate CAP-ID",IF(OR(B54="",C54="",D54="",E54="",F54="",G54=""),"Definition / owner / source missing",IF(AND(J54="Confirmed",OR(I54="",H54="",H54="Unknown",H54="Low")),"Confirmed capability lacks verification","OK — verify source")))))</f>
        <v/>
      </c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8" t="n"/>
      <c r="J55" s="27" t="n"/>
      <c r="K55" s="27">
        <f>IF(COUNTA(A55:J55)=0,"",IF(A55="","CAP-ID missing",IF(COUNTIF($A$4:$A$253,A55)&gt;1,"Duplicate CAP-ID",IF(OR(B55="",C55="",D55="",E55="",F55="",G55=""),"Definition / owner / source missing",IF(AND(J55="Confirmed",OR(I55="",H55="",H55="Unknown",H55="Low")),"Confirmed capability lacks verification","OK — verify source")))))</f>
        <v/>
      </c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6" t="n"/>
      <c r="J56" s="25" t="n"/>
      <c r="K56" s="25">
        <f>IF(COUNTA(A56:J56)=0,"",IF(A56="","CAP-ID missing",IF(COUNTIF($A$4:$A$253,A56)&gt;1,"Duplicate CAP-ID",IF(OR(B56="",C56="",D56="",E56="",F56="",G56=""),"Definition / owner / source missing",IF(AND(J56="Confirmed",OR(I56="",H56="",H56="Unknown",H56="Low")),"Confirmed capability lacks verification","OK — verify source")))))</f>
        <v/>
      </c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8" t="n"/>
      <c r="J57" s="27" t="n"/>
      <c r="K57" s="27">
        <f>IF(COUNTA(A57:J57)=0,"",IF(A57="","CAP-ID missing",IF(COUNTIF($A$4:$A$253,A57)&gt;1,"Duplicate CAP-ID",IF(OR(B57="",C57="",D57="",E57="",F57="",G57=""),"Definition / owner / source missing",IF(AND(J57="Confirmed",OR(I57="",H57="",H57="Unknown",H57="Low")),"Confirmed capability lacks verification","OK — verify source")))))</f>
        <v/>
      </c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6" t="n"/>
      <c r="J58" s="25" t="n"/>
      <c r="K58" s="25">
        <f>IF(COUNTA(A58:J58)=0,"",IF(A58="","CAP-ID missing",IF(COUNTIF($A$4:$A$253,A58)&gt;1,"Duplicate CAP-ID",IF(OR(B58="",C58="",D58="",E58="",F58="",G58=""),"Definition / owner / source missing",IF(AND(J58="Confirmed",OR(I58="",H58="",H58="Unknown",H58="Low")),"Confirmed capability lacks verification","OK — verify source")))))</f>
        <v/>
      </c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8" t="n"/>
      <c r="J59" s="27" t="n"/>
      <c r="K59" s="27">
        <f>IF(COUNTA(A59:J59)=0,"",IF(A59="","CAP-ID missing",IF(COUNTIF($A$4:$A$253,A59)&gt;1,"Duplicate CAP-ID",IF(OR(B59="",C59="",D59="",E59="",F59="",G59=""),"Definition / owner / source missing",IF(AND(J59="Confirmed",OR(I59="",H59="",H59="Unknown",H59="Low")),"Confirmed capability lacks verification","OK — verify source")))))</f>
        <v/>
      </c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6" t="n"/>
      <c r="J60" s="25" t="n"/>
      <c r="K60" s="25">
        <f>IF(COUNTA(A60:J60)=0,"",IF(A60="","CAP-ID missing",IF(COUNTIF($A$4:$A$253,A60)&gt;1,"Duplicate CAP-ID",IF(OR(B60="",C60="",D60="",E60="",F60="",G60=""),"Definition / owner / source missing",IF(AND(J60="Confirmed",OR(I60="",H60="",H60="Unknown",H60="Low")),"Confirmed capability lacks verification","OK — verify source")))))</f>
        <v/>
      </c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8" t="n"/>
      <c r="J61" s="27" t="n"/>
      <c r="K61" s="27">
        <f>IF(COUNTA(A61:J61)=0,"",IF(A61="","CAP-ID missing",IF(COUNTIF($A$4:$A$253,A61)&gt;1,"Duplicate CAP-ID",IF(OR(B61="",C61="",D61="",E61="",F61="",G61=""),"Definition / owner / source missing",IF(AND(J61="Confirmed",OR(I61="",H61="",H61="Unknown",H61="Low")),"Confirmed capability lacks verification","OK — verify source")))))</f>
        <v/>
      </c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6" t="n"/>
      <c r="J62" s="25" t="n"/>
      <c r="K62" s="25">
        <f>IF(COUNTA(A62:J62)=0,"",IF(A62="","CAP-ID missing",IF(COUNTIF($A$4:$A$253,A62)&gt;1,"Duplicate CAP-ID",IF(OR(B62="",C62="",D62="",E62="",F62="",G62=""),"Definition / owner / source missing",IF(AND(J62="Confirmed",OR(I62="",H62="",H62="Unknown",H62="Low")),"Confirmed capability lacks verification","OK — verify source")))))</f>
        <v/>
      </c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8" t="n"/>
      <c r="J63" s="27" t="n"/>
      <c r="K63" s="27">
        <f>IF(COUNTA(A63:J63)=0,"",IF(A63="","CAP-ID missing",IF(COUNTIF($A$4:$A$253,A63)&gt;1,"Duplicate CAP-ID",IF(OR(B63="",C63="",D63="",E63="",F63="",G63=""),"Definition / owner / source missing",IF(AND(J63="Confirmed",OR(I63="",H63="",H63="Unknown",H63="Low")),"Confirmed capability lacks verification","OK — verify source")))))</f>
        <v/>
      </c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6" t="n"/>
      <c r="J64" s="25" t="n"/>
      <c r="K64" s="25">
        <f>IF(COUNTA(A64:J64)=0,"",IF(A64="","CAP-ID missing",IF(COUNTIF($A$4:$A$253,A64)&gt;1,"Duplicate CAP-ID",IF(OR(B64="",C64="",D64="",E64="",F64="",G64=""),"Definition / owner / source missing",IF(AND(J64="Confirmed",OR(I64="",H64="",H64="Unknown",H64="Low")),"Confirmed capability lacks verification","OK — verify source")))))</f>
        <v/>
      </c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8" t="n"/>
      <c r="J65" s="27" t="n"/>
      <c r="K65" s="27">
        <f>IF(COUNTA(A65:J65)=0,"",IF(A65="","CAP-ID missing",IF(COUNTIF($A$4:$A$253,A65)&gt;1,"Duplicate CAP-ID",IF(OR(B65="",C65="",D65="",E65="",F65="",G65=""),"Definition / owner / source missing",IF(AND(J65="Confirmed",OR(I65="",H65="",H65="Unknown",H65="Low")),"Confirmed capability lacks verification","OK — verify source")))))</f>
        <v/>
      </c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6" t="n"/>
      <c r="J66" s="25" t="n"/>
      <c r="K66" s="25">
        <f>IF(COUNTA(A66:J66)=0,"",IF(A66="","CAP-ID missing",IF(COUNTIF($A$4:$A$253,A66)&gt;1,"Duplicate CAP-ID",IF(OR(B66="",C66="",D66="",E66="",F66="",G66=""),"Definition / owner / source missing",IF(AND(J66="Confirmed",OR(I66="",H66="",H66="Unknown",H66="Low")),"Confirmed capability lacks verification","OK — verify source")))))</f>
        <v/>
      </c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8" t="n"/>
      <c r="J67" s="27" t="n"/>
      <c r="K67" s="27">
        <f>IF(COUNTA(A67:J67)=0,"",IF(A67="","CAP-ID missing",IF(COUNTIF($A$4:$A$253,A67)&gt;1,"Duplicate CAP-ID",IF(OR(B67="",C67="",D67="",E67="",F67="",G67=""),"Definition / owner / source missing",IF(AND(J67="Confirmed",OR(I67="",H67="",H67="Unknown",H67="Low")),"Confirmed capability lacks verification","OK — verify source")))))</f>
        <v/>
      </c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6" t="n"/>
      <c r="J68" s="25" t="n"/>
      <c r="K68" s="25">
        <f>IF(COUNTA(A68:J68)=0,"",IF(A68="","CAP-ID missing",IF(COUNTIF($A$4:$A$253,A68)&gt;1,"Duplicate CAP-ID",IF(OR(B68="",C68="",D68="",E68="",F68="",G68=""),"Definition / owner / source missing",IF(AND(J68="Confirmed",OR(I68="",H68="",H68="Unknown",H68="Low")),"Confirmed capability lacks verification","OK — verify source")))))</f>
        <v/>
      </c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8" t="n"/>
      <c r="J69" s="27" t="n"/>
      <c r="K69" s="27">
        <f>IF(COUNTA(A69:J69)=0,"",IF(A69="","CAP-ID missing",IF(COUNTIF($A$4:$A$253,A69)&gt;1,"Duplicate CAP-ID",IF(OR(B69="",C69="",D69="",E69="",F69="",G69=""),"Definition / owner / source missing",IF(AND(J69="Confirmed",OR(I69="",H69="",H69="Unknown",H69="Low")),"Confirmed capability lacks verification","OK — verify source")))))</f>
        <v/>
      </c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6" t="n"/>
      <c r="J70" s="25" t="n"/>
      <c r="K70" s="25">
        <f>IF(COUNTA(A70:J70)=0,"",IF(A70="","CAP-ID missing",IF(COUNTIF($A$4:$A$253,A70)&gt;1,"Duplicate CAP-ID",IF(OR(B70="",C70="",D70="",E70="",F70="",G70=""),"Definition / owner / source missing",IF(AND(J70="Confirmed",OR(I70="",H70="",H70="Unknown",H70="Low")),"Confirmed capability lacks verification","OK — verify source")))))</f>
        <v/>
      </c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8" t="n"/>
      <c r="J71" s="27" t="n"/>
      <c r="K71" s="27">
        <f>IF(COUNTA(A71:J71)=0,"",IF(A71="","CAP-ID missing",IF(COUNTIF($A$4:$A$253,A71)&gt;1,"Duplicate CAP-ID",IF(OR(B71="",C71="",D71="",E71="",F71="",G71=""),"Definition / owner / source missing",IF(AND(J71="Confirmed",OR(I71="",H71="",H71="Unknown",H71="Low")),"Confirmed capability lacks verification","OK — verify source")))))</f>
        <v/>
      </c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6" t="n"/>
      <c r="J72" s="25" t="n"/>
      <c r="K72" s="25">
        <f>IF(COUNTA(A72:J72)=0,"",IF(A72="","CAP-ID missing",IF(COUNTIF($A$4:$A$253,A72)&gt;1,"Duplicate CAP-ID",IF(OR(B72="",C72="",D72="",E72="",F72="",G72=""),"Definition / owner / source missing",IF(AND(J72="Confirmed",OR(I72="",H72="",H72="Unknown",H72="Low")),"Confirmed capability lacks verification","OK — verify source")))))</f>
        <v/>
      </c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8" t="n"/>
      <c r="J73" s="27" t="n"/>
      <c r="K73" s="27">
        <f>IF(COUNTA(A73:J73)=0,"",IF(A73="","CAP-ID missing",IF(COUNTIF($A$4:$A$253,A73)&gt;1,"Duplicate CAP-ID",IF(OR(B73="",C73="",D73="",E73="",F73="",G73=""),"Definition / owner / source missing",IF(AND(J73="Confirmed",OR(I73="",H73="",H73="Unknown",H73="Low")),"Confirmed capability lacks verification","OK — verify source")))))</f>
        <v/>
      </c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6" t="n"/>
      <c r="J74" s="25" t="n"/>
      <c r="K74" s="25">
        <f>IF(COUNTA(A74:J74)=0,"",IF(A74="","CAP-ID missing",IF(COUNTIF($A$4:$A$253,A74)&gt;1,"Duplicate CAP-ID",IF(OR(B74="",C74="",D74="",E74="",F74="",G74=""),"Definition / owner / source missing",IF(AND(J74="Confirmed",OR(I74="",H74="",H74="Unknown",H74="Low")),"Confirmed capability lacks verification","OK — verify source")))))</f>
        <v/>
      </c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8" t="n"/>
      <c r="J75" s="27" t="n"/>
      <c r="K75" s="27">
        <f>IF(COUNTA(A75:J75)=0,"",IF(A75="","CAP-ID missing",IF(COUNTIF($A$4:$A$253,A75)&gt;1,"Duplicate CAP-ID",IF(OR(B75="",C75="",D75="",E75="",F75="",G75=""),"Definition / owner / source missing",IF(AND(J75="Confirmed",OR(I75="",H75="",H75="Unknown",H75="Low")),"Confirmed capability lacks verification","OK — verify source")))))</f>
        <v/>
      </c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6" t="n"/>
      <c r="J76" s="25" t="n"/>
      <c r="K76" s="25">
        <f>IF(COUNTA(A76:J76)=0,"",IF(A76="","CAP-ID missing",IF(COUNTIF($A$4:$A$253,A76)&gt;1,"Duplicate CAP-ID",IF(OR(B76="",C76="",D76="",E76="",F76="",G76=""),"Definition / owner / source missing",IF(AND(J76="Confirmed",OR(I76="",H76="",H76="Unknown",H76="Low")),"Confirmed capability lacks verification","OK — verify source")))))</f>
        <v/>
      </c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8" t="n"/>
      <c r="J77" s="27" t="n"/>
      <c r="K77" s="27">
        <f>IF(COUNTA(A77:J77)=0,"",IF(A77="","CAP-ID missing",IF(COUNTIF($A$4:$A$253,A77)&gt;1,"Duplicate CAP-ID",IF(OR(B77="",C77="",D77="",E77="",F77="",G77=""),"Definition / owner / source missing",IF(AND(J77="Confirmed",OR(I77="",H77="",H77="Unknown",H77="Low")),"Confirmed capability lacks verification","OK — verify source")))))</f>
        <v/>
      </c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6" t="n"/>
      <c r="J78" s="25" t="n"/>
      <c r="K78" s="25">
        <f>IF(COUNTA(A78:J78)=0,"",IF(A78="","CAP-ID missing",IF(COUNTIF($A$4:$A$253,A78)&gt;1,"Duplicate CAP-ID",IF(OR(B78="",C78="",D78="",E78="",F78="",G78=""),"Definition / owner / source missing",IF(AND(J78="Confirmed",OR(I78="",H78="",H78="Unknown",H78="Low")),"Confirmed capability lacks verification","OK — verify source")))))</f>
        <v/>
      </c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8" t="n"/>
      <c r="J79" s="27" t="n"/>
      <c r="K79" s="27">
        <f>IF(COUNTA(A79:J79)=0,"",IF(A79="","CAP-ID missing",IF(COUNTIF($A$4:$A$253,A79)&gt;1,"Duplicate CAP-ID",IF(OR(B79="",C79="",D79="",E79="",F79="",G79=""),"Definition / owner / source missing",IF(AND(J79="Confirmed",OR(I79="",H79="",H79="Unknown",H79="Low")),"Confirmed capability lacks verification","OK — verify source")))))</f>
        <v/>
      </c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6" t="n"/>
      <c r="J80" s="25" t="n"/>
      <c r="K80" s="25">
        <f>IF(COUNTA(A80:J80)=0,"",IF(A80="","CAP-ID missing",IF(COUNTIF($A$4:$A$253,A80)&gt;1,"Duplicate CAP-ID",IF(OR(B80="",C80="",D80="",E80="",F80="",G80=""),"Definition / owner / source missing",IF(AND(J80="Confirmed",OR(I80="",H80="",H80="Unknown",H80="Low")),"Confirmed capability lacks verification","OK — verify source")))))</f>
        <v/>
      </c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8" t="n"/>
      <c r="J81" s="27" t="n"/>
      <c r="K81" s="27">
        <f>IF(COUNTA(A81:J81)=0,"",IF(A81="","CAP-ID missing",IF(COUNTIF($A$4:$A$253,A81)&gt;1,"Duplicate CAP-ID",IF(OR(B81="",C81="",D81="",E81="",F81="",G81=""),"Definition / owner / source missing",IF(AND(J81="Confirmed",OR(I81="",H81="",H81="Unknown",H81="Low")),"Confirmed capability lacks verification","OK — verify source")))))</f>
        <v/>
      </c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6" t="n"/>
      <c r="J82" s="25" t="n"/>
      <c r="K82" s="25">
        <f>IF(COUNTA(A82:J82)=0,"",IF(A82="","CAP-ID missing",IF(COUNTIF($A$4:$A$253,A82)&gt;1,"Duplicate CAP-ID",IF(OR(B82="",C82="",D82="",E82="",F82="",G82=""),"Definition / owner / source missing",IF(AND(J82="Confirmed",OR(I82="",H82="",H82="Unknown",H82="Low")),"Confirmed capability lacks verification","OK — verify source")))))</f>
        <v/>
      </c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8" t="n"/>
      <c r="J83" s="27" t="n"/>
      <c r="K83" s="27">
        <f>IF(COUNTA(A83:J83)=0,"",IF(A83="","CAP-ID missing",IF(COUNTIF($A$4:$A$253,A83)&gt;1,"Duplicate CAP-ID",IF(OR(B83="",C83="",D83="",E83="",F83="",G83=""),"Definition / owner / source missing",IF(AND(J83="Confirmed",OR(I83="",H83="",H83="Unknown",H83="Low")),"Confirmed capability lacks verification","OK — verify source")))))</f>
        <v/>
      </c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6" t="n"/>
      <c r="J84" s="25" t="n"/>
      <c r="K84" s="25">
        <f>IF(COUNTA(A84:J84)=0,"",IF(A84="","CAP-ID missing",IF(COUNTIF($A$4:$A$253,A84)&gt;1,"Duplicate CAP-ID",IF(OR(B84="",C84="",D84="",E84="",F84="",G84=""),"Definition / owner / source missing",IF(AND(J84="Confirmed",OR(I84="",H84="",H84="Unknown",H84="Low")),"Confirmed capability lacks verification","OK — verify source")))))</f>
        <v/>
      </c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8" t="n"/>
      <c r="J85" s="27" t="n"/>
      <c r="K85" s="27">
        <f>IF(COUNTA(A85:J85)=0,"",IF(A85="","CAP-ID missing",IF(COUNTIF($A$4:$A$253,A85)&gt;1,"Duplicate CAP-ID",IF(OR(B85="",C85="",D85="",E85="",F85="",G85=""),"Definition / owner / source missing",IF(AND(J85="Confirmed",OR(I85="",H85="",H85="Unknown",H85="Low")),"Confirmed capability lacks verification","OK — verify source")))))</f>
        <v/>
      </c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6" t="n"/>
      <c r="J86" s="25" t="n"/>
      <c r="K86" s="25">
        <f>IF(COUNTA(A86:J86)=0,"",IF(A86="","CAP-ID missing",IF(COUNTIF($A$4:$A$253,A86)&gt;1,"Duplicate CAP-ID",IF(OR(B86="",C86="",D86="",E86="",F86="",G86=""),"Definition / owner / source missing",IF(AND(J86="Confirmed",OR(I86="",H86="",H86="Unknown",H86="Low")),"Confirmed capability lacks verification","OK — verify source")))))</f>
        <v/>
      </c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8" t="n"/>
      <c r="J87" s="27" t="n"/>
      <c r="K87" s="27">
        <f>IF(COUNTA(A87:J87)=0,"",IF(A87="","CAP-ID missing",IF(COUNTIF($A$4:$A$253,A87)&gt;1,"Duplicate CAP-ID",IF(OR(B87="",C87="",D87="",E87="",F87="",G87=""),"Definition / owner / source missing",IF(AND(J87="Confirmed",OR(I87="",H87="",H87="Unknown",H87="Low")),"Confirmed capability lacks verification","OK — verify source")))))</f>
        <v/>
      </c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6" t="n"/>
      <c r="J88" s="25" t="n"/>
      <c r="K88" s="25">
        <f>IF(COUNTA(A88:J88)=0,"",IF(A88="","CAP-ID missing",IF(COUNTIF($A$4:$A$253,A88)&gt;1,"Duplicate CAP-ID",IF(OR(B88="",C88="",D88="",E88="",F88="",G88=""),"Definition / owner / source missing",IF(AND(J88="Confirmed",OR(I88="",H88="",H88="Unknown",H88="Low")),"Confirmed capability lacks verification","OK — verify source")))))</f>
        <v/>
      </c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8" t="n"/>
      <c r="J89" s="27" t="n"/>
      <c r="K89" s="27">
        <f>IF(COUNTA(A89:J89)=0,"",IF(A89="","CAP-ID missing",IF(COUNTIF($A$4:$A$253,A89)&gt;1,"Duplicate CAP-ID",IF(OR(B89="",C89="",D89="",E89="",F89="",G89=""),"Definition / owner / source missing",IF(AND(J89="Confirmed",OR(I89="",H89="",H89="Unknown",H89="Low")),"Confirmed capability lacks verification","OK — verify source")))))</f>
        <v/>
      </c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6" t="n"/>
      <c r="J90" s="25" t="n"/>
      <c r="K90" s="25">
        <f>IF(COUNTA(A90:J90)=0,"",IF(A90="","CAP-ID missing",IF(COUNTIF($A$4:$A$253,A90)&gt;1,"Duplicate CAP-ID",IF(OR(B90="",C90="",D90="",E90="",F90="",G90=""),"Definition / owner / source missing",IF(AND(J90="Confirmed",OR(I90="",H90="",H90="Unknown",H90="Low")),"Confirmed capability lacks verification","OK — verify source")))))</f>
        <v/>
      </c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8" t="n"/>
      <c r="J91" s="27" t="n"/>
      <c r="K91" s="27">
        <f>IF(COUNTA(A91:J91)=0,"",IF(A91="","CAP-ID missing",IF(COUNTIF($A$4:$A$253,A91)&gt;1,"Duplicate CAP-ID",IF(OR(B91="",C91="",D91="",E91="",F91="",G91=""),"Definition / owner / source missing",IF(AND(J91="Confirmed",OR(I91="",H91="",H91="Unknown",H91="Low")),"Confirmed capability lacks verification","OK — verify source")))))</f>
        <v/>
      </c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6" t="n"/>
      <c r="J92" s="25" t="n"/>
      <c r="K92" s="25">
        <f>IF(COUNTA(A92:J92)=0,"",IF(A92="","CAP-ID missing",IF(COUNTIF($A$4:$A$253,A92)&gt;1,"Duplicate CAP-ID",IF(OR(B92="",C92="",D92="",E92="",F92="",G92=""),"Definition / owner / source missing",IF(AND(J92="Confirmed",OR(I92="",H92="",H92="Unknown",H92="Low")),"Confirmed capability lacks verification","OK — verify source")))))</f>
        <v/>
      </c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8" t="n"/>
      <c r="J93" s="27" t="n"/>
      <c r="K93" s="27">
        <f>IF(COUNTA(A93:J93)=0,"",IF(A93="","CAP-ID missing",IF(COUNTIF($A$4:$A$253,A93)&gt;1,"Duplicate CAP-ID",IF(OR(B93="",C93="",D93="",E93="",F93="",G93=""),"Definition / owner / source missing",IF(AND(J93="Confirmed",OR(I93="",H93="",H93="Unknown",H93="Low")),"Confirmed capability lacks verification","OK — verify source")))))</f>
        <v/>
      </c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6" t="n"/>
      <c r="J94" s="25" t="n"/>
      <c r="K94" s="25">
        <f>IF(COUNTA(A94:J94)=0,"",IF(A94="","CAP-ID missing",IF(COUNTIF($A$4:$A$253,A94)&gt;1,"Duplicate CAP-ID",IF(OR(B94="",C94="",D94="",E94="",F94="",G94=""),"Definition / owner / source missing",IF(AND(J94="Confirmed",OR(I94="",H94="",H94="Unknown",H94="Low")),"Confirmed capability lacks verification","OK — verify source")))))</f>
        <v/>
      </c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8" t="n"/>
      <c r="J95" s="27" t="n"/>
      <c r="K95" s="27">
        <f>IF(COUNTA(A95:J95)=0,"",IF(A95="","CAP-ID missing",IF(COUNTIF($A$4:$A$253,A95)&gt;1,"Duplicate CAP-ID",IF(OR(B95="",C95="",D95="",E95="",F95="",G95=""),"Definition / owner / source missing",IF(AND(J95="Confirmed",OR(I95="",H95="",H95="Unknown",H95="Low")),"Confirmed capability lacks verification","OK — verify source")))))</f>
        <v/>
      </c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6" t="n"/>
      <c r="J96" s="25" t="n"/>
      <c r="K96" s="25">
        <f>IF(COUNTA(A96:J96)=0,"",IF(A96="","CAP-ID missing",IF(COUNTIF($A$4:$A$253,A96)&gt;1,"Duplicate CAP-ID",IF(OR(B96="",C96="",D96="",E96="",F96="",G96=""),"Definition / owner / source missing",IF(AND(J96="Confirmed",OR(I96="",H96="",H96="Unknown",H96="Low")),"Confirmed capability lacks verification","OK — verify source")))))</f>
        <v/>
      </c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8" t="n"/>
      <c r="J97" s="27" t="n"/>
      <c r="K97" s="27">
        <f>IF(COUNTA(A97:J97)=0,"",IF(A97="","CAP-ID missing",IF(COUNTIF($A$4:$A$253,A97)&gt;1,"Duplicate CAP-ID",IF(OR(B97="",C97="",D97="",E97="",F97="",G97=""),"Definition / owner / source missing",IF(AND(J97="Confirmed",OR(I97="",H97="",H97="Unknown",H97="Low")),"Confirmed capability lacks verification","OK — verify source")))))</f>
        <v/>
      </c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6" t="n"/>
      <c r="J98" s="25" t="n"/>
      <c r="K98" s="25">
        <f>IF(COUNTA(A98:J98)=0,"",IF(A98="","CAP-ID missing",IF(COUNTIF($A$4:$A$253,A98)&gt;1,"Duplicate CAP-ID",IF(OR(B98="",C98="",D98="",E98="",F98="",G98=""),"Definition / owner / source missing",IF(AND(J98="Confirmed",OR(I98="",H98="",H98="Unknown",H98="Low")),"Confirmed capability lacks verification","OK — verify source")))))</f>
        <v/>
      </c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8" t="n"/>
      <c r="J99" s="27" t="n"/>
      <c r="K99" s="27">
        <f>IF(COUNTA(A99:J99)=0,"",IF(A99="","CAP-ID missing",IF(COUNTIF($A$4:$A$253,A99)&gt;1,"Duplicate CAP-ID",IF(OR(B99="",C99="",D99="",E99="",F99="",G99=""),"Definition / owner / source missing",IF(AND(J99="Confirmed",OR(I99="",H99="",H99="Unknown",H99="Low")),"Confirmed capability lacks verification","OK — verify source")))))</f>
        <v/>
      </c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6" t="n"/>
      <c r="J100" s="25" t="n"/>
      <c r="K100" s="25">
        <f>IF(COUNTA(A100:J100)=0,"",IF(A100="","CAP-ID missing",IF(COUNTIF($A$4:$A$253,A100)&gt;1,"Duplicate CAP-ID",IF(OR(B100="",C100="",D100="",E100="",F100="",G100=""),"Definition / owner / source missing",IF(AND(J100="Confirmed",OR(I100="",H100="",H100="Unknown",H100="Low")),"Confirmed capability lacks verification","OK — verify source")))))</f>
        <v/>
      </c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8" t="n"/>
      <c r="J101" s="27" t="n"/>
      <c r="K101" s="27">
        <f>IF(COUNTA(A101:J101)=0,"",IF(A101="","CAP-ID missing",IF(COUNTIF($A$4:$A$253,A101)&gt;1,"Duplicate CAP-ID",IF(OR(B101="",C101="",D101="",E101="",F101="",G101=""),"Definition / owner / source missing",IF(AND(J101="Confirmed",OR(I101="",H101="",H101="Unknown",H101="Low")),"Confirmed capability lacks verification","OK — verify source")))))</f>
        <v/>
      </c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6" t="n"/>
      <c r="J102" s="25" t="n"/>
      <c r="K102" s="25">
        <f>IF(COUNTA(A102:J102)=0,"",IF(A102="","CAP-ID missing",IF(COUNTIF($A$4:$A$253,A102)&gt;1,"Duplicate CAP-ID",IF(OR(B102="",C102="",D102="",E102="",F102="",G102=""),"Definition / owner / source missing",IF(AND(J102="Confirmed",OR(I102="",H102="",H102="Unknown",H102="Low")),"Confirmed capability lacks verification","OK — verify source")))))</f>
        <v/>
      </c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8" t="n"/>
      <c r="J103" s="27" t="n"/>
      <c r="K103" s="27">
        <f>IF(COUNTA(A103:J103)=0,"",IF(A103="","CAP-ID missing",IF(COUNTIF($A$4:$A$253,A103)&gt;1,"Duplicate CAP-ID",IF(OR(B103="",C103="",D103="",E103="",F103="",G103=""),"Definition / owner / source missing",IF(AND(J103="Confirmed",OR(I103="",H103="",H103="Unknown",H103="Low")),"Confirmed capability lacks verification","OK — verify source")))))</f>
        <v/>
      </c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6" t="n"/>
      <c r="J104" s="25" t="n"/>
      <c r="K104" s="25">
        <f>IF(COUNTA(A104:J104)=0,"",IF(A104="","CAP-ID missing",IF(COUNTIF($A$4:$A$253,A104)&gt;1,"Duplicate CAP-ID",IF(OR(B104="",C104="",D104="",E104="",F104="",G104=""),"Definition / owner / source missing",IF(AND(J104="Confirmed",OR(I104="",H104="",H104="Unknown",H104="Low")),"Confirmed capability lacks verification","OK — verify source")))))</f>
        <v/>
      </c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8" t="n"/>
      <c r="J105" s="27" t="n"/>
      <c r="K105" s="27">
        <f>IF(COUNTA(A105:J105)=0,"",IF(A105="","CAP-ID missing",IF(COUNTIF($A$4:$A$253,A105)&gt;1,"Duplicate CAP-ID",IF(OR(B105="",C105="",D105="",E105="",F105="",G105=""),"Definition / owner / source missing",IF(AND(J105="Confirmed",OR(I105="",H105="",H105="Unknown",H105="Low")),"Confirmed capability lacks verification","OK — verify source")))))</f>
        <v/>
      </c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6" t="n"/>
      <c r="J106" s="25" t="n"/>
      <c r="K106" s="25">
        <f>IF(COUNTA(A106:J106)=0,"",IF(A106="","CAP-ID missing",IF(COUNTIF($A$4:$A$253,A106)&gt;1,"Duplicate CAP-ID",IF(OR(B106="",C106="",D106="",E106="",F106="",G106=""),"Definition / owner / source missing",IF(AND(J106="Confirmed",OR(I106="",H106="",H106="Unknown",H106="Low")),"Confirmed capability lacks verification","OK — verify source")))))</f>
        <v/>
      </c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8" t="n"/>
      <c r="J107" s="27" t="n"/>
      <c r="K107" s="27">
        <f>IF(COUNTA(A107:J107)=0,"",IF(A107="","CAP-ID missing",IF(COUNTIF($A$4:$A$253,A107)&gt;1,"Duplicate CAP-ID",IF(OR(B107="",C107="",D107="",E107="",F107="",G107=""),"Definition / owner / source missing",IF(AND(J107="Confirmed",OR(I107="",H107="",H107="Unknown",H107="Low")),"Confirmed capability lacks verification","OK — verify source")))))</f>
        <v/>
      </c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6" t="n"/>
      <c r="J108" s="25" t="n"/>
      <c r="K108" s="25">
        <f>IF(COUNTA(A108:J108)=0,"",IF(A108="","CAP-ID missing",IF(COUNTIF($A$4:$A$253,A108)&gt;1,"Duplicate CAP-ID",IF(OR(B108="",C108="",D108="",E108="",F108="",G108=""),"Definition / owner / source missing",IF(AND(J108="Confirmed",OR(I108="",H108="",H108="Unknown",H108="Low")),"Confirmed capability lacks verification","OK — verify source")))))</f>
        <v/>
      </c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8" t="n"/>
      <c r="J109" s="27" t="n"/>
      <c r="K109" s="27">
        <f>IF(COUNTA(A109:J109)=0,"",IF(A109="","CAP-ID missing",IF(COUNTIF($A$4:$A$253,A109)&gt;1,"Duplicate CAP-ID",IF(OR(B109="",C109="",D109="",E109="",F109="",G109=""),"Definition / owner / source missing",IF(AND(J109="Confirmed",OR(I109="",H109="",H109="Unknown",H109="Low")),"Confirmed capability lacks verification","OK — verify source")))))</f>
        <v/>
      </c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6" t="n"/>
      <c r="J110" s="25" t="n"/>
      <c r="K110" s="25">
        <f>IF(COUNTA(A110:J110)=0,"",IF(A110="","CAP-ID missing",IF(COUNTIF($A$4:$A$253,A110)&gt;1,"Duplicate CAP-ID",IF(OR(B110="",C110="",D110="",E110="",F110="",G110=""),"Definition / owner / source missing",IF(AND(J110="Confirmed",OR(I110="",H110="",H110="Unknown",H110="Low")),"Confirmed capability lacks verification","OK — verify source")))))</f>
        <v/>
      </c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8" t="n"/>
      <c r="J111" s="27" t="n"/>
      <c r="K111" s="27">
        <f>IF(COUNTA(A111:J111)=0,"",IF(A111="","CAP-ID missing",IF(COUNTIF($A$4:$A$253,A111)&gt;1,"Duplicate CAP-ID",IF(OR(B111="",C111="",D111="",E111="",F111="",G111=""),"Definition / owner / source missing",IF(AND(J111="Confirmed",OR(I111="",H111="",H111="Unknown",H111="Low")),"Confirmed capability lacks verification","OK — verify source")))))</f>
        <v/>
      </c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6" t="n"/>
      <c r="J112" s="25" t="n"/>
      <c r="K112" s="25">
        <f>IF(COUNTA(A112:J112)=0,"",IF(A112="","CAP-ID missing",IF(COUNTIF($A$4:$A$253,A112)&gt;1,"Duplicate CAP-ID",IF(OR(B112="",C112="",D112="",E112="",F112="",G112=""),"Definition / owner / source missing",IF(AND(J112="Confirmed",OR(I112="",H112="",H112="Unknown",H112="Low")),"Confirmed capability lacks verification","OK — verify source")))))</f>
        <v/>
      </c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8" t="n"/>
      <c r="J113" s="27" t="n"/>
      <c r="K113" s="27">
        <f>IF(COUNTA(A113:J113)=0,"",IF(A113="","CAP-ID missing",IF(COUNTIF($A$4:$A$253,A113)&gt;1,"Duplicate CAP-ID",IF(OR(B113="",C113="",D113="",E113="",F113="",G113=""),"Definition / owner / source missing",IF(AND(J113="Confirmed",OR(I113="",H113="",H113="Unknown",H113="Low")),"Confirmed capability lacks verification","OK — verify source")))))</f>
        <v/>
      </c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6" t="n"/>
      <c r="J114" s="25" t="n"/>
      <c r="K114" s="25">
        <f>IF(COUNTA(A114:J114)=0,"",IF(A114="","CAP-ID missing",IF(COUNTIF($A$4:$A$253,A114)&gt;1,"Duplicate CAP-ID",IF(OR(B114="",C114="",D114="",E114="",F114="",G114=""),"Definition / owner / source missing",IF(AND(J114="Confirmed",OR(I114="",H114="",H114="Unknown",H114="Low")),"Confirmed capability lacks verification","OK — verify source")))))</f>
        <v/>
      </c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8" t="n"/>
      <c r="J115" s="27" t="n"/>
      <c r="K115" s="27">
        <f>IF(COUNTA(A115:J115)=0,"",IF(A115="","CAP-ID missing",IF(COUNTIF($A$4:$A$253,A115)&gt;1,"Duplicate CAP-ID",IF(OR(B115="",C115="",D115="",E115="",F115="",G115=""),"Definition / owner / source missing",IF(AND(J115="Confirmed",OR(I115="",H115="",H115="Unknown",H115="Low")),"Confirmed capability lacks verification","OK — verify source")))))</f>
        <v/>
      </c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6" t="n"/>
      <c r="J116" s="25" t="n"/>
      <c r="K116" s="25">
        <f>IF(COUNTA(A116:J116)=0,"",IF(A116="","CAP-ID missing",IF(COUNTIF($A$4:$A$253,A116)&gt;1,"Duplicate CAP-ID",IF(OR(B116="",C116="",D116="",E116="",F116="",G116=""),"Definition / owner / source missing",IF(AND(J116="Confirmed",OR(I116="",H116="",H116="Unknown",H116="Low")),"Confirmed capability lacks verification","OK — verify source")))))</f>
        <v/>
      </c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8" t="n"/>
      <c r="J117" s="27" t="n"/>
      <c r="K117" s="27">
        <f>IF(COUNTA(A117:J117)=0,"",IF(A117="","CAP-ID missing",IF(COUNTIF($A$4:$A$253,A117)&gt;1,"Duplicate CAP-ID",IF(OR(B117="",C117="",D117="",E117="",F117="",G117=""),"Definition / owner / source missing",IF(AND(J117="Confirmed",OR(I117="",H117="",H117="Unknown",H117="Low")),"Confirmed capability lacks verification","OK — verify source")))))</f>
        <v/>
      </c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6" t="n"/>
      <c r="J118" s="25" t="n"/>
      <c r="K118" s="25">
        <f>IF(COUNTA(A118:J118)=0,"",IF(A118="","CAP-ID missing",IF(COUNTIF($A$4:$A$253,A118)&gt;1,"Duplicate CAP-ID",IF(OR(B118="",C118="",D118="",E118="",F118="",G118=""),"Definition / owner / source missing",IF(AND(J118="Confirmed",OR(I118="",H118="",H118="Unknown",H118="Low")),"Confirmed capability lacks verification","OK — verify source")))))</f>
        <v/>
      </c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8" t="n"/>
      <c r="J119" s="27" t="n"/>
      <c r="K119" s="27">
        <f>IF(COUNTA(A119:J119)=0,"",IF(A119="","CAP-ID missing",IF(COUNTIF($A$4:$A$253,A119)&gt;1,"Duplicate CAP-ID",IF(OR(B119="",C119="",D119="",E119="",F119="",G119=""),"Definition / owner / source missing",IF(AND(J119="Confirmed",OR(I119="",H119="",H119="Unknown",H119="Low")),"Confirmed capability lacks verification","OK — verify source")))))</f>
        <v/>
      </c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6" t="n"/>
      <c r="J120" s="25" t="n"/>
      <c r="K120" s="25">
        <f>IF(COUNTA(A120:J120)=0,"",IF(A120="","CAP-ID missing",IF(COUNTIF($A$4:$A$253,A120)&gt;1,"Duplicate CAP-ID",IF(OR(B120="",C120="",D120="",E120="",F120="",G120=""),"Definition / owner / source missing",IF(AND(J120="Confirmed",OR(I120="",H120="",H120="Unknown",H120="Low")),"Confirmed capability lacks verification","OK — verify source")))))</f>
        <v/>
      </c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8" t="n"/>
      <c r="J121" s="27" t="n"/>
      <c r="K121" s="27">
        <f>IF(COUNTA(A121:J121)=0,"",IF(A121="","CAP-ID missing",IF(COUNTIF($A$4:$A$253,A121)&gt;1,"Duplicate CAP-ID",IF(OR(B121="",C121="",D121="",E121="",F121="",G121=""),"Definition / owner / source missing",IF(AND(J121="Confirmed",OR(I121="",H121="",H121="Unknown",H121="Low")),"Confirmed capability lacks verification","OK — verify source")))))</f>
        <v/>
      </c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6" t="n"/>
      <c r="J122" s="25" t="n"/>
      <c r="K122" s="25">
        <f>IF(COUNTA(A122:J122)=0,"",IF(A122="","CAP-ID missing",IF(COUNTIF($A$4:$A$253,A122)&gt;1,"Duplicate CAP-ID",IF(OR(B122="",C122="",D122="",E122="",F122="",G122=""),"Definition / owner / source missing",IF(AND(J122="Confirmed",OR(I122="",H122="",H122="Unknown",H122="Low")),"Confirmed capability lacks verification","OK — verify source")))))</f>
        <v/>
      </c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8" t="n"/>
      <c r="J123" s="27" t="n"/>
      <c r="K123" s="27">
        <f>IF(COUNTA(A123:J123)=0,"",IF(A123="","CAP-ID missing",IF(COUNTIF($A$4:$A$253,A123)&gt;1,"Duplicate CAP-ID",IF(OR(B123="",C123="",D123="",E123="",F123="",G123=""),"Definition / owner / source missing",IF(AND(J123="Confirmed",OR(I123="",H123="",H123="Unknown",H123="Low")),"Confirmed capability lacks verification","OK — verify source")))))</f>
        <v/>
      </c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6" t="n"/>
      <c r="J124" s="25" t="n"/>
      <c r="K124" s="25">
        <f>IF(COUNTA(A124:J124)=0,"",IF(A124="","CAP-ID missing",IF(COUNTIF($A$4:$A$253,A124)&gt;1,"Duplicate CAP-ID",IF(OR(B124="",C124="",D124="",E124="",F124="",G124=""),"Definition / owner / source missing",IF(AND(J124="Confirmed",OR(I124="",H124="",H124="Unknown",H124="Low")),"Confirmed capability lacks verification","OK — verify source")))))</f>
        <v/>
      </c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8" t="n"/>
      <c r="J125" s="27" t="n"/>
      <c r="K125" s="27">
        <f>IF(COUNTA(A125:J125)=0,"",IF(A125="","CAP-ID missing",IF(COUNTIF($A$4:$A$253,A125)&gt;1,"Duplicate CAP-ID",IF(OR(B125="",C125="",D125="",E125="",F125="",G125=""),"Definition / owner / source missing",IF(AND(J125="Confirmed",OR(I125="",H125="",H125="Unknown",H125="Low")),"Confirmed capability lacks verification","OK — verify source")))))</f>
        <v/>
      </c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6" t="n"/>
      <c r="J126" s="25" t="n"/>
      <c r="K126" s="25">
        <f>IF(COUNTA(A126:J126)=0,"",IF(A126="","CAP-ID missing",IF(COUNTIF($A$4:$A$253,A126)&gt;1,"Duplicate CAP-ID",IF(OR(B126="",C126="",D126="",E126="",F126="",G126=""),"Definition / owner / source missing",IF(AND(J126="Confirmed",OR(I126="",H126="",H126="Unknown",H126="Low")),"Confirmed capability lacks verification","OK — verify source")))))</f>
        <v/>
      </c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8" t="n"/>
      <c r="J127" s="27" t="n"/>
      <c r="K127" s="27">
        <f>IF(COUNTA(A127:J127)=0,"",IF(A127="","CAP-ID missing",IF(COUNTIF($A$4:$A$253,A127)&gt;1,"Duplicate CAP-ID",IF(OR(B127="",C127="",D127="",E127="",F127="",G127=""),"Definition / owner / source missing",IF(AND(J127="Confirmed",OR(I127="",H127="",H127="Unknown",H127="Low")),"Confirmed capability lacks verification","OK — verify source")))))</f>
        <v/>
      </c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6" t="n"/>
      <c r="J128" s="25" t="n"/>
      <c r="K128" s="25">
        <f>IF(COUNTA(A128:J128)=0,"",IF(A128="","CAP-ID missing",IF(COUNTIF($A$4:$A$253,A128)&gt;1,"Duplicate CAP-ID",IF(OR(B128="",C128="",D128="",E128="",F128="",G128=""),"Definition / owner / source missing",IF(AND(J128="Confirmed",OR(I128="",H128="",H128="Unknown",H128="Low")),"Confirmed capability lacks verification","OK — verify source")))))</f>
        <v/>
      </c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8" t="n"/>
      <c r="J129" s="27" t="n"/>
      <c r="K129" s="27">
        <f>IF(COUNTA(A129:J129)=0,"",IF(A129="","CAP-ID missing",IF(COUNTIF($A$4:$A$253,A129)&gt;1,"Duplicate CAP-ID",IF(OR(B129="",C129="",D129="",E129="",F129="",G129=""),"Definition / owner / source missing",IF(AND(J129="Confirmed",OR(I129="",H129="",H129="Unknown",H129="Low")),"Confirmed capability lacks verification","OK — verify source")))))</f>
        <v/>
      </c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6" t="n"/>
      <c r="J130" s="25" t="n"/>
      <c r="K130" s="25">
        <f>IF(COUNTA(A130:J130)=0,"",IF(A130="","CAP-ID missing",IF(COUNTIF($A$4:$A$253,A130)&gt;1,"Duplicate CAP-ID",IF(OR(B130="",C130="",D130="",E130="",F130="",G130=""),"Definition / owner / source missing",IF(AND(J130="Confirmed",OR(I130="",H130="",H130="Unknown",H130="Low")),"Confirmed capability lacks verification","OK — verify source")))))</f>
        <v/>
      </c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8" t="n"/>
      <c r="J131" s="27" t="n"/>
      <c r="K131" s="27">
        <f>IF(COUNTA(A131:J131)=0,"",IF(A131="","CAP-ID missing",IF(COUNTIF($A$4:$A$253,A131)&gt;1,"Duplicate CAP-ID",IF(OR(B131="",C131="",D131="",E131="",F131="",G131=""),"Definition / owner / source missing",IF(AND(J131="Confirmed",OR(I131="",H131="",H131="Unknown",H131="Low")),"Confirmed capability lacks verification","OK — verify source")))))</f>
        <v/>
      </c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6" t="n"/>
      <c r="J132" s="25" t="n"/>
      <c r="K132" s="25">
        <f>IF(COUNTA(A132:J132)=0,"",IF(A132="","CAP-ID missing",IF(COUNTIF($A$4:$A$253,A132)&gt;1,"Duplicate CAP-ID",IF(OR(B132="",C132="",D132="",E132="",F132="",G132=""),"Definition / owner / source missing",IF(AND(J132="Confirmed",OR(I132="",H132="",H132="Unknown",H132="Low")),"Confirmed capability lacks verification","OK — verify source")))))</f>
        <v/>
      </c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8" t="n"/>
      <c r="J133" s="27" t="n"/>
      <c r="K133" s="27">
        <f>IF(COUNTA(A133:J133)=0,"",IF(A133="","CAP-ID missing",IF(COUNTIF($A$4:$A$253,A133)&gt;1,"Duplicate CAP-ID",IF(OR(B133="",C133="",D133="",E133="",F133="",G133=""),"Definition / owner / source missing",IF(AND(J133="Confirmed",OR(I133="",H133="",H133="Unknown",H133="Low")),"Confirmed capability lacks verification","OK — verify source")))))</f>
        <v/>
      </c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6" t="n"/>
      <c r="J134" s="25" t="n"/>
      <c r="K134" s="25">
        <f>IF(COUNTA(A134:J134)=0,"",IF(A134="","CAP-ID missing",IF(COUNTIF($A$4:$A$253,A134)&gt;1,"Duplicate CAP-ID",IF(OR(B134="",C134="",D134="",E134="",F134="",G134=""),"Definition / owner / source missing",IF(AND(J134="Confirmed",OR(I134="",H134="",H134="Unknown",H134="Low")),"Confirmed capability lacks verification","OK — verify source")))))</f>
        <v/>
      </c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8" t="n"/>
      <c r="J135" s="27" t="n"/>
      <c r="K135" s="27">
        <f>IF(COUNTA(A135:J135)=0,"",IF(A135="","CAP-ID missing",IF(COUNTIF($A$4:$A$253,A135)&gt;1,"Duplicate CAP-ID",IF(OR(B135="",C135="",D135="",E135="",F135="",G135=""),"Definition / owner / source missing",IF(AND(J135="Confirmed",OR(I135="",H135="",H135="Unknown",H135="Low")),"Confirmed capability lacks verification","OK — verify source")))))</f>
        <v/>
      </c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6" t="n"/>
      <c r="J136" s="25" t="n"/>
      <c r="K136" s="25">
        <f>IF(COUNTA(A136:J136)=0,"",IF(A136="","CAP-ID missing",IF(COUNTIF($A$4:$A$253,A136)&gt;1,"Duplicate CAP-ID",IF(OR(B136="",C136="",D136="",E136="",F136="",G136=""),"Definition / owner / source missing",IF(AND(J136="Confirmed",OR(I136="",H136="",H136="Unknown",H136="Low")),"Confirmed capability lacks verification","OK — verify source")))))</f>
        <v/>
      </c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8" t="n"/>
      <c r="J137" s="27" t="n"/>
      <c r="K137" s="27">
        <f>IF(COUNTA(A137:J137)=0,"",IF(A137="","CAP-ID missing",IF(COUNTIF($A$4:$A$253,A137)&gt;1,"Duplicate CAP-ID",IF(OR(B137="",C137="",D137="",E137="",F137="",G137=""),"Definition / owner / source missing",IF(AND(J137="Confirmed",OR(I137="",H137="",H137="Unknown",H137="Low")),"Confirmed capability lacks verification","OK — verify source")))))</f>
        <v/>
      </c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6" t="n"/>
      <c r="J138" s="25" t="n"/>
      <c r="K138" s="25">
        <f>IF(COUNTA(A138:J138)=0,"",IF(A138="","CAP-ID missing",IF(COUNTIF($A$4:$A$253,A138)&gt;1,"Duplicate CAP-ID",IF(OR(B138="",C138="",D138="",E138="",F138="",G138=""),"Definition / owner / source missing",IF(AND(J138="Confirmed",OR(I138="",H138="",H138="Unknown",H138="Low")),"Confirmed capability lacks verification","OK — verify source")))))</f>
        <v/>
      </c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8" t="n"/>
      <c r="J139" s="27" t="n"/>
      <c r="K139" s="27">
        <f>IF(COUNTA(A139:J139)=0,"",IF(A139="","CAP-ID missing",IF(COUNTIF($A$4:$A$253,A139)&gt;1,"Duplicate CAP-ID",IF(OR(B139="",C139="",D139="",E139="",F139="",G139=""),"Definition / owner / source missing",IF(AND(J139="Confirmed",OR(I139="",H139="",H139="Unknown",H139="Low")),"Confirmed capability lacks verification","OK — verify source")))))</f>
        <v/>
      </c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6" t="n"/>
      <c r="J140" s="25" t="n"/>
      <c r="K140" s="25">
        <f>IF(COUNTA(A140:J140)=0,"",IF(A140="","CAP-ID missing",IF(COUNTIF($A$4:$A$253,A140)&gt;1,"Duplicate CAP-ID",IF(OR(B140="",C140="",D140="",E140="",F140="",G140=""),"Definition / owner / source missing",IF(AND(J140="Confirmed",OR(I140="",H140="",H140="Unknown",H140="Low")),"Confirmed capability lacks verification","OK — verify source")))))</f>
        <v/>
      </c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8" t="n"/>
      <c r="J141" s="27" t="n"/>
      <c r="K141" s="27">
        <f>IF(COUNTA(A141:J141)=0,"",IF(A141="","CAP-ID missing",IF(COUNTIF($A$4:$A$253,A141)&gt;1,"Duplicate CAP-ID",IF(OR(B141="",C141="",D141="",E141="",F141="",G141=""),"Definition / owner / source missing",IF(AND(J141="Confirmed",OR(I141="",H141="",H141="Unknown",H141="Low")),"Confirmed capability lacks verification","OK — verify source")))))</f>
        <v/>
      </c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6" t="n"/>
      <c r="J142" s="25" t="n"/>
      <c r="K142" s="25">
        <f>IF(COUNTA(A142:J142)=0,"",IF(A142="","CAP-ID missing",IF(COUNTIF($A$4:$A$253,A142)&gt;1,"Duplicate CAP-ID",IF(OR(B142="",C142="",D142="",E142="",F142="",G142=""),"Definition / owner / source missing",IF(AND(J142="Confirmed",OR(I142="",H142="",H142="Unknown",H142="Low")),"Confirmed capability lacks verification","OK — verify source")))))</f>
        <v/>
      </c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8" t="n"/>
      <c r="J143" s="27" t="n"/>
      <c r="K143" s="27">
        <f>IF(COUNTA(A143:J143)=0,"",IF(A143="","CAP-ID missing",IF(COUNTIF($A$4:$A$253,A143)&gt;1,"Duplicate CAP-ID",IF(OR(B143="",C143="",D143="",E143="",F143="",G143=""),"Definition / owner / source missing",IF(AND(J143="Confirmed",OR(I143="",H143="",H143="Unknown",H143="Low")),"Confirmed capability lacks verification","OK — verify source")))))</f>
        <v/>
      </c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6" t="n"/>
      <c r="J144" s="25" t="n"/>
      <c r="K144" s="25">
        <f>IF(COUNTA(A144:J144)=0,"",IF(A144="","CAP-ID missing",IF(COUNTIF($A$4:$A$253,A144)&gt;1,"Duplicate CAP-ID",IF(OR(B144="",C144="",D144="",E144="",F144="",G144=""),"Definition / owner / source missing",IF(AND(J144="Confirmed",OR(I144="",H144="",H144="Unknown",H144="Low")),"Confirmed capability lacks verification","OK — verify source")))))</f>
        <v/>
      </c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8" t="n"/>
      <c r="J145" s="27" t="n"/>
      <c r="K145" s="27">
        <f>IF(COUNTA(A145:J145)=0,"",IF(A145="","CAP-ID missing",IF(COUNTIF($A$4:$A$253,A145)&gt;1,"Duplicate CAP-ID",IF(OR(B145="",C145="",D145="",E145="",F145="",G145=""),"Definition / owner / source missing",IF(AND(J145="Confirmed",OR(I145="",H145="",H145="Unknown",H145="Low")),"Confirmed capability lacks verification","OK — verify source")))))</f>
        <v/>
      </c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6" t="n"/>
      <c r="J146" s="25" t="n"/>
      <c r="K146" s="25">
        <f>IF(COUNTA(A146:J146)=0,"",IF(A146="","CAP-ID missing",IF(COUNTIF($A$4:$A$253,A146)&gt;1,"Duplicate CAP-ID",IF(OR(B146="",C146="",D146="",E146="",F146="",G146=""),"Definition / owner / source missing",IF(AND(J146="Confirmed",OR(I146="",H146="",H146="Unknown",H146="Low")),"Confirmed capability lacks verification","OK — verify source")))))</f>
        <v/>
      </c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8" t="n"/>
      <c r="J147" s="27" t="n"/>
      <c r="K147" s="27">
        <f>IF(COUNTA(A147:J147)=0,"",IF(A147="","CAP-ID missing",IF(COUNTIF($A$4:$A$253,A147)&gt;1,"Duplicate CAP-ID",IF(OR(B147="",C147="",D147="",E147="",F147="",G147=""),"Definition / owner / source missing",IF(AND(J147="Confirmed",OR(I147="",H147="",H147="Unknown",H147="Low")),"Confirmed capability lacks verification","OK — verify source")))))</f>
        <v/>
      </c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6" t="n"/>
      <c r="J148" s="25" t="n"/>
      <c r="K148" s="25">
        <f>IF(COUNTA(A148:J148)=0,"",IF(A148="","CAP-ID missing",IF(COUNTIF($A$4:$A$253,A148)&gt;1,"Duplicate CAP-ID",IF(OR(B148="",C148="",D148="",E148="",F148="",G148=""),"Definition / owner / source missing",IF(AND(J148="Confirmed",OR(I148="",H148="",H148="Unknown",H148="Low")),"Confirmed capability lacks verification","OK — verify source")))))</f>
        <v/>
      </c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8" t="n"/>
      <c r="J149" s="27" t="n"/>
      <c r="K149" s="27">
        <f>IF(COUNTA(A149:J149)=0,"",IF(A149="","CAP-ID missing",IF(COUNTIF($A$4:$A$253,A149)&gt;1,"Duplicate CAP-ID",IF(OR(B149="",C149="",D149="",E149="",F149="",G149=""),"Definition / owner / source missing",IF(AND(J149="Confirmed",OR(I149="",H149="",H149="Unknown",H149="Low")),"Confirmed capability lacks verification","OK — verify source")))))</f>
        <v/>
      </c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6" t="n"/>
      <c r="J150" s="25" t="n"/>
      <c r="K150" s="25">
        <f>IF(COUNTA(A150:J150)=0,"",IF(A150="","CAP-ID missing",IF(COUNTIF($A$4:$A$253,A150)&gt;1,"Duplicate CAP-ID",IF(OR(B150="",C150="",D150="",E150="",F150="",G150=""),"Definition / owner / source missing",IF(AND(J150="Confirmed",OR(I150="",H150="",H150="Unknown",H150="Low")),"Confirmed capability lacks verification","OK — verify source")))))</f>
        <v/>
      </c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8" t="n"/>
      <c r="J151" s="27" t="n"/>
      <c r="K151" s="27">
        <f>IF(COUNTA(A151:J151)=0,"",IF(A151="","CAP-ID missing",IF(COUNTIF($A$4:$A$253,A151)&gt;1,"Duplicate CAP-ID",IF(OR(B151="",C151="",D151="",E151="",F151="",G151=""),"Definition / owner / source missing",IF(AND(J151="Confirmed",OR(I151="",H151="",H151="Unknown",H151="Low")),"Confirmed capability lacks verification","OK — verify source")))))</f>
        <v/>
      </c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6" t="n"/>
      <c r="J152" s="25" t="n"/>
      <c r="K152" s="25">
        <f>IF(COUNTA(A152:J152)=0,"",IF(A152="","CAP-ID missing",IF(COUNTIF($A$4:$A$253,A152)&gt;1,"Duplicate CAP-ID",IF(OR(B152="",C152="",D152="",E152="",F152="",G152=""),"Definition / owner / source missing",IF(AND(J152="Confirmed",OR(I152="",H152="",H152="Unknown",H152="Low")),"Confirmed capability lacks verification","OK — verify source")))))</f>
        <v/>
      </c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8" t="n"/>
      <c r="J153" s="27" t="n"/>
      <c r="K153" s="27">
        <f>IF(COUNTA(A153:J153)=0,"",IF(A153="","CAP-ID missing",IF(COUNTIF($A$4:$A$253,A153)&gt;1,"Duplicate CAP-ID",IF(OR(B153="",C153="",D153="",E153="",F153="",G153=""),"Definition / owner / source missing",IF(AND(J153="Confirmed",OR(I153="",H153="",H153="Unknown",H153="Low")),"Confirmed capability lacks verification","OK — verify source")))))</f>
        <v/>
      </c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6" t="n"/>
      <c r="J154" s="25" t="n"/>
      <c r="K154" s="25">
        <f>IF(COUNTA(A154:J154)=0,"",IF(A154="","CAP-ID missing",IF(COUNTIF($A$4:$A$253,A154)&gt;1,"Duplicate CAP-ID",IF(OR(B154="",C154="",D154="",E154="",F154="",G154=""),"Definition / owner / source missing",IF(AND(J154="Confirmed",OR(I154="",H154="",H154="Unknown",H154="Low")),"Confirmed capability lacks verification","OK — verify source")))))</f>
        <v/>
      </c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8" t="n"/>
      <c r="J155" s="27" t="n"/>
      <c r="K155" s="27">
        <f>IF(COUNTA(A155:J155)=0,"",IF(A155="","CAP-ID missing",IF(COUNTIF($A$4:$A$253,A155)&gt;1,"Duplicate CAP-ID",IF(OR(B155="",C155="",D155="",E155="",F155="",G155=""),"Definition / owner / source missing",IF(AND(J155="Confirmed",OR(I155="",H155="",H155="Unknown",H155="Low")),"Confirmed capability lacks verification","OK — verify source")))))</f>
        <v/>
      </c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6" t="n"/>
      <c r="J156" s="25" t="n"/>
      <c r="K156" s="25">
        <f>IF(COUNTA(A156:J156)=0,"",IF(A156="","CAP-ID missing",IF(COUNTIF($A$4:$A$253,A156)&gt;1,"Duplicate CAP-ID",IF(OR(B156="",C156="",D156="",E156="",F156="",G156=""),"Definition / owner / source missing",IF(AND(J156="Confirmed",OR(I156="",H156="",H156="Unknown",H156="Low")),"Confirmed capability lacks verification","OK — verify source")))))</f>
        <v/>
      </c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8" t="n"/>
      <c r="J157" s="27" t="n"/>
      <c r="K157" s="27">
        <f>IF(COUNTA(A157:J157)=0,"",IF(A157="","CAP-ID missing",IF(COUNTIF($A$4:$A$253,A157)&gt;1,"Duplicate CAP-ID",IF(OR(B157="",C157="",D157="",E157="",F157="",G157=""),"Definition / owner / source missing",IF(AND(J157="Confirmed",OR(I157="",H157="",H157="Unknown",H157="Low")),"Confirmed capability lacks verification","OK — verify source")))))</f>
        <v/>
      </c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6" t="n"/>
      <c r="J158" s="25" t="n"/>
      <c r="K158" s="25">
        <f>IF(COUNTA(A158:J158)=0,"",IF(A158="","CAP-ID missing",IF(COUNTIF($A$4:$A$253,A158)&gt;1,"Duplicate CAP-ID",IF(OR(B158="",C158="",D158="",E158="",F158="",G158=""),"Definition / owner / source missing",IF(AND(J158="Confirmed",OR(I158="",H158="",H158="Unknown",H158="Low")),"Confirmed capability lacks verification","OK — verify source")))))</f>
        <v/>
      </c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8" t="n"/>
      <c r="J159" s="27" t="n"/>
      <c r="K159" s="27">
        <f>IF(COUNTA(A159:J159)=0,"",IF(A159="","CAP-ID missing",IF(COUNTIF($A$4:$A$253,A159)&gt;1,"Duplicate CAP-ID",IF(OR(B159="",C159="",D159="",E159="",F159="",G159=""),"Definition / owner / source missing",IF(AND(J159="Confirmed",OR(I159="",H159="",H159="Unknown",H159="Low")),"Confirmed capability lacks verification","OK — verify source")))))</f>
        <v/>
      </c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6" t="n"/>
      <c r="J160" s="25" t="n"/>
      <c r="K160" s="25">
        <f>IF(COUNTA(A160:J160)=0,"",IF(A160="","CAP-ID missing",IF(COUNTIF($A$4:$A$253,A160)&gt;1,"Duplicate CAP-ID",IF(OR(B160="",C160="",D160="",E160="",F160="",G160=""),"Definition / owner / source missing",IF(AND(J160="Confirmed",OR(I160="",H160="",H160="Unknown",H160="Low")),"Confirmed capability lacks verification","OK — verify source")))))</f>
        <v/>
      </c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8" t="n"/>
      <c r="J161" s="27" t="n"/>
      <c r="K161" s="27">
        <f>IF(COUNTA(A161:J161)=0,"",IF(A161="","CAP-ID missing",IF(COUNTIF($A$4:$A$253,A161)&gt;1,"Duplicate CAP-ID",IF(OR(B161="",C161="",D161="",E161="",F161="",G161=""),"Definition / owner / source missing",IF(AND(J161="Confirmed",OR(I161="",H161="",H161="Unknown",H161="Low")),"Confirmed capability lacks verification","OK — verify source")))))</f>
        <v/>
      </c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6" t="n"/>
      <c r="J162" s="25" t="n"/>
      <c r="K162" s="25">
        <f>IF(COUNTA(A162:J162)=0,"",IF(A162="","CAP-ID missing",IF(COUNTIF($A$4:$A$253,A162)&gt;1,"Duplicate CAP-ID",IF(OR(B162="",C162="",D162="",E162="",F162="",G162=""),"Definition / owner / source missing",IF(AND(J162="Confirmed",OR(I162="",H162="",H162="Unknown",H162="Low")),"Confirmed capability lacks verification","OK — verify source")))))</f>
        <v/>
      </c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8" t="n"/>
      <c r="J163" s="27" t="n"/>
      <c r="K163" s="27">
        <f>IF(COUNTA(A163:J163)=0,"",IF(A163="","CAP-ID missing",IF(COUNTIF($A$4:$A$253,A163)&gt;1,"Duplicate CAP-ID",IF(OR(B163="",C163="",D163="",E163="",F163="",G163=""),"Definition / owner / source missing",IF(AND(J163="Confirmed",OR(I163="",H163="",H163="Unknown",H163="Low")),"Confirmed capability lacks verification","OK — verify source")))))</f>
        <v/>
      </c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6" t="n"/>
      <c r="J164" s="25" t="n"/>
      <c r="K164" s="25">
        <f>IF(COUNTA(A164:J164)=0,"",IF(A164="","CAP-ID missing",IF(COUNTIF($A$4:$A$253,A164)&gt;1,"Duplicate CAP-ID",IF(OR(B164="",C164="",D164="",E164="",F164="",G164=""),"Definition / owner / source missing",IF(AND(J164="Confirmed",OR(I164="",H164="",H164="Unknown",H164="Low")),"Confirmed capability lacks verification","OK — verify source")))))</f>
        <v/>
      </c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8" t="n"/>
      <c r="J165" s="27" t="n"/>
      <c r="K165" s="27">
        <f>IF(COUNTA(A165:J165)=0,"",IF(A165="","CAP-ID missing",IF(COUNTIF($A$4:$A$253,A165)&gt;1,"Duplicate CAP-ID",IF(OR(B165="",C165="",D165="",E165="",F165="",G165=""),"Definition / owner / source missing",IF(AND(J165="Confirmed",OR(I165="",H165="",H165="Unknown",H165="Low")),"Confirmed capability lacks verification","OK — verify source")))))</f>
        <v/>
      </c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6" t="n"/>
      <c r="J166" s="25" t="n"/>
      <c r="K166" s="25">
        <f>IF(COUNTA(A166:J166)=0,"",IF(A166="","CAP-ID missing",IF(COUNTIF($A$4:$A$253,A166)&gt;1,"Duplicate CAP-ID",IF(OR(B166="",C166="",D166="",E166="",F166="",G166=""),"Definition / owner / source missing",IF(AND(J166="Confirmed",OR(I166="",H166="",H166="Unknown",H166="Low")),"Confirmed capability lacks verification","OK — verify source")))))</f>
        <v/>
      </c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8" t="n"/>
      <c r="J167" s="27" t="n"/>
      <c r="K167" s="27">
        <f>IF(COUNTA(A167:J167)=0,"",IF(A167="","CAP-ID missing",IF(COUNTIF($A$4:$A$253,A167)&gt;1,"Duplicate CAP-ID",IF(OR(B167="",C167="",D167="",E167="",F167="",G167=""),"Definition / owner / source missing",IF(AND(J167="Confirmed",OR(I167="",H167="",H167="Unknown",H167="Low")),"Confirmed capability lacks verification","OK — verify source")))))</f>
        <v/>
      </c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6" t="n"/>
      <c r="J168" s="25" t="n"/>
      <c r="K168" s="25">
        <f>IF(COUNTA(A168:J168)=0,"",IF(A168="","CAP-ID missing",IF(COUNTIF($A$4:$A$253,A168)&gt;1,"Duplicate CAP-ID",IF(OR(B168="",C168="",D168="",E168="",F168="",G168=""),"Definition / owner / source missing",IF(AND(J168="Confirmed",OR(I168="",H168="",H168="Unknown",H168="Low")),"Confirmed capability lacks verification","OK — verify source")))))</f>
        <v/>
      </c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8" t="n"/>
      <c r="J169" s="27" t="n"/>
      <c r="K169" s="27">
        <f>IF(COUNTA(A169:J169)=0,"",IF(A169="","CAP-ID missing",IF(COUNTIF($A$4:$A$253,A169)&gt;1,"Duplicate CAP-ID",IF(OR(B169="",C169="",D169="",E169="",F169="",G169=""),"Definition / owner / source missing",IF(AND(J169="Confirmed",OR(I169="",H169="",H169="Unknown",H169="Low")),"Confirmed capability lacks verification","OK — verify source")))))</f>
        <v/>
      </c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6" t="n"/>
      <c r="J170" s="25" t="n"/>
      <c r="K170" s="25">
        <f>IF(COUNTA(A170:J170)=0,"",IF(A170="","CAP-ID missing",IF(COUNTIF($A$4:$A$253,A170)&gt;1,"Duplicate CAP-ID",IF(OR(B170="",C170="",D170="",E170="",F170="",G170=""),"Definition / owner / source missing",IF(AND(J170="Confirmed",OR(I170="",H170="",H170="Unknown",H170="Low")),"Confirmed capability lacks verification","OK — verify source")))))</f>
        <v/>
      </c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8" t="n"/>
      <c r="J171" s="27" t="n"/>
      <c r="K171" s="27">
        <f>IF(COUNTA(A171:J171)=0,"",IF(A171="","CAP-ID missing",IF(COUNTIF($A$4:$A$253,A171)&gt;1,"Duplicate CAP-ID",IF(OR(B171="",C171="",D171="",E171="",F171="",G171=""),"Definition / owner / source missing",IF(AND(J171="Confirmed",OR(I171="",H171="",H171="Unknown",H171="Low")),"Confirmed capability lacks verification","OK — verify source")))))</f>
        <v/>
      </c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6" t="n"/>
      <c r="J172" s="25" t="n"/>
      <c r="K172" s="25">
        <f>IF(COUNTA(A172:J172)=0,"",IF(A172="","CAP-ID missing",IF(COUNTIF($A$4:$A$253,A172)&gt;1,"Duplicate CAP-ID",IF(OR(B172="",C172="",D172="",E172="",F172="",G172=""),"Definition / owner / source missing",IF(AND(J172="Confirmed",OR(I172="",H172="",H172="Unknown",H172="Low")),"Confirmed capability lacks verification","OK — verify source")))))</f>
        <v/>
      </c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8" t="n"/>
      <c r="J173" s="27" t="n"/>
      <c r="K173" s="27">
        <f>IF(COUNTA(A173:J173)=0,"",IF(A173="","CAP-ID missing",IF(COUNTIF($A$4:$A$253,A173)&gt;1,"Duplicate CAP-ID",IF(OR(B173="",C173="",D173="",E173="",F173="",G173=""),"Definition / owner / source missing",IF(AND(J173="Confirmed",OR(I173="",H173="",H173="Unknown",H173="Low")),"Confirmed capability lacks verification","OK — verify source")))))</f>
        <v/>
      </c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6" t="n"/>
      <c r="J174" s="25" t="n"/>
      <c r="K174" s="25">
        <f>IF(COUNTA(A174:J174)=0,"",IF(A174="","CAP-ID missing",IF(COUNTIF($A$4:$A$253,A174)&gt;1,"Duplicate CAP-ID",IF(OR(B174="",C174="",D174="",E174="",F174="",G174=""),"Definition / owner / source missing",IF(AND(J174="Confirmed",OR(I174="",H174="",H174="Unknown",H174="Low")),"Confirmed capability lacks verification","OK — verify source")))))</f>
        <v/>
      </c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8" t="n"/>
      <c r="J175" s="27" t="n"/>
      <c r="K175" s="27">
        <f>IF(COUNTA(A175:J175)=0,"",IF(A175="","CAP-ID missing",IF(COUNTIF($A$4:$A$253,A175)&gt;1,"Duplicate CAP-ID",IF(OR(B175="",C175="",D175="",E175="",F175="",G175=""),"Definition / owner / source missing",IF(AND(J175="Confirmed",OR(I175="",H175="",H175="Unknown",H175="Low")),"Confirmed capability lacks verification","OK — verify source")))))</f>
        <v/>
      </c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6" t="n"/>
      <c r="J176" s="25" t="n"/>
      <c r="K176" s="25">
        <f>IF(COUNTA(A176:J176)=0,"",IF(A176="","CAP-ID missing",IF(COUNTIF($A$4:$A$253,A176)&gt;1,"Duplicate CAP-ID",IF(OR(B176="",C176="",D176="",E176="",F176="",G176=""),"Definition / owner / source missing",IF(AND(J176="Confirmed",OR(I176="",H176="",H176="Unknown",H176="Low")),"Confirmed capability lacks verification","OK — verify source")))))</f>
        <v/>
      </c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8" t="n"/>
      <c r="J177" s="27" t="n"/>
      <c r="K177" s="27">
        <f>IF(COUNTA(A177:J177)=0,"",IF(A177="","CAP-ID missing",IF(COUNTIF($A$4:$A$253,A177)&gt;1,"Duplicate CAP-ID",IF(OR(B177="",C177="",D177="",E177="",F177="",G177=""),"Definition / owner / source missing",IF(AND(J177="Confirmed",OR(I177="",H177="",H177="Unknown",H177="Low")),"Confirmed capability lacks verification","OK — verify source")))))</f>
        <v/>
      </c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6" t="n"/>
      <c r="J178" s="25" t="n"/>
      <c r="K178" s="25">
        <f>IF(COUNTA(A178:J178)=0,"",IF(A178="","CAP-ID missing",IF(COUNTIF($A$4:$A$253,A178)&gt;1,"Duplicate CAP-ID",IF(OR(B178="",C178="",D178="",E178="",F178="",G178=""),"Definition / owner / source missing",IF(AND(J178="Confirmed",OR(I178="",H178="",H178="Unknown",H178="Low")),"Confirmed capability lacks verification","OK — verify source")))))</f>
        <v/>
      </c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8" t="n"/>
      <c r="J179" s="27" t="n"/>
      <c r="K179" s="27">
        <f>IF(COUNTA(A179:J179)=0,"",IF(A179="","CAP-ID missing",IF(COUNTIF($A$4:$A$253,A179)&gt;1,"Duplicate CAP-ID",IF(OR(B179="",C179="",D179="",E179="",F179="",G179=""),"Definition / owner / source missing",IF(AND(J179="Confirmed",OR(I179="",H179="",H179="Unknown",H179="Low")),"Confirmed capability lacks verification","OK — verify source")))))</f>
        <v/>
      </c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6" t="n"/>
      <c r="J180" s="25" t="n"/>
      <c r="K180" s="25">
        <f>IF(COUNTA(A180:J180)=0,"",IF(A180="","CAP-ID missing",IF(COUNTIF($A$4:$A$253,A180)&gt;1,"Duplicate CAP-ID",IF(OR(B180="",C180="",D180="",E180="",F180="",G180=""),"Definition / owner / source missing",IF(AND(J180="Confirmed",OR(I180="",H180="",H180="Unknown",H180="Low")),"Confirmed capability lacks verification","OK — verify source")))))</f>
        <v/>
      </c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8" t="n"/>
      <c r="J181" s="27" t="n"/>
      <c r="K181" s="27">
        <f>IF(COUNTA(A181:J181)=0,"",IF(A181="","CAP-ID missing",IF(COUNTIF($A$4:$A$253,A181)&gt;1,"Duplicate CAP-ID",IF(OR(B181="",C181="",D181="",E181="",F181="",G181=""),"Definition / owner / source missing",IF(AND(J181="Confirmed",OR(I181="",H181="",H181="Unknown",H181="Low")),"Confirmed capability lacks verification","OK — verify source")))))</f>
        <v/>
      </c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6" t="n"/>
      <c r="J182" s="25" t="n"/>
      <c r="K182" s="25">
        <f>IF(COUNTA(A182:J182)=0,"",IF(A182="","CAP-ID missing",IF(COUNTIF($A$4:$A$253,A182)&gt;1,"Duplicate CAP-ID",IF(OR(B182="",C182="",D182="",E182="",F182="",G182=""),"Definition / owner / source missing",IF(AND(J182="Confirmed",OR(I182="",H182="",H182="Unknown",H182="Low")),"Confirmed capability lacks verification","OK — verify source")))))</f>
        <v/>
      </c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8" t="n"/>
      <c r="J183" s="27" t="n"/>
      <c r="K183" s="27">
        <f>IF(COUNTA(A183:J183)=0,"",IF(A183="","CAP-ID missing",IF(COUNTIF($A$4:$A$253,A183)&gt;1,"Duplicate CAP-ID",IF(OR(B183="",C183="",D183="",E183="",F183="",G183=""),"Definition / owner / source missing",IF(AND(J183="Confirmed",OR(I183="",H183="",H183="Unknown",H183="Low")),"Confirmed capability lacks verification","OK — verify source")))))</f>
        <v/>
      </c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6" t="n"/>
      <c r="J184" s="25" t="n"/>
      <c r="K184" s="25">
        <f>IF(COUNTA(A184:J184)=0,"",IF(A184="","CAP-ID missing",IF(COUNTIF($A$4:$A$253,A184)&gt;1,"Duplicate CAP-ID",IF(OR(B184="",C184="",D184="",E184="",F184="",G184=""),"Definition / owner / source missing",IF(AND(J184="Confirmed",OR(I184="",H184="",H184="Unknown",H184="Low")),"Confirmed capability lacks verification","OK — verify source")))))</f>
        <v/>
      </c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8" t="n"/>
      <c r="J185" s="27" t="n"/>
      <c r="K185" s="27">
        <f>IF(COUNTA(A185:J185)=0,"",IF(A185="","CAP-ID missing",IF(COUNTIF($A$4:$A$253,A185)&gt;1,"Duplicate CAP-ID",IF(OR(B185="",C185="",D185="",E185="",F185="",G185=""),"Definition / owner / source missing",IF(AND(J185="Confirmed",OR(I185="",H185="",H185="Unknown",H185="Low")),"Confirmed capability lacks verification","OK — verify source")))))</f>
        <v/>
      </c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6" t="n"/>
      <c r="J186" s="25" t="n"/>
      <c r="K186" s="25">
        <f>IF(COUNTA(A186:J186)=0,"",IF(A186="","CAP-ID missing",IF(COUNTIF($A$4:$A$253,A186)&gt;1,"Duplicate CAP-ID",IF(OR(B186="",C186="",D186="",E186="",F186="",G186=""),"Definition / owner / source missing",IF(AND(J186="Confirmed",OR(I186="",H186="",H186="Unknown",H186="Low")),"Confirmed capability lacks verification","OK — verify source")))))</f>
        <v/>
      </c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8" t="n"/>
      <c r="J187" s="27" t="n"/>
      <c r="K187" s="27">
        <f>IF(COUNTA(A187:J187)=0,"",IF(A187="","CAP-ID missing",IF(COUNTIF($A$4:$A$253,A187)&gt;1,"Duplicate CAP-ID",IF(OR(B187="",C187="",D187="",E187="",F187="",G187=""),"Definition / owner / source missing",IF(AND(J187="Confirmed",OR(I187="",H187="",H187="Unknown",H187="Low")),"Confirmed capability lacks verification","OK — verify source")))))</f>
        <v/>
      </c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6" t="n"/>
      <c r="J188" s="25" t="n"/>
      <c r="K188" s="25">
        <f>IF(COUNTA(A188:J188)=0,"",IF(A188="","CAP-ID missing",IF(COUNTIF($A$4:$A$253,A188)&gt;1,"Duplicate CAP-ID",IF(OR(B188="",C188="",D188="",E188="",F188="",G188=""),"Definition / owner / source missing",IF(AND(J188="Confirmed",OR(I188="",H188="",H188="Unknown",H188="Low")),"Confirmed capability lacks verification","OK — verify source")))))</f>
        <v/>
      </c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8" t="n"/>
      <c r="J189" s="27" t="n"/>
      <c r="K189" s="27">
        <f>IF(COUNTA(A189:J189)=0,"",IF(A189="","CAP-ID missing",IF(COUNTIF($A$4:$A$253,A189)&gt;1,"Duplicate CAP-ID",IF(OR(B189="",C189="",D189="",E189="",F189="",G189=""),"Definition / owner / source missing",IF(AND(J189="Confirmed",OR(I189="",H189="",H189="Unknown",H189="Low")),"Confirmed capability lacks verification","OK — verify source")))))</f>
        <v/>
      </c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6" t="n"/>
      <c r="J190" s="25" t="n"/>
      <c r="K190" s="25">
        <f>IF(COUNTA(A190:J190)=0,"",IF(A190="","CAP-ID missing",IF(COUNTIF($A$4:$A$253,A190)&gt;1,"Duplicate CAP-ID",IF(OR(B190="",C190="",D190="",E190="",F190="",G190=""),"Definition / owner / source missing",IF(AND(J190="Confirmed",OR(I190="",H190="",H190="Unknown",H190="Low")),"Confirmed capability lacks verification","OK — verify source")))))</f>
        <v/>
      </c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8" t="n"/>
      <c r="J191" s="27" t="n"/>
      <c r="K191" s="27">
        <f>IF(COUNTA(A191:J191)=0,"",IF(A191="","CAP-ID missing",IF(COUNTIF($A$4:$A$253,A191)&gt;1,"Duplicate CAP-ID",IF(OR(B191="",C191="",D191="",E191="",F191="",G191=""),"Definition / owner / source missing",IF(AND(J191="Confirmed",OR(I191="",H191="",H191="Unknown",H191="Low")),"Confirmed capability lacks verification","OK — verify source")))))</f>
        <v/>
      </c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6" t="n"/>
      <c r="J192" s="25" t="n"/>
      <c r="K192" s="25">
        <f>IF(COUNTA(A192:J192)=0,"",IF(A192="","CAP-ID missing",IF(COUNTIF($A$4:$A$253,A192)&gt;1,"Duplicate CAP-ID",IF(OR(B192="",C192="",D192="",E192="",F192="",G192=""),"Definition / owner / source missing",IF(AND(J192="Confirmed",OR(I192="",H192="",H192="Unknown",H192="Low")),"Confirmed capability lacks verification","OK — verify source")))))</f>
        <v/>
      </c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8" t="n"/>
      <c r="J193" s="27" t="n"/>
      <c r="K193" s="27">
        <f>IF(COUNTA(A193:J193)=0,"",IF(A193="","CAP-ID missing",IF(COUNTIF($A$4:$A$253,A193)&gt;1,"Duplicate CAP-ID",IF(OR(B193="",C193="",D193="",E193="",F193="",G193=""),"Definition / owner / source missing",IF(AND(J193="Confirmed",OR(I193="",H193="",H193="Unknown",H193="Low")),"Confirmed capability lacks verification","OK — verify source")))))</f>
        <v/>
      </c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6" t="n"/>
      <c r="J194" s="25" t="n"/>
      <c r="K194" s="25">
        <f>IF(COUNTA(A194:J194)=0,"",IF(A194="","CAP-ID missing",IF(COUNTIF($A$4:$A$253,A194)&gt;1,"Duplicate CAP-ID",IF(OR(B194="",C194="",D194="",E194="",F194="",G194=""),"Definition / owner / source missing",IF(AND(J194="Confirmed",OR(I194="",H194="",H194="Unknown",H194="Low")),"Confirmed capability lacks verification","OK — verify source")))))</f>
        <v/>
      </c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8" t="n"/>
      <c r="J195" s="27" t="n"/>
      <c r="K195" s="27">
        <f>IF(COUNTA(A195:J195)=0,"",IF(A195="","CAP-ID missing",IF(COUNTIF($A$4:$A$253,A195)&gt;1,"Duplicate CAP-ID",IF(OR(B195="",C195="",D195="",E195="",F195="",G195=""),"Definition / owner / source missing",IF(AND(J195="Confirmed",OR(I195="",H195="",H195="Unknown",H195="Low")),"Confirmed capability lacks verification","OK — verify source")))))</f>
        <v/>
      </c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6" t="n"/>
      <c r="J196" s="25" t="n"/>
      <c r="K196" s="25">
        <f>IF(COUNTA(A196:J196)=0,"",IF(A196="","CAP-ID missing",IF(COUNTIF($A$4:$A$253,A196)&gt;1,"Duplicate CAP-ID",IF(OR(B196="",C196="",D196="",E196="",F196="",G196=""),"Definition / owner / source missing",IF(AND(J196="Confirmed",OR(I196="",H196="",H196="Unknown",H196="Low")),"Confirmed capability lacks verification","OK — verify source")))))</f>
        <v/>
      </c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8" t="n"/>
      <c r="J197" s="27" t="n"/>
      <c r="K197" s="27">
        <f>IF(COUNTA(A197:J197)=0,"",IF(A197="","CAP-ID missing",IF(COUNTIF($A$4:$A$253,A197)&gt;1,"Duplicate CAP-ID",IF(OR(B197="",C197="",D197="",E197="",F197="",G197=""),"Definition / owner / source missing",IF(AND(J197="Confirmed",OR(I197="",H197="",H197="Unknown",H197="Low")),"Confirmed capability lacks verification","OK — verify source")))))</f>
        <v/>
      </c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6" t="n"/>
      <c r="J198" s="25" t="n"/>
      <c r="K198" s="25">
        <f>IF(COUNTA(A198:J198)=0,"",IF(A198="","CAP-ID missing",IF(COUNTIF($A$4:$A$253,A198)&gt;1,"Duplicate CAP-ID",IF(OR(B198="",C198="",D198="",E198="",F198="",G198=""),"Definition / owner / source missing",IF(AND(J198="Confirmed",OR(I198="",H198="",H198="Unknown",H198="Low")),"Confirmed capability lacks verification","OK — verify source")))))</f>
        <v/>
      </c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8" t="n"/>
      <c r="J199" s="27" t="n"/>
      <c r="K199" s="27">
        <f>IF(COUNTA(A199:J199)=0,"",IF(A199="","CAP-ID missing",IF(COUNTIF($A$4:$A$253,A199)&gt;1,"Duplicate CAP-ID",IF(OR(B199="",C199="",D199="",E199="",F199="",G199=""),"Definition / owner / source missing",IF(AND(J199="Confirmed",OR(I199="",H199="",H199="Unknown",H199="Low")),"Confirmed capability lacks verification","OK — verify source")))))</f>
        <v/>
      </c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6" t="n"/>
      <c r="J200" s="25" t="n"/>
      <c r="K200" s="25">
        <f>IF(COUNTA(A200:J200)=0,"",IF(A200="","CAP-ID missing",IF(COUNTIF($A$4:$A$253,A200)&gt;1,"Duplicate CAP-ID",IF(OR(B200="",C200="",D200="",E200="",F200="",G200=""),"Definition / owner / source missing",IF(AND(J200="Confirmed",OR(I200="",H200="",H200="Unknown",H200="Low")),"Confirmed capability lacks verification","OK — verify source")))))</f>
        <v/>
      </c>
    </row>
    <row r="201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8" t="n"/>
      <c r="J201" s="27" t="n"/>
      <c r="K201" s="27">
        <f>IF(COUNTA(A201:J201)=0,"",IF(A201="","CAP-ID missing",IF(COUNTIF($A$4:$A$253,A201)&gt;1,"Duplicate CAP-ID",IF(OR(B201="",C201="",D201="",E201="",F201="",G201=""),"Definition / owner / source missing",IF(AND(J201="Confirmed",OR(I201="",H201="",H201="Unknown",H201="Low")),"Confirmed capability lacks verification","OK — verify source")))))</f>
        <v/>
      </c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6" t="n"/>
      <c r="J202" s="25" t="n"/>
      <c r="K202" s="25">
        <f>IF(COUNTA(A202:J202)=0,"",IF(A202="","CAP-ID missing",IF(COUNTIF($A$4:$A$253,A202)&gt;1,"Duplicate CAP-ID",IF(OR(B202="",C202="",D202="",E202="",F202="",G202=""),"Definition / owner / source missing",IF(AND(J202="Confirmed",OR(I202="",H202="",H202="Unknown",H202="Low")),"Confirmed capability lacks verification","OK — verify source")))))</f>
        <v/>
      </c>
    </row>
    <row r="203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8" t="n"/>
      <c r="J203" s="27" t="n"/>
      <c r="K203" s="27">
        <f>IF(COUNTA(A203:J203)=0,"",IF(A203="","CAP-ID missing",IF(COUNTIF($A$4:$A$253,A203)&gt;1,"Duplicate CAP-ID",IF(OR(B203="",C203="",D203="",E203="",F203="",G203=""),"Definition / owner / source missing",IF(AND(J203="Confirmed",OR(I203="",H203="",H203="Unknown",H203="Low")),"Confirmed capability lacks verification","OK — verify source")))))</f>
        <v/>
      </c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6" t="n"/>
      <c r="J204" s="25" t="n"/>
      <c r="K204" s="25">
        <f>IF(COUNTA(A204:J204)=0,"",IF(A204="","CAP-ID missing",IF(COUNTIF($A$4:$A$253,A204)&gt;1,"Duplicate CAP-ID",IF(OR(B204="",C204="",D204="",E204="",F204="",G204=""),"Definition / owner / source missing",IF(AND(J204="Confirmed",OR(I204="",H204="",H204="Unknown",H204="Low")),"Confirmed capability lacks verification","OK — verify source")))))</f>
        <v/>
      </c>
    </row>
    <row r="205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8" t="n"/>
      <c r="J205" s="27" t="n"/>
      <c r="K205" s="27">
        <f>IF(COUNTA(A205:J205)=0,"",IF(A205="","CAP-ID missing",IF(COUNTIF($A$4:$A$253,A205)&gt;1,"Duplicate CAP-ID",IF(OR(B205="",C205="",D205="",E205="",F205="",G205=""),"Definition / owner / source missing",IF(AND(J205="Confirmed",OR(I205="",H205="",H205="Unknown",H205="Low")),"Confirmed capability lacks verification","OK — verify source")))))</f>
        <v/>
      </c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6" t="n"/>
      <c r="J206" s="25" t="n"/>
      <c r="K206" s="25">
        <f>IF(COUNTA(A206:J206)=0,"",IF(A206="","CAP-ID missing",IF(COUNTIF($A$4:$A$253,A206)&gt;1,"Duplicate CAP-ID",IF(OR(B206="",C206="",D206="",E206="",F206="",G206=""),"Definition / owner / source missing",IF(AND(J206="Confirmed",OR(I206="",H206="",H206="Unknown",H206="Low")),"Confirmed capability lacks verification","OK — verify source")))))</f>
        <v/>
      </c>
    </row>
    <row r="207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8" t="n"/>
      <c r="J207" s="27" t="n"/>
      <c r="K207" s="27">
        <f>IF(COUNTA(A207:J207)=0,"",IF(A207="","CAP-ID missing",IF(COUNTIF($A$4:$A$253,A207)&gt;1,"Duplicate CAP-ID",IF(OR(B207="",C207="",D207="",E207="",F207="",G207=""),"Definition / owner / source missing",IF(AND(J207="Confirmed",OR(I207="",H207="",H207="Unknown",H207="Low")),"Confirmed capability lacks verification","OK — verify source")))))</f>
        <v/>
      </c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6" t="n"/>
      <c r="J208" s="25" t="n"/>
      <c r="K208" s="25">
        <f>IF(COUNTA(A208:J208)=0,"",IF(A208="","CAP-ID missing",IF(COUNTIF($A$4:$A$253,A208)&gt;1,"Duplicate CAP-ID",IF(OR(B208="",C208="",D208="",E208="",F208="",G208=""),"Definition / owner / source missing",IF(AND(J208="Confirmed",OR(I208="",H208="",H208="Unknown",H208="Low")),"Confirmed capability lacks verification","OK — verify source")))))</f>
        <v/>
      </c>
    </row>
    <row r="209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8" t="n"/>
      <c r="J209" s="27" t="n"/>
      <c r="K209" s="27">
        <f>IF(COUNTA(A209:J209)=0,"",IF(A209="","CAP-ID missing",IF(COUNTIF($A$4:$A$253,A209)&gt;1,"Duplicate CAP-ID",IF(OR(B209="",C209="",D209="",E209="",F209="",G209=""),"Definition / owner / source missing",IF(AND(J209="Confirmed",OR(I209="",H209="",H209="Unknown",H209="Low")),"Confirmed capability lacks verification","OK — verify source")))))</f>
        <v/>
      </c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6" t="n"/>
      <c r="J210" s="25" t="n"/>
      <c r="K210" s="25">
        <f>IF(COUNTA(A210:J210)=0,"",IF(A210="","CAP-ID missing",IF(COUNTIF($A$4:$A$253,A210)&gt;1,"Duplicate CAP-ID",IF(OR(B210="",C210="",D210="",E210="",F210="",G210=""),"Definition / owner / source missing",IF(AND(J210="Confirmed",OR(I210="",H210="",H210="Unknown",H210="Low")),"Confirmed capability lacks verification","OK — verify source")))))</f>
        <v/>
      </c>
    </row>
    <row r="211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8" t="n"/>
      <c r="J211" s="27" t="n"/>
      <c r="K211" s="27">
        <f>IF(COUNTA(A211:J211)=0,"",IF(A211="","CAP-ID missing",IF(COUNTIF($A$4:$A$253,A211)&gt;1,"Duplicate CAP-ID",IF(OR(B211="",C211="",D211="",E211="",F211="",G211=""),"Definition / owner / source missing",IF(AND(J211="Confirmed",OR(I211="",H211="",H211="Unknown",H211="Low")),"Confirmed capability lacks verification","OK — verify source")))))</f>
        <v/>
      </c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6" t="n"/>
      <c r="J212" s="25" t="n"/>
      <c r="K212" s="25">
        <f>IF(COUNTA(A212:J212)=0,"",IF(A212="","CAP-ID missing",IF(COUNTIF($A$4:$A$253,A212)&gt;1,"Duplicate CAP-ID",IF(OR(B212="",C212="",D212="",E212="",F212="",G212=""),"Definition / owner / source missing",IF(AND(J212="Confirmed",OR(I212="",H212="",H212="Unknown",H212="Low")),"Confirmed capability lacks verification","OK — verify source")))))</f>
        <v/>
      </c>
    </row>
    <row r="213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8" t="n"/>
      <c r="J213" s="27" t="n"/>
      <c r="K213" s="27">
        <f>IF(COUNTA(A213:J213)=0,"",IF(A213="","CAP-ID missing",IF(COUNTIF($A$4:$A$253,A213)&gt;1,"Duplicate CAP-ID",IF(OR(B213="",C213="",D213="",E213="",F213="",G213=""),"Definition / owner / source missing",IF(AND(J213="Confirmed",OR(I213="",H213="",H213="Unknown",H213="Low")),"Confirmed capability lacks verification","OK — verify source")))))</f>
        <v/>
      </c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6" t="n"/>
      <c r="J214" s="25" t="n"/>
      <c r="K214" s="25">
        <f>IF(COUNTA(A214:J214)=0,"",IF(A214="","CAP-ID missing",IF(COUNTIF($A$4:$A$253,A214)&gt;1,"Duplicate CAP-ID",IF(OR(B214="",C214="",D214="",E214="",F214="",G214=""),"Definition / owner / source missing",IF(AND(J214="Confirmed",OR(I214="",H214="",H214="Unknown",H214="Low")),"Confirmed capability lacks verification","OK — verify source")))))</f>
        <v/>
      </c>
    </row>
    <row r="215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8" t="n"/>
      <c r="J215" s="27" t="n"/>
      <c r="K215" s="27">
        <f>IF(COUNTA(A215:J215)=0,"",IF(A215="","CAP-ID missing",IF(COUNTIF($A$4:$A$253,A215)&gt;1,"Duplicate CAP-ID",IF(OR(B215="",C215="",D215="",E215="",F215="",G215=""),"Definition / owner / source missing",IF(AND(J215="Confirmed",OR(I215="",H215="",H215="Unknown",H215="Low")),"Confirmed capability lacks verification","OK — verify source")))))</f>
        <v/>
      </c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6" t="n"/>
      <c r="J216" s="25" t="n"/>
      <c r="K216" s="25">
        <f>IF(COUNTA(A216:J216)=0,"",IF(A216="","CAP-ID missing",IF(COUNTIF($A$4:$A$253,A216)&gt;1,"Duplicate CAP-ID",IF(OR(B216="",C216="",D216="",E216="",F216="",G216=""),"Definition / owner / source missing",IF(AND(J216="Confirmed",OR(I216="",H216="",H216="Unknown",H216="Low")),"Confirmed capability lacks verification","OK — verify source")))))</f>
        <v/>
      </c>
    </row>
    <row r="217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8" t="n"/>
      <c r="J217" s="27" t="n"/>
      <c r="K217" s="27">
        <f>IF(COUNTA(A217:J217)=0,"",IF(A217="","CAP-ID missing",IF(COUNTIF($A$4:$A$253,A217)&gt;1,"Duplicate CAP-ID",IF(OR(B217="",C217="",D217="",E217="",F217="",G217=""),"Definition / owner / source missing",IF(AND(J217="Confirmed",OR(I217="",H217="",H217="Unknown",H217="Low")),"Confirmed capability lacks verification","OK — verify source")))))</f>
        <v/>
      </c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6" t="n"/>
      <c r="J218" s="25" t="n"/>
      <c r="K218" s="25">
        <f>IF(COUNTA(A218:J218)=0,"",IF(A218="","CAP-ID missing",IF(COUNTIF($A$4:$A$253,A218)&gt;1,"Duplicate CAP-ID",IF(OR(B218="",C218="",D218="",E218="",F218="",G218=""),"Definition / owner / source missing",IF(AND(J218="Confirmed",OR(I218="",H218="",H218="Unknown",H218="Low")),"Confirmed capability lacks verification","OK — verify source")))))</f>
        <v/>
      </c>
    </row>
    <row r="219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8" t="n"/>
      <c r="J219" s="27" t="n"/>
      <c r="K219" s="27">
        <f>IF(COUNTA(A219:J219)=0,"",IF(A219="","CAP-ID missing",IF(COUNTIF($A$4:$A$253,A219)&gt;1,"Duplicate CAP-ID",IF(OR(B219="",C219="",D219="",E219="",F219="",G219=""),"Definition / owner / source missing",IF(AND(J219="Confirmed",OR(I219="",H219="",H219="Unknown",H219="Low")),"Confirmed capability lacks verification","OK — verify source")))))</f>
        <v/>
      </c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6" t="n"/>
      <c r="J220" s="25" t="n"/>
      <c r="K220" s="25">
        <f>IF(COUNTA(A220:J220)=0,"",IF(A220="","CAP-ID missing",IF(COUNTIF($A$4:$A$253,A220)&gt;1,"Duplicate CAP-ID",IF(OR(B220="",C220="",D220="",E220="",F220="",G220=""),"Definition / owner / source missing",IF(AND(J220="Confirmed",OR(I220="",H220="",H220="Unknown",H220="Low")),"Confirmed capability lacks verification","OK — verify source")))))</f>
        <v/>
      </c>
    </row>
    <row r="221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8" t="n"/>
      <c r="J221" s="27" t="n"/>
      <c r="K221" s="27">
        <f>IF(COUNTA(A221:J221)=0,"",IF(A221="","CAP-ID missing",IF(COUNTIF($A$4:$A$253,A221)&gt;1,"Duplicate CAP-ID",IF(OR(B221="",C221="",D221="",E221="",F221="",G221=""),"Definition / owner / source missing",IF(AND(J221="Confirmed",OR(I221="",H221="",H221="Unknown",H221="Low")),"Confirmed capability lacks verification","OK — verify source")))))</f>
        <v/>
      </c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6" t="n"/>
      <c r="J222" s="25" t="n"/>
      <c r="K222" s="25">
        <f>IF(COUNTA(A222:J222)=0,"",IF(A222="","CAP-ID missing",IF(COUNTIF($A$4:$A$253,A222)&gt;1,"Duplicate CAP-ID",IF(OR(B222="",C222="",D222="",E222="",F222="",G222=""),"Definition / owner / source missing",IF(AND(J222="Confirmed",OR(I222="",H222="",H222="Unknown",H222="Low")),"Confirmed capability lacks verification","OK — verify source")))))</f>
        <v/>
      </c>
    </row>
    <row r="223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8" t="n"/>
      <c r="J223" s="27" t="n"/>
      <c r="K223" s="27">
        <f>IF(COUNTA(A223:J223)=0,"",IF(A223="","CAP-ID missing",IF(COUNTIF($A$4:$A$253,A223)&gt;1,"Duplicate CAP-ID",IF(OR(B223="",C223="",D223="",E223="",F223="",G223=""),"Definition / owner / source missing",IF(AND(J223="Confirmed",OR(I223="",H223="",H223="Unknown",H223="Low")),"Confirmed capability lacks verification","OK — verify source")))))</f>
        <v/>
      </c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6" t="n"/>
      <c r="J224" s="25" t="n"/>
      <c r="K224" s="25">
        <f>IF(COUNTA(A224:J224)=0,"",IF(A224="","CAP-ID missing",IF(COUNTIF($A$4:$A$253,A224)&gt;1,"Duplicate CAP-ID",IF(OR(B224="",C224="",D224="",E224="",F224="",G224=""),"Definition / owner / source missing",IF(AND(J224="Confirmed",OR(I224="",H224="",H224="Unknown",H224="Low")),"Confirmed capability lacks verification","OK — verify source")))))</f>
        <v/>
      </c>
    </row>
    <row r="22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8" t="n"/>
      <c r="J225" s="27" t="n"/>
      <c r="K225" s="27">
        <f>IF(COUNTA(A225:J225)=0,"",IF(A225="","CAP-ID missing",IF(COUNTIF($A$4:$A$253,A225)&gt;1,"Duplicate CAP-ID",IF(OR(B225="",C225="",D225="",E225="",F225="",G225=""),"Definition / owner / source missing",IF(AND(J225="Confirmed",OR(I225="",H225="",H225="Unknown",H225="Low")),"Confirmed capability lacks verification","OK — verify source")))))</f>
        <v/>
      </c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6" t="n"/>
      <c r="J226" s="25" t="n"/>
      <c r="K226" s="25">
        <f>IF(COUNTA(A226:J226)=0,"",IF(A226="","CAP-ID missing",IF(COUNTIF($A$4:$A$253,A226)&gt;1,"Duplicate CAP-ID",IF(OR(B226="",C226="",D226="",E226="",F226="",G226=""),"Definition / owner / source missing",IF(AND(J226="Confirmed",OR(I226="",H226="",H226="Unknown",H226="Low")),"Confirmed capability lacks verification","OK — verify source")))))</f>
        <v/>
      </c>
    </row>
    <row r="227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8" t="n"/>
      <c r="J227" s="27" t="n"/>
      <c r="K227" s="27">
        <f>IF(COUNTA(A227:J227)=0,"",IF(A227="","CAP-ID missing",IF(COUNTIF($A$4:$A$253,A227)&gt;1,"Duplicate CAP-ID",IF(OR(B227="",C227="",D227="",E227="",F227="",G227=""),"Definition / owner / source missing",IF(AND(J227="Confirmed",OR(I227="",H227="",H227="Unknown",H227="Low")),"Confirmed capability lacks verification","OK — verify source")))))</f>
        <v/>
      </c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6" t="n"/>
      <c r="J228" s="25" t="n"/>
      <c r="K228" s="25">
        <f>IF(COUNTA(A228:J228)=0,"",IF(A228="","CAP-ID missing",IF(COUNTIF($A$4:$A$253,A228)&gt;1,"Duplicate CAP-ID",IF(OR(B228="",C228="",D228="",E228="",F228="",G228=""),"Definition / owner / source missing",IF(AND(J228="Confirmed",OR(I228="",H228="",H228="Unknown",H228="Low")),"Confirmed capability lacks verification","OK — verify source")))))</f>
        <v/>
      </c>
    </row>
    <row r="229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8" t="n"/>
      <c r="J229" s="27" t="n"/>
      <c r="K229" s="27">
        <f>IF(COUNTA(A229:J229)=0,"",IF(A229="","CAP-ID missing",IF(COUNTIF($A$4:$A$253,A229)&gt;1,"Duplicate CAP-ID",IF(OR(B229="",C229="",D229="",E229="",F229="",G229=""),"Definition / owner / source missing",IF(AND(J229="Confirmed",OR(I229="",H229="",H229="Unknown",H229="Low")),"Confirmed capability lacks verification","OK — verify source")))))</f>
        <v/>
      </c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6" t="n"/>
      <c r="J230" s="25" t="n"/>
      <c r="K230" s="25">
        <f>IF(COUNTA(A230:J230)=0,"",IF(A230="","CAP-ID missing",IF(COUNTIF($A$4:$A$253,A230)&gt;1,"Duplicate CAP-ID",IF(OR(B230="",C230="",D230="",E230="",F230="",G230=""),"Definition / owner / source missing",IF(AND(J230="Confirmed",OR(I230="",H230="",H230="Unknown",H230="Low")),"Confirmed capability lacks verification","OK — verify source")))))</f>
        <v/>
      </c>
    </row>
    <row r="231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8" t="n"/>
      <c r="J231" s="27" t="n"/>
      <c r="K231" s="27">
        <f>IF(COUNTA(A231:J231)=0,"",IF(A231="","CAP-ID missing",IF(COUNTIF($A$4:$A$253,A231)&gt;1,"Duplicate CAP-ID",IF(OR(B231="",C231="",D231="",E231="",F231="",G231=""),"Definition / owner / source missing",IF(AND(J231="Confirmed",OR(I231="",H231="",H231="Unknown",H231="Low")),"Confirmed capability lacks verification","OK — verify source")))))</f>
        <v/>
      </c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6" t="n"/>
      <c r="J232" s="25" t="n"/>
      <c r="K232" s="25">
        <f>IF(COUNTA(A232:J232)=0,"",IF(A232="","CAP-ID missing",IF(COUNTIF($A$4:$A$253,A232)&gt;1,"Duplicate CAP-ID",IF(OR(B232="",C232="",D232="",E232="",F232="",G232=""),"Definition / owner / source missing",IF(AND(J232="Confirmed",OR(I232="",H232="",H232="Unknown",H232="Low")),"Confirmed capability lacks verification","OK — verify source")))))</f>
        <v/>
      </c>
    </row>
    <row r="233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8" t="n"/>
      <c r="J233" s="27" t="n"/>
      <c r="K233" s="27">
        <f>IF(COUNTA(A233:J233)=0,"",IF(A233="","CAP-ID missing",IF(COUNTIF($A$4:$A$253,A233)&gt;1,"Duplicate CAP-ID",IF(OR(B233="",C233="",D233="",E233="",F233="",G233=""),"Definition / owner / source missing",IF(AND(J233="Confirmed",OR(I233="",H233="",H233="Unknown",H233="Low")),"Confirmed capability lacks verification","OK — verify source")))))</f>
        <v/>
      </c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6" t="n"/>
      <c r="J234" s="25" t="n"/>
      <c r="K234" s="25">
        <f>IF(COUNTA(A234:J234)=0,"",IF(A234="","CAP-ID missing",IF(COUNTIF($A$4:$A$253,A234)&gt;1,"Duplicate CAP-ID",IF(OR(B234="",C234="",D234="",E234="",F234="",G234=""),"Definition / owner / source missing",IF(AND(J234="Confirmed",OR(I234="",H234="",H234="Unknown",H234="Low")),"Confirmed capability lacks verification","OK — verify source")))))</f>
        <v/>
      </c>
    </row>
    <row r="235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8" t="n"/>
      <c r="J235" s="27" t="n"/>
      <c r="K235" s="27">
        <f>IF(COUNTA(A235:J235)=0,"",IF(A235="","CAP-ID missing",IF(COUNTIF($A$4:$A$253,A235)&gt;1,"Duplicate CAP-ID",IF(OR(B235="",C235="",D235="",E235="",F235="",G235=""),"Definition / owner / source missing",IF(AND(J235="Confirmed",OR(I235="",H235="",H235="Unknown",H235="Low")),"Confirmed capability lacks verification","OK — verify source")))))</f>
        <v/>
      </c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6" t="n"/>
      <c r="J236" s="25" t="n"/>
      <c r="K236" s="25">
        <f>IF(COUNTA(A236:J236)=0,"",IF(A236="","CAP-ID missing",IF(COUNTIF($A$4:$A$253,A236)&gt;1,"Duplicate CAP-ID",IF(OR(B236="",C236="",D236="",E236="",F236="",G236=""),"Definition / owner / source missing",IF(AND(J236="Confirmed",OR(I236="",H236="",H236="Unknown",H236="Low")),"Confirmed capability lacks verification","OK — verify source")))))</f>
        <v/>
      </c>
    </row>
    <row r="237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8" t="n"/>
      <c r="J237" s="27" t="n"/>
      <c r="K237" s="27">
        <f>IF(COUNTA(A237:J237)=0,"",IF(A237="","CAP-ID missing",IF(COUNTIF($A$4:$A$253,A237)&gt;1,"Duplicate CAP-ID",IF(OR(B237="",C237="",D237="",E237="",F237="",G237=""),"Definition / owner / source missing",IF(AND(J237="Confirmed",OR(I237="",H237="",H237="Unknown",H237="Low")),"Confirmed capability lacks verification","OK — verify source")))))</f>
        <v/>
      </c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6" t="n"/>
      <c r="J238" s="25" t="n"/>
      <c r="K238" s="25">
        <f>IF(COUNTA(A238:J238)=0,"",IF(A238="","CAP-ID missing",IF(COUNTIF($A$4:$A$253,A238)&gt;1,"Duplicate CAP-ID",IF(OR(B238="",C238="",D238="",E238="",F238="",G238=""),"Definition / owner / source missing",IF(AND(J238="Confirmed",OR(I238="",H238="",H238="Unknown",H238="Low")),"Confirmed capability lacks verification","OK — verify source")))))</f>
        <v/>
      </c>
    </row>
    <row r="239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8" t="n"/>
      <c r="J239" s="27" t="n"/>
      <c r="K239" s="27">
        <f>IF(COUNTA(A239:J239)=0,"",IF(A239="","CAP-ID missing",IF(COUNTIF($A$4:$A$253,A239)&gt;1,"Duplicate CAP-ID",IF(OR(B239="",C239="",D239="",E239="",F239="",G239=""),"Definition / owner / source missing",IF(AND(J239="Confirmed",OR(I239="",H239="",H239="Unknown",H239="Low")),"Confirmed capability lacks verification","OK — verify source")))))</f>
        <v/>
      </c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6" t="n"/>
      <c r="J240" s="25" t="n"/>
      <c r="K240" s="25">
        <f>IF(COUNTA(A240:J240)=0,"",IF(A240="","CAP-ID missing",IF(COUNTIF($A$4:$A$253,A240)&gt;1,"Duplicate CAP-ID",IF(OR(B240="",C240="",D240="",E240="",F240="",G240=""),"Definition / owner / source missing",IF(AND(J240="Confirmed",OR(I240="",H240="",H240="Unknown",H240="Low")),"Confirmed capability lacks verification","OK — verify source")))))</f>
        <v/>
      </c>
    </row>
    <row r="241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8" t="n"/>
      <c r="J241" s="27" t="n"/>
      <c r="K241" s="27">
        <f>IF(COUNTA(A241:J241)=0,"",IF(A241="","CAP-ID missing",IF(COUNTIF($A$4:$A$253,A241)&gt;1,"Duplicate CAP-ID",IF(OR(B241="",C241="",D241="",E241="",F241="",G241=""),"Definition / owner / source missing",IF(AND(J241="Confirmed",OR(I241="",H241="",H241="Unknown",H241="Low")),"Confirmed capability lacks verification","OK — verify source")))))</f>
        <v/>
      </c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6" t="n"/>
      <c r="J242" s="25" t="n"/>
      <c r="K242" s="25">
        <f>IF(COUNTA(A242:J242)=0,"",IF(A242="","CAP-ID missing",IF(COUNTIF($A$4:$A$253,A242)&gt;1,"Duplicate CAP-ID",IF(OR(B242="",C242="",D242="",E242="",F242="",G242=""),"Definition / owner / source missing",IF(AND(J242="Confirmed",OR(I242="",H242="",H242="Unknown",H242="Low")),"Confirmed capability lacks verification","OK — verify source")))))</f>
        <v/>
      </c>
    </row>
    <row r="243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8" t="n"/>
      <c r="J243" s="27" t="n"/>
      <c r="K243" s="27">
        <f>IF(COUNTA(A243:J243)=0,"",IF(A243="","CAP-ID missing",IF(COUNTIF($A$4:$A$253,A243)&gt;1,"Duplicate CAP-ID",IF(OR(B243="",C243="",D243="",E243="",F243="",G243=""),"Definition / owner / source missing",IF(AND(J243="Confirmed",OR(I243="",H243="",H243="Unknown",H243="Low")),"Confirmed capability lacks verification","OK — verify source")))))</f>
        <v/>
      </c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6" t="n"/>
      <c r="J244" s="25" t="n"/>
      <c r="K244" s="25">
        <f>IF(COUNTA(A244:J244)=0,"",IF(A244="","CAP-ID missing",IF(COUNTIF($A$4:$A$253,A244)&gt;1,"Duplicate CAP-ID",IF(OR(B244="",C244="",D244="",E244="",F244="",G244=""),"Definition / owner / source missing",IF(AND(J244="Confirmed",OR(I244="",H244="",H244="Unknown",H244="Low")),"Confirmed capability lacks verification","OK — verify source")))))</f>
        <v/>
      </c>
    </row>
    <row r="245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8" t="n"/>
      <c r="J245" s="27" t="n"/>
      <c r="K245" s="27">
        <f>IF(COUNTA(A245:J245)=0,"",IF(A245="","CAP-ID missing",IF(COUNTIF($A$4:$A$253,A245)&gt;1,"Duplicate CAP-ID",IF(OR(B245="",C245="",D245="",E245="",F245="",G245=""),"Definition / owner / source missing",IF(AND(J245="Confirmed",OR(I245="",H245="",H245="Unknown",H245="Low")),"Confirmed capability lacks verification","OK — verify source")))))</f>
        <v/>
      </c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6" t="n"/>
      <c r="J246" s="25" t="n"/>
      <c r="K246" s="25">
        <f>IF(COUNTA(A246:J246)=0,"",IF(A246="","CAP-ID missing",IF(COUNTIF($A$4:$A$253,A246)&gt;1,"Duplicate CAP-ID",IF(OR(B246="",C246="",D246="",E246="",F246="",G246=""),"Definition / owner / source missing",IF(AND(J246="Confirmed",OR(I246="",H246="",H246="Unknown",H246="Low")),"Confirmed capability lacks verification","OK — verify source")))))</f>
        <v/>
      </c>
    </row>
    <row r="247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8" t="n"/>
      <c r="J247" s="27" t="n"/>
      <c r="K247" s="27">
        <f>IF(COUNTA(A247:J247)=0,"",IF(A247="","CAP-ID missing",IF(COUNTIF($A$4:$A$253,A247)&gt;1,"Duplicate CAP-ID",IF(OR(B247="",C247="",D247="",E247="",F247="",G247=""),"Definition / owner / source missing",IF(AND(J247="Confirmed",OR(I247="",H247="",H247="Unknown",H247="Low")),"Confirmed capability lacks verification","OK — verify source")))))</f>
        <v/>
      </c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6" t="n"/>
      <c r="J248" s="25" t="n"/>
      <c r="K248" s="25">
        <f>IF(COUNTA(A248:J248)=0,"",IF(A248="","CAP-ID missing",IF(COUNTIF($A$4:$A$253,A248)&gt;1,"Duplicate CAP-ID",IF(OR(B248="",C248="",D248="",E248="",F248="",G248=""),"Definition / owner / source missing",IF(AND(J248="Confirmed",OR(I248="",H248="",H248="Unknown",H248="Low")),"Confirmed capability lacks verification","OK — verify source")))))</f>
        <v/>
      </c>
    </row>
    <row r="249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8" t="n"/>
      <c r="J249" s="27" t="n"/>
      <c r="K249" s="27">
        <f>IF(COUNTA(A249:J249)=0,"",IF(A249="","CAP-ID missing",IF(COUNTIF($A$4:$A$253,A249)&gt;1,"Duplicate CAP-ID",IF(OR(B249="",C249="",D249="",E249="",F249="",G249=""),"Definition / owner / source missing",IF(AND(J249="Confirmed",OR(I249="",H249="",H249="Unknown",H249="Low")),"Confirmed capability lacks verification","OK — verify source")))))</f>
        <v/>
      </c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6" t="n"/>
      <c r="J250" s="25" t="n"/>
      <c r="K250" s="25">
        <f>IF(COUNTA(A250:J250)=0,"",IF(A250="","CAP-ID missing",IF(COUNTIF($A$4:$A$253,A250)&gt;1,"Duplicate CAP-ID",IF(OR(B250="",C250="",D250="",E250="",F250="",G250=""),"Definition / owner / source missing",IF(AND(J250="Confirmed",OR(I250="",H250="",H250="Unknown",H250="Low")),"Confirmed capability lacks verification","OK — verify source")))))</f>
        <v/>
      </c>
    </row>
    <row r="25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8" t="n"/>
      <c r="J251" s="27" t="n"/>
      <c r="K251" s="27">
        <f>IF(COUNTA(A251:J251)=0,"",IF(A251="","CAP-ID missing",IF(COUNTIF($A$4:$A$253,A251)&gt;1,"Duplicate CAP-ID",IF(OR(B251="",C251="",D251="",E251="",F251="",G251=""),"Definition / owner / source missing",IF(AND(J251="Confirmed",OR(I251="",H251="",H251="Unknown",H251="Low")),"Confirmed capability lacks verification","OK — verify source")))))</f>
        <v/>
      </c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6" t="n"/>
      <c r="J252" s="25" t="n"/>
      <c r="K252" s="25">
        <f>IF(COUNTA(A252:J252)=0,"",IF(A252="","CAP-ID missing",IF(COUNTIF($A$4:$A$253,A252)&gt;1,"Duplicate CAP-ID",IF(OR(B252="",C252="",D252="",E252="",F252="",G252=""),"Definition / owner / source missing",IF(AND(J252="Confirmed",OR(I252="",H252="",H252="Unknown",H252="Low")),"Confirmed capability lacks verification","OK — verify source")))))</f>
        <v/>
      </c>
    </row>
    <row r="253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8" t="n"/>
      <c r="J253" s="27" t="n"/>
      <c r="K253" s="27">
        <f>IF(COUNTA(A253:J253)=0,"",IF(A253="","CAP-ID missing",IF(COUNTIF($A$4:$A$253,A253)&gt;1,"Duplicate CAP-ID",IF(OR(B253="",C253="",D253="",E253="",F253="",G253=""),"Definition / owner / source missing",IF(AND(J253="Confirmed",OR(I253="",H253="",H253="Unknown",H253="Low")),"Confirmed capability lacks verification","OK — verify source")))))</f>
        <v/>
      </c>
    </row>
  </sheetData>
  <mergeCells count="2">
    <mergeCell ref="A2:K2"/>
    <mergeCell ref="A1:K1"/>
  </mergeCells>
  <dataValidations count="2">
    <dataValidation sqref="H4:H253" showDropDown="0" showInputMessage="0" showErrorMessage="1" allowBlank="1" errorTitle="Controlled value" error="Select a listed value." type="list">
      <formula1>"High,Medium,Low,Unknown"</formula1>
    </dataValidation>
    <dataValidation sqref="J4:J253" showDropDown="0" showInputMessage="0" showErrorMessage="1" allowBlank="1" errorTitle="Controlled value" error="Select a listed value." type="list">
      <formula1>"Proposed,Confirmed,Superseded"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min="1" max="1"/>
    <col width="18" customWidth="1" min="2" max="2"/>
    <col width="36" customWidth="1" min="3" max="3"/>
    <col width="23" customWidth="1" min="4" max="4"/>
    <col width="30" customWidth="1" min="5" max="5"/>
    <col width="42" customWidth="1" min="6" max="6"/>
    <col width="22" customWidth="1" min="7" max="7"/>
    <col width="25" customWidth="1" min="8" max="8"/>
    <col width="17" customWidth="1" min="9" max="9"/>
    <col width="18" customWidth="1" min="10" max="10"/>
    <col width="20" customWidth="1" min="11" max="11"/>
    <col width="34" customWidth="1" min="12" max="12"/>
  </cols>
  <sheetData>
    <row r="1" ht="34" customHeight="1">
      <c r="A1" s="22" t="inlineStr">
        <is>
          <t>COMPONENT REFERENCES / NOT CONTROL COPIES</t>
        </is>
      </c>
    </row>
    <row r="2" ht="44" customHeight="1">
      <c r="A2" s="23" t="inlineStr">
        <is>
          <t>One version-specific pointer per model, data asset, interface, agent or tool. AIG-ASS-09/AIG-AGT-04/AIG-AGT-05, catalogue and specialist sources remain authoritative; no permission is granted here.</t>
        </is>
      </c>
    </row>
    <row r="3" ht="36" customHeight="1">
      <c r="A3" s="24" t="inlineStr">
        <is>
          <t>Reference ID</t>
        </is>
      </c>
      <c r="B3" s="24" t="inlineStr">
        <is>
          <t>Type</t>
        </is>
      </c>
      <c r="C3" s="24" t="inlineStr">
        <is>
          <t>Name / short label</t>
        </is>
      </c>
      <c r="D3" s="24" t="inlineStr">
        <is>
          <t>Version / config</t>
        </is>
      </c>
      <c r="E3" s="24" t="inlineStr">
        <is>
          <t>Canonical source artefact</t>
        </is>
      </c>
      <c r="F3" s="24" t="inlineStr">
        <is>
          <t>Exact source row / URI</t>
        </is>
      </c>
      <c r="G3" s="24" t="inlineStr">
        <is>
          <t>Owning AIR-ID (if any)</t>
        </is>
      </c>
      <c r="H3" s="24" t="inlineStr">
        <is>
          <t>Source owner</t>
        </is>
      </c>
      <c r="I3" s="24" t="inlineStr">
        <is>
          <t>Confidence</t>
        </is>
      </c>
      <c r="J3" s="24" t="inlineStr">
        <is>
          <t>Verified on</t>
        </is>
      </c>
      <c r="K3" s="24" t="inlineStr">
        <is>
          <t>State</t>
        </is>
      </c>
      <c r="L3" s="24" t="inlineStr">
        <is>
          <t>Row check</t>
        </is>
      </c>
    </row>
    <row r="4">
      <c r="A4" s="25" t="n"/>
      <c r="B4" s="25" t="n"/>
      <c r="C4" s="25" t="n"/>
      <c r="D4" s="25" t="n"/>
      <c r="E4" s="25" t="n"/>
      <c r="F4" s="25" t="n"/>
      <c r="G4" s="25" t="n"/>
      <c r="H4" s="25" t="n"/>
      <c r="I4" s="25" t="n"/>
      <c r="J4" s="26" t="n"/>
      <c r="K4" s="25" t="n"/>
      <c r="L4" s="25">
        <f>IF(COUNTA(A4:K4)=0,"",IF(A4="","Reference ID missing",IF(COUNTIF($A$4:$A$253,A4)&gt;1,"Duplicate reference ID",IF(OR(B4="",C4="",E4="",F4="",H4=""),"Type / source / owner missing",IF(AND(G4&lt;&gt;"",COUNTIF('System map'!$A$4:$A$203,G4)&lt;&gt;1),"Owning AIR-ID not reconciled",IF(AND(K4="Confirmed",OR(J4="",I4="",I4="Unknown",I4="Low")),"Confirmed reference lacks verification","OK — verify source"))))))</f>
        <v/>
      </c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8" t="n"/>
      <c r="K5" s="27" t="n"/>
      <c r="L5" s="27">
        <f>IF(COUNTA(A5:K5)=0,"",IF(A5="","Reference ID missing",IF(COUNTIF($A$4:$A$253,A5)&gt;1,"Duplicate reference ID",IF(OR(B5="",C5="",E5="",F5="",H5=""),"Type / source / owner missing",IF(AND(G5&lt;&gt;"",COUNTIF('System map'!$A$4:$A$203,G5)&lt;&gt;1),"Owning AIR-ID not reconciled",IF(AND(K5="Confirmed",OR(J5="",I5="",I5="Unknown",I5="Low")),"Confirmed reference lacks verification","OK — verify source"))))))</f>
        <v/>
      </c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6" t="n"/>
      <c r="K6" s="25" t="n"/>
      <c r="L6" s="25">
        <f>IF(COUNTA(A6:K6)=0,"",IF(A6="","Reference ID missing",IF(COUNTIF($A$4:$A$253,A6)&gt;1,"Duplicate reference ID",IF(OR(B6="",C6="",E6="",F6="",H6=""),"Type / source / owner missing",IF(AND(G6&lt;&gt;"",COUNTIF('System map'!$A$4:$A$203,G6)&lt;&gt;1),"Owning AIR-ID not reconciled",IF(AND(K6="Confirmed",OR(J6="",I6="",I6="Unknown",I6="Low")),"Confirmed reference lacks verification","OK — verify source"))))))</f>
        <v/>
      </c>
    </row>
    <row r="7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8" t="n"/>
      <c r="K7" s="27" t="n"/>
      <c r="L7" s="27">
        <f>IF(COUNTA(A7:K7)=0,"",IF(A7="","Reference ID missing",IF(COUNTIF($A$4:$A$253,A7)&gt;1,"Duplicate reference ID",IF(OR(B7="",C7="",E7="",F7="",H7=""),"Type / source / owner missing",IF(AND(G7&lt;&gt;"",COUNTIF('System map'!$A$4:$A$203,G7)&lt;&gt;1),"Owning AIR-ID not reconciled",IF(AND(K7="Confirmed",OR(J7="",I7="",I7="Unknown",I7="Low")),"Confirmed reference lacks verification","OK — verify source"))))))</f>
        <v/>
      </c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6" t="n"/>
      <c r="K8" s="25" t="n"/>
      <c r="L8" s="25">
        <f>IF(COUNTA(A8:K8)=0,"",IF(A8="","Reference ID missing",IF(COUNTIF($A$4:$A$253,A8)&gt;1,"Duplicate reference ID",IF(OR(B8="",C8="",E8="",F8="",H8=""),"Type / source / owner missing",IF(AND(G8&lt;&gt;"",COUNTIF('System map'!$A$4:$A$203,G8)&lt;&gt;1),"Owning AIR-ID not reconciled",IF(AND(K8="Confirmed",OR(J8="",I8="",I8="Unknown",I8="Low")),"Confirmed reference lacks verification","OK — verify source"))))))</f>
        <v/>
      </c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8" t="n"/>
      <c r="K9" s="27" t="n"/>
      <c r="L9" s="27">
        <f>IF(COUNTA(A9:K9)=0,"",IF(A9="","Reference ID missing",IF(COUNTIF($A$4:$A$253,A9)&gt;1,"Duplicate reference ID",IF(OR(B9="",C9="",E9="",F9="",H9=""),"Type / source / owner missing",IF(AND(G9&lt;&gt;"",COUNTIF('System map'!$A$4:$A$203,G9)&lt;&gt;1),"Owning AIR-ID not reconciled",IF(AND(K9="Confirmed",OR(J9="",I9="",I9="Unknown",I9="Low")),"Confirmed reference lacks verification","OK — verify source"))))))</f>
        <v/>
      </c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6" t="n"/>
      <c r="K10" s="25" t="n"/>
      <c r="L10" s="25">
        <f>IF(COUNTA(A10:K10)=0,"",IF(A10="","Reference ID missing",IF(COUNTIF($A$4:$A$253,A10)&gt;1,"Duplicate reference ID",IF(OR(B10="",C10="",E10="",F10="",H10=""),"Type / source / owner missing",IF(AND(G10&lt;&gt;"",COUNTIF('System map'!$A$4:$A$203,G10)&lt;&gt;1),"Owning AIR-ID not reconciled",IF(AND(K10="Confirmed",OR(J10="",I10="",I10="Unknown",I10="Low")),"Confirmed reference lacks verification","OK — verify source"))))))</f>
        <v/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8" t="n"/>
      <c r="K11" s="27" t="n"/>
      <c r="L11" s="27">
        <f>IF(COUNTA(A11:K11)=0,"",IF(A11="","Reference ID missing",IF(COUNTIF($A$4:$A$253,A11)&gt;1,"Duplicate reference ID",IF(OR(B11="",C11="",E11="",F11="",H11=""),"Type / source / owner missing",IF(AND(G11&lt;&gt;"",COUNTIF('System map'!$A$4:$A$203,G11)&lt;&gt;1),"Owning AIR-ID not reconciled",IF(AND(K11="Confirmed",OR(J11="",I11="",I11="Unknown",I11="Low")),"Confirmed reference lacks verification","OK — verify source"))))))</f>
        <v/>
      </c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6" t="n"/>
      <c r="K12" s="25" t="n"/>
      <c r="L12" s="25">
        <f>IF(COUNTA(A12:K12)=0,"",IF(A12="","Reference ID missing",IF(COUNTIF($A$4:$A$253,A12)&gt;1,"Duplicate reference ID",IF(OR(B12="",C12="",E12="",F12="",H12=""),"Type / source / owner missing",IF(AND(G12&lt;&gt;"",COUNTIF('System map'!$A$4:$A$203,G12)&lt;&gt;1),"Owning AIR-ID not reconciled",IF(AND(K12="Confirmed",OR(J12="",I12="",I12="Unknown",I12="Low")),"Confirmed reference lacks verification","OK — verify source"))))))</f>
        <v/>
      </c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8" t="n"/>
      <c r="K13" s="27" t="n"/>
      <c r="L13" s="27">
        <f>IF(COUNTA(A13:K13)=0,"",IF(A13="","Reference ID missing",IF(COUNTIF($A$4:$A$253,A13)&gt;1,"Duplicate reference ID",IF(OR(B13="",C13="",E13="",F13="",H13=""),"Type / source / owner missing",IF(AND(G13&lt;&gt;"",COUNTIF('System map'!$A$4:$A$203,G13)&lt;&gt;1),"Owning AIR-ID not reconciled",IF(AND(K13="Confirmed",OR(J13="",I13="",I13="Unknown",I13="Low")),"Confirmed reference lacks verification","OK — verify source"))))))</f>
        <v/>
      </c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6" t="n"/>
      <c r="K14" s="25" t="n"/>
      <c r="L14" s="25">
        <f>IF(COUNTA(A14:K14)=0,"",IF(A14="","Reference ID missing",IF(COUNTIF($A$4:$A$253,A14)&gt;1,"Duplicate reference ID",IF(OR(B14="",C14="",E14="",F14="",H14=""),"Type / source / owner missing",IF(AND(G14&lt;&gt;"",COUNTIF('System map'!$A$4:$A$203,G14)&lt;&gt;1),"Owning AIR-ID not reconciled",IF(AND(K14="Confirmed",OR(J14="",I14="",I14="Unknown",I14="Low")),"Confirmed reference lacks verification","OK — verify source"))))))</f>
        <v/>
      </c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8" t="n"/>
      <c r="K15" s="27" t="n"/>
      <c r="L15" s="27">
        <f>IF(COUNTA(A15:K15)=0,"",IF(A15="","Reference ID missing",IF(COUNTIF($A$4:$A$253,A15)&gt;1,"Duplicate reference ID",IF(OR(B15="",C15="",E15="",F15="",H15=""),"Type / source / owner missing",IF(AND(G15&lt;&gt;"",COUNTIF('System map'!$A$4:$A$203,G15)&lt;&gt;1),"Owning AIR-ID not reconciled",IF(AND(K15="Confirmed",OR(J15="",I15="",I15="Unknown",I15="Low")),"Confirmed reference lacks verification","OK — verify source"))))))</f>
        <v/>
      </c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6" t="n"/>
      <c r="K16" s="25" t="n"/>
      <c r="L16" s="25">
        <f>IF(COUNTA(A16:K16)=0,"",IF(A16="","Reference ID missing",IF(COUNTIF($A$4:$A$253,A16)&gt;1,"Duplicate reference ID",IF(OR(B16="",C16="",E16="",F16="",H16=""),"Type / source / owner missing",IF(AND(G16&lt;&gt;"",COUNTIF('System map'!$A$4:$A$203,G16)&lt;&gt;1),"Owning AIR-ID not reconciled",IF(AND(K16="Confirmed",OR(J16="",I16="",I16="Unknown",I16="Low")),"Confirmed reference lacks verification","OK — verify source"))))))</f>
        <v/>
      </c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8" t="n"/>
      <c r="K17" s="27" t="n"/>
      <c r="L17" s="27">
        <f>IF(COUNTA(A17:K17)=0,"",IF(A17="","Reference ID missing",IF(COUNTIF($A$4:$A$253,A17)&gt;1,"Duplicate reference ID",IF(OR(B17="",C17="",E17="",F17="",H17=""),"Type / source / owner missing",IF(AND(G17&lt;&gt;"",COUNTIF('System map'!$A$4:$A$203,G17)&lt;&gt;1),"Owning AIR-ID not reconciled",IF(AND(K17="Confirmed",OR(J17="",I17="",I17="Unknown",I17="Low")),"Confirmed reference lacks verification","OK — verify source"))))))</f>
        <v/>
      </c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6" t="n"/>
      <c r="K18" s="25" t="n"/>
      <c r="L18" s="25">
        <f>IF(COUNTA(A18:K18)=0,"",IF(A18="","Reference ID missing",IF(COUNTIF($A$4:$A$253,A18)&gt;1,"Duplicate reference ID",IF(OR(B18="",C18="",E18="",F18="",H18=""),"Type / source / owner missing",IF(AND(G18&lt;&gt;"",COUNTIF('System map'!$A$4:$A$203,G18)&lt;&gt;1),"Owning AIR-ID not reconciled",IF(AND(K18="Confirmed",OR(J18="",I18="",I18="Unknown",I18="Low")),"Confirmed reference lacks verification","OK — verify source"))))))</f>
        <v/>
      </c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8" t="n"/>
      <c r="K19" s="27" t="n"/>
      <c r="L19" s="27">
        <f>IF(COUNTA(A19:K19)=0,"",IF(A19="","Reference ID missing",IF(COUNTIF($A$4:$A$253,A19)&gt;1,"Duplicate reference ID",IF(OR(B19="",C19="",E19="",F19="",H19=""),"Type / source / owner missing",IF(AND(G19&lt;&gt;"",COUNTIF('System map'!$A$4:$A$203,G19)&lt;&gt;1),"Owning AIR-ID not reconciled",IF(AND(K19="Confirmed",OR(J19="",I19="",I19="Unknown",I19="Low")),"Confirmed reference lacks verification","OK — verify source"))))))</f>
        <v/>
      </c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6" t="n"/>
      <c r="K20" s="25" t="n"/>
      <c r="L20" s="25">
        <f>IF(COUNTA(A20:K20)=0,"",IF(A20="","Reference ID missing",IF(COUNTIF($A$4:$A$253,A20)&gt;1,"Duplicate reference ID",IF(OR(B20="",C20="",E20="",F20="",H20=""),"Type / source / owner missing",IF(AND(G20&lt;&gt;"",COUNTIF('System map'!$A$4:$A$203,G20)&lt;&gt;1),"Owning AIR-ID not reconciled",IF(AND(K20="Confirmed",OR(J20="",I20="",I20="Unknown",I20="Low")),"Confirmed reference lacks verification","OK — verify source"))))))</f>
        <v/>
      </c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8" t="n"/>
      <c r="K21" s="27" t="n"/>
      <c r="L21" s="27">
        <f>IF(COUNTA(A21:K21)=0,"",IF(A21="","Reference ID missing",IF(COUNTIF($A$4:$A$253,A21)&gt;1,"Duplicate reference ID",IF(OR(B21="",C21="",E21="",F21="",H21=""),"Type / source / owner missing",IF(AND(G21&lt;&gt;"",COUNTIF('System map'!$A$4:$A$203,G21)&lt;&gt;1),"Owning AIR-ID not reconciled",IF(AND(K21="Confirmed",OR(J21="",I21="",I21="Unknown",I21="Low")),"Confirmed reference lacks verification","OK — verify source"))))))</f>
        <v/>
      </c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6" t="n"/>
      <c r="K22" s="25" t="n"/>
      <c r="L22" s="25">
        <f>IF(COUNTA(A22:K22)=0,"",IF(A22="","Reference ID missing",IF(COUNTIF($A$4:$A$253,A22)&gt;1,"Duplicate reference ID",IF(OR(B22="",C22="",E22="",F22="",H22=""),"Type / source / owner missing",IF(AND(G22&lt;&gt;"",COUNTIF('System map'!$A$4:$A$203,G22)&lt;&gt;1),"Owning AIR-ID not reconciled",IF(AND(K22="Confirmed",OR(J22="",I22="",I22="Unknown",I22="Low")),"Confirmed reference lacks verification","OK — verify source"))))))</f>
        <v/>
      </c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8" t="n"/>
      <c r="K23" s="27" t="n"/>
      <c r="L23" s="27">
        <f>IF(COUNTA(A23:K23)=0,"",IF(A23="","Reference ID missing",IF(COUNTIF($A$4:$A$253,A23)&gt;1,"Duplicate reference ID",IF(OR(B23="",C23="",E23="",F23="",H23=""),"Type / source / owner missing",IF(AND(G23&lt;&gt;"",COUNTIF('System map'!$A$4:$A$203,G23)&lt;&gt;1),"Owning AIR-ID not reconciled",IF(AND(K23="Confirmed",OR(J23="",I23="",I23="Unknown",I23="Low")),"Confirmed reference lacks verification","OK — verify source"))))))</f>
        <v/>
      </c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6" t="n"/>
      <c r="K24" s="25" t="n"/>
      <c r="L24" s="25">
        <f>IF(COUNTA(A24:K24)=0,"",IF(A24="","Reference ID missing",IF(COUNTIF($A$4:$A$253,A24)&gt;1,"Duplicate reference ID",IF(OR(B24="",C24="",E24="",F24="",H24=""),"Type / source / owner missing",IF(AND(G24&lt;&gt;"",COUNTIF('System map'!$A$4:$A$203,G24)&lt;&gt;1),"Owning AIR-ID not reconciled",IF(AND(K24="Confirmed",OR(J24="",I24="",I24="Unknown",I24="Low")),"Confirmed reference lacks verification","OK — verify source"))))))</f>
        <v/>
      </c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8" t="n"/>
      <c r="K25" s="27" t="n"/>
      <c r="L25" s="27">
        <f>IF(COUNTA(A25:K25)=0,"",IF(A25="","Reference ID missing",IF(COUNTIF($A$4:$A$253,A25)&gt;1,"Duplicate reference ID",IF(OR(B25="",C25="",E25="",F25="",H25=""),"Type / source / owner missing",IF(AND(G25&lt;&gt;"",COUNTIF('System map'!$A$4:$A$203,G25)&lt;&gt;1),"Owning AIR-ID not reconciled",IF(AND(K25="Confirmed",OR(J25="",I25="",I25="Unknown",I25="Low")),"Confirmed reference lacks verification","OK — verify source"))))))</f>
        <v/>
      </c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6" t="n"/>
      <c r="K26" s="25" t="n"/>
      <c r="L26" s="25">
        <f>IF(COUNTA(A26:K26)=0,"",IF(A26="","Reference ID missing",IF(COUNTIF($A$4:$A$253,A26)&gt;1,"Duplicate reference ID",IF(OR(B26="",C26="",E26="",F26="",H26=""),"Type / source / owner missing",IF(AND(G26&lt;&gt;"",COUNTIF('System map'!$A$4:$A$203,G26)&lt;&gt;1),"Owning AIR-ID not reconciled",IF(AND(K26="Confirmed",OR(J26="",I26="",I26="Unknown",I26="Low")),"Confirmed reference lacks verification","OK — verify source"))))))</f>
        <v/>
      </c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8" t="n"/>
      <c r="K27" s="27" t="n"/>
      <c r="L27" s="27">
        <f>IF(COUNTA(A27:K27)=0,"",IF(A27="","Reference ID missing",IF(COUNTIF($A$4:$A$253,A27)&gt;1,"Duplicate reference ID",IF(OR(B27="",C27="",E27="",F27="",H27=""),"Type / source / owner missing",IF(AND(G27&lt;&gt;"",COUNTIF('System map'!$A$4:$A$203,G27)&lt;&gt;1),"Owning AIR-ID not reconciled",IF(AND(K27="Confirmed",OR(J27="",I27="",I27="Unknown",I27="Low")),"Confirmed reference lacks verification","OK — verify source"))))))</f>
        <v/>
      </c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6" t="n"/>
      <c r="K28" s="25" t="n"/>
      <c r="L28" s="25">
        <f>IF(COUNTA(A28:K28)=0,"",IF(A28="","Reference ID missing",IF(COUNTIF($A$4:$A$253,A28)&gt;1,"Duplicate reference ID",IF(OR(B28="",C28="",E28="",F28="",H28=""),"Type / source / owner missing",IF(AND(G28&lt;&gt;"",COUNTIF('System map'!$A$4:$A$203,G28)&lt;&gt;1),"Owning AIR-ID not reconciled",IF(AND(K28="Confirmed",OR(J28="",I28="",I28="Unknown",I28="Low")),"Confirmed reference lacks verification","OK — verify source"))))))</f>
        <v/>
      </c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8" t="n"/>
      <c r="K29" s="27" t="n"/>
      <c r="L29" s="27">
        <f>IF(COUNTA(A29:K29)=0,"",IF(A29="","Reference ID missing",IF(COUNTIF($A$4:$A$253,A29)&gt;1,"Duplicate reference ID",IF(OR(B29="",C29="",E29="",F29="",H29=""),"Type / source / owner missing",IF(AND(G29&lt;&gt;"",COUNTIF('System map'!$A$4:$A$203,G29)&lt;&gt;1),"Owning AIR-ID not reconciled",IF(AND(K29="Confirmed",OR(J29="",I29="",I29="Unknown",I29="Low")),"Confirmed reference lacks verification","OK — verify source"))))))</f>
        <v/>
      </c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6" t="n"/>
      <c r="K30" s="25" t="n"/>
      <c r="L30" s="25">
        <f>IF(COUNTA(A30:K30)=0,"",IF(A30="","Reference ID missing",IF(COUNTIF($A$4:$A$253,A30)&gt;1,"Duplicate reference ID",IF(OR(B30="",C30="",E30="",F30="",H30=""),"Type / source / owner missing",IF(AND(G30&lt;&gt;"",COUNTIF('System map'!$A$4:$A$203,G30)&lt;&gt;1),"Owning AIR-ID not reconciled",IF(AND(K30="Confirmed",OR(J30="",I30="",I30="Unknown",I30="Low")),"Confirmed reference lacks verification","OK — verify source"))))))</f>
        <v/>
      </c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8" t="n"/>
      <c r="K31" s="27" t="n"/>
      <c r="L31" s="27">
        <f>IF(COUNTA(A31:K31)=0,"",IF(A31="","Reference ID missing",IF(COUNTIF($A$4:$A$253,A31)&gt;1,"Duplicate reference ID",IF(OR(B31="",C31="",E31="",F31="",H31=""),"Type / source / owner missing",IF(AND(G31&lt;&gt;"",COUNTIF('System map'!$A$4:$A$203,G31)&lt;&gt;1),"Owning AIR-ID not reconciled",IF(AND(K31="Confirmed",OR(J31="",I31="",I31="Unknown",I31="Low")),"Confirmed reference lacks verification","OK — verify source"))))))</f>
        <v/>
      </c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6" t="n"/>
      <c r="K32" s="25" t="n"/>
      <c r="L32" s="25">
        <f>IF(COUNTA(A32:K32)=0,"",IF(A32="","Reference ID missing",IF(COUNTIF($A$4:$A$253,A32)&gt;1,"Duplicate reference ID",IF(OR(B32="",C32="",E32="",F32="",H32=""),"Type / source / owner missing",IF(AND(G32&lt;&gt;"",COUNTIF('System map'!$A$4:$A$203,G32)&lt;&gt;1),"Owning AIR-ID not reconciled",IF(AND(K32="Confirmed",OR(J32="",I32="",I32="Unknown",I32="Low")),"Confirmed reference lacks verification","OK — verify source"))))))</f>
        <v/>
      </c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8" t="n"/>
      <c r="K33" s="27" t="n"/>
      <c r="L33" s="27">
        <f>IF(COUNTA(A33:K33)=0,"",IF(A33="","Reference ID missing",IF(COUNTIF($A$4:$A$253,A33)&gt;1,"Duplicate reference ID",IF(OR(B33="",C33="",E33="",F33="",H33=""),"Type / source / owner missing",IF(AND(G33&lt;&gt;"",COUNTIF('System map'!$A$4:$A$203,G33)&lt;&gt;1),"Owning AIR-ID not reconciled",IF(AND(K33="Confirmed",OR(J33="",I33="",I33="Unknown",I33="Low")),"Confirmed reference lacks verification","OK — verify source"))))))</f>
        <v/>
      </c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6" t="n"/>
      <c r="K34" s="25" t="n"/>
      <c r="L34" s="25">
        <f>IF(COUNTA(A34:K34)=0,"",IF(A34="","Reference ID missing",IF(COUNTIF($A$4:$A$253,A34)&gt;1,"Duplicate reference ID",IF(OR(B34="",C34="",E34="",F34="",H34=""),"Type / source / owner missing",IF(AND(G34&lt;&gt;"",COUNTIF('System map'!$A$4:$A$203,G34)&lt;&gt;1),"Owning AIR-ID not reconciled",IF(AND(K34="Confirmed",OR(J34="",I34="",I34="Unknown",I34="Low")),"Confirmed reference lacks verification","OK — verify source"))))))</f>
        <v/>
      </c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8" t="n"/>
      <c r="K35" s="27" t="n"/>
      <c r="L35" s="27">
        <f>IF(COUNTA(A35:K35)=0,"",IF(A35="","Reference ID missing",IF(COUNTIF($A$4:$A$253,A35)&gt;1,"Duplicate reference ID",IF(OR(B35="",C35="",E35="",F35="",H35=""),"Type / source / owner missing",IF(AND(G35&lt;&gt;"",COUNTIF('System map'!$A$4:$A$203,G35)&lt;&gt;1),"Owning AIR-ID not reconciled",IF(AND(K35="Confirmed",OR(J35="",I35="",I35="Unknown",I35="Low")),"Confirmed reference lacks verification","OK — verify source"))))))</f>
        <v/>
      </c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6" t="n"/>
      <c r="K36" s="25" t="n"/>
      <c r="L36" s="25">
        <f>IF(COUNTA(A36:K36)=0,"",IF(A36="","Reference ID missing",IF(COUNTIF($A$4:$A$253,A36)&gt;1,"Duplicate reference ID",IF(OR(B36="",C36="",E36="",F36="",H36=""),"Type / source / owner missing",IF(AND(G36&lt;&gt;"",COUNTIF('System map'!$A$4:$A$203,G36)&lt;&gt;1),"Owning AIR-ID not reconciled",IF(AND(K36="Confirmed",OR(J36="",I36="",I36="Unknown",I36="Low")),"Confirmed reference lacks verification","OK — verify source"))))))</f>
        <v/>
      </c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8" t="n"/>
      <c r="K37" s="27" t="n"/>
      <c r="L37" s="27">
        <f>IF(COUNTA(A37:K37)=0,"",IF(A37="","Reference ID missing",IF(COUNTIF($A$4:$A$253,A37)&gt;1,"Duplicate reference ID",IF(OR(B37="",C37="",E37="",F37="",H37=""),"Type / source / owner missing",IF(AND(G37&lt;&gt;"",COUNTIF('System map'!$A$4:$A$203,G37)&lt;&gt;1),"Owning AIR-ID not reconciled",IF(AND(K37="Confirmed",OR(J37="",I37="",I37="Unknown",I37="Low")),"Confirmed reference lacks verification","OK — verify source"))))))</f>
        <v/>
      </c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6" t="n"/>
      <c r="K38" s="25" t="n"/>
      <c r="L38" s="25">
        <f>IF(COUNTA(A38:K38)=0,"",IF(A38="","Reference ID missing",IF(COUNTIF($A$4:$A$253,A38)&gt;1,"Duplicate reference ID",IF(OR(B38="",C38="",E38="",F38="",H38=""),"Type / source / owner missing",IF(AND(G38&lt;&gt;"",COUNTIF('System map'!$A$4:$A$203,G38)&lt;&gt;1),"Owning AIR-ID not reconciled",IF(AND(K38="Confirmed",OR(J38="",I38="",I38="Unknown",I38="Low")),"Confirmed reference lacks verification","OK — verify source"))))))</f>
        <v/>
      </c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8" t="n"/>
      <c r="K39" s="27" t="n"/>
      <c r="L39" s="27">
        <f>IF(COUNTA(A39:K39)=0,"",IF(A39="","Reference ID missing",IF(COUNTIF($A$4:$A$253,A39)&gt;1,"Duplicate reference ID",IF(OR(B39="",C39="",E39="",F39="",H39=""),"Type / source / owner missing",IF(AND(G39&lt;&gt;"",COUNTIF('System map'!$A$4:$A$203,G39)&lt;&gt;1),"Owning AIR-ID not reconciled",IF(AND(K39="Confirmed",OR(J39="",I39="",I39="Unknown",I39="Low")),"Confirmed reference lacks verification","OK — verify source"))))))</f>
        <v/>
      </c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6" t="n"/>
      <c r="K40" s="25" t="n"/>
      <c r="L40" s="25">
        <f>IF(COUNTA(A40:K40)=0,"",IF(A40="","Reference ID missing",IF(COUNTIF($A$4:$A$253,A40)&gt;1,"Duplicate reference ID",IF(OR(B40="",C40="",E40="",F40="",H40=""),"Type / source / owner missing",IF(AND(G40&lt;&gt;"",COUNTIF('System map'!$A$4:$A$203,G40)&lt;&gt;1),"Owning AIR-ID not reconciled",IF(AND(K40="Confirmed",OR(J40="",I40="",I40="Unknown",I40="Low")),"Confirmed reference lacks verification","OK — verify source"))))))</f>
        <v/>
      </c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8" t="n"/>
      <c r="K41" s="27" t="n"/>
      <c r="L41" s="27">
        <f>IF(COUNTA(A41:K41)=0,"",IF(A41="","Reference ID missing",IF(COUNTIF($A$4:$A$253,A41)&gt;1,"Duplicate reference ID",IF(OR(B41="",C41="",E41="",F41="",H41=""),"Type / source / owner missing",IF(AND(G41&lt;&gt;"",COUNTIF('System map'!$A$4:$A$203,G41)&lt;&gt;1),"Owning AIR-ID not reconciled",IF(AND(K41="Confirmed",OR(J41="",I41="",I41="Unknown",I41="Low")),"Confirmed reference lacks verification","OK — verify source"))))))</f>
        <v/>
      </c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6" t="n"/>
      <c r="K42" s="25" t="n"/>
      <c r="L42" s="25">
        <f>IF(COUNTA(A42:K42)=0,"",IF(A42="","Reference ID missing",IF(COUNTIF($A$4:$A$253,A42)&gt;1,"Duplicate reference ID",IF(OR(B42="",C42="",E42="",F42="",H42=""),"Type / source / owner missing",IF(AND(G42&lt;&gt;"",COUNTIF('System map'!$A$4:$A$203,G42)&lt;&gt;1),"Owning AIR-ID not reconciled",IF(AND(K42="Confirmed",OR(J42="",I42="",I42="Unknown",I42="Low")),"Confirmed reference lacks verification","OK — verify source"))))))</f>
        <v/>
      </c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8" t="n"/>
      <c r="K43" s="27" t="n"/>
      <c r="L43" s="27">
        <f>IF(COUNTA(A43:K43)=0,"",IF(A43="","Reference ID missing",IF(COUNTIF($A$4:$A$253,A43)&gt;1,"Duplicate reference ID",IF(OR(B43="",C43="",E43="",F43="",H43=""),"Type / source / owner missing",IF(AND(G43&lt;&gt;"",COUNTIF('System map'!$A$4:$A$203,G43)&lt;&gt;1),"Owning AIR-ID not reconciled",IF(AND(K43="Confirmed",OR(J43="",I43="",I43="Unknown",I43="Low")),"Confirmed reference lacks verification","OK — verify source"))))))</f>
        <v/>
      </c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6" t="n"/>
      <c r="K44" s="25" t="n"/>
      <c r="L44" s="25">
        <f>IF(COUNTA(A44:K44)=0,"",IF(A44="","Reference ID missing",IF(COUNTIF($A$4:$A$253,A44)&gt;1,"Duplicate reference ID",IF(OR(B44="",C44="",E44="",F44="",H44=""),"Type / source / owner missing",IF(AND(G44&lt;&gt;"",COUNTIF('System map'!$A$4:$A$203,G44)&lt;&gt;1),"Owning AIR-ID not reconciled",IF(AND(K44="Confirmed",OR(J44="",I44="",I44="Unknown",I44="Low")),"Confirmed reference lacks verification","OK — verify source"))))))</f>
        <v/>
      </c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8" t="n"/>
      <c r="K45" s="27" t="n"/>
      <c r="L45" s="27">
        <f>IF(COUNTA(A45:K45)=0,"",IF(A45="","Reference ID missing",IF(COUNTIF($A$4:$A$253,A45)&gt;1,"Duplicate reference ID",IF(OR(B45="",C45="",E45="",F45="",H45=""),"Type / source / owner missing",IF(AND(G45&lt;&gt;"",COUNTIF('System map'!$A$4:$A$203,G45)&lt;&gt;1),"Owning AIR-ID not reconciled",IF(AND(K45="Confirmed",OR(J45="",I45="",I45="Unknown",I45="Low")),"Confirmed reference lacks verification","OK — verify source"))))))</f>
        <v/>
      </c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6" t="n"/>
      <c r="K46" s="25" t="n"/>
      <c r="L46" s="25">
        <f>IF(COUNTA(A46:K46)=0,"",IF(A46="","Reference ID missing",IF(COUNTIF($A$4:$A$253,A46)&gt;1,"Duplicate reference ID",IF(OR(B46="",C46="",E46="",F46="",H46=""),"Type / source / owner missing",IF(AND(G46&lt;&gt;"",COUNTIF('System map'!$A$4:$A$203,G46)&lt;&gt;1),"Owning AIR-ID not reconciled",IF(AND(K46="Confirmed",OR(J46="",I46="",I46="Unknown",I46="Low")),"Confirmed reference lacks verification","OK — verify source"))))))</f>
        <v/>
      </c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8" t="n"/>
      <c r="K47" s="27" t="n"/>
      <c r="L47" s="27">
        <f>IF(COUNTA(A47:K47)=0,"",IF(A47="","Reference ID missing",IF(COUNTIF($A$4:$A$253,A47)&gt;1,"Duplicate reference ID",IF(OR(B47="",C47="",E47="",F47="",H47=""),"Type / source / owner missing",IF(AND(G47&lt;&gt;"",COUNTIF('System map'!$A$4:$A$203,G47)&lt;&gt;1),"Owning AIR-ID not reconciled",IF(AND(K47="Confirmed",OR(J47="",I47="",I47="Unknown",I47="Low")),"Confirmed reference lacks verification","OK — verify source"))))))</f>
        <v/>
      </c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6" t="n"/>
      <c r="K48" s="25" t="n"/>
      <c r="L48" s="25">
        <f>IF(COUNTA(A48:K48)=0,"",IF(A48="","Reference ID missing",IF(COUNTIF($A$4:$A$253,A48)&gt;1,"Duplicate reference ID",IF(OR(B48="",C48="",E48="",F48="",H48=""),"Type / source / owner missing",IF(AND(G48&lt;&gt;"",COUNTIF('System map'!$A$4:$A$203,G48)&lt;&gt;1),"Owning AIR-ID not reconciled",IF(AND(K48="Confirmed",OR(J48="",I48="",I48="Unknown",I48="Low")),"Confirmed reference lacks verification","OK — verify source"))))))</f>
        <v/>
      </c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8" t="n"/>
      <c r="K49" s="27" t="n"/>
      <c r="L49" s="27">
        <f>IF(COUNTA(A49:K49)=0,"",IF(A49="","Reference ID missing",IF(COUNTIF($A$4:$A$253,A49)&gt;1,"Duplicate reference ID",IF(OR(B49="",C49="",E49="",F49="",H49=""),"Type / source / owner missing",IF(AND(G49&lt;&gt;"",COUNTIF('System map'!$A$4:$A$203,G49)&lt;&gt;1),"Owning AIR-ID not reconciled",IF(AND(K49="Confirmed",OR(J49="",I49="",I49="Unknown",I49="Low")),"Confirmed reference lacks verification","OK — verify source"))))))</f>
        <v/>
      </c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6" t="n"/>
      <c r="K50" s="25" t="n"/>
      <c r="L50" s="25">
        <f>IF(COUNTA(A50:K50)=0,"",IF(A50="","Reference ID missing",IF(COUNTIF($A$4:$A$253,A50)&gt;1,"Duplicate reference ID",IF(OR(B50="",C50="",E50="",F50="",H50=""),"Type / source / owner missing",IF(AND(G50&lt;&gt;"",COUNTIF('System map'!$A$4:$A$203,G50)&lt;&gt;1),"Owning AIR-ID not reconciled",IF(AND(K50="Confirmed",OR(J50="",I50="",I50="Unknown",I50="Low")),"Confirmed reference lacks verification","OK — verify source"))))))</f>
        <v/>
      </c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8" t="n"/>
      <c r="K51" s="27" t="n"/>
      <c r="L51" s="27">
        <f>IF(COUNTA(A51:K51)=0,"",IF(A51="","Reference ID missing",IF(COUNTIF($A$4:$A$253,A51)&gt;1,"Duplicate reference ID",IF(OR(B51="",C51="",E51="",F51="",H51=""),"Type / source / owner missing",IF(AND(G51&lt;&gt;"",COUNTIF('System map'!$A$4:$A$203,G51)&lt;&gt;1),"Owning AIR-ID not reconciled",IF(AND(K51="Confirmed",OR(J51="",I51="",I51="Unknown",I51="Low")),"Confirmed reference lacks verification","OK — verify source"))))))</f>
        <v/>
      </c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6" t="n"/>
      <c r="K52" s="25" t="n"/>
      <c r="L52" s="25">
        <f>IF(COUNTA(A52:K52)=0,"",IF(A52="","Reference ID missing",IF(COUNTIF($A$4:$A$253,A52)&gt;1,"Duplicate reference ID",IF(OR(B52="",C52="",E52="",F52="",H52=""),"Type / source / owner missing",IF(AND(G52&lt;&gt;"",COUNTIF('System map'!$A$4:$A$203,G52)&lt;&gt;1),"Owning AIR-ID not reconciled",IF(AND(K52="Confirmed",OR(J52="",I52="",I52="Unknown",I52="Low")),"Confirmed reference lacks verification","OK — verify source"))))))</f>
        <v/>
      </c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8" t="n"/>
      <c r="K53" s="27" t="n"/>
      <c r="L53" s="27">
        <f>IF(COUNTA(A53:K53)=0,"",IF(A53="","Reference ID missing",IF(COUNTIF($A$4:$A$253,A53)&gt;1,"Duplicate reference ID",IF(OR(B53="",C53="",E53="",F53="",H53=""),"Type / source / owner missing",IF(AND(G53&lt;&gt;"",COUNTIF('System map'!$A$4:$A$203,G53)&lt;&gt;1),"Owning AIR-ID not reconciled",IF(AND(K53="Confirmed",OR(J53="",I53="",I53="Unknown",I53="Low")),"Confirmed reference lacks verification","OK — verify source"))))))</f>
        <v/>
      </c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6" t="n"/>
      <c r="K54" s="25" t="n"/>
      <c r="L54" s="25">
        <f>IF(COUNTA(A54:K54)=0,"",IF(A54="","Reference ID missing",IF(COUNTIF($A$4:$A$253,A54)&gt;1,"Duplicate reference ID",IF(OR(B54="",C54="",E54="",F54="",H54=""),"Type / source / owner missing",IF(AND(G54&lt;&gt;"",COUNTIF('System map'!$A$4:$A$203,G54)&lt;&gt;1),"Owning AIR-ID not reconciled",IF(AND(K54="Confirmed",OR(J54="",I54="",I54="Unknown",I54="Low")),"Confirmed reference lacks verification","OK — verify source"))))))</f>
        <v/>
      </c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8" t="n"/>
      <c r="K55" s="27" t="n"/>
      <c r="L55" s="27">
        <f>IF(COUNTA(A55:K55)=0,"",IF(A55="","Reference ID missing",IF(COUNTIF($A$4:$A$253,A55)&gt;1,"Duplicate reference ID",IF(OR(B55="",C55="",E55="",F55="",H55=""),"Type / source / owner missing",IF(AND(G55&lt;&gt;"",COUNTIF('System map'!$A$4:$A$203,G55)&lt;&gt;1),"Owning AIR-ID not reconciled",IF(AND(K55="Confirmed",OR(J55="",I55="",I55="Unknown",I55="Low")),"Confirmed reference lacks verification","OK — verify source"))))))</f>
        <v/>
      </c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6" t="n"/>
      <c r="K56" s="25" t="n"/>
      <c r="L56" s="25">
        <f>IF(COUNTA(A56:K56)=0,"",IF(A56="","Reference ID missing",IF(COUNTIF($A$4:$A$253,A56)&gt;1,"Duplicate reference ID",IF(OR(B56="",C56="",E56="",F56="",H56=""),"Type / source / owner missing",IF(AND(G56&lt;&gt;"",COUNTIF('System map'!$A$4:$A$203,G56)&lt;&gt;1),"Owning AIR-ID not reconciled",IF(AND(K56="Confirmed",OR(J56="",I56="",I56="Unknown",I56="Low")),"Confirmed reference lacks verification","OK — verify source"))))))</f>
        <v/>
      </c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8" t="n"/>
      <c r="K57" s="27" t="n"/>
      <c r="L57" s="27">
        <f>IF(COUNTA(A57:K57)=0,"",IF(A57="","Reference ID missing",IF(COUNTIF($A$4:$A$253,A57)&gt;1,"Duplicate reference ID",IF(OR(B57="",C57="",E57="",F57="",H57=""),"Type / source / owner missing",IF(AND(G57&lt;&gt;"",COUNTIF('System map'!$A$4:$A$203,G57)&lt;&gt;1),"Owning AIR-ID not reconciled",IF(AND(K57="Confirmed",OR(J57="",I57="",I57="Unknown",I57="Low")),"Confirmed reference lacks verification","OK — verify source"))))))</f>
        <v/>
      </c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6" t="n"/>
      <c r="K58" s="25" t="n"/>
      <c r="L58" s="25">
        <f>IF(COUNTA(A58:K58)=0,"",IF(A58="","Reference ID missing",IF(COUNTIF($A$4:$A$253,A58)&gt;1,"Duplicate reference ID",IF(OR(B58="",C58="",E58="",F58="",H58=""),"Type / source / owner missing",IF(AND(G58&lt;&gt;"",COUNTIF('System map'!$A$4:$A$203,G58)&lt;&gt;1),"Owning AIR-ID not reconciled",IF(AND(K58="Confirmed",OR(J58="",I58="",I58="Unknown",I58="Low")),"Confirmed reference lacks verification","OK — verify source"))))))</f>
        <v/>
      </c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8" t="n"/>
      <c r="K59" s="27" t="n"/>
      <c r="L59" s="27">
        <f>IF(COUNTA(A59:K59)=0,"",IF(A59="","Reference ID missing",IF(COUNTIF($A$4:$A$253,A59)&gt;1,"Duplicate reference ID",IF(OR(B59="",C59="",E59="",F59="",H59=""),"Type / source / owner missing",IF(AND(G59&lt;&gt;"",COUNTIF('System map'!$A$4:$A$203,G59)&lt;&gt;1),"Owning AIR-ID not reconciled",IF(AND(K59="Confirmed",OR(J59="",I59="",I59="Unknown",I59="Low")),"Confirmed reference lacks verification","OK — verify source"))))))</f>
        <v/>
      </c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6" t="n"/>
      <c r="K60" s="25" t="n"/>
      <c r="L60" s="25">
        <f>IF(COUNTA(A60:K60)=0,"",IF(A60="","Reference ID missing",IF(COUNTIF($A$4:$A$253,A60)&gt;1,"Duplicate reference ID",IF(OR(B60="",C60="",E60="",F60="",H60=""),"Type / source / owner missing",IF(AND(G60&lt;&gt;"",COUNTIF('System map'!$A$4:$A$203,G60)&lt;&gt;1),"Owning AIR-ID not reconciled",IF(AND(K60="Confirmed",OR(J60="",I60="",I60="Unknown",I60="Low")),"Confirmed reference lacks verification","OK — verify source"))))))</f>
        <v/>
      </c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8" t="n"/>
      <c r="K61" s="27" t="n"/>
      <c r="L61" s="27">
        <f>IF(COUNTA(A61:K61)=0,"",IF(A61="","Reference ID missing",IF(COUNTIF($A$4:$A$253,A61)&gt;1,"Duplicate reference ID",IF(OR(B61="",C61="",E61="",F61="",H61=""),"Type / source / owner missing",IF(AND(G61&lt;&gt;"",COUNTIF('System map'!$A$4:$A$203,G61)&lt;&gt;1),"Owning AIR-ID not reconciled",IF(AND(K61="Confirmed",OR(J61="",I61="",I61="Unknown",I61="Low")),"Confirmed reference lacks verification","OK — verify source"))))))</f>
        <v/>
      </c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6" t="n"/>
      <c r="K62" s="25" t="n"/>
      <c r="L62" s="25">
        <f>IF(COUNTA(A62:K62)=0,"",IF(A62="","Reference ID missing",IF(COUNTIF($A$4:$A$253,A62)&gt;1,"Duplicate reference ID",IF(OR(B62="",C62="",E62="",F62="",H62=""),"Type / source / owner missing",IF(AND(G62&lt;&gt;"",COUNTIF('System map'!$A$4:$A$203,G62)&lt;&gt;1),"Owning AIR-ID not reconciled",IF(AND(K62="Confirmed",OR(J62="",I62="",I62="Unknown",I62="Low")),"Confirmed reference lacks verification","OK — verify source"))))))</f>
        <v/>
      </c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8" t="n"/>
      <c r="K63" s="27" t="n"/>
      <c r="L63" s="27">
        <f>IF(COUNTA(A63:K63)=0,"",IF(A63="","Reference ID missing",IF(COUNTIF($A$4:$A$253,A63)&gt;1,"Duplicate reference ID",IF(OR(B63="",C63="",E63="",F63="",H63=""),"Type / source / owner missing",IF(AND(G63&lt;&gt;"",COUNTIF('System map'!$A$4:$A$203,G63)&lt;&gt;1),"Owning AIR-ID not reconciled",IF(AND(K63="Confirmed",OR(J63="",I63="",I63="Unknown",I63="Low")),"Confirmed reference lacks verification","OK — verify source"))))))</f>
        <v/>
      </c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6" t="n"/>
      <c r="K64" s="25" t="n"/>
      <c r="L64" s="25">
        <f>IF(COUNTA(A64:K64)=0,"",IF(A64="","Reference ID missing",IF(COUNTIF($A$4:$A$253,A64)&gt;1,"Duplicate reference ID",IF(OR(B64="",C64="",E64="",F64="",H64=""),"Type / source / owner missing",IF(AND(G64&lt;&gt;"",COUNTIF('System map'!$A$4:$A$203,G64)&lt;&gt;1),"Owning AIR-ID not reconciled",IF(AND(K64="Confirmed",OR(J64="",I64="",I64="Unknown",I64="Low")),"Confirmed reference lacks verification","OK — verify source"))))))</f>
        <v/>
      </c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8" t="n"/>
      <c r="K65" s="27" t="n"/>
      <c r="L65" s="27">
        <f>IF(COUNTA(A65:K65)=0,"",IF(A65="","Reference ID missing",IF(COUNTIF($A$4:$A$253,A65)&gt;1,"Duplicate reference ID",IF(OR(B65="",C65="",E65="",F65="",H65=""),"Type / source / owner missing",IF(AND(G65&lt;&gt;"",COUNTIF('System map'!$A$4:$A$203,G65)&lt;&gt;1),"Owning AIR-ID not reconciled",IF(AND(K65="Confirmed",OR(J65="",I65="",I65="Unknown",I65="Low")),"Confirmed reference lacks verification","OK — verify source"))))))</f>
        <v/>
      </c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6" t="n"/>
      <c r="K66" s="25" t="n"/>
      <c r="L66" s="25">
        <f>IF(COUNTA(A66:K66)=0,"",IF(A66="","Reference ID missing",IF(COUNTIF($A$4:$A$253,A66)&gt;1,"Duplicate reference ID",IF(OR(B66="",C66="",E66="",F66="",H66=""),"Type / source / owner missing",IF(AND(G66&lt;&gt;"",COUNTIF('System map'!$A$4:$A$203,G66)&lt;&gt;1),"Owning AIR-ID not reconciled",IF(AND(K66="Confirmed",OR(J66="",I66="",I66="Unknown",I66="Low")),"Confirmed reference lacks verification","OK — verify source"))))))</f>
        <v/>
      </c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8" t="n"/>
      <c r="K67" s="27" t="n"/>
      <c r="L67" s="27">
        <f>IF(COUNTA(A67:K67)=0,"",IF(A67="","Reference ID missing",IF(COUNTIF($A$4:$A$253,A67)&gt;1,"Duplicate reference ID",IF(OR(B67="",C67="",E67="",F67="",H67=""),"Type / source / owner missing",IF(AND(G67&lt;&gt;"",COUNTIF('System map'!$A$4:$A$203,G67)&lt;&gt;1),"Owning AIR-ID not reconciled",IF(AND(K67="Confirmed",OR(J67="",I67="",I67="Unknown",I67="Low")),"Confirmed reference lacks verification","OK — verify source"))))))</f>
        <v/>
      </c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6" t="n"/>
      <c r="K68" s="25" t="n"/>
      <c r="L68" s="25">
        <f>IF(COUNTA(A68:K68)=0,"",IF(A68="","Reference ID missing",IF(COUNTIF($A$4:$A$253,A68)&gt;1,"Duplicate reference ID",IF(OR(B68="",C68="",E68="",F68="",H68=""),"Type / source / owner missing",IF(AND(G68&lt;&gt;"",COUNTIF('System map'!$A$4:$A$203,G68)&lt;&gt;1),"Owning AIR-ID not reconciled",IF(AND(K68="Confirmed",OR(J68="",I68="",I68="Unknown",I68="Low")),"Confirmed reference lacks verification","OK — verify source"))))))</f>
        <v/>
      </c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8" t="n"/>
      <c r="K69" s="27" t="n"/>
      <c r="L69" s="27">
        <f>IF(COUNTA(A69:K69)=0,"",IF(A69="","Reference ID missing",IF(COUNTIF($A$4:$A$253,A69)&gt;1,"Duplicate reference ID",IF(OR(B69="",C69="",E69="",F69="",H69=""),"Type / source / owner missing",IF(AND(G69&lt;&gt;"",COUNTIF('System map'!$A$4:$A$203,G69)&lt;&gt;1),"Owning AIR-ID not reconciled",IF(AND(K69="Confirmed",OR(J69="",I69="",I69="Unknown",I69="Low")),"Confirmed reference lacks verification","OK — verify source"))))))</f>
        <v/>
      </c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6" t="n"/>
      <c r="K70" s="25" t="n"/>
      <c r="L70" s="25">
        <f>IF(COUNTA(A70:K70)=0,"",IF(A70="","Reference ID missing",IF(COUNTIF($A$4:$A$253,A70)&gt;1,"Duplicate reference ID",IF(OR(B70="",C70="",E70="",F70="",H70=""),"Type / source / owner missing",IF(AND(G70&lt;&gt;"",COUNTIF('System map'!$A$4:$A$203,G70)&lt;&gt;1),"Owning AIR-ID not reconciled",IF(AND(K70="Confirmed",OR(J70="",I70="",I70="Unknown",I70="Low")),"Confirmed reference lacks verification","OK — verify source"))))))</f>
        <v/>
      </c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8" t="n"/>
      <c r="K71" s="27" t="n"/>
      <c r="L71" s="27">
        <f>IF(COUNTA(A71:K71)=0,"",IF(A71="","Reference ID missing",IF(COUNTIF($A$4:$A$253,A71)&gt;1,"Duplicate reference ID",IF(OR(B71="",C71="",E71="",F71="",H71=""),"Type / source / owner missing",IF(AND(G71&lt;&gt;"",COUNTIF('System map'!$A$4:$A$203,G71)&lt;&gt;1),"Owning AIR-ID not reconciled",IF(AND(K71="Confirmed",OR(J71="",I71="",I71="Unknown",I71="Low")),"Confirmed reference lacks verification","OK — verify source"))))))</f>
        <v/>
      </c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6" t="n"/>
      <c r="K72" s="25" t="n"/>
      <c r="L72" s="25">
        <f>IF(COUNTA(A72:K72)=0,"",IF(A72="","Reference ID missing",IF(COUNTIF($A$4:$A$253,A72)&gt;1,"Duplicate reference ID",IF(OR(B72="",C72="",E72="",F72="",H72=""),"Type / source / owner missing",IF(AND(G72&lt;&gt;"",COUNTIF('System map'!$A$4:$A$203,G72)&lt;&gt;1),"Owning AIR-ID not reconciled",IF(AND(K72="Confirmed",OR(J72="",I72="",I72="Unknown",I72="Low")),"Confirmed reference lacks verification","OK — verify source"))))))</f>
        <v/>
      </c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8" t="n"/>
      <c r="K73" s="27" t="n"/>
      <c r="L73" s="27">
        <f>IF(COUNTA(A73:K73)=0,"",IF(A73="","Reference ID missing",IF(COUNTIF($A$4:$A$253,A73)&gt;1,"Duplicate reference ID",IF(OR(B73="",C73="",E73="",F73="",H73=""),"Type / source / owner missing",IF(AND(G73&lt;&gt;"",COUNTIF('System map'!$A$4:$A$203,G73)&lt;&gt;1),"Owning AIR-ID not reconciled",IF(AND(K73="Confirmed",OR(J73="",I73="",I73="Unknown",I73="Low")),"Confirmed reference lacks verification","OK — verify source"))))))</f>
        <v/>
      </c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6" t="n"/>
      <c r="K74" s="25" t="n"/>
      <c r="L74" s="25">
        <f>IF(COUNTA(A74:K74)=0,"",IF(A74="","Reference ID missing",IF(COUNTIF($A$4:$A$253,A74)&gt;1,"Duplicate reference ID",IF(OR(B74="",C74="",E74="",F74="",H74=""),"Type / source / owner missing",IF(AND(G74&lt;&gt;"",COUNTIF('System map'!$A$4:$A$203,G74)&lt;&gt;1),"Owning AIR-ID not reconciled",IF(AND(K74="Confirmed",OR(J74="",I74="",I74="Unknown",I74="Low")),"Confirmed reference lacks verification","OK — verify source"))))))</f>
        <v/>
      </c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8" t="n"/>
      <c r="K75" s="27" t="n"/>
      <c r="L75" s="27">
        <f>IF(COUNTA(A75:K75)=0,"",IF(A75="","Reference ID missing",IF(COUNTIF($A$4:$A$253,A75)&gt;1,"Duplicate reference ID",IF(OR(B75="",C75="",E75="",F75="",H75=""),"Type / source / owner missing",IF(AND(G75&lt;&gt;"",COUNTIF('System map'!$A$4:$A$203,G75)&lt;&gt;1),"Owning AIR-ID not reconciled",IF(AND(K75="Confirmed",OR(J75="",I75="",I75="Unknown",I75="Low")),"Confirmed reference lacks verification","OK — verify source"))))))</f>
        <v/>
      </c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6" t="n"/>
      <c r="K76" s="25" t="n"/>
      <c r="L76" s="25">
        <f>IF(COUNTA(A76:K76)=0,"",IF(A76="","Reference ID missing",IF(COUNTIF($A$4:$A$253,A76)&gt;1,"Duplicate reference ID",IF(OR(B76="",C76="",E76="",F76="",H76=""),"Type / source / owner missing",IF(AND(G76&lt;&gt;"",COUNTIF('System map'!$A$4:$A$203,G76)&lt;&gt;1),"Owning AIR-ID not reconciled",IF(AND(K76="Confirmed",OR(J76="",I76="",I76="Unknown",I76="Low")),"Confirmed reference lacks verification","OK — verify source"))))))</f>
        <v/>
      </c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8" t="n"/>
      <c r="K77" s="27" t="n"/>
      <c r="L77" s="27">
        <f>IF(COUNTA(A77:K77)=0,"",IF(A77="","Reference ID missing",IF(COUNTIF($A$4:$A$253,A77)&gt;1,"Duplicate reference ID",IF(OR(B77="",C77="",E77="",F77="",H77=""),"Type / source / owner missing",IF(AND(G77&lt;&gt;"",COUNTIF('System map'!$A$4:$A$203,G77)&lt;&gt;1),"Owning AIR-ID not reconciled",IF(AND(K77="Confirmed",OR(J77="",I77="",I77="Unknown",I77="Low")),"Confirmed reference lacks verification","OK — verify source"))))))</f>
        <v/>
      </c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6" t="n"/>
      <c r="K78" s="25" t="n"/>
      <c r="L78" s="25">
        <f>IF(COUNTA(A78:K78)=0,"",IF(A78="","Reference ID missing",IF(COUNTIF($A$4:$A$253,A78)&gt;1,"Duplicate reference ID",IF(OR(B78="",C78="",E78="",F78="",H78=""),"Type / source / owner missing",IF(AND(G78&lt;&gt;"",COUNTIF('System map'!$A$4:$A$203,G78)&lt;&gt;1),"Owning AIR-ID not reconciled",IF(AND(K78="Confirmed",OR(J78="",I78="",I78="Unknown",I78="Low")),"Confirmed reference lacks verification","OK — verify source"))))))</f>
        <v/>
      </c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8" t="n"/>
      <c r="K79" s="27" t="n"/>
      <c r="L79" s="27">
        <f>IF(COUNTA(A79:K79)=0,"",IF(A79="","Reference ID missing",IF(COUNTIF($A$4:$A$253,A79)&gt;1,"Duplicate reference ID",IF(OR(B79="",C79="",E79="",F79="",H79=""),"Type / source / owner missing",IF(AND(G79&lt;&gt;"",COUNTIF('System map'!$A$4:$A$203,G79)&lt;&gt;1),"Owning AIR-ID not reconciled",IF(AND(K79="Confirmed",OR(J79="",I79="",I79="Unknown",I79="Low")),"Confirmed reference lacks verification","OK — verify source"))))))</f>
        <v/>
      </c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6" t="n"/>
      <c r="K80" s="25" t="n"/>
      <c r="L80" s="25">
        <f>IF(COUNTA(A80:K80)=0,"",IF(A80="","Reference ID missing",IF(COUNTIF($A$4:$A$253,A80)&gt;1,"Duplicate reference ID",IF(OR(B80="",C80="",E80="",F80="",H80=""),"Type / source / owner missing",IF(AND(G80&lt;&gt;"",COUNTIF('System map'!$A$4:$A$203,G80)&lt;&gt;1),"Owning AIR-ID not reconciled",IF(AND(K80="Confirmed",OR(J80="",I80="",I80="Unknown",I80="Low")),"Confirmed reference lacks verification","OK — verify source"))))))</f>
        <v/>
      </c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8" t="n"/>
      <c r="K81" s="27" t="n"/>
      <c r="L81" s="27">
        <f>IF(COUNTA(A81:K81)=0,"",IF(A81="","Reference ID missing",IF(COUNTIF($A$4:$A$253,A81)&gt;1,"Duplicate reference ID",IF(OR(B81="",C81="",E81="",F81="",H81=""),"Type / source / owner missing",IF(AND(G81&lt;&gt;"",COUNTIF('System map'!$A$4:$A$203,G81)&lt;&gt;1),"Owning AIR-ID not reconciled",IF(AND(K81="Confirmed",OR(J81="",I81="",I81="Unknown",I81="Low")),"Confirmed reference lacks verification","OK — verify source"))))))</f>
        <v/>
      </c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6" t="n"/>
      <c r="K82" s="25" t="n"/>
      <c r="L82" s="25">
        <f>IF(COUNTA(A82:K82)=0,"",IF(A82="","Reference ID missing",IF(COUNTIF($A$4:$A$253,A82)&gt;1,"Duplicate reference ID",IF(OR(B82="",C82="",E82="",F82="",H82=""),"Type / source / owner missing",IF(AND(G82&lt;&gt;"",COUNTIF('System map'!$A$4:$A$203,G82)&lt;&gt;1),"Owning AIR-ID not reconciled",IF(AND(K82="Confirmed",OR(J82="",I82="",I82="Unknown",I82="Low")),"Confirmed reference lacks verification","OK — verify source"))))))</f>
        <v/>
      </c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8" t="n"/>
      <c r="K83" s="27" t="n"/>
      <c r="L83" s="27">
        <f>IF(COUNTA(A83:K83)=0,"",IF(A83="","Reference ID missing",IF(COUNTIF($A$4:$A$253,A83)&gt;1,"Duplicate reference ID",IF(OR(B83="",C83="",E83="",F83="",H83=""),"Type / source / owner missing",IF(AND(G83&lt;&gt;"",COUNTIF('System map'!$A$4:$A$203,G83)&lt;&gt;1),"Owning AIR-ID not reconciled",IF(AND(K83="Confirmed",OR(J83="",I83="",I83="Unknown",I83="Low")),"Confirmed reference lacks verification","OK — verify source"))))))</f>
        <v/>
      </c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6" t="n"/>
      <c r="K84" s="25" t="n"/>
      <c r="L84" s="25">
        <f>IF(COUNTA(A84:K84)=0,"",IF(A84="","Reference ID missing",IF(COUNTIF($A$4:$A$253,A84)&gt;1,"Duplicate reference ID",IF(OR(B84="",C84="",E84="",F84="",H84=""),"Type / source / owner missing",IF(AND(G84&lt;&gt;"",COUNTIF('System map'!$A$4:$A$203,G84)&lt;&gt;1),"Owning AIR-ID not reconciled",IF(AND(K84="Confirmed",OR(J84="",I84="",I84="Unknown",I84="Low")),"Confirmed reference lacks verification","OK — verify source"))))))</f>
        <v/>
      </c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8" t="n"/>
      <c r="K85" s="27" t="n"/>
      <c r="L85" s="27">
        <f>IF(COUNTA(A85:K85)=0,"",IF(A85="","Reference ID missing",IF(COUNTIF($A$4:$A$253,A85)&gt;1,"Duplicate reference ID",IF(OR(B85="",C85="",E85="",F85="",H85=""),"Type / source / owner missing",IF(AND(G85&lt;&gt;"",COUNTIF('System map'!$A$4:$A$203,G85)&lt;&gt;1),"Owning AIR-ID not reconciled",IF(AND(K85="Confirmed",OR(J85="",I85="",I85="Unknown",I85="Low")),"Confirmed reference lacks verification","OK — verify source"))))))</f>
        <v/>
      </c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6" t="n"/>
      <c r="K86" s="25" t="n"/>
      <c r="L86" s="25">
        <f>IF(COUNTA(A86:K86)=0,"",IF(A86="","Reference ID missing",IF(COUNTIF($A$4:$A$253,A86)&gt;1,"Duplicate reference ID",IF(OR(B86="",C86="",E86="",F86="",H86=""),"Type / source / owner missing",IF(AND(G86&lt;&gt;"",COUNTIF('System map'!$A$4:$A$203,G86)&lt;&gt;1),"Owning AIR-ID not reconciled",IF(AND(K86="Confirmed",OR(J86="",I86="",I86="Unknown",I86="Low")),"Confirmed reference lacks verification","OK — verify source"))))))</f>
        <v/>
      </c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8" t="n"/>
      <c r="K87" s="27" t="n"/>
      <c r="L87" s="27">
        <f>IF(COUNTA(A87:K87)=0,"",IF(A87="","Reference ID missing",IF(COUNTIF($A$4:$A$253,A87)&gt;1,"Duplicate reference ID",IF(OR(B87="",C87="",E87="",F87="",H87=""),"Type / source / owner missing",IF(AND(G87&lt;&gt;"",COUNTIF('System map'!$A$4:$A$203,G87)&lt;&gt;1),"Owning AIR-ID not reconciled",IF(AND(K87="Confirmed",OR(J87="",I87="",I87="Unknown",I87="Low")),"Confirmed reference lacks verification","OK — verify source"))))))</f>
        <v/>
      </c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6" t="n"/>
      <c r="K88" s="25" t="n"/>
      <c r="L88" s="25">
        <f>IF(COUNTA(A88:K88)=0,"",IF(A88="","Reference ID missing",IF(COUNTIF($A$4:$A$253,A88)&gt;1,"Duplicate reference ID",IF(OR(B88="",C88="",E88="",F88="",H88=""),"Type / source / owner missing",IF(AND(G88&lt;&gt;"",COUNTIF('System map'!$A$4:$A$203,G88)&lt;&gt;1),"Owning AIR-ID not reconciled",IF(AND(K88="Confirmed",OR(J88="",I88="",I88="Unknown",I88="Low")),"Confirmed reference lacks verification","OK — verify source"))))))</f>
        <v/>
      </c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8" t="n"/>
      <c r="K89" s="27" t="n"/>
      <c r="L89" s="27">
        <f>IF(COUNTA(A89:K89)=0,"",IF(A89="","Reference ID missing",IF(COUNTIF($A$4:$A$253,A89)&gt;1,"Duplicate reference ID",IF(OR(B89="",C89="",E89="",F89="",H89=""),"Type / source / owner missing",IF(AND(G89&lt;&gt;"",COUNTIF('System map'!$A$4:$A$203,G89)&lt;&gt;1),"Owning AIR-ID not reconciled",IF(AND(K89="Confirmed",OR(J89="",I89="",I89="Unknown",I89="Low")),"Confirmed reference lacks verification","OK — verify source"))))))</f>
        <v/>
      </c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6" t="n"/>
      <c r="K90" s="25" t="n"/>
      <c r="L90" s="25">
        <f>IF(COUNTA(A90:K90)=0,"",IF(A90="","Reference ID missing",IF(COUNTIF($A$4:$A$253,A90)&gt;1,"Duplicate reference ID",IF(OR(B90="",C90="",E90="",F90="",H90=""),"Type / source / owner missing",IF(AND(G90&lt;&gt;"",COUNTIF('System map'!$A$4:$A$203,G90)&lt;&gt;1),"Owning AIR-ID not reconciled",IF(AND(K90="Confirmed",OR(J90="",I90="",I90="Unknown",I90="Low")),"Confirmed reference lacks verification","OK — verify source"))))))</f>
        <v/>
      </c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8" t="n"/>
      <c r="K91" s="27" t="n"/>
      <c r="L91" s="27">
        <f>IF(COUNTA(A91:K91)=0,"",IF(A91="","Reference ID missing",IF(COUNTIF($A$4:$A$253,A91)&gt;1,"Duplicate reference ID",IF(OR(B91="",C91="",E91="",F91="",H91=""),"Type / source / owner missing",IF(AND(G91&lt;&gt;"",COUNTIF('System map'!$A$4:$A$203,G91)&lt;&gt;1),"Owning AIR-ID not reconciled",IF(AND(K91="Confirmed",OR(J91="",I91="",I91="Unknown",I91="Low")),"Confirmed reference lacks verification","OK — verify source"))))))</f>
        <v/>
      </c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6" t="n"/>
      <c r="K92" s="25" t="n"/>
      <c r="L92" s="25">
        <f>IF(COUNTA(A92:K92)=0,"",IF(A92="","Reference ID missing",IF(COUNTIF($A$4:$A$253,A92)&gt;1,"Duplicate reference ID",IF(OR(B92="",C92="",E92="",F92="",H92=""),"Type / source / owner missing",IF(AND(G92&lt;&gt;"",COUNTIF('System map'!$A$4:$A$203,G92)&lt;&gt;1),"Owning AIR-ID not reconciled",IF(AND(K92="Confirmed",OR(J92="",I92="",I92="Unknown",I92="Low")),"Confirmed reference lacks verification","OK — verify source"))))))</f>
        <v/>
      </c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8" t="n"/>
      <c r="K93" s="27" t="n"/>
      <c r="L93" s="27">
        <f>IF(COUNTA(A93:K93)=0,"",IF(A93="","Reference ID missing",IF(COUNTIF($A$4:$A$253,A93)&gt;1,"Duplicate reference ID",IF(OR(B93="",C93="",E93="",F93="",H93=""),"Type / source / owner missing",IF(AND(G93&lt;&gt;"",COUNTIF('System map'!$A$4:$A$203,G93)&lt;&gt;1),"Owning AIR-ID not reconciled",IF(AND(K93="Confirmed",OR(J93="",I93="",I93="Unknown",I93="Low")),"Confirmed reference lacks verification","OK — verify source"))))))</f>
        <v/>
      </c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6" t="n"/>
      <c r="K94" s="25" t="n"/>
      <c r="L94" s="25">
        <f>IF(COUNTA(A94:K94)=0,"",IF(A94="","Reference ID missing",IF(COUNTIF($A$4:$A$253,A94)&gt;1,"Duplicate reference ID",IF(OR(B94="",C94="",E94="",F94="",H94=""),"Type / source / owner missing",IF(AND(G94&lt;&gt;"",COUNTIF('System map'!$A$4:$A$203,G94)&lt;&gt;1),"Owning AIR-ID not reconciled",IF(AND(K94="Confirmed",OR(J94="",I94="",I94="Unknown",I94="Low")),"Confirmed reference lacks verification","OK — verify source"))))))</f>
        <v/>
      </c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8" t="n"/>
      <c r="K95" s="27" t="n"/>
      <c r="L95" s="27">
        <f>IF(COUNTA(A95:K95)=0,"",IF(A95="","Reference ID missing",IF(COUNTIF($A$4:$A$253,A95)&gt;1,"Duplicate reference ID",IF(OR(B95="",C95="",E95="",F95="",H95=""),"Type / source / owner missing",IF(AND(G95&lt;&gt;"",COUNTIF('System map'!$A$4:$A$203,G95)&lt;&gt;1),"Owning AIR-ID not reconciled",IF(AND(K95="Confirmed",OR(J95="",I95="",I95="Unknown",I95="Low")),"Confirmed reference lacks verification","OK — verify source"))))))</f>
        <v/>
      </c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6" t="n"/>
      <c r="K96" s="25" t="n"/>
      <c r="L96" s="25">
        <f>IF(COUNTA(A96:K96)=0,"",IF(A96="","Reference ID missing",IF(COUNTIF($A$4:$A$253,A96)&gt;1,"Duplicate reference ID",IF(OR(B96="",C96="",E96="",F96="",H96=""),"Type / source / owner missing",IF(AND(G96&lt;&gt;"",COUNTIF('System map'!$A$4:$A$203,G96)&lt;&gt;1),"Owning AIR-ID not reconciled",IF(AND(K96="Confirmed",OR(J96="",I96="",I96="Unknown",I96="Low")),"Confirmed reference lacks verification","OK — verify source"))))))</f>
        <v/>
      </c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8" t="n"/>
      <c r="K97" s="27" t="n"/>
      <c r="L97" s="27">
        <f>IF(COUNTA(A97:K97)=0,"",IF(A97="","Reference ID missing",IF(COUNTIF($A$4:$A$253,A97)&gt;1,"Duplicate reference ID",IF(OR(B97="",C97="",E97="",F97="",H97=""),"Type / source / owner missing",IF(AND(G97&lt;&gt;"",COUNTIF('System map'!$A$4:$A$203,G97)&lt;&gt;1),"Owning AIR-ID not reconciled",IF(AND(K97="Confirmed",OR(J97="",I97="",I97="Unknown",I97="Low")),"Confirmed reference lacks verification","OK — verify source"))))))</f>
        <v/>
      </c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6" t="n"/>
      <c r="K98" s="25" t="n"/>
      <c r="L98" s="25">
        <f>IF(COUNTA(A98:K98)=0,"",IF(A98="","Reference ID missing",IF(COUNTIF($A$4:$A$253,A98)&gt;1,"Duplicate reference ID",IF(OR(B98="",C98="",E98="",F98="",H98=""),"Type / source / owner missing",IF(AND(G98&lt;&gt;"",COUNTIF('System map'!$A$4:$A$203,G98)&lt;&gt;1),"Owning AIR-ID not reconciled",IF(AND(K98="Confirmed",OR(J98="",I98="",I98="Unknown",I98="Low")),"Confirmed reference lacks verification","OK — verify source"))))))</f>
        <v/>
      </c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8" t="n"/>
      <c r="K99" s="27" t="n"/>
      <c r="L99" s="27">
        <f>IF(COUNTA(A99:K99)=0,"",IF(A99="","Reference ID missing",IF(COUNTIF($A$4:$A$253,A99)&gt;1,"Duplicate reference ID",IF(OR(B99="",C99="",E99="",F99="",H99=""),"Type / source / owner missing",IF(AND(G99&lt;&gt;"",COUNTIF('System map'!$A$4:$A$203,G99)&lt;&gt;1),"Owning AIR-ID not reconciled",IF(AND(K99="Confirmed",OR(J99="",I99="",I99="Unknown",I99="Low")),"Confirmed reference lacks verification","OK — verify source"))))))</f>
        <v/>
      </c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6" t="n"/>
      <c r="K100" s="25" t="n"/>
      <c r="L100" s="25">
        <f>IF(COUNTA(A100:K100)=0,"",IF(A100="","Reference ID missing",IF(COUNTIF($A$4:$A$253,A100)&gt;1,"Duplicate reference ID",IF(OR(B100="",C100="",E100="",F100="",H100=""),"Type / source / owner missing",IF(AND(G100&lt;&gt;"",COUNTIF('System map'!$A$4:$A$203,G100)&lt;&gt;1),"Owning AIR-ID not reconciled",IF(AND(K100="Confirmed",OR(J100="",I100="",I100="Unknown",I100="Low")),"Confirmed reference lacks verification","OK — verify source"))))))</f>
        <v/>
      </c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8" t="n"/>
      <c r="K101" s="27" t="n"/>
      <c r="L101" s="27">
        <f>IF(COUNTA(A101:K101)=0,"",IF(A101="","Reference ID missing",IF(COUNTIF($A$4:$A$253,A101)&gt;1,"Duplicate reference ID",IF(OR(B101="",C101="",E101="",F101="",H101=""),"Type / source / owner missing",IF(AND(G101&lt;&gt;"",COUNTIF('System map'!$A$4:$A$203,G101)&lt;&gt;1),"Owning AIR-ID not reconciled",IF(AND(K101="Confirmed",OR(J101="",I101="",I101="Unknown",I101="Low")),"Confirmed reference lacks verification","OK — verify source"))))))</f>
        <v/>
      </c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6" t="n"/>
      <c r="K102" s="25" t="n"/>
      <c r="L102" s="25">
        <f>IF(COUNTA(A102:K102)=0,"",IF(A102="","Reference ID missing",IF(COUNTIF($A$4:$A$253,A102)&gt;1,"Duplicate reference ID",IF(OR(B102="",C102="",E102="",F102="",H102=""),"Type / source / owner missing",IF(AND(G102&lt;&gt;"",COUNTIF('System map'!$A$4:$A$203,G102)&lt;&gt;1),"Owning AIR-ID not reconciled",IF(AND(K102="Confirmed",OR(J102="",I102="",I102="Unknown",I102="Low")),"Confirmed reference lacks verification","OK — verify source"))))))</f>
        <v/>
      </c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8" t="n"/>
      <c r="K103" s="27" t="n"/>
      <c r="L103" s="27">
        <f>IF(COUNTA(A103:K103)=0,"",IF(A103="","Reference ID missing",IF(COUNTIF($A$4:$A$253,A103)&gt;1,"Duplicate reference ID",IF(OR(B103="",C103="",E103="",F103="",H103=""),"Type / source / owner missing",IF(AND(G103&lt;&gt;"",COUNTIF('System map'!$A$4:$A$203,G103)&lt;&gt;1),"Owning AIR-ID not reconciled",IF(AND(K103="Confirmed",OR(J103="",I103="",I103="Unknown",I103="Low")),"Confirmed reference lacks verification","OK — verify source"))))))</f>
        <v/>
      </c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6" t="n"/>
      <c r="K104" s="25" t="n"/>
      <c r="L104" s="25">
        <f>IF(COUNTA(A104:K104)=0,"",IF(A104="","Reference ID missing",IF(COUNTIF($A$4:$A$253,A104)&gt;1,"Duplicate reference ID",IF(OR(B104="",C104="",E104="",F104="",H104=""),"Type / source / owner missing",IF(AND(G104&lt;&gt;"",COUNTIF('System map'!$A$4:$A$203,G104)&lt;&gt;1),"Owning AIR-ID not reconciled",IF(AND(K104="Confirmed",OR(J104="",I104="",I104="Unknown",I104="Low")),"Confirmed reference lacks verification","OK — verify source"))))))</f>
        <v/>
      </c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8" t="n"/>
      <c r="K105" s="27" t="n"/>
      <c r="L105" s="27">
        <f>IF(COUNTA(A105:K105)=0,"",IF(A105="","Reference ID missing",IF(COUNTIF($A$4:$A$253,A105)&gt;1,"Duplicate reference ID",IF(OR(B105="",C105="",E105="",F105="",H105=""),"Type / source / owner missing",IF(AND(G105&lt;&gt;"",COUNTIF('System map'!$A$4:$A$203,G105)&lt;&gt;1),"Owning AIR-ID not reconciled",IF(AND(K105="Confirmed",OR(J105="",I105="",I105="Unknown",I105="Low")),"Confirmed reference lacks verification","OK — verify source"))))))</f>
        <v/>
      </c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6" t="n"/>
      <c r="K106" s="25" t="n"/>
      <c r="L106" s="25">
        <f>IF(COUNTA(A106:K106)=0,"",IF(A106="","Reference ID missing",IF(COUNTIF($A$4:$A$253,A106)&gt;1,"Duplicate reference ID",IF(OR(B106="",C106="",E106="",F106="",H106=""),"Type / source / owner missing",IF(AND(G106&lt;&gt;"",COUNTIF('System map'!$A$4:$A$203,G106)&lt;&gt;1),"Owning AIR-ID not reconciled",IF(AND(K106="Confirmed",OR(J106="",I106="",I106="Unknown",I106="Low")),"Confirmed reference lacks verification","OK — verify source"))))))</f>
        <v/>
      </c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8" t="n"/>
      <c r="K107" s="27" t="n"/>
      <c r="L107" s="27">
        <f>IF(COUNTA(A107:K107)=0,"",IF(A107="","Reference ID missing",IF(COUNTIF($A$4:$A$253,A107)&gt;1,"Duplicate reference ID",IF(OR(B107="",C107="",E107="",F107="",H107=""),"Type / source / owner missing",IF(AND(G107&lt;&gt;"",COUNTIF('System map'!$A$4:$A$203,G107)&lt;&gt;1),"Owning AIR-ID not reconciled",IF(AND(K107="Confirmed",OR(J107="",I107="",I107="Unknown",I107="Low")),"Confirmed reference lacks verification","OK — verify source"))))))</f>
        <v/>
      </c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6" t="n"/>
      <c r="K108" s="25" t="n"/>
      <c r="L108" s="25">
        <f>IF(COUNTA(A108:K108)=0,"",IF(A108="","Reference ID missing",IF(COUNTIF($A$4:$A$253,A108)&gt;1,"Duplicate reference ID",IF(OR(B108="",C108="",E108="",F108="",H108=""),"Type / source / owner missing",IF(AND(G108&lt;&gt;"",COUNTIF('System map'!$A$4:$A$203,G108)&lt;&gt;1),"Owning AIR-ID not reconciled",IF(AND(K108="Confirmed",OR(J108="",I108="",I108="Unknown",I108="Low")),"Confirmed reference lacks verification","OK — verify source"))))))</f>
        <v/>
      </c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8" t="n"/>
      <c r="K109" s="27" t="n"/>
      <c r="L109" s="27">
        <f>IF(COUNTA(A109:K109)=0,"",IF(A109="","Reference ID missing",IF(COUNTIF($A$4:$A$253,A109)&gt;1,"Duplicate reference ID",IF(OR(B109="",C109="",E109="",F109="",H109=""),"Type / source / owner missing",IF(AND(G109&lt;&gt;"",COUNTIF('System map'!$A$4:$A$203,G109)&lt;&gt;1),"Owning AIR-ID not reconciled",IF(AND(K109="Confirmed",OR(J109="",I109="",I109="Unknown",I109="Low")),"Confirmed reference lacks verification","OK — verify source"))))))</f>
        <v/>
      </c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6" t="n"/>
      <c r="K110" s="25" t="n"/>
      <c r="L110" s="25">
        <f>IF(COUNTA(A110:K110)=0,"",IF(A110="","Reference ID missing",IF(COUNTIF($A$4:$A$253,A110)&gt;1,"Duplicate reference ID",IF(OR(B110="",C110="",E110="",F110="",H110=""),"Type / source / owner missing",IF(AND(G110&lt;&gt;"",COUNTIF('System map'!$A$4:$A$203,G110)&lt;&gt;1),"Owning AIR-ID not reconciled",IF(AND(K110="Confirmed",OR(J110="",I110="",I110="Unknown",I110="Low")),"Confirmed reference lacks verification","OK — verify source"))))))</f>
        <v/>
      </c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8" t="n"/>
      <c r="K111" s="27" t="n"/>
      <c r="L111" s="27">
        <f>IF(COUNTA(A111:K111)=0,"",IF(A111="","Reference ID missing",IF(COUNTIF($A$4:$A$253,A111)&gt;1,"Duplicate reference ID",IF(OR(B111="",C111="",E111="",F111="",H111=""),"Type / source / owner missing",IF(AND(G111&lt;&gt;"",COUNTIF('System map'!$A$4:$A$203,G111)&lt;&gt;1),"Owning AIR-ID not reconciled",IF(AND(K111="Confirmed",OR(J111="",I111="",I111="Unknown",I111="Low")),"Confirmed reference lacks verification","OK — verify source"))))))</f>
        <v/>
      </c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6" t="n"/>
      <c r="K112" s="25" t="n"/>
      <c r="L112" s="25">
        <f>IF(COUNTA(A112:K112)=0,"",IF(A112="","Reference ID missing",IF(COUNTIF($A$4:$A$253,A112)&gt;1,"Duplicate reference ID",IF(OR(B112="",C112="",E112="",F112="",H112=""),"Type / source / owner missing",IF(AND(G112&lt;&gt;"",COUNTIF('System map'!$A$4:$A$203,G112)&lt;&gt;1),"Owning AIR-ID not reconciled",IF(AND(K112="Confirmed",OR(J112="",I112="",I112="Unknown",I112="Low")),"Confirmed reference lacks verification","OK — verify source"))))))</f>
        <v/>
      </c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8" t="n"/>
      <c r="K113" s="27" t="n"/>
      <c r="L113" s="27">
        <f>IF(COUNTA(A113:K113)=0,"",IF(A113="","Reference ID missing",IF(COUNTIF($A$4:$A$253,A113)&gt;1,"Duplicate reference ID",IF(OR(B113="",C113="",E113="",F113="",H113=""),"Type / source / owner missing",IF(AND(G113&lt;&gt;"",COUNTIF('System map'!$A$4:$A$203,G113)&lt;&gt;1),"Owning AIR-ID not reconciled",IF(AND(K113="Confirmed",OR(J113="",I113="",I113="Unknown",I113="Low")),"Confirmed reference lacks verification","OK — verify source"))))))</f>
        <v/>
      </c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6" t="n"/>
      <c r="K114" s="25" t="n"/>
      <c r="L114" s="25">
        <f>IF(COUNTA(A114:K114)=0,"",IF(A114="","Reference ID missing",IF(COUNTIF($A$4:$A$253,A114)&gt;1,"Duplicate reference ID",IF(OR(B114="",C114="",E114="",F114="",H114=""),"Type / source / owner missing",IF(AND(G114&lt;&gt;"",COUNTIF('System map'!$A$4:$A$203,G114)&lt;&gt;1),"Owning AIR-ID not reconciled",IF(AND(K114="Confirmed",OR(J114="",I114="",I114="Unknown",I114="Low")),"Confirmed reference lacks verification","OK — verify source"))))))</f>
        <v/>
      </c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8" t="n"/>
      <c r="K115" s="27" t="n"/>
      <c r="L115" s="27">
        <f>IF(COUNTA(A115:K115)=0,"",IF(A115="","Reference ID missing",IF(COUNTIF($A$4:$A$253,A115)&gt;1,"Duplicate reference ID",IF(OR(B115="",C115="",E115="",F115="",H115=""),"Type / source / owner missing",IF(AND(G115&lt;&gt;"",COUNTIF('System map'!$A$4:$A$203,G115)&lt;&gt;1),"Owning AIR-ID not reconciled",IF(AND(K115="Confirmed",OR(J115="",I115="",I115="Unknown",I115="Low")),"Confirmed reference lacks verification","OK — verify source"))))))</f>
        <v/>
      </c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6" t="n"/>
      <c r="K116" s="25" t="n"/>
      <c r="L116" s="25">
        <f>IF(COUNTA(A116:K116)=0,"",IF(A116="","Reference ID missing",IF(COUNTIF($A$4:$A$253,A116)&gt;1,"Duplicate reference ID",IF(OR(B116="",C116="",E116="",F116="",H116=""),"Type / source / owner missing",IF(AND(G116&lt;&gt;"",COUNTIF('System map'!$A$4:$A$203,G116)&lt;&gt;1),"Owning AIR-ID not reconciled",IF(AND(K116="Confirmed",OR(J116="",I116="",I116="Unknown",I116="Low")),"Confirmed reference lacks verification","OK — verify source"))))))</f>
        <v/>
      </c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8" t="n"/>
      <c r="K117" s="27" t="n"/>
      <c r="L117" s="27">
        <f>IF(COUNTA(A117:K117)=0,"",IF(A117="","Reference ID missing",IF(COUNTIF($A$4:$A$253,A117)&gt;1,"Duplicate reference ID",IF(OR(B117="",C117="",E117="",F117="",H117=""),"Type / source / owner missing",IF(AND(G117&lt;&gt;"",COUNTIF('System map'!$A$4:$A$203,G117)&lt;&gt;1),"Owning AIR-ID not reconciled",IF(AND(K117="Confirmed",OR(J117="",I117="",I117="Unknown",I117="Low")),"Confirmed reference lacks verification","OK — verify source"))))))</f>
        <v/>
      </c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6" t="n"/>
      <c r="K118" s="25" t="n"/>
      <c r="L118" s="25">
        <f>IF(COUNTA(A118:K118)=0,"",IF(A118="","Reference ID missing",IF(COUNTIF($A$4:$A$253,A118)&gt;1,"Duplicate reference ID",IF(OR(B118="",C118="",E118="",F118="",H118=""),"Type / source / owner missing",IF(AND(G118&lt;&gt;"",COUNTIF('System map'!$A$4:$A$203,G118)&lt;&gt;1),"Owning AIR-ID not reconciled",IF(AND(K118="Confirmed",OR(J118="",I118="",I118="Unknown",I118="Low")),"Confirmed reference lacks verification","OK — verify source"))))))</f>
        <v/>
      </c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8" t="n"/>
      <c r="K119" s="27" t="n"/>
      <c r="L119" s="27">
        <f>IF(COUNTA(A119:K119)=0,"",IF(A119="","Reference ID missing",IF(COUNTIF($A$4:$A$253,A119)&gt;1,"Duplicate reference ID",IF(OR(B119="",C119="",E119="",F119="",H119=""),"Type / source / owner missing",IF(AND(G119&lt;&gt;"",COUNTIF('System map'!$A$4:$A$203,G119)&lt;&gt;1),"Owning AIR-ID not reconciled",IF(AND(K119="Confirmed",OR(J119="",I119="",I119="Unknown",I119="Low")),"Confirmed reference lacks verification","OK — verify source"))))))</f>
        <v/>
      </c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6" t="n"/>
      <c r="K120" s="25" t="n"/>
      <c r="L120" s="25">
        <f>IF(COUNTA(A120:K120)=0,"",IF(A120="","Reference ID missing",IF(COUNTIF($A$4:$A$253,A120)&gt;1,"Duplicate reference ID",IF(OR(B120="",C120="",E120="",F120="",H120=""),"Type / source / owner missing",IF(AND(G120&lt;&gt;"",COUNTIF('System map'!$A$4:$A$203,G120)&lt;&gt;1),"Owning AIR-ID not reconciled",IF(AND(K120="Confirmed",OR(J120="",I120="",I120="Unknown",I120="Low")),"Confirmed reference lacks verification","OK — verify source"))))))</f>
        <v/>
      </c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8" t="n"/>
      <c r="K121" s="27" t="n"/>
      <c r="L121" s="27">
        <f>IF(COUNTA(A121:K121)=0,"",IF(A121="","Reference ID missing",IF(COUNTIF($A$4:$A$253,A121)&gt;1,"Duplicate reference ID",IF(OR(B121="",C121="",E121="",F121="",H121=""),"Type / source / owner missing",IF(AND(G121&lt;&gt;"",COUNTIF('System map'!$A$4:$A$203,G121)&lt;&gt;1),"Owning AIR-ID not reconciled",IF(AND(K121="Confirmed",OR(J121="",I121="",I121="Unknown",I121="Low")),"Confirmed reference lacks verification","OK — verify source"))))))</f>
        <v/>
      </c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6" t="n"/>
      <c r="K122" s="25" t="n"/>
      <c r="L122" s="25">
        <f>IF(COUNTA(A122:K122)=0,"",IF(A122="","Reference ID missing",IF(COUNTIF($A$4:$A$253,A122)&gt;1,"Duplicate reference ID",IF(OR(B122="",C122="",E122="",F122="",H122=""),"Type / source / owner missing",IF(AND(G122&lt;&gt;"",COUNTIF('System map'!$A$4:$A$203,G122)&lt;&gt;1),"Owning AIR-ID not reconciled",IF(AND(K122="Confirmed",OR(J122="",I122="",I122="Unknown",I122="Low")),"Confirmed reference lacks verification","OK — verify source"))))))</f>
        <v/>
      </c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8" t="n"/>
      <c r="K123" s="27" t="n"/>
      <c r="L123" s="27">
        <f>IF(COUNTA(A123:K123)=0,"",IF(A123="","Reference ID missing",IF(COUNTIF($A$4:$A$253,A123)&gt;1,"Duplicate reference ID",IF(OR(B123="",C123="",E123="",F123="",H123=""),"Type / source / owner missing",IF(AND(G123&lt;&gt;"",COUNTIF('System map'!$A$4:$A$203,G123)&lt;&gt;1),"Owning AIR-ID not reconciled",IF(AND(K123="Confirmed",OR(J123="",I123="",I123="Unknown",I123="Low")),"Confirmed reference lacks verification","OK — verify source"))))))</f>
        <v/>
      </c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6" t="n"/>
      <c r="K124" s="25" t="n"/>
      <c r="L124" s="25">
        <f>IF(COUNTA(A124:K124)=0,"",IF(A124="","Reference ID missing",IF(COUNTIF($A$4:$A$253,A124)&gt;1,"Duplicate reference ID",IF(OR(B124="",C124="",E124="",F124="",H124=""),"Type / source / owner missing",IF(AND(G124&lt;&gt;"",COUNTIF('System map'!$A$4:$A$203,G124)&lt;&gt;1),"Owning AIR-ID not reconciled",IF(AND(K124="Confirmed",OR(J124="",I124="",I124="Unknown",I124="Low")),"Confirmed reference lacks verification","OK — verify source"))))))</f>
        <v/>
      </c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8" t="n"/>
      <c r="K125" s="27" t="n"/>
      <c r="L125" s="27">
        <f>IF(COUNTA(A125:K125)=0,"",IF(A125="","Reference ID missing",IF(COUNTIF($A$4:$A$253,A125)&gt;1,"Duplicate reference ID",IF(OR(B125="",C125="",E125="",F125="",H125=""),"Type / source / owner missing",IF(AND(G125&lt;&gt;"",COUNTIF('System map'!$A$4:$A$203,G125)&lt;&gt;1),"Owning AIR-ID not reconciled",IF(AND(K125="Confirmed",OR(J125="",I125="",I125="Unknown",I125="Low")),"Confirmed reference lacks verification","OK — verify source"))))))</f>
        <v/>
      </c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6" t="n"/>
      <c r="K126" s="25" t="n"/>
      <c r="L126" s="25">
        <f>IF(COUNTA(A126:K126)=0,"",IF(A126="","Reference ID missing",IF(COUNTIF($A$4:$A$253,A126)&gt;1,"Duplicate reference ID",IF(OR(B126="",C126="",E126="",F126="",H126=""),"Type / source / owner missing",IF(AND(G126&lt;&gt;"",COUNTIF('System map'!$A$4:$A$203,G126)&lt;&gt;1),"Owning AIR-ID not reconciled",IF(AND(K126="Confirmed",OR(J126="",I126="",I126="Unknown",I126="Low")),"Confirmed reference lacks verification","OK — verify source"))))))</f>
        <v/>
      </c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8" t="n"/>
      <c r="K127" s="27" t="n"/>
      <c r="L127" s="27">
        <f>IF(COUNTA(A127:K127)=0,"",IF(A127="","Reference ID missing",IF(COUNTIF($A$4:$A$253,A127)&gt;1,"Duplicate reference ID",IF(OR(B127="",C127="",E127="",F127="",H127=""),"Type / source / owner missing",IF(AND(G127&lt;&gt;"",COUNTIF('System map'!$A$4:$A$203,G127)&lt;&gt;1),"Owning AIR-ID not reconciled",IF(AND(K127="Confirmed",OR(J127="",I127="",I127="Unknown",I127="Low")),"Confirmed reference lacks verification","OK — verify source"))))))</f>
        <v/>
      </c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6" t="n"/>
      <c r="K128" s="25" t="n"/>
      <c r="L128" s="25">
        <f>IF(COUNTA(A128:K128)=0,"",IF(A128="","Reference ID missing",IF(COUNTIF($A$4:$A$253,A128)&gt;1,"Duplicate reference ID",IF(OR(B128="",C128="",E128="",F128="",H128=""),"Type / source / owner missing",IF(AND(G128&lt;&gt;"",COUNTIF('System map'!$A$4:$A$203,G128)&lt;&gt;1),"Owning AIR-ID not reconciled",IF(AND(K128="Confirmed",OR(J128="",I128="",I128="Unknown",I128="Low")),"Confirmed reference lacks verification","OK — verify source"))))))</f>
        <v/>
      </c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8" t="n"/>
      <c r="K129" s="27" t="n"/>
      <c r="L129" s="27">
        <f>IF(COUNTA(A129:K129)=0,"",IF(A129="","Reference ID missing",IF(COUNTIF($A$4:$A$253,A129)&gt;1,"Duplicate reference ID",IF(OR(B129="",C129="",E129="",F129="",H129=""),"Type / source / owner missing",IF(AND(G129&lt;&gt;"",COUNTIF('System map'!$A$4:$A$203,G129)&lt;&gt;1),"Owning AIR-ID not reconciled",IF(AND(K129="Confirmed",OR(J129="",I129="",I129="Unknown",I129="Low")),"Confirmed reference lacks verification","OK — verify source"))))))</f>
        <v/>
      </c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6" t="n"/>
      <c r="K130" s="25" t="n"/>
      <c r="L130" s="25">
        <f>IF(COUNTA(A130:K130)=0,"",IF(A130="","Reference ID missing",IF(COUNTIF($A$4:$A$253,A130)&gt;1,"Duplicate reference ID",IF(OR(B130="",C130="",E130="",F130="",H130=""),"Type / source / owner missing",IF(AND(G130&lt;&gt;"",COUNTIF('System map'!$A$4:$A$203,G130)&lt;&gt;1),"Owning AIR-ID not reconciled",IF(AND(K130="Confirmed",OR(J130="",I130="",I130="Unknown",I130="Low")),"Confirmed reference lacks verification","OK — verify source"))))))</f>
        <v/>
      </c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8" t="n"/>
      <c r="K131" s="27" t="n"/>
      <c r="L131" s="27">
        <f>IF(COUNTA(A131:K131)=0,"",IF(A131="","Reference ID missing",IF(COUNTIF($A$4:$A$253,A131)&gt;1,"Duplicate reference ID",IF(OR(B131="",C131="",E131="",F131="",H131=""),"Type / source / owner missing",IF(AND(G131&lt;&gt;"",COUNTIF('System map'!$A$4:$A$203,G131)&lt;&gt;1),"Owning AIR-ID not reconciled",IF(AND(K131="Confirmed",OR(J131="",I131="",I131="Unknown",I131="Low")),"Confirmed reference lacks verification","OK — verify source"))))))</f>
        <v/>
      </c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6" t="n"/>
      <c r="K132" s="25" t="n"/>
      <c r="L132" s="25">
        <f>IF(COUNTA(A132:K132)=0,"",IF(A132="","Reference ID missing",IF(COUNTIF($A$4:$A$253,A132)&gt;1,"Duplicate reference ID",IF(OR(B132="",C132="",E132="",F132="",H132=""),"Type / source / owner missing",IF(AND(G132&lt;&gt;"",COUNTIF('System map'!$A$4:$A$203,G132)&lt;&gt;1),"Owning AIR-ID not reconciled",IF(AND(K132="Confirmed",OR(J132="",I132="",I132="Unknown",I132="Low")),"Confirmed reference lacks verification","OK — verify source"))))))</f>
        <v/>
      </c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8" t="n"/>
      <c r="K133" s="27" t="n"/>
      <c r="L133" s="27">
        <f>IF(COUNTA(A133:K133)=0,"",IF(A133="","Reference ID missing",IF(COUNTIF($A$4:$A$253,A133)&gt;1,"Duplicate reference ID",IF(OR(B133="",C133="",E133="",F133="",H133=""),"Type / source / owner missing",IF(AND(G133&lt;&gt;"",COUNTIF('System map'!$A$4:$A$203,G133)&lt;&gt;1),"Owning AIR-ID not reconciled",IF(AND(K133="Confirmed",OR(J133="",I133="",I133="Unknown",I133="Low")),"Confirmed reference lacks verification","OK — verify source"))))))</f>
        <v/>
      </c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6" t="n"/>
      <c r="K134" s="25" t="n"/>
      <c r="L134" s="25">
        <f>IF(COUNTA(A134:K134)=0,"",IF(A134="","Reference ID missing",IF(COUNTIF($A$4:$A$253,A134)&gt;1,"Duplicate reference ID",IF(OR(B134="",C134="",E134="",F134="",H134=""),"Type / source / owner missing",IF(AND(G134&lt;&gt;"",COUNTIF('System map'!$A$4:$A$203,G134)&lt;&gt;1),"Owning AIR-ID not reconciled",IF(AND(K134="Confirmed",OR(J134="",I134="",I134="Unknown",I134="Low")),"Confirmed reference lacks verification","OK — verify source"))))))</f>
        <v/>
      </c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8" t="n"/>
      <c r="K135" s="27" t="n"/>
      <c r="L135" s="27">
        <f>IF(COUNTA(A135:K135)=0,"",IF(A135="","Reference ID missing",IF(COUNTIF($A$4:$A$253,A135)&gt;1,"Duplicate reference ID",IF(OR(B135="",C135="",E135="",F135="",H135=""),"Type / source / owner missing",IF(AND(G135&lt;&gt;"",COUNTIF('System map'!$A$4:$A$203,G135)&lt;&gt;1),"Owning AIR-ID not reconciled",IF(AND(K135="Confirmed",OR(J135="",I135="",I135="Unknown",I135="Low")),"Confirmed reference lacks verification","OK — verify source"))))))</f>
        <v/>
      </c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6" t="n"/>
      <c r="K136" s="25" t="n"/>
      <c r="L136" s="25">
        <f>IF(COUNTA(A136:K136)=0,"",IF(A136="","Reference ID missing",IF(COUNTIF($A$4:$A$253,A136)&gt;1,"Duplicate reference ID",IF(OR(B136="",C136="",E136="",F136="",H136=""),"Type / source / owner missing",IF(AND(G136&lt;&gt;"",COUNTIF('System map'!$A$4:$A$203,G136)&lt;&gt;1),"Owning AIR-ID not reconciled",IF(AND(K136="Confirmed",OR(J136="",I136="",I136="Unknown",I136="Low")),"Confirmed reference lacks verification","OK — verify source"))))))</f>
        <v/>
      </c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8" t="n"/>
      <c r="K137" s="27" t="n"/>
      <c r="L137" s="27">
        <f>IF(COUNTA(A137:K137)=0,"",IF(A137="","Reference ID missing",IF(COUNTIF($A$4:$A$253,A137)&gt;1,"Duplicate reference ID",IF(OR(B137="",C137="",E137="",F137="",H137=""),"Type / source / owner missing",IF(AND(G137&lt;&gt;"",COUNTIF('System map'!$A$4:$A$203,G137)&lt;&gt;1),"Owning AIR-ID not reconciled",IF(AND(K137="Confirmed",OR(J137="",I137="",I137="Unknown",I137="Low")),"Confirmed reference lacks verification","OK — verify source"))))))</f>
        <v/>
      </c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6" t="n"/>
      <c r="K138" s="25" t="n"/>
      <c r="L138" s="25">
        <f>IF(COUNTA(A138:K138)=0,"",IF(A138="","Reference ID missing",IF(COUNTIF($A$4:$A$253,A138)&gt;1,"Duplicate reference ID",IF(OR(B138="",C138="",E138="",F138="",H138=""),"Type / source / owner missing",IF(AND(G138&lt;&gt;"",COUNTIF('System map'!$A$4:$A$203,G138)&lt;&gt;1),"Owning AIR-ID not reconciled",IF(AND(K138="Confirmed",OR(J138="",I138="",I138="Unknown",I138="Low")),"Confirmed reference lacks verification","OK — verify source"))))))</f>
        <v/>
      </c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8" t="n"/>
      <c r="K139" s="27" t="n"/>
      <c r="L139" s="27">
        <f>IF(COUNTA(A139:K139)=0,"",IF(A139="","Reference ID missing",IF(COUNTIF($A$4:$A$253,A139)&gt;1,"Duplicate reference ID",IF(OR(B139="",C139="",E139="",F139="",H139=""),"Type / source / owner missing",IF(AND(G139&lt;&gt;"",COUNTIF('System map'!$A$4:$A$203,G139)&lt;&gt;1),"Owning AIR-ID not reconciled",IF(AND(K139="Confirmed",OR(J139="",I139="",I139="Unknown",I139="Low")),"Confirmed reference lacks verification","OK — verify source"))))))</f>
        <v/>
      </c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6" t="n"/>
      <c r="K140" s="25" t="n"/>
      <c r="L140" s="25">
        <f>IF(COUNTA(A140:K140)=0,"",IF(A140="","Reference ID missing",IF(COUNTIF($A$4:$A$253,A140)&gt;1,"Duplicate reference ID",IF(OR(B140="",C140="",E140="",F140="",H140=""),"Type / source / owner missing",IF(AND(G140&lt;&gt;"",COUNTIF('System map'!$A$4:$A$203,G140)&lt;&gt;1),"Owning AIR-ID not reconciled",IF(AND(K140="Confirmed",OR(J140="",I140="",I140="Unknown",I140="Low")),"Confirmed reference lacks verification","OK — verify source"))))))</f>
        <v/>
      </c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8" t="n"/>
      <c r="K141" s="27" t="n"/>
      <c r="L141" s="27">
        <f>IF(COUNTA(A141:K141)=0,"",IF(A141="","Reference ID missing",IF(COUNTIF($A$4:$A$253,A141)&gt;1,"Duplicate reference ID",IF(OR(B141="",C141="",E141="",F141="",H141=""),"Type / source / owner missing",IF(AND(G141&lt;&gt;"",COUNTIF('System map'!$A$4:$A$203,G141)&lt;&gt;1),"Owning AIR-ID not reconciled",IF(AND(K141="Confirmed",OR(J141="",I141="",I141="Unknown",I141="Low")),"Confirmed reference lacks verification","OK — verify source"))))))</f>
        <v/>
      </c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6" t="n"/>
      <c r="K142" s="25" t="n"/>
      <c r="L142" s="25">
        <f>IF(COUNTA(A142:K142)=0,"",IF(A142="","Reference ID missing",IF(COUNTIF($A$4:$A$253,A142)&gt;1,"Duplicate reference ID",IF(OR(B142="",C142="",E142="",F142="",H142=""),"Type / source / owner missing",IF(AND(G142&lt;&gt;"",COUNTIF('System map'!$A$4:$A$203,G142)&lt;&gt;1),"Owning AIR-ID not reconciled",IF(AND(K142="Confirmed",OR(J142="",I142="",I142="Unknown",I142="Low")),"Confirmed reference lacks verification","OK — verify source"))))))</f>
        <v/>
      </c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8" t="n"/>
      <c r="K143" s="27" t="n"/>
      <c r="L143" s="27">
        <f>IF(COUNTA(A143:K143)=0,"",IF(A143="","Reference ID missing",IF(COUNTIF($A$4:$A$253,A143)&gt;1,"Duplicate reference ID",IF(OR(B143="",C143="",E143="",F143="",H143=""),"Type / source / owner missing",IF(AND(G143&lt;&gt;"",COUNTIF('System map'!$A$4:$A$203,G143)&lt;&gt;1),"Owning AIR-ID not reconciled",IF(AND(K143="Confirmed",OR(J143="",I143="",I143="Unknown",I143="Low")),"Confirmed reference lacks verification","OK — verify source"))))))</f>
        <v/>
      </c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6" t="n"/>
      <c r="K144" s="25" t="n"/>
      <c r="L144" s="25">
        <f>IF(COUNTA(A144:K144)=0,"",IF(A144="","Reference ID missing",IF(COUNTIF($A$4:$A$253,A144)&gt;1,"Duplicate reference ID",IF(OR(B144="",C144="",E144="",F144="",H144=""),"Type / source / owner missing",IF(AND(G144&lt;&gt;"",COUNTIF('System map'!$A$4:$A$203,G144)&lt;&gt;1),"Owning AIR-ID not reconciled",IF(AND(K144="Confirmed",OR(J144="",I144="",I144="Unknown",I144="Low")),"Confirmed reference lacks verification","OK — verify source"))))))</f>
        <v/>
      </c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8" t="n"/>
      <c r="K145" s="27" t="n"/>
      <c r="L145" s="27">
        <f>IF(COUNTA(A145:K145)=0,"",IF(A145="","Reference ID missing",IF(COUNTIF($A$4:$A$253,A145)&gt;1,"Duplicate reference ID",IF(OR(B145="",C145="",E145="",F145="",H145=""),"Type / source / owner missing",IF(AND(G145&lt;&gt;"",COUNTIF('System map'!$A$4:$A$203,G145)&lt;&gt;1),"Owning AIR-ID not reconciled",IF(AND(K145="Confirmed",OR(J145="",I145="",I145="Unknown",I145="Low")),"Confirmed reference lacks verification","OK — verify source"))))))</f>
        <v/>
      </c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6" t="n"/>
      <c r="K146" s="25" t="n"/>
      <c r="L146" s="25">
        <f>IF(COUNTA(A146:K146)=0,"",IF(A146="","Reference ID missing",IF(COUNTIF($A$4:$A$253,A146)&gt;1,"Duplicate reference ID",IF(OR(B146="",C146="",E146="",F146="",H146=""),"Type / source / owner missing",IF(AND(G146&lt;&gt;"",COUNTIF('System map'!$A$4:$A$203,G146)&lt;&gt;1),"Owning AIR-ID not reconciled",IF(AND(K146="Confirmed",OR(J146="",I146="",I146="Unknown",I146="Low")),"Confirmed reference lacks verification","OK — verify source"))))))</f>
        <v/>
      </c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8" t="n"/>
      <c r="K147" s="27" t="n"/>
      <c r="L147" s="27">
        <f>IF(COUNTA(A147:K147)=0,"",IF(A147="","Reference ID missing",IF(COUNTIF($A$4:$A$253,A147)&gt;1,"Duplicate reference ID",IF(OR(B147="",C147="",E147="",F147="",H147=""),"Type / source / owner missing",IF(AND(G147&lt;&gt;"",COUNTIF('System map'!$A$4:$A$203,G147)&lt;&gt;1),"Owning AIR-ID not reconciled",IF(AND(K147="Confirmed",OR(J147="",I147="",I147="Unknown",I147="Low")),"Confirmed reference lacks verification","OK — verify source"))))))</f>
        <v/>
      </c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6" t="n"/>
      <c r="K148" s="25" t="n"/>
      <c r="L148" s="25">
        <f>IF(COUNTA(A148:K148)=0,"",IF(A148="","Reference ID missing",IF(COUNTIF($A$4:$A$253,A148)&gt;1,"Duplicate reference ID",IF(OR(B148="",C148="",E148="",F148="",H148=""),"Type / source / owner missing",IF(AND(G148&lt;&gt;"",COUNTIF('System map'!$A$4:$A$203,G148)&lt;&gt;1),"Owning AIR-ID not reconciled",IF(AND(K148="Confirmed",OR(J148="",I148="",I148="Unknown",I148="Low")),"Confirmed reference lacks verification","OK — verify source"))))))</f>
        <v/>
      </c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8" t="n"/>
      <c r="K149" s="27" t="n"/>
      <c r="L149" s="27">
        <f>IF(COUNTA(A149:K149)=0,"",IF(A149="","Reference ID missing",IF(COUNTIF($A$4:$A$253,A149)&gt;1,"Duplicate reference ID",IF(OR(B149="",C149="",E149="",F149="",H149=""),"Type / source / owner missing",IF(AND(G149&lt;&gt;"",COUNTIF('System map'!$A$4:$A$203,G149)&lt;&gt;1),"Owning AIR-ID not reconciled",IF(AND(K149="Confirmed",OR(J149="",I149="",I149="Unknown",I149="Low")),"Confirmed reference lacks verification","OK — verify source"))))))</f>
        <v/>
      </c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6" t="n"/>
      <c r="K150" s="25" t="n"/>
      <c r="L150" s="25">
        <f>IF(COUNTA(A150:K150)=0,"",IF(A150="","Reference ID missing",IF(COUNTIF($A$4:$A$253,A150)&gt;1,"Duplicate reference ID",IF(OR(B150="",C150="",E150="",F150="",H150=""),"Type / source / owner missing",IF(AND(G150&lt;&gt;"",COUNTIF('System map'!$A$4:$A$203,G150)&lt;&gt;1),"Owning AIR-ID not reconciled",IF(AND(K150="Confirmed",OR(J150="",I150="",I150="Unknown",I150="Low")),"Confirmed reference lacks verification","OK — verify source"))))))</f>
        <v/>
      </c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8" t="n"/>
      <c r="K151" s="27" t="n"/>
      <c r="L151" s="27">
        <f>IF(COUNTA(A151:K151)=0,"",IF(A151="","Reference ID missing",IF(COUNTIF($A$4:$A$253,A151)&gt;1,"Duplicate reference ID",IF(OR(B151="",C151="",E151="",F151="",H151=""),"Type / source / owner missing",IF(AND(G151&lt;&gt;"",COUNTIF('System map'!$A$4:$A$203,G151)&lt;&gt;1),"Owning AIR-ID not reconciled",IF(AND(K151="Confirmed",OR(J151="",I151="",I151="Unknown",I151="Low")),"Confirmed reference lacks verification","OK — verify source"))))))</f>
        <v/>
      </c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6" t="n"/>
      <c r="K152" s="25" t="n"/>
      <c r="L152" s="25">
        <f>IF(COUNTA(A152:K152)=0,"",IF(A152="","Reference ID missing",IF(COUNTIF($A$4:$A$253,A152)&gt;1,"Duplicate reference ID",IF(OR(B152="",C152="",E152="",F152="",H152=""),"Type / source / owner missing",IF(AND(G152&lt;&gt;"",COUNTIF('System map'!$A$4:$A$203,G152)&lt;&gt;1),"Owning AIR-ID not reconciled",IF(AND(K152="Confirmed",OR(J152="",I152="",I152="Unknown",I152="Low")),"Confirmed reference lacks verification","OK — verify source"))))))</f>
        <v/>
      </c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8" t="n"/>
      <c r="K153" s="27" t="n"/>
      <c r="L153" s="27">
        <f>IF(COUNTA(A153:K153)=0,"",IF(A153="","Reference ID missing",IF(COUNTIF($A$4:$A$253,A153)&gt;1,"Duplicate reference ID",IF(OR(B153="",C153="",E153="",F153="",H153=""),"Type / source / owner missing",IF(AND(G153&lt;&gt;"",COUNTIF('System map'!$A$4:$A$203,G153)&lt;&gt;1),"Owning AIR-ID not reconciled",IF(AND(K153="Confirmed",OR(J153="",I153="",I153="Unknown",I153="Low")),"Confirmed reference lacks verification","OK — verify source"))))))</f>
        <v/>
      </c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6" t="n"/>
      <c r="K154" s="25" t="n"/>
      <c r="L154" s="25">
        <f>IF(COUNTA(A154:K154)=0,"",IF(A154="","Reference ID missing",IF(COUNTIF($A$4:$A$253,A154)&gt;1,"Duplicate reference ID",IF(OR(B154="",C154="",E154="",F154="",H154=""),"Type / source / owner missing",IF(AND(G154&lt;&gt;"",COUNTIF('System map'!$A$4:$A$203,G154)&lt;&gt;1),"Owning AIR-ID not reconciled",IF(AND(K154="Confirmed",OR(J154="",I154="",I154="Unknown",I154="Low")),"Confirmed reference lacks verification","OK — verify source"))))))</f>
        <v/>
      </c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8" t="n"/>
      <c r="K155" s="27" t="n"/>
      <c r="L155" s="27">
        <f>IF(COUNTA(A155:K155)=0,"",IF(A155="","Reference ID missing",IF(COUNTIF($A$4:$A$253,A155)&gt;1,"Duplicate reference ID",IF(OR(B155="",C155="",E155="",F155="",H155=""),"Type / source / owner missing",IF(AND(G155&lt;&gt;"",COUNTIF('System map'!$A$4:$A$203,G155)&lt;&gt;1),"Owning AIR-ID not reconciled",IF(AND(K155="Confirmed",OR(J155="",I155="",I155="Unknown",I155="Low")),"Confirmed reference lacks verification","OK — verify source"))))))</f>
        <v/>
      </c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6" t="n"/>
      <c r="K156" s="25" t="n"/>
      <c r="L156" s="25">
        <f>IF(COUNTA(A156:K156)=0,"",IF(A156="","Reference ID missing",IF(COUNTIF($A$4:$A$253,A156)&gt;1,"Duplicate reference ID",IF(OR(B156="",C156="",E156="",F156="",H156=""),"Type / source / owner missing",IF(AND(G156&lt;&gt;"",COUNTIF('System map'!$A$4:$A$203,G156)&lt;&gt;1),"Owning AIR-ID not reconciled",IF(AND(K156="Confirmed",OR(J156="",I156="",I156="Unknown",I156="Low")),"Confirmed reference lacks verification","OK — verify source"))))))</f>
        <v/>
      </c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8" t="n"/>
      <c r="K157" s="27" t="n"/>
      <c r="L157" s="27">
        <f>IF(COUNTA(A157:K157)=0,"",IF(A157="","Reference ID missing",IF(COUNTIF($A$4:$A$253,A157)&gt;1,"Duplicate reference ID",IF(OR(B157="",C157="",E157="",F157="",H157=""),"Type / source / owner missing",IF(AND(G157&lt;&gt;"",COUNTIF('System map'!$A$4:$A$203,G157)&lt;&gt;1),"Owning AIR-ID not reconciled",IF(AND(K157="Confirmed",OR(J157="",I157="",I157="Unknown",I157="Low")),"Confirmed reference lacks verification","OK — verify source"))))))</f>
        <v/>
      </c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6" t="n"/>
      <c r="K158" s="25" t="n"/>
      <c r="L158" s="25">
        <f>IF(COUNTA(A158:K158)=0,"",IF(A158="","Reference ID missing",IF(COUNTIF($A$4:$A$253,A158)&gt;1,"Duplicate reference ID",IF(OR(B158="",C158="",E158="",F158="",H158=""),"Type / source / owner missing",IF(AND(G158&lt;&gt;"",COUNTIF('System map'!$A$4:$A$203,G158)&lt;&gt;1),"Owning AIR-ID not reconciled",IF(AND(K158="Confirmed",OR(J158="",I158="",I158="Unknown",I158="Low")),"Confirmed reference lacks verification","OK — verify source"))))))</f>
        <v/>
      </c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8" t="n"/>
      <c r="K159" s="27" t="n"/>
      <c r="L159" s="27">
        <f>IF(COUNTA(A159:K159)=0,"",IF(A159="","Reference ID missing",IF(COUNTIF($A$4:$A$253,A159)&gt;1,"Duplicate reference ID",IF(OR(B159="",C159="",E159="",F159="",H159=""),"Type / source / owner missing",IF(AND(G159&lt;&gt;"",COUNTIF('System map'!$A$4:$A$203,G159)&lt;&gt;1),"Owning AIR-ID not reconciled",IF(AND(K159="Confirmed",OR(J159="",I159="",I159="Unknown",I159="Low")),"Confirmed reference lacks verification","OK — verify source"))))))</f>
        <v/>
      </c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6" t="n"/>
      <c r="K160" s="25" t="n"/>
      <c r="L160" s="25">
        <f>IF(COUNTA(A160:K160)=0,"",IF(A160="","Reference ID missing",IF(COUNTIF($A$4:$A$253,A160)&gt;1,"Duplicate reference ID",IF(OR(B160="",C160="",E160="",F160="",H160=""),"Type / source / owner missing",IF(AND(G160&lt;&gt;"",COUNTIF('System map'!$A$4:$A$203,G160)&lt;&gt;1),"Owning AIR-ID not reconciled",IF(AND(K160="Confirmed",OR(J160="",I160="",I160="Unknown",I160="Low")),"Confirmed reference lacks verification","OK — verify source"))))))</f>
        <v/>
      </c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8" t="n"/>
      <c r="K161" s="27" t="n"/>
      <c r="L161" s="27">
        <f>IF(COUNTA(A161:K161)=0,"",IF(A161="","Reference ID missing",IF(COUNTIF($A$4:$A$253,A161)&gt;1,"Duplicate reference ID",IF(OR(B161="",C161="",E161="",F161="",H161=""),"Type / source / owner missing",IF(AND(G161&lt;&gt;"",COUNTIF('System map'!$A$4:$A$203,G161)&lt;&gt;1),"Owning AIR-ID not reconciled",IF(AND(K161="Confirmed",OR(J161="",I161="",I161="Unknown",I161="Low")),"Confirmed reference lacks verification","OK — verify source"))))))</f>
        <v/>
      </c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6" t="n"/>
      <c r="K162" s="25" t="n"/>
      <c r="L162" s="25">
        <f>IF(COUNTA(A162:K162)=0,"",IF(A162="","Reference ID missing",IF(COUNTIF($A$4:$A$253,A162)&gt;1,"Duplicate reference ID",IF(OR(B162="",C162="",E162="",F162="",H162=""),"Type / source / owner missing",IF(AND(G162&lt;&gt;"",COUNTIF('System map'!$A$4:$A$203,G162)&lt;&gt;1),"Owning AIR-ID not reconciled",IF(AND(K162="Confirmed",OR(J162="",I162="",I162="Unknown",I162="Low")),"Confirmed reference lacks verification","OK — verify source"))))))</f>
        <v/>
      </c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8" t="n"/>
      <c r="K163" s="27" t="n"/>
      <c r="L163" s="27">
        <f>IF(COUNTA(A163:K163)=0,"",IF(A163="","Reference ID missing",IF(COUNTIF($A$4:$A$253,A163)&gt;1,"Duplicate reference ID",IF(OR(B163="",C163="",E163="",F163="",H163=""),"Type / source / owner missing",IF(AND(G163&lt;&gt;"",COUNTIF('System map'!$A$4:$A$203,G163)&lt;&gt;1),"Owning AIR-ID not reconciled",IF(AND(K163="Confirmed",OR(J163="",I163="",I163="Unknown",I163="Low")),"Confirmed reference lacks verification","OK — verify source"))))))</f>
        <v/>
      </c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6" t="n"/>
      <c r="K164" s="25" t="n"/>
      <c r="L164" s="25">
        <f>IF(COUNTA(A164:K164)=0,"",IF(A164="","Reference ID missing",IF(COUNTIF($A$4:$A$253,A164)&gt;1,"Duplicate reference ID",IF(OR(B164="",C164="",E164="",F164="",H164=""),"Type / source / owner missing",IF(AND(G164&lt;&gt;"",COUNTIF('System map'!$A$4:$A$203,G164)&lt;&gt;1),"Owning AIR-ID not reconciled",IF(AND(K164="Confirmed",OR(J164="",I164="",I164="Unknown",I164="Low")),"Confirmed reference lacks verification","OK — verify source"))))))</f>
        <v/>
      </c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8" t="n"/>
      <c r="K165" s="27" t="n"/>
      <c r="L165" s="27">
        <f>IF(COUNTA(A165:K165)=0,"",IF(A165="","Reference ID missing",IF(COUNTIF($A$4:$A$253,A165)&gt;1,"Duplicate reference ID",IF(OR(B165="",C165="",E165="",F165="",H165=""),"Type / source / owner missing",IF(AND(G165&lt;&gt;"",COUNTIF('System map'!$A$4:$A$203,G165)&lt;&gt;1),"Owning AIR-ID not reconciled",IF(AND(K165="Confirmed",OR(J165="",I165="",I165="Unknown",I165="Low")),"Confirmed reference lacks verification","OK — verify source"))))))</f>
        <v/>
      </c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6" t="n"/>
      <c r="K166" s="25" t="n"/>
      <c r="L166" s="25">
        <f>IF(COUNTA(A166:K166)=0,"",IF(A166="","Reference ID missing",IF(COUNTIF($A$4:$A$253,A166)&gt;1,"Duplicate reference ID",IF(OR(B166="",C166="",E166="",F166="",H166=""),"Type / source / owner missing",IF(AND(G166&lt;&gt;"",COUNTIF('System map'!$A$4:$A$203,G166)&lt;&gt;1),"Owning AIR-ID not reconciled",IF(AND(K166="Confirmed",OR(J166="",I166="",I166="Unknown",I166="Low")),"Confirmed reference lacks verification","OK — verify source"))))))</f>
        <v/>
      </c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8" t="n"/>
      <c r="K167" s="27" t="n"/>
      <c r="L167" s="27">
        <f>IF(COUNTA(A167:K167)=0,"",IF(A167="","Reference ID missing",IF(COUNTIF($A$4:$A$253,A167)&gt;1,"Duplicate reference ID",IF(OR(B167="",C167="",E167="",F167="",H167=""),"Type / source / owner missing",IF(AND(G167&lt;&gt;"",COUNTIF('System map'!$A$4:$A$203,G167)&lt;&gt;1),"Owning AIR-ID not reconciled",IF(AND(K167="Confirmed",OR(J167="",I167="",I167="Unknown",I167="Low")),"Confirmed reference lacks verification","OK — verify source"))))))</f>
        <v/>
      </c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6" t="n"/>
      <c r="K168" s="25" t="n"/>
      <c r="L168" s="25">
        <f>IF(COUNTA(A168:K168)=0,"",IF(A168="","Reference ID missing",IF(COUNTIF($A$4:$A$253,A168)&gt;1,"Duplicate reference ID",IF(OR(B168="",C168="",E168="",F168="",H168=""),"Type / source / owner missing",IF(AND(G168&lt;&gt;"",COUNTIF('System map'!$A$4:$A$203,G168)&lt;&gt;1),"Owning AIR-ID not reconciled",IF(AND(K168="Confirmed",OR(J168="",I168="",I168="Unknown",I168="Low")),"Confirmed reference lacks verification","OK — verify source"))))))</f>
        <v/>
      </c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8" t="n"/>
      <c r="K169" s="27" t="n"/>
      <c r="L169" s="27">
        <f>IF(COUNTA(A169:K169)=0,"",IF(A169="","Reference ID missing",IF(COUNTIF($A$4:$A$253,A169)&gt;1,"Duplicate reference ID",IF(OR(B169="",C169="",E169="",F169="",H169=""),"Type / source / owner missing",IF(AND(G169&lt;&gt;"",COUNTIF('System map'!$A$4:$A$203,G169)&lt;&gt;1),"Owning AIR-ID not reconciled",IF(AND(K169="Confirmed",OR(J169="",I169="",I169="Unknown",I169="Low")),"Confirmed reference lacks verification","OK — verify source"))))))</f>
        <v/>
      </c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6" t="n"/>
      <c r="K170" s="25" t="n"/>
      <c r="L170" s="25">
        <f>IF(COUNTA(A170:K170)=0,"",IF(A170="","Reference ID missing",IF(COUNTIF($A$4:$A$253,A170)&gt;1,"Duplicate reference ID",IF(OR(B170="",C170="",E170="",F170="",H170=""),"Type / source / owner missing",IF(AND(G170&lt;&gt;"",COUNTIF('System map'!$A$4:$A$203,G170)&lt;&gt;1),"Owning AIR-ID not reconciled",IF(AND(K170="Confirmed",OR(J170="",I170="",I170="Unknown",I170="Low")),"Confirmed reference lacks verification","OK — verify source"))))))</f>
        <v/>
      </c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8" t="n"/>
      <c r="K171" s="27" t="n"/>
      <c r="L171" s="27">
        <f>IF(COUNTA(A171:K171)=0,"",IF(A171="","Reference ID missing",IF(COUNTIF($A$4:$A$253,A171)&gt;1,"Duplicate reference ID",IF(OR(B171="",C171="",E171="",F171="",H171=""),"Type / source / owner missing",IF(AND(G171&lt;&gt;"",COUNTIF('System map'!$A$4:$A$203,G171)&lt;&gt;1),"Owning AIR-ID not reconciled",IF(AND(K171="Confirmed",OR(J171="",I171="",I171="Unknown",I171="Low")),"Confirmed reference lacks verification","OK — verify source"))))))</f>
        <v/>
      </c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6" t="n"/>
      <c r="K172" s="25" t="n"/>
      <c r="L172" s="25">
        <f>IF(COUNTA(A172:K172)=0,"",IF(A172="","Reference ID missing",IF(COUNTIF($A$4:$A$253,A172)&gt;1,"Duplicate reference ID",IF(OR(B172="",C172="",E172="",F172="",H172=""),"Type / source / owner missing",IF(AND(G172&lt;&gt;"",COUNTIF('System map'!$A$4:$A$203,G172)&lt;&gt;1),"Owning AIR-ID not reconciled",IF(AND(K172="Confirmed",OR(J172="",I172="",I172="Unknown",I172="Low")),"Confirmed reference lacks verification","OK — verify source"))))))</f>
        <v/>
      </c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8" t="n"/>
      <c r="K173" s="27" t="n"/>
      <c r="L173" s="27">
        <f>IF(COUNTA(A173:K173)=0,"",IF(A173="","Reference ID missing",IF(COUNTIF($A$4:$A$253,A173)&gt;1,"Duplicate reference ID",IF(OR(B173="",C173="",E173="",F173="",H173=""),"Type / source / owner missing",IF(AND(G173&lt;&gt;"",COUNTIF('System map'!$A$4:$A$203,G173)&lt;&gt;1),"Owning AIR-ID not reconciled",IF(AND(K173="Confirmed",OR(J173="",I173="",I173="Unknown",I173="Low")),"Confirmed reference lacks verification","OK — verify source"))))))</f>
        <v/>
      </c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6" t="n"/>
      <c r="K174" s="25" t="n"/>
      <c r="L174" s="25">
        <f>IF(COUNTA(A174:K174)=0,"",IF(A174="","Reference ID missing",IF(COUNTIF($A$4:$A$253,A174)&gt;1,"Duplicate reference ID",IF(OR(B174="",C174="",E174="",F174="",H174=""),"Type / source / owner missing",IF(AND(G174&lt;&gt;"",COUNTIF('System map'!$A$4:$A$203,G174)&lt;&gt;1),"Owning AIR-ID not reconciled",IF(AND(K174="Confirmed",OR(J174="",I174="",I174="Unknown",I174="Low")),"Confirmed reference lacks verification","OK — verify source"))))))</f>
        <v/>
      </c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8" t="n"/>
      <c r="K175" s="27" t="n"/>
      <c r="L175" s="27">
        <f>IF(COUNTA(A175:K175)=0,"",IF(A175="","Reference ID missing",IF(COUNTIF($A$4:$A$253,A175)&gt;1,"Duplicate reference ID",IF(OR(B175="",C175="",E175="",F175="",H175=""),"Type / source / owner missing",IF(AND(G175&lt;&gt;"",COUNTIF('System map'!$A$4:$A$203,G175)&lt;&gt;1),"Owning AIR-ID not reconciled",IF(AND(K175="Confirmed",OR(J175="",I175="",I175="Unknown",I175="Low")),"Confirmed reference lacks verification","OK — verify source"))))))</f>
        <v/>
      </c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6" t="n"/>
      <c r="K176" s="25" t="n"/>
      <c r="L176" s="25">
        <f>IF(COUNTA(A176:K176)=0,"",IF(A176="","Reference ID missing",IF(COUNTIF($A$4:$A$253,A176)&gt;1,"Duplicate reference ID",IF(OR(B176="",C176="",E176="",F176="",H176=""),"Type / source / owner missing",IF(AND(G176&lt;&gt;"",COUNTIF('System map'!$A$4:$A$203,G176)&lt;&gt;1),"Owning AIR-ID not reconciled",IF(AND(K176="Confirmed",OR(J176="",I176="",I176="Unknown",I176="Low")),"Confirmed reference lacks verification","OK — verify source"))))))</f>
        <v/>
      </c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8" t="n"/>
      <c r="K177" s="27" t="n"/>
      <c r="L177" s="27">
        <f>IF(COUNTA(A177:K177)=0,"",IF(A177="","Reference ID missing",IF(COUNTIF($A$4:$A$253,A177)&gt;1,"Duplicate reference ID",IF(OR(B177="",C177="",E177="",F177="",H177=""),"Type / source / owner missing",IF(AND(G177&lt;&gt;"",COUNTIF('System map'!$A$4:$A$203,G177)&lt;&gt;1),"Owning AIR-ID not reconciled",IF(AND(K177="Confirmed",OR(J177="",I177="",I177="Unknown",I177="Low")),"Confirmed reference lacks verification","OK — verify source"))))))</f>
        <v/>
      </c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6" t="n"/>
      <c r="K178" s="25" t="n"/>
      <c r="L178" s="25">
        <f>IF(COUNTA(A178:K178)=0,"",IF(A178="","Reference ID missing",IF(COUNTIF($A$4:$A$253,A178)&gt;1,"Duplicate reference ID",IF(OR(B178="",C178="",E178="",F178="",H178=""),"Type / source / owner missing",IF(AND(G178&lt;&gt;"",COUNTIF('System map'!$A$4:$A$203,G178)&lt;&gt;1),"Owning AIR-ID not reconciled",IF(AND(K178="Confirmed",OR(J178="",I178="",I178="Unknown",I178="Low")),"Confirmed reference lacks verification","OK — verify source"))))))</f>
        <v/>
      </c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8" t="n"/>
      <c r="K179" s="27" t="n"/>
      <c r="L179" s="27">
        <f>IF(COUNTA(A179:K179)=0,"",IF(A179="","Reference ID missing",IF(COUNTIF($A$4:$A$253,A179)&gt;1,"Duplicate reference ID",IF(OR(B179="",C179="",E179="",F179="",H179=""),"Type / source / owner missing",IF(AND(G179&lt;&gt;"",COUNTIF('System map'!$A$4:$A$203,G179)&lt;&gt;1),"Owning AIR-ID not reconciled",IF(AND(K179="Confirmed",OR(J179="",I179="",I179="Unknown",I179="Low")),"Confirmed reference lacks verification","OK — verify source"))))))</f>
        <v/>
      </c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6" t="n"/>
      <c r="K180" s="25" t="n"/>
      <c r="L180" s="25">
        <f>IF(COUNTA(A180:K180)=0,"",IF(A180="","Reference ID missing",IF(COUNTIF($A$4:$A$253,A180)&gt;1,"Duplicate reference ID",IF(OR(B180="",C180="",E180="",F180="",H180=""),"Type / source / owner missing",IF(AND(G180&lt;&gt;"",COUNTIF('System map'!$A$4:$A$203,G180)&lt;&gt;1),"Owning AIR-ID not reconciled",IF(AND(K180="Confirmed",OR(J180="",I180="",I180="Unknown",I180="Low")),"Confirmed reference lacks verification","OK — verify source"))))))</f>
        <v/>
      </c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8" t="n"/>
      <c r="K181" s="27" t="n"/>
      <c r="L181" s="27">
        <f>IF(COUNTA(A181:K181)=0,"",IF(A181="","Reference ID missing",IF(COUNTIF($A$4:$A$253,A181)&gt;1,"Duplicate reference ID",IF(OR(B181="",C181="",E181="",F181="",H181=""),"Type / source / owner missing",IF(AND(G181&lt;&gt;"",COUNTIF('System map'!$A$4:$A$203,G181)&lt;&gt;1),"Owning AIR-ID not reconciled",IF(AND(K181="Confirmed",OR(J181="",I181="",I181="Unknown",I181="Low")),"Confirmed reference lacks verification","OK — verify source"))))))</f>
        <v/>
      </c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6" t="n"/>
      <c r="K182" s="25" t="n"/>
      <c r="L182" s="25">
        <f>IF(COUNTA(A182:K182)=0,"",IF(A182="","Reference ID missing",IF(COUNTIF($A$4:$A$253,A182)&gt;1,"Duplicate reference ID",IF(OR(B182="",C182="",E182="",F182="",H182=""),"Type / source / owner missing",IF(AND(G182&lt;&gt;"",COUNTIF('System map'!$A$4:$A$203,G182)&lt;&gt;1),"Owning AIR-ID not reconciled",IF(AND(K182="Confirmed",OR(J182="",I182="",I182="Unknown",I182="Low")),"Confirmed reference lacks verification","OK — verify source"))))))</f>
        <v/>
      </c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8" t="n"/>
      <c r="K183" s="27" t="n"/>
      <c r="L183" s="27">
        <f>IF(COUNTA(A183:K183)=0,"",IF(A183="","Reference ID missing",IF(COUNTIF($A$4:$A$253,A183)&gt;1,"Duplicate reference ID",IF(OR(B183="",C183="",E183="",F183="",H183=""),"Type / source / owner missing",IF(AND(G183&lt;&gt;"",COUNTIF('System map'!$A$4:$A$203,G183)&lt;&gt;1),"Owning AIR-ID not reconciled",IF(AND(K183="Confirmed",OR(J183="",I183="",I183="Unknown",I183="Low")),"Confirmed reference lacks verification","OK — verify source"))))))</f>
        <v/>
      </c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6" t="n"/>
      <c r="K184" s="25" t="n"/>
      <c r="L184" s="25">
        <f>IF(COUNTA(A184:K184)=0,"",IF(A184="","Reference ID missing",IF(COUNTIF($A$4:$A$253,A184)&gt;1,"Duplicate reference ID",IF(OR(B184="",C184="",E184="",F184="",H184=""),"Type / source / owner missing",IF(AND(G184&lt;&gt;"",COUNTIF('System map'!$A$4:$A$203,G184)&lt;&gt;1),"Owning AIR-ID not reconciled",IF(AND(K184="Confirmed",OR(J184="",I184="",I184="Unknown",I184="Low")),"Confirmed reference lacks verification","OK — verify source"))))))</f>
        <v/>
      </c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8" t="n"/>
      <c r="K185" s="27" t="n"/>
      <c r="L185" s="27">
        <f>IF(COUNTA(A185:K185)=0,"",IF(A185="","Reference ID missing",IF(COUNTIF($A$4:$A$253,A185)&gt;1,"Duplicate reference ID",IF(OR(B185="",C185="",E185="",F185="",H185=""),"Type / source / owner missing",IF(AND(G185&lt;&gt;"",COUNTIF('System map'!$A$4:$A$203,G185)&lt;&gt;1),"Owning AIR-ID not reconciled",IF(AND(K185="Confirmed",OR(J185="",I185="",I185="Unknown",I185="Low")),"Confirmed reference lacks verification","OK — verify source"))))))</f>
        <v/>
      </c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6" t="n"/>
      <c r="K186" s="25" t="n"/>
      <c r="L186" s="25">
        <f>IF(COUNTA(A186:K186)=0,"",IF(A186="","Reference ID missing",IF(COUNTIF($A$4:$A$253,A186)&gt;1,"Duplicate reference ID",IF(OR(B186="",C186="",E186="",F186="",H186=""),"Type / source / owner missing",IF(AND(G186&lt;&gt;"",COUNTIF('System map'!$A$4:$A$203,G186)&lt;&gt;1),"Owning AIR-ID not reconciled",IF(AND(K186="Confirmed",OR(J186="",I186="",I186="Unknown",I186="Low")),"Confirmed reference lacks verification","OK — verify source"))))))</f>
        <v/>
      </c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8" t="n"/>
      <c r="K187" s="27" t="n"/>
      <c r="L187" s="27">
        <f>IF(COUNTA(A187:K187)=0,"",IF(A187="","Reference ID missing",IF(COUNTIF($A$4:$A$253,A187)&gt;1,"Duplicate reference ID",IF(OR(B187="",C187="",E187="",F187="",H187=""),"Type / source / owner missing",IF(AND(G187&lt;&gt;"",COUNTIF('System map'!$A$4:$A$203,G187)&lt;&gt;1),"Owning AIR-ID not reconciled",IF(AND(K187="Confirmed",OR(J187="",I187="",I187="Unknown",I187="Low")),"Confirmed reference lacks verification","OK — verify source"))))))</f>
        <v/>
      </c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6" t="n"/>
      <c r="K188" s="25" t="n"/>
      <c r="L188" s="25">
        <f>IF(COUNTA(A188:K188)=0,"",IF(A188="","Reference ID missing",IF(COUNTIF($A$4:$A$253,A188)&gt;1,"Duplicate reference ID",IF(OR(B188="",C188="",E188="",F188="",H188=""),"Type / source / owner missing",IF(AND(G188&lt;&gt;"",COUNTIF('System map'!$A$4:$A$203,G188)&lt;&gt;1),"Owning AIR-ID not reconciled",IF(AND(K188="Confirmed",OR(J188="",I188="",I188="Unknown",I188="Low")),"Confirmed reference lacks verification","OK — verify source"))))))</f>
        <v/>
      </c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8" t="n"/>
      <c r="K189" s="27" t="n"/>
      <c r="L189" s="27">
        <f>IF(COUNTA(A189:K189)=0,"",IF(A189="","Reference ID missing",IF(COUNTIF($A$4:$A$253,A189)&gt;1,"Duplicate reference ID",IF(OR(B189="",C189="",E189="",F189="",H189=""),"Type / source / owner missing",IF(AND(G189&lt;&gt;"",COUNTIF('System map'!$A$4:$A$203,G189)&lt;&gt;1),"Owning AIR-ID not reconciled",IF(AND(K189="Confirmed",OR(J189="",I189="",I189="Unknown",I189="Low")),"Confirmed reference lacks verification","OK — verify source"))))))</f>
        <v/>
      </c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6" t="n"/>
      <c r="K190" s="25" t="n"/>
      <c r="L190" s="25">
        <f>IF(COUNTA(A190:K190)=0,"",IF(A190="","Reference ID missing",IF(COUNTIF($A$4:$A$253,A190)&gt;1,"Duplicate reference ID",IF(OR(B190="",C190="",E190="",F190="",H190=""),"Type / source / owner missing",IF(AND(G190&lt;&gt;"",COUNTIF('System map'!$A$4:$A$203,G190)&lt;&gt;1),"Owning AIR-ID not reconciled",IF(AND(K190="Confirmed",OR(J190="",I190="",I190="Unknown",I190="Low")),"Confirmed reference lacks verification","OK — verify source"))))))</f>
        <v/>
      </c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8" t="n"/>
      <c r="K191" s="27" t="n"/>
      <c r="L191" s="27">
        <f>IF(COUNTA(A191:K191)=0,"",IF(A191="","Reference ID missing",IF(COUNTIF($A$4:$A$253,A191)&gt;1,"Duplicate reference ID",IF(OR(B191="",C191="",E191="",F191="",H191=""),"Type / source / owner missing",IF(AND(G191&lt;&gt;"",COUNTIF('System map'!$A$4:$A$203,G191)&lt;&gt;1),"Owning AIR-ID not reconciled",IF(AND(K191="Confirmed",OR(J191="",I191="",I191="Unknown",I191="Low")),"Confirmed reference lacks verification","OK — verify source"))))))</f>
        <v/>
      </c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6" t="n"/>
      <c r="K192" s="25" t="n"/>
      <c r="L192" s="25">
        <f>IF(COUNTA(A192:K192)=0,"",IF(A192="","Reference ID missing",IF(COUNTIF($A$4:$A$253,A192)&gt;1,"Duplicate reference ID",IF(OR(B192="",C192="",E192="",F192="",H192=""),"Type / source / owner missing",IF(AND(G192&lt;&gt;"",COUNTIF('System map'!$A$4:$A$203,G192)&lt;&gt;1),"Owning AIR-ID not reconciled",IF(AND(K192="Confirmed",OR(J192="",I192="",I192="Unknown",I192="Low")),"Confirmed reference lacks verification","OK — verify source"))))))</f>
        <v/>
      </c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8" t="n"/>
      <c r="K193" s="27" t="n"/>
      <c r="L193" s="27">
        <f>IF(COUNTA(A193:K193)=0,"",IF(A193="","Reference ID missing",IF(COUNTIF($A$4:$A$253,A193)&gt;1,"Duplicate reference ID",IF(OR(B193="",C193="",E193="",F193="",H193=""),"Type / source / owner missing",IF(AND(G193&lt;&gt;"",COUNTIF('System map'!$A$4:$A$203,G193)&lt;&gt;1),"Owning AIR-ID not reconciled",IF(AND(K193="Confirmed",OR(J193="",I193="",I193="Unknown",I193="Low")),"Confirmed reference lacks verification","OK — verify source"))))))</f>
        <v/>
      </c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6" t="n"/>
      <c r="K194" s="25" t="n"/>
      <c r="L194" s="25">
        <f>IF(COUNTA(A194:K194)=0,"",IF(A194="","Reference ID missing",IF(COUNTIF($A$4:$A$253,A194)&gt;1,"Duplicate reference ID",IF(OR(B194="",C194="",E194="",F194="",H194=""),"Type / source / owner missing",IF(AND(G194&lt;&gt;"",COUNTIF('System map'!$A$4:$A$203,G194)&lt;&gt;1),"Owning AIR-ID not reconciled",IF(AND(K194="Confirmed",OR(J194="",I194="",I194="Unknown",I194="Low")),"Confirmed reference lacks verification","OK — verify source"))))))</f>
        <v/>
      </c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8" t="n"/>
      <c r="K195" s="27" t="n"/>
      <c r="L195" s="27">
        <f>IF(COUNTA(A195:K195)=0,"",IF(A195="","Reference ID missing",IF(COUNTIF($A$4:$A$253,A195)&gt;1,"Duplicate reference ID",IF(OR(B195="",C195="",E195="",F195="",H195=""),"Type / source / owner missing",IF(AND(G195&lt;&gt;"",COUNTIF('System map'!$A$4:$A$203,G195)&lt;&gt;1),"Owning AIR-ID not reconciled",IF(AND(K195="Confirmed",OR(J195="",I195="",I195="Unknown",I195="Low")),"Confirmed reference lacks verification","OK — verify source"))))))</f>
        <v/>
      </c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6" t="n"/>
      <c r="K196" s="25" t="n"/>
      <c r="L196" s="25">
        <f>IF(COUNTA(A196:K196)=0,"",IF(A196="","Reference ID missing",IF(COUNTIF($A$4:$A$253,A196)&gt;1,"Duplicate reference ID",IF(OR(B196="",C196="",E196="",F196="",H196=""),"Type / source / owner missing",IF(AND(G196&lt;&gt;"",COUNTIF('System map'!$A$4:$A$203,G196)&lt;&gt;1),"Owning AIR-ID not reconciled",IF(AND(K196="Confirmed",OR(J196="",I196="",I196="Unknown",I196="Low")),"Confirmed reference lacks verification","OK — verify source"))))))</f>
        <v/>
      </c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8" t="n"/>
      <c r="K197" s="27" t="n"/>
      <c r="L197" s="27">
        <f>IF(COUNTA(A197:K197)=0,"",IF(A197="","Reference ID missing",IF(COUNTIF($A$4:$A$253,A197)&gt;1,"Duplicate reference ID",IF(OR(B197="",C197="",E197="",F197="",H197=""),"Type / source / owner missing",IF(AND(G197&lt;&gt;"",COUNTIF('System map'!$A$4:$A$203,G197)&lt;&gt;1),"Owning AIR-ID not reconciled",IF(AND(K197="Confirmed",OR(J197="",I197="",I197="Unknown",I197="Low")),"Confirmed reference lacks verification","OK — verify source"))))))</f>
        <v/>
      </c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6" t="n"/>
      <c r="K198" s="25" t="n"/>
      <c r="L198" s="25">
        <f>IF(COUNTA(A198:K198)=0,"",IF(A198="","Reference ID missing",IF(COUNTIF($A$4:$A$253,A198)&gt;1,"Duplicate reference ID",IF(OR(B198="",C198="",E198="",F198="",H198=""),"Type / source / owner missing",IF(AND(G198&lt;&gt;"",COUNTIF('System map'!$A$4:$A$203,G198)&lt;&gt;1),"Owning AIR-ID not reconciled",IF(AND(K198="Confirmed",OR(J198="",I198="",I198="Unknown",I198="Low")),"Confirmed reference lacks verification","OK — verify source"))))))</f>
        <v/>
      </c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8" t="n"/>
      <c r="K199" s="27" t="n"/>
      <c r="L199" s="27">
        <f>IF(COUNTA(A199:K199)=0,"",IF(A199="","Reference ID missing",IF(COUNTIF($A$4:$A$253,A199)&gt;1,"Duplicate reference ID",IF(OR(B199="",C199="",E199="",F199="",H199=""),"Type / source / owner missing",IF(AND(G199&lt;&gt;"",COUNTIF('System map'!$A$4:$A$203,G199)&lt;&gt;1),"Owning AIR-ID not reconciled",IF(AND(K199="Confirmed",OR(J199="",I199="",I199="Unknown",I199="Low")),"Confirmed reference lacks verification","OK — verify source"))))))</f>
        <v/>
      </c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6" t="n"/>
      <c r="K200" s="25" t="n"/>
      <c r="L200" s="25">
        <f>IF(COUNTA(A200:K200)=0,"",IF(A200="","Reference ID missing",IF(COUNTIF($A$4:$A$253,A200)&gt;1,"Duplicate reference ID",IF(OR(B200="",C200="",E200="",F200="",H200=""),"Type / source / owner missing",IF(AND(G200&lt;&gt;"",COUNTIF('System map'!$A$4:$A$203,G200)&lt;&gt;1),"Owning AIR-ID not reconciled",IF(AND(K200="Confirmed",OR(J200="",I200="",I200="Unknown",I200="Low")),"Confirmed reference lacks verification","OK — verify source"))))))</f>
        <v/>
      </c>
    </row>
    <row r="201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8" t="n"/>
      <c r="K201" s="27" t="n"/>
      <c r="L201" s="27">
        <f>IF(COUNTA(A201:K201)=0,"",IF(A201="","Reference ID missing",IF(COUNTIF($A$4:$A$253,A201)&gt;1,"Duplicate reference ID",IF(OR(B201="",C201="",E201="",F201="",H201=""),"Type / source / owner missing",IF(AND(G201&lt;&gt;"",COUNTIF('System map'!$A$4:$A$203,G201)&lt;&gt;1),"Owning AIR-ID not reconciled",IF(AND(K201="Confirmed",OR(J201="",I201="",I201="Unknown",I201="Low")),"Confirmed reference lacks verification","OK — verify source"))))))</f>
        <v/>
      </c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6" t="n"/>
      <c r="K202" s="25" t="n"/>
      <c r="L202" s="25">
        <f>IF(COUNTA(A202:K202)=0,"",IF(A202="","Reference ID missing",IF(COUNTIF($A$4:$A$253,A202)&gt;1,"Duplicate reference ID",IF(OR(B202="",C202="",E202="",F202="",H202=""),"Type / source / owner missing",IF(AND(G202&lt;&gt;"",COUNTIF('System map'!$A$4:$A$203,G202)&lt;&gt;1),"Owning AIR-ID not reconciled",IF(AND(K202="Confirmed",OR(J202="",I202="",I202="Unknown",I202="Low")),"Confirmed reference lacks verification","OK — verify source"))))))</f>
        <v/>
      </c>
    </row>
    <row r="203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8" t="n"/>
      <c r="K203" s="27" t="n"/>
      <c r="L203" s="27">
        <f>IF(COUNTA(A203:K203)=0,"",IF(A203="","Reference ID missing",IF(COUNTIF($A$4:$A$253,A203)&gt;1,"Duplicate reference ID",IF(OR(B203="",C203="",E203="",F203="",H203=""),"Type / source / owner missing",IF(AND(G203&lt;&gt;"",COUNTIF('System map'!$A$4:$A$203,G203)&lt;&gt;1),"Owning AIR-ID not reconciled",IF(AND(K203="Confirmed",OR(J203="",I203="",I203="Unknown",I203="Low")),"Confirmed reference lacks verification","OK — verify source"))))))</f>
        <v/>
      </c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6" t="n"/>
      <c r="K204" s="25" t="n"/>
      <c r="L204" s="25">
        <f>IF(COUNTA(A204:K204)=0,"",IF(A204="","Reference ID missing",IF(COUNTIF($A$4:$A$253,A204)&gt;1,"Duplicate reference ID",IF(OR(B204="",C204="",E204="",F204="",H204=""),"Type / source / owner missing",IF(AND(G204&lt;&gt;"",COUNTIF('System map'!$A$4:$A$203,G204)&lt;&gt;1),"Owning AIR-ID not reconciled",IF(AND(K204="Confirmed",OR(J204="",I204="",I204="Unknown",I204="Low")),"Confirmed reference lacks verification","OK — verify source"))))))</f>
        <v/>
      </c>
    </row>
    <row r="205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8" t="n"/>
      <c r="K205" s="27" t="n"/>
      <c r="L205" s="27">
        <f>IF(COUNTA(A205:K205)=0,"",IF(A205="","Reference ID missing",IF(COUNTIF($A$4:$A$253,A205)&gt;1,"Duplicate reference ID",IF(OR(B205="",C205="",E205="",F205="",H205=""),"Type / source / owner missing",IF(AND(G205&lt;&gt;"",COUNTIF('System map'!$A$4:$A$203,G205)&lt;&gt;1),"Owning AIR-ID not reconciled",IF(AND(K205="Confirmed",OR(J205="",I205="",I205="Unknown",I205="Low")),"Confirmed reference lacks verification","OK — verify source"))))))</f>
        <v/>
      </c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6" t="n"/>
      <c r="K206" s="25" t="n"/>
      <c r="L206" s="25">
        <f>IF(COUNTA(A206:K206)=0,"",IF(A206="","Reference ID missing",IF(COUNTIF($A$4:$A$253,A206)&gt;1,"Duplicate reference ID",IF(OR(B206="",C206="",E206="",F206="",H206=""),"Type / source / owner missing",IF(AND(G206&lt;&gt;"",COUNTIF('System map'!$A$4:$A$203,G206)&lt;&gt;1),"Owning AIR-ID not reconciled",IF(AND(K206="Confirmed",OR(J206="",I206="",I206="Unknown",I206="Low")),"Confirmed reference lacks verification","OK — verify source"))))))</f>
        <v/>
      </c>
    </row>
    <row r="207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8" t="n"/>
      <c r="K207" s="27" t="n"/>
      <c r="L207" s="27">
        <f>IF(COUNTA(A207:K207)=0,"",IF(A207="","Reference ID missing",IF(COUNTIF($A$4:$A$253,A207)&gt;1,"Duplicate reference ID",IF(OR(B207="",C207="",E207="",F207="",H207=""),"Type / source / owner missing",IF(AND(G207&lt;&gt;"",COUNTIF('System map'!$A$4:$A$203,G207)&lt;&gt;1),"Owning AIR-ID not reconciled",IF(AND(K207="Confirmed",OR(J207="",I207="",I207="Unknown",I207="Low")),"Confirmed reference lacks verification","OK — verify source"))))))</f>
        <v/>
      </c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6" t="n"/>
      <c r="K208" s="25" t="n"/>
      <c r="L208" s="25">
        <f>IF(COUNTA(A208:K208)=0,"",IF(A208="","Reference ID missing",IF(COUNTIF($A$4:$A$253,A208)&gt;1,"Duplicate reference ID",IF(OR(B208="",C208="",E208="",F208="",H208=""),"Type / source / owner missing",IF(AND(G208&lt;&gt;"",COUNTIF('System map'!$A$4:$A$203,G208)&lt;&gt;1),"Owning AIR-ID not reconciled",IF(AND(K208="Confirmed",OR(J208="",I208="",I208="Unknown",I208="Low")),"Confirmed reference lacks verification","OK — verify source"))))))</f>
        <v/>
      </c>
    </row>
    <row r="209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8" t="n"/>
      <c r="K209" s="27" t="n"/>
      <c r="L209" s="27">
        <f>IF(COUNTA(A209:K209)=0,"",IF(A209="","Reference ID missing",IF(COUNTIF($A$4:$A$253,A209)&gt;1,"Duplicate reference ID",IF(OR(B209="",C209="",E209="",F209="",H209=""),"Type / source / owner missing",IF(AND(G209&lt;&gt;"",COUNTIF('System map'!$A$4:$A$203,G209)&lt;&gt;1),"Owning AIR-ID not reconciled",IF(AND(K209="Confirmed",OR(J209="",I209="",I209="Unknown",I209="Low")),"Confirmed reference lacks verification","OK — verify source"))))))</f>
        <v/>
      </c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6" t="n"/>
      <c r="K210" s="25" t="n"/>
      <c r="L210" s="25">
        <f>IF(COUNTA(A210:K210)=0,"",IF(A210="","Reference ID missing",IF(COUNTIF($A$4:$A$253,A210)&gt;1,"Duplicate reference ID",IF(OR(B210="",C210="",E210="",F210="",H210=""),"Type / source / owner missing",IF(AND(G210&lt;&gt;"",COUNTIF('System map'!$A$4:$A$203,G210)&lt;&gt;1),"Owning AIR-ID not reconciled",IF(AND(K210="Confirmed",OR(J210="",I210="",I210="Unknown",I210="Low")),"Confirmed reference lacks verification","OK — verify source"))))))</f>
        <v/>
      </c>
    </row>
    <row r="211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8" t="n"/>
      <c r="K211" s="27" t="n"/>
      <c r="L211" s="27">
        <f>IF(COUNTA(A211:K211)=0,"",IF(A211="","Reference ID missing",IF(COUNTIF($A$4:$A$253,A211)&gt;1,"Duplicate reference ID",IF(OR(B211="",C211="",E211="",F211="",H211=""),"Type / source / owner missing",IF(AND(G211&lt;&gt;"",COUNTIF('System map'!$A$4:$A$203,G211)&lt;&gt;1),"Owning AIR-ID not reconciled",IF(AND(K211="Confirmed",OR(J211="",I211="",I211="Unknown",I211="Low")),"Confirmed reference lacks verification","OK — verify source"))))))</f>
        <v/>
      </c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6" t="n"/>
      <c r="K212" s="25" t="n"/>
      <c r="L212" s="25">
        <f>IF(COUNTA(A212:K212)=0,"",IF(A212="","Reference ID missing",IF(COUNTIF($A$4:$A$253,A212)&gt;1,"Duplicate reference ID",IF(OR(B212="",C212="",E212="",F212="",H212=""),"Type / source / owner missing",IF(AND(G212&lt;&gt;"",COUNTIF('System map'!$A$4:$A$203,G212)&lt;&gt;1),"Owning AIR-ID not reconciled",IF(AND(K212="Confirmed",OR(J212="",I212="",I212="Unknown",I212="Low")),"Confirmed reference lacks verification","OK — verify source"))))))</f>
        <v/>
      </c>
    </row>
    <row r="213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8" t="n"/>
      <c r="K213" s="27" t="n"/>
      <c r="L213" s="27">
        <f>IF(COUNTA(A213:K213)=0,"",IF(A213="","Reference ID missing",IF(COUNTIF($A$4:$A$253,A213)&gt;1,"Duplicate reference ID",IF(OR(B213="",C213="",E213="",F213="",H213=""),"Type / source / owner missing",IF(AND(G213&lt;&gt;"",COUNTIF('System map'!$A$4:$A$203,G213)&lt;&gt;1),"Owning AIR-ID not reconciled",IF(AND(K213="Confirmed",OR(J213="",I213="",I213="Unknown",I213="Low")),"Confirmed reference lacks verification","OK — verify source"))))))</f>
        <v/>
      </c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6" t="n"/>
      <c r="K214" s="25" t="n"/>
      <c r="L214" s="25">
        <f>IF(COUNTA(A214:K214)=0,"",IF(A214="","Reference ID missing",IF(COUNTIF($A$4:$A$253,A214)&gt;1,"Duplicate reference ID",IF(OR(B214="",C214="",E214="",F214="",H214=""),"Type / source / owner missing",IF(AND(G214&lt;&gt;"",COUNTIF('System map'!$A$4:$A$203,G214)&lt;&gt;1),"Owning AIR-ID not reconciled",IF(AND(K214="Confirmed",OR(J214="",I214="",I214="Unknown",I214="Low")),"Confirmed reference lacks verification","OK — verify source"))))))</f>
        <v/>
      </c>
    </row>
    <row r="215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8" t="n"/>
      <c r="K215" s="27" t="n"/>
      <c r="L215" s="27">
        <f>IF(COUNTA(A215:K215)=0,"",IF(A215="","Reference ID missing",IF(COUNTIF($A$4:$A$253,A215)&gt;1,"Duplicate reference ID",IF(OR(B215="",C215="",E215="",F215="",H215=""),"Type / source / owner missing",IF(AND(G215&lt;&gt;"",COUNTIF('System map'!$A$4:$A$203,G215)&lt;&gt;1),"Owning AIR-ID not reconciled",IF(AND(K215="Confirmed",OR(J215="",I215="",I215="Unknown",I215="Low")),"Confirmed reference lacks verification","OK — verify source"))))))</f>
        <v/>
      </c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6" t="n"/>
      <c r="K216" s="25" t="n"/>
      <c r="L216" s="25">
        <f>IF(COUNTA(A216:K216)=0,"",IF(A216="","Reference ID missing",IF(COUNTIF($A$4:$A$253,A216)&gt;1,"Duplicate reference ID",IF(OR(B216="",C216="",E216="",F216="",H216=""),"Type / source / owner missing",IF(AND(G216&lt;&gt;"",COUNTIF('System map'!$A$4:$A$203,G216)&lt;&gt;1),"Owning AIR-ID not reconciled",IF(AND(K216="Confirmed",OR(J216="",I216="",I216="Unknown",I216="Low")),"Confirmed reference lacks verification","OK — verify source"))))))</f>
        <v/>
      </c>
    </row>
    <row r="217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8" t="n"/>
      <c r="K217" s="27" t="n"/>
      <c r="L217" s="27">
        <f>IF(COUNTA(A217:K217)=0,"",IF(A217="","Reference ID missing",IF(COUNTIF($A$4:$A$253,A217)&gt;1,"Duplicate reference ID",IF(OR(B217="",C217="",E217="",F217="",H217=""),"Type / source / owner missing",IF(AND(G217&lt;&gt;"",COUNTIF('System map'!$A$4:$A$203,G217)&lt;&gt;1),"Owning AIR-ID not reconciled",IF(AND(K217="Confirmed",OR(J217="",I217="",I217="Unknown",I217="Low")),"Confirmed reference lacks verification","OK — verify source"))))))</f>
        <v/>
      </c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6" t="n"/>
      <c r="K218" s="25" t="n"/>
      <c r="L218" s="25">
        <f>IF(COUNTA(A218:K218)=0,"",IF(A218="","Reference ID missing",IF(COUNTIF($A$4:$A$253,A218)&gt;1,"Duplicate reference ID",IF(OR(B218="",C218="",E218="",F218="",H218=""),"Type / source / owner missing",IF(AND(G218&lt;&gt;"",COUNTIF('System map'!$A$4:$A$203,G218)&lt;&gt;1),"Owning AIR-ID not reconciled",IF(AND(K218="Confirmed",OR(J218="",I218="",I218="Unknown",I218="Low")),"Confirmed reference lacks verification","OK — verify source"))))))</f>
        <v/>
      </c>
    </row>
    <row r="219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8" t="n"/>
      <c r="K219" s="27" t="n"/>
      <c r="L219" s="27">
        <f>IF(COUNTA(A219:K219)=0,"",IF(A219="","Reference ID missing",IF(COUNTIF($A$4:$A$253,A219)&gt;1,"Duplicate reference ID",IF(OR(B219="",C219="",E219="",F219="",H219=""),"Type / source / owner missing",IF(AND(G219&lt;&gt;"",COUNTIF('System map'!$A$4:$A$203,G219)&lt;&gt;1),"Owning AIR-ID not reconciled",IF(AND(K219="Confirmed",OR(J219="",I219="",I219="Unknown",I219="Low")),"Confirmed reference lacks verification","OK — verify source"))))))</f>
        <v/>
      </c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6" t="n"/>
      <c r="K220" s="25" t="n"/>
      <c r="L220" s="25">
        <f>IF(COUNTA(A220:K220)=0,"",IF(A220="","Reference ID missing",IF(COUNTIF($A$4:$A$253,A220)&gt;1,"Duplicate reference ID",IF(OR(B220="",C220="",E220="",F220="",H220=""),"Type / source / owner missing",IF(AND(G220&lt;&gt;"",COUNTIF('System map'!$A$4:$A$203,G220)&lt;&gt;1),"Owning AIR-ID not reconciled",IF(AND(K220="Confirmed",OR(J220="",I220="",I220="Unknown",I220="Low")),"Confirmed reference lacks verification","OK — verify source"))))))</f>
        <v/>
      </c>
    </row>
    <row r="221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8" t="n"/>
      <c r="K221" s="27" t="n"/>
      <c r="L221" s="27">
        <f>IF(COUNTA(A221:K221)=0,"",IF(A221="","Reference ID missing",IF(COUNTIF($A$4:$A$253,A221)&gt;1,"Duplicate reference ID",IF(OR(B221="",C221="",E221="",F221="",H221=""),"Type / source / owner missing",IF(AND(G221&lt;&gt;"",COUNTIF('System map'!$A$4:$A$203,G221)&lt;&gt;1),"Owning AIR-ID not reconciled",IF(AND(K221="Confirmed",OR(J221="",I221="",I221="Unknown",I221="Low")),"Confirmed reference lacks verification","OK — verify source"))))))</f>
        <v/>
      </c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6" t="n"/>
      <c r="K222" s="25" t="n"/>
      <c r="L222" s="25">
        <f>IF(COUNTA(A222:K222)=0,"",IF(A222="","Reference ID missing",IF(COUNTIF($A$4:$A$253,A222)&gt;1,"Duplicate reference ID",IF(OR(B222="",C222="",E222="",F222="",H222=""),"Type / source / owner missing",IF(AND(G222&lt;&gt;"",COUNTIF('System map'!$A$4:$A$203,G222)&lt;&gt;1),"Owning AIR-ID not reconciled",IF(AND(K222="Confirmed",OR(J222="",I222="",I222="Unknown",I222="Low")),"Confirmed reference lacks verification","OK — verify source"))))))</f>
        <v/>
      </c>
    </row>
    <row r="223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8" t="n"/>
      <c r="K223" s="27" t="n"/>
      <c r="L223" s="27">
        <f>IF(COUNTA(A223:K223)=0,"",IF(A223="","Reference ID missing",IF(COUNTIF($A$4:$A$253,A223)&gt;1,"Duplicate reference ID",IF(OR(B223="",C223="",E223="",F223="",H223=""),"Type / source / owner missing",IF(AND(G223&lt;&gt;"",COUNTIF('System map'!$A$4:$A$203,G223)&lt;&gt;1),"Owning AIR-ID not reconciled",IF(AND(K223="Confirmed",OR(J223="",I223="",I223="Unknown",I223="Low")),"Confirmed reference lacks verification","OK — verify source"))))))</f>
        <v/>
      </c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6" t="n"/>
      <c r="K224" s="25" t="n"/>
      <c r="L224" s="25">
        <f>IF(COUNTA(A224:K224)=0,"",IF(A224="","Reference ID missing",IF(COUNTIF($A$4:$A$253,A224)&gt;1,"Duplicate reference ID",IF(OR(B224="",C224="",E224="",F224="",H224=""),"Type / source / owner missing",IF(AND(G224&lt;&gt;"",COUNTIF('System map'!$A$4:$A$203,G224)&lt;&gt;1),"Owning AIR-ID not reconciled",IF(AND(K224="Confirmed",OR(J224="",I224="",I224="Unknown",I224="Low")),"Confirmed reference lacks verification","OK — verify source"))))))</f>
        <v/>
      </c>
    </row>
    <row r="22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8" t="n"/>
      <c r="K225" s="27" t="n"/>
      <c r="L225" s="27">
        <f>IF(COUNTA(A225:K225)=0,"",IF(A225="","Reference ID missing",IF(COUNTIF($A$4:$A$253,A225)&gt;1,"Duplicate reference ID",IF(OR(B225="",C225="",E225="",F225="",H225=""),"Type / source / owner missing",IF(AND(G225&lt;&gt;"",COUNTIF('System map'!$A$4:$A$203,G225)&lt;&gt;1),"Owning AIR-ID not reconciled",IF(AND(K225="Confirmed",OR(J225="",I225="",I225="Unknown",I225="Low")),"Confirmed reference lacks verification","OK — verify source"))))))</f>
        <v/>
      </c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6" t="n"/>
      <c r="K226" s="25" t="n"/>
      <c r="L226" s="25">
        <f>IF(COUNTA(A226:K226)=0,"",IF(A226="","Reference ID missing",IF(COUNTIF($A$4:$A$253,A226)&gt;1,"Duplicate reference ID",IF(OR(B226="",C226="",E226="",F226="",H226=""),"Type / source / owner missing",IF(AND(G226&lt;&gt;"",COUNTIF('System map'!$A$4:$A$203,G226)&lt;&gt;1),"Owning AIR-ID not reconciled",IF(AND(K226="Confirmed",OR(J226="",I226="",I226="Unknown",I226="Low")),"Confirmed reference lacks verification","OK — verify source"))))))</f>
        <v/>
      </c>
    </row>
    <row r="227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8" t="n"/>
      <c r="K227" s="27" t="n"/>
      <c r="L227" s="27">
        <f>IF(COUNTA(A227:K227)=0,"",IF(A227="","Reference ID missing",IF(COUNTIF($A$4:$A$253,A227)&gt;1,"Duplicate reference ID",IF(OR(B227="",C227="",E227="",F227="",H227=""),"Type / source / owner missing",IF(AND(G227&lt;&gt;"",COUNTIF('System map'!$A$4:$A$203,G227)&lt;&gt;1),"Owning AIR-ID not reconciled",IF(AND(K227="Confirmed",OR(J227="",I227="",I227="Unknown",I227="Low")),"Confirmed reference lacks verification","OK — verify source"))))))</f>
        <v/>
      </c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6" t="n"/>
      <c r="K228" s="25" t="n"/>
      <c r="L228" s="25">
        <f>IF(COUNTA(A228:K228)=0,"",IF(A228="","Reference ID missing",IF(COUNTIF($A$4:$A$253,A228)&gt;1,"Duplicate reference ID",IF(OR(B228="",C228="",E228="",F228="",H228=""),"Type / source / owner missing",IF(AND(G228&lt;&gt;"",COUNTIF('System map'!$A$4:$A$203,G228)&lt;&gt;1),"Owning AIR-ID not reconciled",IF(AND(K228="Confirmed",OR(J228="",I228="",I228="Unknown",I228="Low")),"Confirmed reference lacks verification","OK — verify source"))))))</f>
        <v/>
      </c>
    </row>
    <row r="229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8" t="n"/>
      <c r="K229" s="27" t="n"/>
      <c r="L229" s="27">
        <f>IF(COUNTA(A229:K229)=0,"",IF(A229="","Reference ID missing",IF(COUNTIF($A$4:$A$253,A229)&gt;1,"Duplicate reference ID",IF(OR(B229="",C229="",E229="",F229="",H229=""),"Type / source / owner missing",IF(AND(G229&lt;&gt;"",COUNTIF('System map'!$A$4:$A$203,G229)&lt;&gt;1),"Owning AIR-ID not reconciled",IF(AND(K229="Confirmed",OR(J229="",I229="",I229="Unknown",I229="Low")),"Confirmed reference lacks verification","OK — verify source"))))))</f>
        <v/>
      </c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6" t="n"/>
      <c r="K230" s="25" t="n"/>
      <c r="L230" s="25">
        <f>IF(COUNTA(A230:K230)=0,"",IF(A230="","Reference ID missing",IF(COUNTIF($A$4:$A$253,A230)&gt;1,"Duplicate reference ID",IF(OR(B230="",C230="",E230="",F230="",H230=""),"Type / source / owner missing",IF(AND(G230&lt;&gt;"",COUNTIF('System map'!$A$4:$A$203,G230)&lt;&gt;1),"Owning AIR-ID not reconciled",IF(AND(K230="Confirmed",OR(J230="",I230="",I230="Unknown",I230="Low")),"Confirmed reference lacks verification","OK — verify source"))))))</f>
        <v/>
      </c>
    </row>
    <row r="231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8" t="n"/>
      <c r="K231" s="27" t="n"/>
      <c r="L231" s="27">
        <f>IF(COUNTA(A231:K231)=0,"",IF(A231="","Reference ID missing",IF(COUNTIF($A$4:$A$253,A231)&gt;1,"Duplicate reference ID",IF(OR(B231="",C231="",E231="",F231="",H231=""),"Type / source / owner missing",IF(AND(G231&lt;&gt;"",COUNTIF('System map'!$A$4:$A$203,G231)&lt;&gt;1),"Owning AIR-ID not reconciled",IF(AND(K231="Confirmed",OR(J231="",I231="",I231="Unknown",I231="Low")),"Confirmed reference lacks verification","OK — verify source"))))))</f>
        <v/>
      </c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6" t="n"/>
      <c r="K232" s="25" t="n"/>
      <c r="L232" s="25">
        <f>IF(COUNTA(A232:K232)=0,"",IF(A232="","Reference ID missing",IF(COUNTIF($A$4:$A$253,A232)&gt;1,"Duplicate reference ID",IF(OR(B232="",C232="",E232="",F232="",H232=""),"Type / source / owner missing",IF(AND(G232&lt;&gt;"",COUNTIF('System map'!$A$4:$A$203,G232)&lt;&gt;1),"Owning AIR-ID not reconciled",IF(AND(K232="Confirmed",OR(J232="",I232="",I232="Unknown",I232="Low")),"Confirmed reference lacks verification","OK — verify source"))))))</f>
        <v/>
      </c>
    </row>
    <row r="233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8" t="n"/>
      <c r="K233" s="27" t="n"/>
      <c r="L233" s="27">
        <f>IF(COUNTA(A233:K233)=0,"",IF(A233="","Reference ID missing",IF(COUNTIF($A$4:$A$253,A233)&gt;1,"Duplicate reference ID",IF(OR(B233="",C233="",E233="",F233="",H233=""),"Type / source / owner missing",IF(AND(G233&lt;&gt;"",COUNTIF('System map'!$A$4:$A$203,G233)&lt;&gt;1),"Owning AIR-ID not reconciled",IF(AND(K233="Confirmed",OR(J233="",I233="",I233="Unknown",I233="Low")),"Confirmed reference lacks verification","OK — verify source"))))))</f>
        <v/>
      </c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6" t="n"/>
      <c r="K234" s="25" t="n"/>
      <c r="L234" s="25">
        <f>IF(COUNTA(A234:K234)=0,"",IF(A234="","Reference ID missing",IF(COUNTIF($A$4:$A$253,A234)&gt;1,"Duplicate reference ID",IF(OR(B234="",C234="",E234="",F234="",H234=""),"Type / source / owner missing",IF(AND(G234&lt;&gt;"",COUNTIF('System map'!$A$4:$A$203,G234)&lt;&gt;1),"Owning AIR-ID not reconciled",IF(AND(K234="Confirmed",OR(J234="",I234="",I234="Unknown",I234="Low")),"Confirmed reference lacks verification","OK — verify source"))))))</f>
        <v/>
      </c>
    </row>
    <row r="235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8" t="n"/>
      <c r="K235" s="27" t="n"/>
      <c r="L235" s="27">
        <f>IF(COUNTA(A235:K235)=0,"",IF(A235="","Reference ID missing",IF(COUNTIF($A$4:$A$253,A235)&gt;1,"Duplicate reference ID",IF(OR(B235="",C235="",E235="",F235="",H235=""),"Type / source / owner missing",IF(AND(G235&lt;&gt;"",COUNTIF('System map'!$A$4:$A$203,G235)&lt;&gt;1),"Owning AIR-ID not reconciled",IF(AND(K235="Confirmed",OR(J235="",I235="",I235="Unknown",I235="Low")),"Confirmed reference lacks verification","OK — verify source"))))))</f>
        <v/>
      </c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6" t="n"/>
      <c r="K236" s="25" t="n"/>
      <c r="L236" s="25">
        <f>IF(COUNTA(A236:K236)=0,"",IF(A236="","Reference ID missing",IF(COUNTIF($A$4:$A$253,A236)&gt;1,"Duplicate reference ID",IF(OR(B236="",C236="",E236="",F236="",H236=""),"Type / source / owner missing",IF(AND(G236&lt;&gt;"",COUNTIF('System map'!$A$4:$A$203,G236)&lt;&gt;1),"Owning AIR-ID not reconciled",IF(AND(K236="Confirmed",OR(J236="",I236="",I236="Unknown",I236="Low")),"Confirmed reference lacks verification","OK — verify source"))))))</f>
        <v/>
      </c>
    </row>
    <row r="237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8" t="n"/>
      <c r="K237" s="27" t="n"/>
      <c r="L237" s="27">
        <f>IF(COUNTA(A237:K237)=0,"",IF(A237="","Reference ID missing",IF(COUNTIF($A$4:$A$253,A237)&gt;1,"Duplicate reference ID",IF(OR(B237="",C237="",E237="",F237="",H237=""),"Type / source / owner missing",IF(AND(G237&lt;&gt;"",COUNTIF('System map'!$A$4:$A$203,G237)&lt;&gt;1),"Owning AIR-ID not reconciled",IF(AND(K237="Confirmed",OR(J237="",I237="",I237="Unknown",I237="Low")),"Confirmed reference lacks verification","OK — verify source"))))))</f>
        <v/>
      </c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6" t="n"/>
      <c r="K238" s="25" t="n"/>
      <c r="L238" s="25">
        <f>IF(COUNTA(A238:K238)=0,"",IF(A238="","Reference ID missing",IF(COUNTIF($A$4:$A$253,A238)&gt;1,"Duplicate reference ID",IF(OR(B238="",C238="",E238="",F238="",H238=""),"Type / source / owner missing",IF(AND(G238&lt;&gt;"",COUNTIF('System map'!$A$4:$A$203,G238)&lt;&gt;1),"Owning AIR-ID not reconciled",IF(AND(K238="Confirmed",OR(J238="",I238="",I238="Unknown",I238="Low")),"Confirmed reference lacks verification","OK — verify source"))))))</f>
        <v/>
      </c>
    </row>
    <row r="239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8" t="n"/>
      <c r="K239" s="27" t="n"/>
      <c r="L239" s="27">
        <f>IF(COUNTA(A239:K239)=0,"",IF(A239="","Reference ID missing",IF(COUNTIF($A$4:$A$253,A239)&gt;1,"Duplicate reference ID",IF(OR(B239="",C239="",E239="",F239="",H239=""),"Type / source / owner missing",IF(AND(G239&lt;&gt;"",COUNTIF('System map'!$A$4:$A$203,G239)&lt;&gt;1),"Owning AIR-ID not reconciled",IF(AND(K239="Confirmed",OR(J239="",I239="",I239="Unknown",I239="Low")),"Confirmed reference lacks verification","OK — verify source"))))))</f>
        <v/>
      </c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6" t="n"/>
      <c r="K240" s="25" t="n"/>
      <c r="L240" s="25">
        <f>IF(COUNTA(A240:K240)=0,"",IF(A240="","Reference ID missing",IF(COUNTIF($A$4:$A$253,A240)&gt;1,"Duplicate reference ID",IF(OR(B240="",C240="",E240="",F240="",H240=""),"Type / source / owner missing",IF(AND(G240&lt;&gt;"",COUNTIF('System map'!$A$4:$A$203,G240)&lt;&gt;1),"Owning AIR-ID not reconciled",IF(AND(K240="Confirmed",OR(J240="",I240="",I240="Unknown",I240="Low")),"Confirmed reference lacks verification","OK — verify source"))))))</f>
        <v/>
      </c>
    </row>
    <row r="241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8" t="n"/>
      <c r="K241" s="27" t="n"/>
      <c r="L241" s="27">
        <f>IF(COUNTA(A241:K241)=0,"",IF(A241="","Reference ID missing",IF(COUNTIF($A$4:$A$253,A241)&gt;1,"Duplicate reference ID",IF(OR(B241="",C241="",E241="",F241="",H241=""),"Type / source / owner missing",IF(AND(G241&lt;&gt;"",COUNTIF('System map'!$A$4:$A$203,G241)&lt;&gt;1),"Owning AIR-ID not reconciled",IF(AND(K241="Confirmed",OR(J241="",I241="",I241="Unknown",I241="Low")),"Confirmed reference lacks verification","OK — verify source"))))))</f>
        <v/>
      </c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6" t="n"/>
      <c r="K242" s="25" t="n"/>
      <c r="L242" s="25">
        <f>IF(COUNTA(A242:K242)=0,"",IF(A242="","Reference ID missing",IF(COUNTIF($A$4:$A$253,A242)&gt;1,"Duplicate reference ID",IF(OR(B242="",C242="",E242="",F242="",H242=""),"Type / source / owner missing",IF(AND(G242&lt;&gt;"",COUNTIF('System map'!$A$4:$A$203,G242)&lt;&gt;1),"Owning AIR-ID not reconciled",IF(AND(K242="Confirmed",OR(J242="",I242="",I242="Unknown",I242="Low")),"Confirmed reference lacks verification","OK — verify source"))))))</f>
        <v/>
      </c>
    </row>
    <row r="243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8" t="n"/>
      <c r="K243" s="27" t="n"/>
      <c r="L243" s="27">
        <f>IF(COUNTA(A243:K243)=0,"",IF(A243="","Reference ID missing",IF(COUNTIF($A$4:$A$253,A243)&gt;1,"Duplicate reference ID",IF(OR(B243="",C243="",E243="",F243="",H243=""),"Type / source / owner missing",IF(AND(G243&lt;&gt;"",COUNTIF('System map'!$A$4:$A$203,G243)&lt;&gt;1),"Owning AIR-ID not reconciled",IF(AND(K243="Confirmed",OR(J243="",I243="",I243="Unknown",I243="Low")),"Confirmed reference lacks verification","OK — verify source"))))))</f>
        <v/>
      </c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6" t="n"/>
      <c r="K244" s="25" t="n"/>
      <c r="L244" s="25">
        <f>IF(COUNTA(A244:K244)=0,"",IF(A244="","Reference ID missing",IF(COUNTIF($A$4:$A$253,A244)&gt;1,"Duplicate reference ID",IF(OR(B244="",C244="",E244="",F244="",H244=""),"Type / source / owner missing",IF(AND(G244&lt;&gt;"",COUNTIF('System map'!$A$4:$A$203,G244)&lt;&gt;1),"Owning AIR-ID not reconciled",IF(AND(K244="Confirmed",OR(J244="",I244="",I244="Unknown",I244="Low")),"Confirmed reference lacks verification","OK — verify source"))))))</f>
        <v/>
      </c>
    </row>
    <row r="245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8" t="n"/>
      <c r="K245" s="27" t="n"/>
      <c r="L245" s="27">
        <f>IF(COUNTA(A245:K245)=0,"",IF(A245="","Reference ID missing",IF(COUNTIF($A$4:$A$253,A245)&gt;1,"Duplicate reference ID",IF(OR(B245="",C245="",E245="",F245="",H245=""),"Type / source / owner missing",IF(AND(G245&lt;&gt;"",COUNTIF('System map'!$A$4:$A$203,G245)&lt;&gt;1),"Owning AIR-ID not reconciled",IF(AND(K245="Confirmed",OR(J245="",I245="",I245="Unknown",I245="Low")),"Confirmed reference lacks verification","OK — verify source"))))))</f>
        <v/>
      </c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6" t="n"/>
      <c r="K246" s="25" t="n"/>
      <c r="L246" s="25">
        <f>IF(COUNTA(A246:K246)=0,"",IF(A246="","Reference ID missing",IF(COUNTIF($A$4:$A$253,A246)&gt;1,"Duplicate reference ID",IF(OR(B246="",C246="",E246="",F246="",H246=""),"Type / source / owner missing",IF(AND(G246&lt;&gt;"",COUNTIF('System map'!$A$4:$A$203,G246)&lt;&gt;1),"Owning AIR-ID not reconciled",IF(AND(K246="Confirmed",OR(J246="",I246="",I246="Unknown",I246="Low")),"Confirmed reference lacks verification","OK — verify source"))))))</f>
        <v/>
      </c>
    </row>
    <row r="247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8" t="n"/>
      <c r="K247" s="27" t="n"/>
      <c r="L247" s="27">
        <f>IF(COUNTA(A247:K247)=0,"",IF(A247="","Reference ID missing",IF(COUNTIF($A$4:$A$253,A247)&gt;1,"Duplicate reference ID",IF(OR(B247="",C247="",E247="",F247="",H247=""),"Type / source / owner missing",IF(AND(G247&lt;&gt;"",COUNTIF('System map'!$A$4:$A$203,G247)&lt;&gt;1),"Owning AIR-ID not reconciled",IF(AND(K247="Confirmed",OR(J247="",I247="",I247="Unknown",I247="Low")),"Confirmed reference lacks verification","OK — verify source"))))))</f>
        <v/>
      </c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6" t="n"/>
      <c r="K248" s="25" t="n"/>
      <c r="L248" s="25">
        <f>IF(COUNTA(A248:K248)=0,"",IF(A248="","Reference ID missing",IF(COUNTIF($A$4:$A$253,A248)&gt;1,"Duplicate reference ID",IF(OR(B248="",C248="",E248="",F248="",H248=""),"Type / source / owner missing",IF(AND(G248&lt;&gt;"",COUNTIF('System map'!$A$4:$A$203,G248)&lt;&gt;1),"Owning AIR-ID not reconciled",IF(AND(K248="Confirmed",OR(J248="",I248="",I248="Unknown",I248="Low")),"Confirmed reference lacks verification","OK — verify source"))))))</f>
        <v/>
      </c>
    </row>
    <row r="249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8" t="n"/>
      <c r="K249" s="27" t="n"/>
      <c r="L249" s="27">
        <f>IF(COUNTA(A249:K249)=0,"",IF(A249="","Reference ID missing",IF(COUNTIF($A$4:$A$253,A249)&gt;1,"Duplicate reference ID",IF(OR(B249="",C249="",E249="",F249="",H249=""),"Type / source / owner missing",IF(AND(G249&lt;&gt;"",COUNTIF('System map'!$A$4:$A$203,G249)&lt;&gt;1),"Owning AIR-ID not reconciled",IF(AND(K249="Confirmed",OR(J249="",I249="",I249="Unknown",I249="Low")),"Confirmed reference lacks verification","OK — verify source"))))))</f>
        <v/>
      </c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6" t="n"/>
      <c r="K250" s="25" t="n"/>
      <c r="L250" s="25">
        <f>IF(COUNTA(A250:K250)=0,"",IF(A250="","Reference ID missing",IF(COUNTIF($A$4:$A$253,A250)&gt;1,"Duplicate reference ID",IF(OR(B250="",C250="",E250="",F250="",H250=""),"Type / source / owner missing",IF(AND(G250&lt;&gt;"",COUNTIF('System map'!$A$4:$A$203,G250)&lt;&gt;1),"Owning AIR-ID not reconciled",IF(AND(K250="Confirmed",OR(J250="",I250="",I250="Unknown",I250="Low")),"Confirmed reference lacks verification","OK — verify source"))))))</f>
        <v/>
      </c>
    </row>
    <row r="25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8" t="n"/>
      <c r="K251" s="27" t="n"/>
      <c r="L251" s="27">
        <f>IF(COUNTA(A251:K251)=0,"",IF(A251="","Reference ID missing",IF(COUNTIF($A$4:$A$253,A251)&gt;1,"Duplicate reference ID",IF(OR(B251="",C251="",E251="",F251="",H251=""),"Type / source / owner missing",IF(AND(G251&lt;&gt;"",COUNTIF('System map'!$A$4:$A$203,G251)&lt;&gt;1),"Owning AIR-ID not reconciled",IF(AND(K251="Confirmed",OR(J251="",I251="",I251="Unknown",I251="Low")),"Confirmed reference lacks verification","OK — verify source"))))))</f>
        <v/>
      </c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6" t="n"/>
      <c r="K252" s="25" t="n"/>
      <c r="L252" s="25">
        <f>IF(COUNTA(A252:K252)=0,"",IF(A252="","Reference ID missing",IF(COUNTIF($A$4:$A$253,A252)&gt;1,"Duplicate reference ID",IF(OR(B252="",C252="",E252="",F252="",H252=""),"Type / source / owner missing",IF(AND(G252&lt;&gt;"",COUNTIF('System map'!$A$4:$A$203,G252)&lt;&gt;1),"Owning AIR-ID not reconciled",IF(AND(K252="Confirmed",OR(J252="",I252="",I252="Unknown",I252="Low")),"Confirmed reference lacks verification","OK — verify source"))))))</f>
        <v/>
      </c>
    </row>
    <row r="253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8" t="n"/>
      <c r="K253" s="27" t="n"/>
      <c r="L253" s="27">
        <f>IF(COUNTA(A253:K253)=0,"",IF(A253="","Reference ID missing",IF(COUNTIF($A$4:$A$253,A253)&gt;1,"Duplicate reference ID",IF(OR(B253="",C253="",E253="",F253="",H253=""),"Type / source / owner missing",IF(AND(G253&lt;&gt;"",COUNTIF('System map'!$A$4:$A$203,G253)&lt;&gt;1),"Owning AIR-ID not reconciled",IF(AND(K253="Confirmed",OR(J253="",I253="",I253="Unknown",I253="Low")),"Confirmed reference lacks verification","OK — verify source"))))))</f>
        <v/>
      </c>
    </row>
  </sheetData>
  <mergeCells count="2">
    <mergeCell ref="A2:L2"/>
    <mergeCell ref="A1:L1"/>
  </mergeCells>
  <dataValidations count="3">
    <dataValidation sqref="I4:I253" showDropDown="0" showInputMessage="0" showErrorMessage="1" allowBlank="1" errorTitle="Controlled value" error="Select a listed value." type="list">
      <formula1>"High,Medium,Low,Unknown"</formula1>
    </dataValidation>
    <dataValidation sqref="K4:K253" showDropDown="0" showInputMessage="0" showErrorMessage="1" allowBlank="1" errorTitle="Controlled value" error="Select a listed value." type="list">
      <formula1>"Proposed,Confirmed,Superseded"</formula1>
    </dataValidation>
    <dataValidation sqref="B4:B253" showDropDown="0" showInputMessage="0" showErrorMessage="1" allowBlank="1" errorTitle="Controlled value" error="Select a listed value." type="list">
      <formula1>"MOD,DATA,IF,AG,TOOL"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23" customWidth="1" min="4" max="4"/>
    <col width="16" customWidth="1" min="5" max="5"/>
    <col width="19" customWidth="1" min="6" max="6"/>
    <col width="19" customWidth="1" min="7" max="7"/>
    <col width="48" customWidth="1" min="8" max="8"/>
    <col width="26" customWidth="1" min="9" max="9"/>
    <col width="37" customWidth="1" min="10" max="10"/>
    <col width="17" customWidth="1" min="11" max="11"/>
    <col width="18" customWidth="1" min="12" max="12"/>
    <col width="19" customWidth="1" min="13" max="13"/>
    <col width="48" customWidth="1" min="14" max="14"/>
  </cols>
  <sheetData>
    <row r="1" ht="34" customHeight="1">
      <c r="A1" s="22" t="inlineStr">
        <is>
          <t>EVIDENCED RELATIONSHIPS / EDGES</t>
        </is>
      </c>
    </row>
    <row r="2" ht="44" customHeight="1">
      <c r="A2" s="23" t="inlineStr">
        <is>
          <t>UC → CAP may be staged without AIR-ID. Other edges need official AIR context. Confirmed links require owner, source, confidence and verification date; links do not confer permissions. Superseded rows are kept as history and excluded from duplicate tests; an AIR → component edge must match the component's owning AIR-ID.</t>
        </is>
      </c>
    </row>
    <row r="3" ht="36" customHeight="1">
      <c r="A3" s="24" t="inlineStr">
        <is>
          <t>Map Edge ID</t>
        </is>
      </c>
      <c r="B3" s="24" t="inlineStr">
        <is>
          <t>From type</t>
        </is>
      </c>
      <c r="C3" s="24" t="inlineStr">
        <is>
          <t>From ID</t>
        </is>
      </c>
      <c r="D3" s="24" t="inlineStr">
        <is>
          <t>Relationship</t>
        </is>
      </c>
      <c r="E3" s="24" t="inlineStr">
        <is>
          <t>To type</t>
        </is>
      </c>
      <c r="F3" s="24" t="inlineStr">
        <is>
          <t>To ID</t>
        </is>
      </c>
      <c r="G3" s="24" t="inlineStr">
        <is>
          <t>AIR context</t>
        </is>
      </c>
      <c r="H3" s="24" t="inlineStr">
        <is>
          <t>Meaning / data or action flow</t>
        </is>
      </c>
      <c r="I3" s="24" t="inlineStr">
        <is>
          <t>Link owner</t>
        </is>
      </c>
      <c r="J3" s="24" t="inlineStr">
        <is>
          <t>Evidence / source ref</t>
        </is>
      </c>
      <c r="K3" s="24" t="inlineStr">
        <is>
          <t>Confidence</t>
        </is>
      </c>
      <c r="L3" s="24" t="inlineStr">
        <is>
          <t>Verified on</t>
        </is>
      </c>
      <c r="M3" s="24" t="inlineStr">
        <is>
          <t>State</t>
        </is>
      </c>
      <c r="N3" s="24" t="inlineStr">
        <is>
          <t>Link check</t>
        </is>
      </c>
    </row>
    <row r="4">
      <c r="A4" s="25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6" t="n"/>
      <c r="M4" s="25" t="n"/>
      <c r="N4" s="25">
        <f>IF(COUNTA(A4:M4)=0,"",IF(OR(A4="",B4="",C4="",D4="",E4="",F4="",I4="",J4="",K4="",M4=""),"Required link detail missing",IF(COUNTIF($A$4:$A$1003,A4)&gt;1,"Duplicate Map Edge ID",IF(NOT(OR(AND(B4="UC",E4="CAP",D4="requires"),AND(B4="CAP",E4="AIR",D4="provided by"),AND(B4="AIR",OR(E4="MOD",E4="DATA",E4="IF",E4="AG",E4="TOOL"),D4="references"),AND(B4="AIR",E4="AIR",D4="depends on"))),"Invalid relationship",IF(AND(M4&lt;&gt;"Superseded",COUNTIFS($B$4:$B$1003,B4,$C$4:$C$1003,C4,$D$4:$D$1003,D4,$E$4:$E$1003,E4,$F$4:$F$1003,F4,$G$4:$G$1003,G4,$M$4:$M$1003,"&lt;&gt;Superseded")&gt;1),"Duplicate relationship",IF(OR(IF(B4="UC",COUNTIF('Use cases'!$A$4:$A$253,C4),IF(B4="CAP",COUNTIF(Capabilities!$A$4:$A$253,C4),IF(B4="AIR",COUNTIF('System map'!$A$4:$A$203,C4),COUNTIFS(Components!$A$4:$A$253,C4,Components!$B$4:$B$253,B4))))&lt;&gt;1,IF(E4="UC",COUNTIF('Use cases'!$A$4:$A$253,F4),IF(E4="CAP",COUNTIF(Capabilities!$A$4:$A$253,F4),IF(E4="AIR",COUNTIF('System map'!$A$4:$A$203,F4),COUNTIFS(Components!$A$4:$A$253,F4,Components!$B$4:$B$253,E4))))&lt;&gt;1),"Endpoint missing or duplicated",IF(AND(NOT(AND(B4="UC",E4="CAP")),OR(G4="",COUNTIF('System map'!$A$4:$A$203,G4)&lt;&gt;1)),"AIR context missing / unknown",IF(AND(B4="CAP",E4="AIR",G4&lt;&gt;F4),"AIR context mismatch",IF(AND(B4="AIR",G4&lt;&gt;C4),"AIR context mismatch",IF(AND(B4="AIR",E4="AIR",C4=F4),"Self-dependency",IF(AND(B4="AIR",E4="AIR",M4&lt;&gt;"Superseded",COUNTIFS($B$4:$B$1003,"AIR",$C$4:$C$1003,F4,$E$4:$E$1003,"AIR",$F$4:$F$1003,C4,$M$4:$M$1003,"&lt;&gt;Superseded")&gt;0),"Dependency cycle (A↔B) — review",IF(AND(B4="AIR",OR(E4="MOD",E4="DATA",E4="IF",E4="AG",E4="TOOL"),IFERROR(INDEX(Components!$G$4:$G$253,MATCH(F4,Components!$A$4:$A$253,0)),"")&lt;&gt;"",IFERROR(INDEX(Components!$G$4:$G$253,MATCH(F4,Components!$A$4:$A$253,0)),"")&lt;&gt;C4),"Component owned by another AIR-ID",IF(AND(M4="Confirmed",OR(IF(B4="UC",COUNTIFS('Use cases'!$A$4:$A$253,C4,'Use cases'!$I$4:$I$253,"Confirmed",'Use cases'!$J$4:$J$253,"OK — verify source"),IF(B4="CAP",COUNTIFS(Capabilities!$A$4:$A$253,C4,Capabilities!$J$4:$J$253,"Confirmed",Capabilities!$K$4:$K$253,"OK — verify source"),IF(B4="AIR",COUNTIFS('System map'!$A$4:$A$203,C4,'System map'!$B$4:$B$203,"&lt;&gt;",'System map'!$C$4:$C$203,"&lt;&gt;",'System map'!$D$4:$D$203,"&lt;&gt;"),COUNTIFS(Components!$A$4:$A$253,C4,Components!$B$4:$B$253,B4,Components!$K$4:$K$253,"Confirmed",Components!$L$4:$L$253,"OK — verify source"))))&lt;&gt;1,IF(E4="UC",COUNTIFS('Use cases'!$A$4:$A$253,F4,'Use cases'!$I$4:$I$253,"Confirmed",'Use cases'!$J$4:$J$253,"OK — verify source"),IF(E4="CAP",COUNTIFS(Capabilities!$A$4:$A$253,F4,Capabilities!$J$4:$J$253,"Confirmed",Capabilities!$K$4:$K$253,"OK — verify source"),IF(E4="AIR",COUNTIFS('System map'!$A$4:$A$203,F4,'System map'!$B$4:$B$203,"&lt;&gt;",'System map'!$C$4:$C$203,"&lt;&gt;",'System map'!$D$4:$D$203,"&lt;&gt;"),COUNTIFS(Components!$A$4:$A$253,F4,Components!$B$4:$B$253,E4,Components!$K$4:$K$253,"Confirmed",Components!$L$4:$L$253,"OK — verify source"))))&lt;&gt;1)),"Endpoint not source-reconciled",IF(AND(M4="Confirmed",OR(L4="",K4="",K4="Unknown",K4="Low")),"Confirmed link lacks verification","OK — verify source"))))))))))))))</f>
        <v/>
      </c>
    </row>
    <row r="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8" t="n"/>
      <c r="M5" s="27" t="n"/>
      <c r="N5" s="27">
        <f>IF(COUNTA(A5:M5)=0,"",IF(OR(A5="",B5="",C5="",D5="",E5="",F5="",I5="",J5="",K5="",M5=""),"Required link detail missing",IF(COUNTIF($A$4:$A$1003,A5)&gt;1,"Duplicate Map Edge ID",IF(NOT(OR(AND(B5="UC",E5="CAP",D5="requires"),AND(B5="CAP",E5="AIR",D5="provided by"),AND(B5="AIR",OR(E5="MOD",E5="DATA",E5="IF",E5="AG",E5="TOOL"),D5="references"),AND(B5="AIR",E5="AIR",D5="depends on"))),"Invalid relationship",IF(AND(M5&lt;&gt;"Superseded",COUNTIFS($B$4:$B$1003,B5,$C$4:$C$1003,C5,$D$4:$D$1003,D5,$E$4:$E$1003,E5,$F$4:$F$1003,F5,$G$4:$G$1003,G5,$M$4:$M$1003,"&lt;&gt;Superseded")&gt;1),"Duplicate relationship",IF(OR(IF(B5="UC",COUNTIF('Use cases'!$A$4:$A$253,C5),IF(B5="CAP",COUNTIF(Capabilities!$A$4:$A$253,C5),IF(B5="AIR",COUNTIF('System map'!$A$4:$A$203,C5),COUNTIFS(Components!$A$4:$A$253,C5,Components!$B$4:$B$253,B5))))&lt;&gt;1,IF(E5="UC",COUNTIF('Use cases'!$A$4:$A$253,F5),IF(E5="CAP",COUNTIF(Capabilities!$A$4:$A$253,F5),IF(E5="AIR",COUNTIF('System map'!$A$4:$A$203,F5),COUNTIFS(Components!$A$4:$A$253,F5,Components!$B$4:$B$253,E5))))&lt;&gt;1),"Endpoint missing or duplicated",IF(AND(NOT(AND(B5="UC",E5="CAP")),OR(G5="",COUNTIF('System map'!$A$4:$A$203,G5)&lt;&gt;1)),"AIR context missing / unknown",IF(AND(B5="CAP",E5="AIR",G5&lt;&gt;F5),"AIR context mismatch",IF(AND(B5="AIR",G5&lt;&gt;C5),"AIR context mismatch",IF(AND(B5="AIR",E5="AIR",C5=F5),"Self-dependency",IF(AND(B5="AIR",E5="AIR",M5&lt;&gt;"Superseded",COUNTIFS($B$4:$B$1003,"AIR",$C$4:$C$1003,F5,$E$4:$E$1003,"AIR",$F$4:$F$1003,C5,$M$4:$M$1003,"&lt;&gt;Superseded")&gt;0),"Dependency cycle (A↔B) — review",IF(AND(B5="AIR",OR(E5="MOD",E5="DATA",E5="IF",E5="AG",E5="TOOL"),IFERROR(INDEX(Components!$G$4:$G$253,MATCH(F5,Components!$A$4:$A$253,0)),"")&lt;&gt;"",IFERROR(INDEX(Components!$G$4:$G$253,MATCH(F5,Components!$A$4:$A$253,0)),"")&lt;&gt;C5),"Component owned by another AIR-ID",IF(AND(M5="Confirmed",OR(IF(B5="UC",COUNTIFS('Use cases'!$A$4:$A$253,C5,'Use cases'!$I$4:$I$253,"Confirmed",'Use cases'!$J$4:$J$253,"OK — verify source"),IF(B5="CAP",COUNTIFS(Capabilities!$A$4:$A$253,C5,Capabilities!$J$4:$J$253,"Confirmed",Capabilities!$K$4:$K$253,"OK — verify source"),IF(B5="AIR",COUNTIFS('System map'!$A$4:$A$203,C5,'System map'!$B$4:$B$203,"&lt;&gt;",'System map'!$C$4:$C$203,"&lt;&gt;",'System map'!$D$4:$D$203,"&lt;&gt;"),COUNTIFS(Components!$A$4:$A$253,C5,Components!$B$4:$B$253,B5,Components!$K$4:$K$253,"Confirmed",Components!$L$4:$L$253,"OK — verify source"))))&lt;&gt;1,IF(E5="UC",COUNTIFS('Use cases'!$A$4:$A$253,F5,'Use cases'!$I$4:$I$253,"Confirmed",'Use cases'!$J$4:$J$253,"OK — verify source"),IF(E5="CAP",COUNTIFS(Capabilities!$A$4:$A$253,F5,Capabilities!$J$4:$J$253,"Confirmed",Capabilities!$K$4:$K$253,"OK — verify source"),IF(E5="AIR",COUNTIFS('System map'!$A$4:$A$203,F5,'System map'!$B$4:$B$203,"&lt;&gt;",'System map'!$C$4:$C$203,"&lt;&gt;",'System map'!$D$4:$D$203,"&lt;&gt;"),COUNTIFS(Components!$A$4:$A$253,F5,Components!$B$4:$B$253,E5,Components!$K$4:$K$253,"Confirmed",Components!$L$4:$L$253,"OK — verify source"))))&lt;&gt;1)),"Endpoint not source-reconciled",IF(AND(M5="Confirmed",OR(L5="",K5="",K5="Unknown",K5="Low")),"Confirmed link lacks verification","OK — verify source"))))))))))))))</f>
        <v/>
      </c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6" t="n"/>
      <c r="M6" s="25" t="n"/>
      <c r="N6" s="25">
        <f>IF(COUNTA(A6:M6)=0,"",IF(OR(A6="",B6="",C6="",D6="",E6="",F6="",I6="",J6="",K6="",M6=""),"Required link detail missing",IF(COUNTIF($A$4:$A$1003,A6)&gt;1,"Duplicate Map Edge ID",IF(NOT(OR(AND(B6="UC",E6="CAP",D6="requires"),AND(B6="CAP",E6="AIR",D6="provided by"),AND(B6="AIR",OR(E6="MOD",E6="DATA",E6="IF",E6="AG",E6="TOOL"),D6="references"),AND(B6="AIR",E6="AIR",D6="depends on"))),"Invalid relationship",IF(AND(M6&lt;&gt;"Superseded",COUNTIFS($B$4:$B$1003,B6,$C$4:$C$1003,C6,$D$4:$D$1003,D6,$E$4:$E$1003,E6,$F$4:$F$1003,F6,$G$4:$G$1003,G6,$M$4:$M$1003,"&lt;&gt;Superseded")&gt;1),"Duplicate relationship",IF(OR(IF(B6="UC",COUNTIF('Use cases'!$A$4:$A$253,C6),IF(B6="CAP",COUNTIF(Capabilities!$A$4:$A$253,C6),IF(B6="AIR",COUNTIF('System map'!$A$4:$A$203,C6),COUNTIFS(Components!$A$4:$A$253,C6,Components!$B$4:$B$253,B6))))&lt;&gt;1,IF(E6="UC",COUNTIF('Use cases'!$A$4:$A$253,F6),IF(E6="CAP",COUNTIF(Capabilities!$A$4:$A$253,F6),IF(E6="AIR",COUNTIF('System map'!$A$4:$A$203,F6),COUNTIFS(Components!$A$4:$A$253,F6,Components!$B$4:$B$253,E6))))&lt;&gt;1),"Endpoint missing or duplicated",IF(AND(NOT(AND(B6="UC",E6="CAP")),OR(G6="",COUNTIF('System map'!$A$4:$A$203,G6)&lt;&gt;1)),"AIR context missing / unknown",IF(AND(B6="CAP",E6="AIR",G6&lt;&gt;F6),"AIR context mismatch",IF(AND(B6="AIR",G6&lt;&gt;C6),"AIR context mismatch",IF(AND(B6="AIR",E6="AIR",C6=F6),"Self-dependency",IF(AND(B6="AIR",E6="AIR",M6&lt;&gt;"Superseded",COUNTIFS($B$4:$B$1003,"AIR",$C$4:$C$1003,F6,$E$4:$E$1003,"AIR",$F$4:$F$1003,C6,$M$4:$M$1003,"&lt;&gt;Superseded")&gt;0),"Dependency cycle (A↔B) — review",IF(AND(B6="AIR",OR(E6="MOD",E6="DATA",E6="IF",E6="AG",E6="TOOL"),IFERROR(INDEX(Components!$G$4:$G$253,MATCH(F6,Components!$A$4:$A$253,0)),"")&lt;&gt;"",IFERROR(INDEX(Components!$G$4:$G$253,MATCH(F6,Components!$A$4:$A$253,0)),"")&lt;&gt;C6),"Component owned by another AIR-ID",IF(AND(M6="Confirmed",OR(IF(B6="UC",COUNTIFS('Use cases'!$A$4:$A$253,C6,'Use cases'!$I$4:$I$253,"Confirmed",'Use cases'!$J$4:$J$253,"OK — verify source"),IF(B6="CAP",COUNTIFS(Capabilities!$A$4:$A$253,C6,Capabilities!$J$4:$J$253,"Confirmed",Capabilities!$K$4:$K$253,"OK — verify source"),IF(B6="AIR",COUNTIFS('System map'!$A$4:$A$203,C6,'System map'!$B$4:$B$203,"&lt;&gt;",'System map'!$C$4:$C$203,"&lt;&gt;",'System map'!$D$4:$D$203,"&lt;&gt;"),COUNTIFS(Components!$A$4:$A$253,C6,Components!$B$4:$B$253,B6,Components!$K$4:$K$253,"Confirmed",Components!$L$4:$L$253,"OK — verify source"))))&lt;&gt;1,IF(E6="UC",COUNTIFS('Use cases'!$A$4:$A$253,F6,'Use cases'!$I$4:$I$253,"Confirmed",'Use cases'!$J$4:$J$253,"OK — verify source"),IF(E6="CAP",COUNTIFS(Capabilities!$A$4:$A$253,F6,Capabilities!$J$4:$J$253,"Confirmed",Capabilities!$K$4:$K$253,"OK — verify source"),IF(E6="AIR",COUNTIFS('System map'!$A$4:$A$203,F6,'System map'!$B$4:$B$203,"&lt;&gt;",'System map'!$C$4:$C$203,"&lt;&gt;",'System map'!$D$4:$D$203,"&lt;&gt;"),COUNTIFS(Components!$A$4:$A$253,F6,Components!$B$4:$B$253,E6,Components!$K$4:$K$253,"Confirmed",Components!$L$4:$L$253,"OK — verify source"))))&lt;&gt;1)),"Endpoint not source-reconciled",IF(AND(M6="Confirmed",OR(L6="",K6="",K6="Unknown",K6="Low")),"Confirmed link lacks verification","OK — verify source"))))))))))))))</f>
        <v/>
      </c>
    </row>
    <row r="7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8" t="n"/>
      <c r="M7" s="27" t="n"/>
      <c r="N7" s="27">
        <f>IF(COUNTA(A7:M7)=0,"",IF(OR(A7="",B7="",C7="",D7="",E7="",F7="",I7="",J7="",K7="",M7=""),"Required link detail missing",IF(COUNTIF($A$4:$A$1003,A7)&gt;1,"Duplicate Map Edge ID",IF(NOT(OR(AND(B7="UC",E7="CAP",D7="requires"),AND(B7="CAP",E7="AIR",D7="provided by"),AND(B7="AIR",OR(E7="MOD",E7="DATA",E7="IF",E7="AG",E7="TOOL"),D7="references"),AND(B7="AIR",E7="AIR",D7="depends on"))),"Invalid relationship",IF(AND(M7&lt;&gt;"Superseded",COUNTIFS($B$4:$B$1003,B7,$C$4:$C$1003,C7,$D$4:$D$1003,D7,$E$4:$E$1003,E7,$F$4:$F$1003,F7,$G$4:$G$1003,G7,$M$4:$M$1003,"&lt;&gt;Superseded")&gt;1),"Duplicate relationship",IF(OR(IF(B7="UC",COUNTIF('Use cases'!$A$4:$A$253,C7),IF(B7="CAP",COUNTIF(Capabilities!$A$4:$A$253,C7),IF(B7="AIR",COUNTIF('System map'!$A$4:$A$203,C7),COUNTIFS(Components!$A$4:$A$253,C7,Components!$B$4:$B$253,B7))))&lt;&gt;1,IF(E7="UC",COUNTIF('Use cases'!$A$4:$A$253,F7),IF(E7="CAP",COUNTIF(Capabilities!$A$4:$A$253,F7),IF(E7="AIR",COUNTIF('System map'!$A$4:$A$203,F7),COUNTIFS(Components!$A$4:$A$253,F7,Components!$B$4:$B$253,E7))))&lt;&gt;1),"Endpoint missing or duplicated",IF(AND(NOT(AND(B7="UC",E7="CAP")),OR(G7="",COUNTIF('System map'!$A$4:$A$203,G7)&lt;&gt;1)),"AIR context missing / unknown",IF(AND(B7="CAP",E7="AIR",G7&lt;&gt;F7),"AIR context mismatch",IF(AND(B7="AIR",G7&lt;&gt;C7),"AIR context mismatch",IF(AND(B7="AIR",E7="AIR",C7=F7),"Self-dependency",IF(AND(B7="AIR",E7="AIR",M7&lt;&gt;"Superseded",COUNTIFS($B$4:$B$1003,"AIR",$C$4:$C$1003,F7,$E$4:$E$1003,"AIR",$F$4:$F$1003,C7,$M$4:$M$1003,"&lt;&gt;Superseded")&gt;0),"Dependency cycle (A↔B) — review",IF(AND(B7="AIR",OR(E7="MOD",E7="DATA",E7="IF",E7="AG",E7="TOOL"),IFERROR(INDEX(Components!$G$4:$G$253,MATCH(F7,Components!$A$4:$A$253,0)),"")&lt;&gt;"",IFERROR(INDEX(Components!$G$4:$G$253,MATCH(F7,Components!$A$4:$A$253,0)),"")&lt;&gt;C7),"Component owned by another AIR-ID",IF(AND(M7="Confirmed",OR(IF(B7="UC",COUNTIFS('Use cases'!$A$4:$A$253,C7,'Use cases'!$I$4:$I$253,"Confirmed",'Use cases'!$J$4:$J$253,"OK — verify source"),IF(B7="CAP",COUNTIFS(Capabilities!$A$4:$A$253,C7,Capabilities!$J$4:$J$253,"Confirmed",Capabilities!$K$4:$K$253,"OK — verify source"),IF(B7="AIR",COUNTIFS('System map'!$A$4:$A$203,C7,'System map'!$B$4:$B$203,"&lt;&gt;",'System map'!$C$4:$C$203,"&lt;&gt;",'System map'!$D$4:$D$203,"&lt;&gt;"),COUNTIFS(Components!$A$4:$A$253,C7,Components!$B$4:$B$253,B7,Components!$K$4:$K$253,"Confirmed",Components!$L$4:$L$253,"OK — verify source"))))&lt;&gt;1,IF(E7="UC",COUNTIFS('Use cases'!$A$4:$A$253,F7,'Use cases'!$I$4:$I$253,"Confirmed",'Use cases'!$J$4:$J$253,"OK — verify source"),IF(E7="CAP",COUNTIFS(Capabilities!$A$4:$A$253,F7,Capabilities!$J$4:$J$253,"Confirmed",Capabilities!$K$4:$K$253,"OK — verify source"),IF(E7="AIR",COUNTIFS('System map'!$A$4:$A$203,F7,'System map'!$B$4:$B$203,"&lt;&gt;",'System map'!$C$4:$C$203,"&lt;&gt;",'System map'!$D$4:$D$203,"&lt;&gt;"),COUNTIFS(Components!$A$4:$A$253,F7,Components!$B$4:$B$253,E7,Components!$K$4:$K$253,"Confirmed",Components!$L$4:$L$253,"OK — verify source"))))&lt;&gt;1)),"Endpoint not source-reconciled",IF(AND(M7="Confirmed",OR(L7="",K7="",K7="Unknown",K7="Low")),"Confirmed link lacks verification","OK — verify source"))))))))))))))</f>
        <v/>
      </c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6" t="n"/>
      <c r="M8" s="25" t="n"/>
      <c r="N8" s="25">
        <f>IF(COUNTA(A8:M8)=0,"",IF(OR(A8="",B8="",C8="",D8="",E8="",F8="",I8="",J8="",K8="",M8=""),"Required link detail missing",IF(COUNTIF($A$4:$A$1003,A8)&gt;1,"Duplicate Map Edge ID",IF(NOT(OR(AND(B8="UC",E8="CAP",D8="requires"),AND(B8="CAP",E8="AIR",D8="provided by"),AND(B8="AIR",OR(E8="MOD",E8="DATA",E8="IF",E8="AG",E8="TOOL"),D8="references"),AND(B8="AIR",E8="AIR",D8="depends on"))),"Invalid relationship",IF(AND(M8&lt;&gt;"Superseded",COUNTIFS($B$4:$B$1003,B8,$C$4:$C$1003,C8,$D$4:$D$1003,D8,$E$4:$E$1003,E8,$F$4:$F$1003,F8,$G$4:$G$1003,G8,$M$4:$M$1003,"&lt;&gt;Superseded")&gt;1),"Duplicate relationship",IF(OR(IF(B8="UC",COUNTIF('Use cases'!$A$4:$A$253,C8),IF(B8="CAP",COUNTIF(Capabilities!$A$4:$A$253,C8),IF(B8="AIR",COUNTIF('System map'!$A$4:$A$203,C8),COUNTIFS(Components!$A$4:$A$253,C8,Components!$B$4:$B$253,B8))))&lt;&gt;1,IF(E8="UC",COUNTIF('Use cases'!$A$4:$A$253,F8),IF(E8="CAP",COUNTIF(Capabilities!$A$4:$A$253,F8),IF(E8="AIR",COUNTIF('System map'!$A$4:$A$203,F8),COUNTIFS(Components!$A$4:$A$253,F8,Components!$B$4:$B$253,E8))))&lt;&gt;1),"Endpoint missing or duplicated",IF(AND(NOT(AND(B8="UC",E8="CAP")),OR(G8="",COUNTIF('System map'!$A$4:$A$203,G8)&lt;&gt;1)),"AIR context missing / unknown",IF(AND(B8="CAP",E8="AIR",G8&lt;&gt;F8),"AIR context mismatch",IF(AND(B8="AIR",G8&lt;&gt;C8),"AIR context mismatch",IF(AND(B8="AIR",E8="AIR",C8=F8),"Self-dependency",IF(AND(B8="AIR",E8="AIR",M8&lt;&gt;"Superseded",COUNTIFS($B$4:$B$1003,"AIR",$C$4:$C$1003,F8,$E$4:$E$1003,"AIR",$F$4:$F$1003,C8,$M$4:$M$1003,"&lt;&gt;Superseded")&gt;0),"Dependency cycle (A↔B) — review",IF(AND(B8="AIR",OR(E8="MOD",E8="DATA",E8="IF",E8="AG",E8="TOOL"),IFERROR(INDEX(Components!$G$4:$G$253,MATCH(F8,Components!$A$4:$A$253,0)),"")&lt;&gt;"",IFERROR(INDEX(Components!$G$4:$G$253,MATCH(F8,Components!$A$4:$A$253,0)),"")&lt;&gt;C8),"Component owned by another AIR-ID",IF(AND(M8="Confirmed",OR(IF(B8="UC",COUNTIFS('Use cases'!$A$4:$A$253,C8,'Use cases'!$I$4:$I$253,"Confirmed",'Use cases'!$J$4:$J$253,"OK — verify source"),IF(B8="CAP",COUNTIFS(Capabilities!$A$4:$A$253,C8,Capabilities!$J$4:$J$253,"Confirmed",Capabilities!$K$4:$K$253,"OK — verify source"),IF(B8="AIR",COUNTIFS('System map'!$A$4:$A$203,C8,'System map'!$B$4:$B$203,"&lt;&gt;",'System map'!$C$4:$C$203,"&lt;&gt;",'System map'!$D$4:$D$203,"&lt;&gt;"),COUNTIFS(Components!$A$4:$A$253,C8,Components!$B$4:$B$253,B8,Components!$K$4:$K$253,"Confirmed",Components!$L$4:$L$253,"OK — verify source"))))&lt;&gt;1,IF(E8="UC",COUNTIFS('Use cases'!$A$4:$A$253,F8,'Use cases'!$I$4:$I$253,"Confirmed",'Use cases'!$J$4:$J$253,"OK — verify source"),IF(E8="CAP",COUNTIFS(Capabilities!$A$4:$A$253,F8,Capabilities!$J$4:$J$253,"Confirmed",Capabilities!$K$4:$K$253,"OK — verify source"),IF(E8="AIR",COUNTIFS('System map'!$A$4:$A$203,F8,'System map'!$B$4:$B$203,"&lt;&gt;",'System map'!$C$4:$C$203,"&lt;&gt;",'System map'!$D$4:$D$203,"&lt;&gt;"),COUNTIFS(Components!$A$4:$A$253,F8,Components!$B$4:$B$253,E8,Components!$K$4:$K$253,"Confirmed",Components!$L$4:$L$253,"OK — verify source"))))&lt;&gt;1)),"Endpoint not source-reconciled",IF(AND(M8="Confirmed",OR(L8="",K8="",K8="Unknown",K8="Low")),"Confirmed link lacks verification","OK — verify source"))))))))))))))</f>
        <v/>
      </c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8" t="n"/>
      <c r="M9" s="27" t="n"/>
      <c r="N9" s="27">
        <f>IF(COUNTA(A9:M9)=0,"",IF(OR(A9="",B9="",C9="",D9="",E9="",F9="",I9="",J9="",K9="",M9=""),"Required link detail missing",IF(COUNTIF($A$4:$A$1003,A9)&gt;1,"Duplicate Map Edge ID",IF(NOT(OR(AND(B9="UC",E9="CAP",D9="requires"),AND(B9="CAP",E9="AIR",D9="provided by"),AND(B9="AIR",OR(E9="MOD",E9="DATA",E9="IF",E9="AG",E9="TOOL"),D9="references"),AND(B9="AIR",E9="AIR",D9="depends on"))),"Invalid relationship",IF(AND(M9&lt;&gt;"Superseded",COUNTIFS($B$4:$B$1003,B9,$C$4:$C$1003,C9,$D$4:$D$1003,D9,$E$4:$E$1003,E9,$F$4:$F$1003,F9,$G$4:$G$1003,G9,$M$4:$M$1003,"&lt;&gt;Superseded")&gt;1),"Duplicate relationship",IF(OR(IF(B9="UC",COUNTIF('Use cases'!$A$4:$A$253,C9),IF(B9="CAP",COUNTIF(Capabilities!$A$4:$A$253,C9),IF(B9="AIR",COUNTIF('System map'!$A$4:$A$203,C9),COUNTIFS(Components!$A$4:$A$253,C9,Components!$B$4:$B$253,B9))))&lt;&gt;1,IF(E9="UC",COUNTIF('Use cases'!$A$4:$A$253,F9),IF(E9="CAP",COUNTIF(Capabilities!$A$4:$A$253,F9),IF(E9="AIR",COUNTIF('System map'!$A$4:$A$203,F9),COUNTIFS(Components!$A$4:$A$253,F9,Components!$B$4:$B$253,E9))))&lt;&gt;1),"Endpoint missing or duplicated",IF(AND(NOT(AND(B9="UC",E9="CAP")),OR(G9="",COUNTIF('System map'!$A$4:$A$203,G9)&lt;&gt;1)),"AIR context missing / unknown",IF(AND(B9="CAP",E9="AIR",G9&lt;&gt;F9),"AIR context mismatch",IF(AND(B9="AIR",G9&lt;&gt;C9),"AIR context mismatch",IF(AND(B9="AIR",E9="AIR",C9=F9),"Self-dependency",IF(AND(B9="AIR",E9="AIR",M9&lt;&gt;"Superseded",COUNTIFS($B$4:$B$1003,"AIR",$C$4:$C$1003,F9,$E$4:$E$1003,"AIR",$F$4:$F$1003,C9,$M$4:$M$1003,"&lt;&gt;Superseded")&gt;0),"Dependency cycle (A↔B) — review",IF(AND(B9="AIR",OR(E9="MOD",E9="DATA",E9="IF",E9="AG",E9="TOOL"),IFERROR(INDEX(Components!$G$4:$G$253,MATCH(F9,Components!$A$4:$A$253,0)),"")&lt;&gt;"",IFERROR(INDEX(Components!$G$4:$G$253,MATCH(F9,Components!$A$4:$A$253,0)),"")&lt;&gt;C9),"Component owned by another AIR-ID",IF(AND(M9="Confirmed",OR(IF(B9="UC",COUNTIFS('Use cases'!$A$4:$A$253,C9,'Use cases'!$I$4:$I$253,"Confirmed",'Use cases'!$J$4:$J$253,"OK — verify source"),IF(B9="CAP",COUNTIFS(Capabilities!$A$4:$A$253,C9,Capabilities!$J$4:$J$253,"Confirmed",Capabilities!$K$4:$K$253,"OK — verify source"),IF(B9="AIR",COUNTIFS('System map'!$A$4:$A$203,C9,'System map'!$B$4:$B$203,"&lt;&gt;",'System map'!$C$4:$C$203,"&lt;&gt;",'System map'!$D$4:$D$203,"&lt;&gt;"),COUNTIFS(Components!$A$4:$A$253,C9,Components!$B$4:$B$253,B9,Components!$K$4:$K$253,"Confirmed",Components!$L$4:$L$253,"OK — verify source"))))&lt;&gt;1,IF(E9="UC",COUNTIFS('Use cases'!$A$4:$A$253,F9,'Use cases'!$I$4:$I$253,"Confirmed",'Use cases'!$J$4:$J$253,"OK — verify source"),IF(E9="CAP",COUNTIFS(Capabilities!$A$4:$A$253,F9,Capabilities!$J$4:$J$253,"Confirmed",Capabilities!$K$4:$K$253,"OK — verify source"),IF(E9="AIR",COUNTIFS('System map'!$A$4:$A$203,F9,'System map'!$B$4:$B$203,"&lt;&gt;",'System map'!$C$4:$C$203,"&lt;&gt;",'System map'!$D$4:$D$203,"&lt;&gt;"),COUNTIFS(Components!$A$4:$A$253,F9,Components!$B$4:$B$253,E9,Components!$K$4:$K$253,"Confirmed",Components!$L$4:$L$253,"OK — verify source"))))&lt;&gt;1)),"Endpoint not source-reconciled",IF(AND(M9="Confirmed",OR(L9="",K9="",K9="Unknown",K9="Low")),"Confirmed link lacks verification","OK — verify source"))))))))))))))</f>
        <v/>
      </c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6" t="n"/>
      <c r="M10" s="25" t="n"/>
      <c r="N10" s="25">
        <f>IF(COUNTA(A10:M10)=0,"",IF(OR(A10="",B10="",C10="",D10="",E10="",F10="",I10="",J10="",K10="",M10=""),"Required link detail missing",IF(COUNTIF($A$4:$A$1003,A10)&gt;1,"Duplicate Map Edge ID",IF(NOT(OR(AND(B10="UC",E10="CAP",D10="requires"),AND(B10="CAP",E10="AIR",D10="provided by"),AND(B10="AIR",OR(E10="MOD",E10="DATA",E10="IF",E10="AG",E10="TOOL"),D10="references"),AND(B10="AIR",E10="AIR",D10="depends on"))),"Invalid relationship",IF(AND(M10&lt;&gt;"Superseded",COUNTIFS($B$4:$B$1003,B10,$C$4:$C$1003,C10,$D$4:$D$1003,D10,$E$4:$E$1003,E10,$F$4:$F$1003,F10,$G$4:$G$1003,G10,$M$4:$M$1003,"&lt;&gt;Superseded")&gt;1),"Duplicate relationship",IF(OR(IF(B10="UC",COUNTIF('Use cases'!$A$4:$A$253,C10),IF(B10="CAP",COUNTIF(Capabilities!$A$4:$A$253,C10),IF(B10="AIR",COUNTIF('System map'!$A$4:$A$203,C10),COUNTIFS(Components!$A$4:$A$253,C10,Components!$B$4:$B$253,B10))))&lt;&gt;1,IF(E10="UC",COUNTIF('Use cases'!$A$4:$A$253,F10),IF(E10="CAP",COUNTIF(Capabilities!$A$4:$A$253,F10),IF(E10="AIR",COUNTIF('System map'!$A$4:$A$203,F10),COUNTIFS(Components!$A$4:$A$253,F10,Components!$B$4:$B$253,E10))))&lt;&gt;1),"Endpoint missing or duplicated",IF(AND(NOT(AND(B10="UC",E10="CAP")),OR(G10="",COUNTIF('System map'!$A$4:$A$203,G10)&lt;&gt;1)),"AIR context missing / unknown",IF(AND(B10="CAP",E10="AIR",G10&lt;&gt;F10),"AIR context mismatch",IF(AND(B10="AIR",G10&lt;&gt;C10),"AIR context mismatch",IF(AND(B10="AIR",E10="AIR",C10=F10),"Self-dependency",IF(AND(B10="AIR",E10="AIR",M10&lt;&gt;"Superseded",COUNTIFS($B$4:$B$1003,"AIR",$C$4:$C$1003,F10,$E$4:$E$1003,"AIR",$F$4:$F$1003,C10,$M$4:$M$1003,"&lt;&gt;Superseded")&gt;0),"Dependency cycle (A↔B) — review",IF(AND(B10="AIR",OR(E10="MOD",E10="DATA",E10="IF",E10="AG",E10="TOOL"),IFERROR(INDEX(Components!$G$4:$G$253,MATCH(F10,Components!$A$4:$A$253,0)),"")&lt;&gt;"",IFERROR(INDEX(Components!$G$4:$G$253,MATCH(F10,Components!$A$4:$A$253,0)),"")&lt;&gt;C10),"Component owned by another AIR-ID",IF(AND(M10="Confirmed",OR(IF(B10="UC",COUNTIFS('Use cases'!$A$4:$A$253,C10,'Use cases'!$I$4:$I$253,"Confirmed",'Use cases'!$J$4:$J$253,"OK — verify source"),IF(B10="CAP",COUNTIFS(Capabilities!$A$4:$A$253,C10,Capabilities!$J$4:$J$253,"Confirmed",Capabilities!$K$4:$K$253,"OK — verify source"),IF(B10="AIR",COUNTIFS('System map'!$A$4:$A$203,C10,'System map'!$B$4:$B$203,"&lt;&gt;",'System map'!$C$4:$C$203,"&lt;&gt;",'System map'!$D$4:$D$203,"&lt;&gt;"),COUNTIFS(Components!$A$4:$A$253,C10,Components!$B$4:$B$253,B10,Components!$K$4:$K$253,"Confirmed",Components!$L$4:$L$253,"OK — verify source"))))&lt;&gt;1,IF(E10="UC",COUNTIFS('Use cases'!$A$4:$A$253,F10,'Use cases'!$I$4:$I$253,"Confirmed",'Use cases'!$J$4:$J$253,"OK — verify source"),IF(E10="CAP",COUNTIFS(Capabilities!$A$4:$A$253,F10,Capabilities!$J$4:$J$253,"Confirmed",Capabilities!$K$4:$K$253,"OK — verify source"),IF(E10="AIR",COUNTIFS('System map'!$A$4:$A$203,F10,'System map'!$B$4:$B$203,"&lt;&gt;",'System map'!$C$4:$C$203,"&lt;&gt;",'System map'!$D$4:$D$203,"&lt;&gt;"),COUNTIFS(Components!$A$4:$A$253,F10,Components!$B$4:$B$253,E10,Components!$K$4:$K$253,"Confirmed",Components!$L$4:$L$253,"OK — verify source"))))&lt;&gt;1)),"Endpoint not source-reconciled",IF(AND(M10="Confirmed",OR(L10="",K10="",K10="Unknown",K10="Low")),"Confirmed link lacks verification","OK — verify source"))))))))))))))</f>
        <v/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8" t="n"/>
      <c r="M11" s="27" t="n"/>
      <c r="N11" s="27">
        <f>IF(COUNTA(A11:M11)=0,"",IF(OR(A11="",B11="",C11="",D11="",E11="",F11="",I11="",J11="",K11="",M11=""),"Required link detail missing",IF(COUNTIF($A$4:$A$1003,A11)&gt;1,"Duplicate Map Edge ID",IF(NOT(OR(AND(B11="UC",E11="CAP",D11="requires"),AND(B11="CAP",E11="AIR",D11="provided by"),AND(B11="AIR",OR(E11="MOD",E11="DATA",E11="IF",E11="AG",E11="TOOL"),D11="references"),AND(B11="AIR",E11="AIR",D11="depends on"))),"Invalid relationship",IF(AND(M11&lt;&gt;"Superseded",COUNTIFS($B$4:$B$1003,B11,$C$4:$C$1003,C11,$D$4:$D$1003,D11,$E$4:$E$1003,E11,$F$4:$F$1003,F11,$G$4:$G$1003,G11,$M$4:$M$1003,"&lt;&gt;Superseded")&gt;1),"Duplicate relationship",IF(OR(IF(B11="UC",COUNTIF('Use cases'!$A$4:$A$253,C11),IF(B11="CAP",COUNTIF(Capabilities!$A$4:$A$253,C11),IF(B11="AIR",COUNTIF('System map'!$A$4:$A$203,C11),COUNTIFS(Components!$A$4:$A$253,C11,Components!$B$4:$B$253,B11))))&lt;&gt;1,IF(E11="UC",COUNTIF('Use cases'!$A$4:$A$253,F11),IF(E11="CAP",COUNTIF(Capabilities!$A$4:$A$253,F11),IF(E11="AIR",COUNTIF('System map'!$A$4:$A$203,F11),COUNTIFS(Components!$A$4:$A$253,F11,Components!$B$4:$B$253,E11))))&lt;&gt;1),"Endpoint missing or duplicated",IF(AND(NOT(AND(B11="UC",E11="CAP")),OR(G11="",COUNTIF('System map'!$A$4:$A$203,G11)&lt;&gt;1)),"AIR context missing / unknown",IF(AND(B11="CAP",E11="AIR",G11&lt;&gt;F11),"AIR context mismatch",IF(AND(B11="AIR",G11&lt;&gt;C11),"AIR context mismatch",IF(AND(B11="AIR",E11="AIR",C11=F11),"Self-dependency",IF(AND(B11="AIR",E11="AIR",M11&lt;&gt;"Superseded",COUNTIFS($B$4:$B$1003,"AIR",$C$4:$C$1003,F11,$E$4:$E$1003,"AIR",$F$4:$F$1003,C11,$M$4:$M$1003,"&lt;&gt;Superseded")&gt;0),"Dependency cycle (A↔B) — review",IF(AND(B11="AIR",OR(E11="MOD",E11="DATA",E11="IF",E11="AG",E11="TOOL"),IFERROR(INDEX(Components!$G$4:$G$253,MATCH(F11,Components!$A$4:$A$253,0)),"")&lt;&gt;"",IFERROR(INDEX(Components!$G$4:$G$253,MATCH(F11,Components!$A$4:$A$253,0)),"")&lt;&gt;C11),"Component owned by another AIR-ID",IF(AND(M11="Confirmed",OR(IF(B11="UC",COUNTIFS('Use cases'!$A$4:$A$253,C11,'Use cases'!$I$4:$I$253,"Confirmed",'Use cases'!$J$4:$J$253,"OK — verify source"),IF(B11="CAP",COUNTIFS(Capabilities!$A$4:$A$253,C11,Capabilities!$J$4:$J$253,"Confirmed",Capabilities!$K$4:$K$253,"OK — verify source"),IF(B11="AIR",COUNTIFS('System map'!$A$4:$A$203,C11,'System map'!$B$4:$B$203,"&lt;&gt;",'System map'!$C$4:$C$203,"&lt;&gt;",'System map'!$D$4:$D$203,"&lt;&gt;"),COUNTIFS(Components!$A$4:$A$253,C11,Components!$B$4:$B$253,B11,Components!$K$4:$K$253,"Confirmed",Components!$L$4:$L$253,"OK — verify source"))))&lt;&gt;1,IF(E11="UC",COUNTIFS('Use cases'!$A$4:$A$253,F11,'Use cases'!$I$4:$I$253,"Confirmed",'Use cases'!$J$4:$J$253,"OK — verify source"),IF(E11="CAP",COUNTIFS(Capabilities!$A$4:$A$253,F11,Capabilities!$J$4:$J$253,"Confirmed",Capabilities!$K$4:$K$253,"OK — verify source"),IF(E11="AIR",COUNTIFS('System map'!$A$4:$A$203,F11,'System map'!$B$4:$B$203,"&lt;&gt;",'System map'!$C$4:$C$203,"&lt;&gt;",'System map'!$D$4:$D$203,"&lt;&gt;"),COUNTIFS(Components!$A$4:$A$253,F11,Components!$B$4:$B$253,E11,Components!$K$4:$K$253,"Confirmed",Components!$L$4:$L$253,"OK — verify source"))))&lt;&gt;1)),"Endpoint not source-reconciled",IF(AND(M11="Confirmed",OR(L11="",K11="",K11="Unknown",K11="Low")),"Confirmed link lacks verification","OK — verify source"))))))))))))))</f>
        <v/>
      </c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6" t="n"/>
      <c r="M12" s="25" t="n"/>
      <c r="N12" s="25">
        <f>IF(COUNTA(A12:M12)=0,"",IF(OR(A12="",B12="",C12="",D12="",E12="",F12="",I12="",J12="",K12="",M12=""),"Required link detail missing",IF(COUNTIF($A$4:$A$1003,A12)&gt;1,"Duplicate Map Edge ID",IF(NOT(OR(AND(B12="UC",E12="CAP",D12="requires"),AND(B12="CAP",E12="AIR",D12="provided by"),AND(B12="AIR",OR(E12="MOD",E12="DATA",E12="IF",E12="AG",E12="TOOL"),D12="references"),AND(B12="AIR",E12="AIR",D12="depends on"))),"Invalid relationship",IF(AND(M12&lt;&gt;"Superseded",COUNTIFS($B$4:$B$1003,B12,$C$4:$C$1003,C12,$D$4:$D$1003,D12,$E$4:$E$1003,E12,$F$4:$F$1003,F12,$G$4:$G$1003,G12,$M$4:$M$1003,"&lt;&gt;Superseded")&gt;1),"Duplicate relationship",IF(OR(IF(B12="UC",COUNTIF('Use cases'!$A$4:$A$253,C12),IF(B12="CAP",COUNTIF(Capabilities!$A$4:$A$253,C12),IF(B12="AIR",COUNTIF('System map'!$A$4:$A$203,C12),COUNTIFS(Components!$A$4:$A$253,C12,Components!$B$4:$B$253,B12))))&lt;&gt;1,IF(E12="UC",COUNTIF('Use cases'!$A$4:$A$253,F12),IF(E12="CAP",COUNTIF(Capabilities!$A$4:$A$253,F12),IF(E12="AIR",COUNTIF('System map'!$A$4:$A$203,F12),COUNTIFS(Components!$A$4:$A$253,F12,Components!$B$4:$B$253,E12))))&lt;&gt;1),"Endpoint missing or duplicated",IF(AND(NOT(AND(B12="UC",E12="CAP")),OR(G12="",COUNTIF('System map'!$A$4:$A$203,G12)&lt;&gt;1)),"AIR context missing / unknown",IF(AND(B12="CAP",E12="AIR",G12&lt;&gt;F12),"AIR context mismatch",IF(AND(B12="AIR",G12&lt;&gt;C12),"AIR context mismatch",IF(AND(B12="AIR",E12="AIR",C12=F12),"Self-dependency",IF(AND(B12="AIR",E12="AIR",M12&lt;&gt;"Superseded",COUNTIFS($B$4:$B$1003,"AIR",$C$4:$C$1003,F12,$E$4:$E$1003,"AIR",$F$4:$F$1003,C12,$M$4:$M$1003,"&lt;&gt;Superseded")&gt;0),"Dependency cycle (A↔B) — review",IF(AND(B12="AIR",OR(E12="MOD",E12="DATA",E12="IF",E12="AG",E12="TOOL"),IFERROR(INDEX(Components!$G$4:$G$253,MATCH(F12,Components!$A$4:$A$253,0)),"")&lt;&gt;"",IFERROR(INDEX(Components!$G$4:$G$253,MATCH(F12,Components!$A$4:$A$253,0)),"")&lt;&gt;C12),"Component owned by another AIR-ID",IF(AND(M12="Confirmed",OR(IF(B12="UC",COUNTIFS('Use cases'!$A$4:$A$253,C12,'Use cases'!$I$4:$I$253,"Confirmed",'Use cases'!$J$4:$J$253,"OK — verify source"),IF(B12="CAP",COUNTIFS(Capabilities!$A$4:$A$253,C12,Capabilities!$J$4:$J$253,"Confirmed",Capabilities!$K$4:$K$253,"OK — verify source"),IF(B12="AIR",COUNTIFS('System map'!$A$4:$A$203,C12,'System map'!$B$4:$B$203,"&lt;&gt;",'System map'!$C$4:$C$203,"&lt;&gt;",'System map'!$D$4:$D$203,"&lt;&gt;"),COUNTIFS(Components!$A$4:$A$253,C12,Components!$B$4:$B$253,B12,Components!$K$4:$K$253,"Confirmed",Components!$L$4:$L$253,"OK — verify source"))))&lt;&gt;1,IF(E12="UC",COUNTIFS('Use cases'!$A$4:$A$253,F12,'Use cases'!$I$4:$I$253,"Confirmed",'Use cases'!$J$4:$J$253,"OK — verify source"),IF(E12="CAP",COUNTIFS(Capabilities!$A$4:$A$253,F12,Capabilities!$J$4:$J$253,"Confirmed",Capabilities!$K$4:$K$253,"OK — verify source"),IF(E12="AIR",COUNTIFS('System map'!$A$4:$A$203,F12,'System map'!$B$4:$B$203,"&lt;&gt;",'System map'!$C$4:$C$203,"&lt;&gt;",'System map'!$D$4:$D$203,"&lt;&gt;"),COUNTIFS(Components!$A$4:$A$253,F12,Components!$B$4:$B$253,E12,Components!$K$4:$K$253,"Confirmed",Components!$L$4:$L$253,"OK — verify source"))))&lt;&gt;1)),"Endpoint not source-reconciled",IF(AND(M12="Confirmed",OR(L12="",K12="",K12="Unknown",K12="Low")),"Confirmed link lacks verification","OK — verify source"))))))))))))))</f>
        <v/>
      </c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8" t="n"/>
      <c r="M13" s="27" t="n"/>
      <c r="N13" s="27">
        <f>IF(COUNTA(A13:M13)=0,"",IF(OR(A13="",B13="",C13="",D13="",E13="",F13="",I13="",J13="",K13="",M13=""),"Required link detail missing",IF(COUNTIF($A$4:$A$1003,A13)&gt;1,"Duplicate Map Edge ID",IF(NOT(OR(AND(B13="UC",E13="CAP",D13="requires"),AND(B13="CAP",E13="AIR",D13="provided by"),AND(B13="AIR",OR(E13="MOD",E13="DATA",E13="IF",E13="AG",E13="TOOL"),D13="references"),AND(B13="AIR",E13="AIR",D13="depends on"))),"Invalid relationship",IF(AND(M13&lt;&gt;"Superseded",COUNTIFS($B$4:$B$1003,B13,$C$4:$C$1003,C13,$D$4:$D$1003,D13,$E$4:$E$1003,E13,$F$4:$F$1003,F13,$G$4:$G$1003,G13,$M$4:$M$1003,"&lt;&gt;Superseded")&gt;1),"Duplicate relationship",IF(OR(IF(B13="UC",COUNTIF('Use cases'!$A$4:$A$253,C13),IF(B13="CAP",COUNTIF(Capabilities!$A$4:$A$253,C13),IF(B13="AIR",COUNTIF('System map'!$A$4:$A$203,C13),COUNTIFS(Components!$A$4:$A$253,C13,Components!$B$4:$B$253,B13))))&lt;&gt;1,IF(E13="UC",COUNTIF('Use cases'!$A$4:$A$253,F13),IF(E13="CAP",COUNTIF(Capabilities!$A$4:$A$253,F13),IF(E13="AIR",COUNTIF('System map'!$A$4:$A$203,F13),COUNTIFS(Components!$A$4:$A$253,F13,Components!$B$4:$B$253,E13))))&lt;&gt;1),"Endpoint missing or duplicated",IF(AND(NOT(AND(B13="UC",E13="CAP")),OR(G13="",COUNTIF('System map'!$A$4:$A$203,G13)&lt;&gt;1)),"AIR context missing / unknown",IF(AND(B13="CAP",E13="AIR",G13&lt;&gt;F13),"AIR context mismatch",IF(AND(B13="AIR",G13&lt;&gt;C13),"AIR context mismatch",IF(AND(B13="AIR",E13="AIR",C13=F13),"Self-dependency",IF(AND(B13="AIR",E13="AIR",M13&lt;&gt;"Superseded",COUNTIFS($B$4:$B$1003,"AIR",$C$4:$C$1003,F13,$E$4:$E$1003,"AIR",$F$4:$F$1003,C13,$M$4:$M$1003,"&lt;&gt;Superseded")&gt;0),"Dependency cycle (A↔B) — review",IF(AND(B13="AIR",OR(E13="MOD",E13="DATA",E13="IF",E13="AG",E13="TOOL"),IFERROR(INDEX(Components!$G$4:$G$253,MATCH(F13,Components!$A$4:$A$253,0)),"")&lt;&gt;"",IFERROR(INDEX(Components!$G$4:$G$253,MATCH(F13,Components!$A$4:$A$253,0)),"")&lt;&gt;C13),"Component owned by another AIR-ID",IF(AND(M13="Confirmed",OR(IF(B13="UC",COUNTIFS('Use cases'!$A$4:$A$253,C13,'Use cases'!$I$4:$I$253,"Confirmed",'Use cases'!$J$4:$J$253,"OK — verify source"),IF(B13="CAP",COUNTIFS(Capabilities!$A$4:$A$253,C13,Capabilities!$J$4:$J$253,"Confirmed",Capabilities!$K$4:$K$253,"OK — verify source"),IF(B13="AIR",COUNTIFS('System map'!$A$4:$A$203,C13,'System map'!$B$4:$B$203,"&lt;&gt;",'System map'!$C$4:$C$203,"&lt;&gt;",'System map'!$D$4:$D$203,"&lt;&gt;"),COUNTIFS(Components!$A$4:$A$253,C13,Components!$B$4:$B$253,B13,Components!$K$4:$K$253,"Confirmed",Components!$L$4:$L$253,"OK — verify source"))))&lt;&gt;1,IF(E13="UC",COUNTIFS('Use cases'!$A$4:$A$253,F13,'Use cases'!$I$4:$I$253,"Confirmed",'Use cases'!$J$4:$J$253,"OK — verify source"),IF(E13="CAP",COUNTIFS(Capabilities!$A$4:$A$253,F13,Capabilities!$J$4:$J$253,"Confirmed",Capabilities!$K$4:$K$253,"OK — verify source"),IF(E13="AIR",COUNTIFS('System map'!$A$4:$A$203,F13,'System map'!$B$4:$B$203,"&lt;&gt;",'System map'!$C$4:$C$203,"&lt;&gt;",'System map'!$D$4:$D$203,"&lt;&gt;"),COUNTIFS(Components!$A$4:$A$253,F13,Components!$B$4:$B$253,E13,Components!$K$4:$K$253,"Confirmed",Components!$L$4:$L$253,"OK — verify source"))))&lt;&gt;1)),"Endpoint not source-reconciled",IF(AND(M13="Confirmed",OR(L13="",K13="",K13="Unknown",K13="Low")),"Confirmed link lacks verification","OK — verify source"))))))))))))))</f>
        <v/>
      </c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6" t="n"/>
      <c r="M14" s="25" t="n"/>
      <c r="N14" s="25">
        <f>IF(COUNTA(A14:M14)=0,"",IF(OR(A14="",B14="",C14="",D14="",E14="",F14="",I14="",J14="",K14="",M14=""),"Required link detail missing",IF(COUNTIF($A$4:$A$1003,A14)&gt;1,"Duplicate Map Edge ID",IF(NOT(OR(AND(B14="UC",E14="CAP",D14="requires"),AND(B14="CAP",E14="AIR",D14="provided by"),AND(B14="AIR",OR(E14="MOD",E14="DATA",E14="IF",E14="AG",E14="TOOL"),D14="references"),AND(B14="AIR",E14="AIR",D14="depends on"))),"Invalid relationship",IF(AND(M14&lt;&gt;"Superseded",COUNTIFS($B$4:$B$1003,B14,$C$4:$C$1003,C14,$D$4:$D$1003,D14,$E$4:$E$1003,E14,$F$4:$F$1003,F14,$G$4:$G$1003,G14,$M$4:$M$1003,"&lt;&gt;Superseded")&gt;1),"Duplicate relationship",IF(OR(IF(B14="UC",COUNTIF('Use cases'!$A$4:$A$253,C14),IF(B14="CAP",COUNTIF(Capabilities!$A$4:$A$253,C14),IF(B14="AIR",COUNTIF('System map'!$A$4:$A$203,C14),COUNTIFS(Components!$A$4:$A$253,C14,Components!$B$4:$B$253,B14))))&lt;&gt;1,IF(E14="UC",COUNTIF('Use cases'!$A$4:$A$253,F14),IF(E14="CAP",COUNTIF(Capabilities!$A$4:$A$253,F14),IF(E14="AIR",COUNTIF('System map'!$A$4:$A$203,F14),COUNTIFS(Components!$A$4:$A$253,F14,Components!$B$4:$B$253,E14))))&lt;&gt;1),"Endpoint missing or duplicated",IF(AND(NOT(AND(B14="UC",E14="CAP")),OR(G14="",COUNTIF('System map'!$A$4:$A$203,G14)&lt;&gt;1)),"AIR context missing / unknown",IF(AND(B14="CAP",E14="AIR",G14&lt;&gt;F14),"AIR context mismatch",IF(AND(B14="AIR",G14&lt;&gt;C14),"AIR context mismatch",IF(AND(B14="AIR",E14="AIR",C14=F14),"Self-dependency",IF(AND(B14="AIR",E14="AIR",M14&lt;&gt;"Superseded",COUNTIFS($B$4:$B$1003,"AIR",$C$4:$C$1003,F14,$E$4:$E$1003,"AIR",$F$4:$F$1003,C14,$M$4:$M$1003,"&lt;&gt;Superseded")&gt;0),"Dependency cycle (A↔B) — review",IF(AND(B14="AIR",OR(E14="MOD",E14="DATA",E14="IF",E14="AG",E14="TOOL"),IFERROR(INDEX(Components!$G$4:$G$253,MATCH(F14,Components!$A$4:$A$253,0)),"")&lt;&gt;"",IFERROR(INDEX(Components!$G$4:$G$253,MATCH(F14,Components!$A$4:$A$253,0)),"")&lt;&gt;C14),"Component owned by another AIR-ID",IF(AND(M14="Confirmed",OR(IF(B14="UC",COUNTIFS('Use cases'!$A$4:$A$253,C14,'Use cases'!$I$4:$I$253,"Confirmed",'Use cases'!$J$4:$J$253,"OK — verify source"),IF(B14="CAP",COUNTIFS(Capabilities!$A$4:$A$253,C14,Capabilities!$J$4:$J$253,"Confirmed",Capabilities!$K$4:$K$253,"OK — verify source"),IF(B14="AIR",COUNTIFS('System map'!$A$4:$A$203,C14,'System map'!$B$4:$B$203,"&lt;&gt;",'System map'!$C$4:$C$203,"&lt;&gt;",'System map'!$D$4:$D$203,"&lt;&gt;"),COUNTIFS(Components!$A$4:$A$253,C14,Components!$B$4:$B$253,B14,Components!$K$4:$K$253,"Confirmed",Components!$L$4:$L$253,"OK — verify source"))))&lt;&gt;1,IF(E14="UC",COUNTIFS('Use cases'!$A$4:$A$253,F14,'Use cases'!$I$4:$I$253,"Confirmed",'Use cases'!$J$4:$J$253,"OK — verify source"),IF(E14="CAP",COUNTIFS(Capabilities!$A$4:$A$253,F14,Capabilities!$J$4:$J$253,"Confirmed",Capabilities!$K$4:$K$253,"OK — verify source"),IF(E14="AIR",COUNTIFS('System map'!$A$4:$A$203,F14,'System map'!$B$4:$B$203,"&lt;&gt;",'System map'!$C$4:$C$203,"&lt;&gt;",'System map'!$D$4:$D$203,"&lt;&gt;"),COUNTIFS(Components!$A$4:$A$253,F14,Components!$B$4:$B$253,E14,Components!$K$4:$K$253,"Confirmed",Components!$L$4:$L$253,"OK — verify source"))))&lt;&gt;1)),"Endpoint not source-reconciled",IF(AND(M14="Confirmed",OR(L14="",K14="",K14="Unknown",K14="Low")),"Confirmed link lacks verification","OK — verify source"))))))))))))))</f>
        <v/>
      </c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8" t="n"/>
      <c r="M15" s="27" t="n"/>
      <c r="N15" s="27">
        <f>IF(COUNTA(A15:M15)=0,"",IF(OR(A15="",B15="",C15="",D15="",E15="",F15="",I15="",J15="",K15="",M15=""),"Required link detail missing",IF(COUNTIF($A$4:$A$1003,A15)&gt;1,"Duplicate Map Edge ID",IF(NOT(OR(AND(B15="UC",E15="CAP",D15="requires"),AND(B15="CAP",E15="AIR",D15="provided by"),AND(B15="AIR",OR(E15="MOD",E15="DATA",E15="IF",E15="AG",E15="TOOL"),D15="references"),AND(B15="AIR",E15="AIR",D15="depends on"))),"Invalid relationship",IF(AND(M15&lt;&gt;"Superseded",COUNTIFS($B$4:$B$1003,B15,$C$4:$C$1003,C15,$D$4:$D$1003,D15,$E$4:$E$1003,E15,$F$4:$F$1003,F15,$G$4:$G$1003,G15,$M$4:$M$1003,"&lt;&gt;Superseded")&gt;1),"Duplicate relationship",IF(OR(IF(B15="UC",COUNTIF('Use cases'!$A$4:$A$253,C15),IF(B15="CAP",COUNTIF(Capabilities!$A$4:$A$253,C15),IF(B15="AIR",COUNTIF('System map'!$A$4:$A$203,C15),COUNTIFS(Components!$A$4:$A$253,C15,Components!$B$4:$B$253,B15))))&lt;&gt;1,IF(E15="UC",COUNTIF('Use cases'!$A$4:$A$253,F15),IF(E15="CAP",COUNTIF(Capabilities!$A$4:$A$253,F15),IF(E15="AIR",COUNTIF('System map'!$A$4:$A$203,F15),COUNTIFS(Components!$A$4:$A$253,F15,Components!$B$4:$B$253,E15))))&lt;&gt;1),"Endpoint missing or duplicated",IF(AND(NOT(AND(B15="UC",E15="CAP")),OR(G15="",COUNTIF('System map'!$A$4:$A$203,G15)&lt;&gt;1)),"AIR context missing / unknown",IF(AND(B15="CAP",E15="AIR",G15&lt;&gt;F15),"AIR context mismatch",IF(AND(B15="AIR",G15&lt;&gt;C15),"AIR context mismatch",IF(AND(B15="AIR",E15="AIR",C15=F15),"Self-dependency",IF(AND(B15="AIR",E15="AIR",M15&lt;&gt;"Superseded",COUNTIFS($B$4:$B$1003,"AIR",$C$4:$C$1003,F15,$E$4:$E$1003,"AIR",$F$4:$F$1003,C15,$M$4:$M$1003,"&lt;&gt;Superseded")&gt;0),"Dependency cycle (A↔B) — review",IF(AND(B15="AIR",OR(E15="MOD",E15="DATA",E15="IF",E15="AG",E15="TOOL"),IFERROR(INDEX(Components!$G$4:$G$253,MATCH(F15,Components!$A$4:$A$253,0)),"")&lt;&gt;"",IFERROR(INDEX(Components!$G$4:$G$253,MATCH(F15,Components!$A$4:$A$253,0)),"")&lt;&gt;C15),"Component owned by another AIR-ID",IF(AND(M15="Confirmed",OR(IF(B15="UC",COUNTIFS('Use cases'!$A$4:$A$253,C15,'Use cases'!$I$4:$I$253,"Confirmed",'Use cases'!$J$4:$J$253,"OK — verify source"),IF(B15="CAP",COUNTIFS(Capabilities!$A$4:$A$253,C15,Capabilities!$J$4:$J$253,"Confirmed",Capabilities!$K$4:$K$253,"OK — verify source"),IF(B15="AIR",COUNTIFS('System map'!$A$4:$A$203,C15,'System map'!$B$4:$B$203,"&lt;&gt;",'System map'!$C$4:$C$203,"&lt;&gt;",'System map'!$D$4:$D$203,"&lt;&gt;"),COUNTIFS(Components!$A$4:$A$253,C15,Components!$B$4:$B$253,B15,Components!$K$4:$K$253,"Confirmed",Components!$L$4:$L$253,"OK — verify source"))))&lt;&gt;1,IF(E15="UC",COUNTIFS('Use cases'!$A$4:$A$253,F15,'Use cases'!$I$4:$I$253,"Confirmed",'Use cases'!$J$4:$J$253,"OK — verify source"),IF(E15="CAP",COUNTIFS(Capabilities!$A$4:$A$253,F15,Capabilities!$J$4:$J$253,"Confirmed",Capabilities!$K$4:$K$253,"OK — verify source"),IF(E15="AIR",COUNTIFS('System map'!$A$4:$A$203,F15,'System map'!$B$4:$B$203,"&lt;&gt;",'System map'!$C$4:$C$203,"&lt;&gt;",'System map'!$D$4:$D$203,"&lt;&gt;"),COUNTIFS(Components!$A$4:$A$253,F15,Components!$B$4:$B$253,E15,Components!$K$4:$K$253,"Confirmed",Components!$L$4:$L$253,"OK — verify source"))))&lt;&gt;1)),"Endpoint not source-reconciled",IF(AND(M15="Confirmed",OR(L15="",K15="",K15="Unknown",K15="Low")),"Confirmed link lacks verification","OK — verify source"))))))))))))))</f>
        <v/>
      </c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6" t="n"/>
      <c r="M16" s="25" t="n"/>
      <c r="N16" s="25">
        <f>IF(COUNTA(A16:M16)=0,"",IF(OR(A16="",B16="",C16="",D16="",E16="",F16="",I16="",J16="",K16="",M16=""),"Required link detail missing",IF(COUNTIF($A$4:$A$1003,A16)&gt;1,"Duplicate Map Edge ID",IF(NOT(OR(AND(B16="UC",E16="CAP",D16="requires"),AND(B16="CAP",E16="AIR",D16="provided by"),AND(B16="AIR",OR(E16="MOD",E16="DATA",E16="IF",E16="AG",E16="TOOL"),D16="references"),AND(B16="AIR",E16="AIR",D16="depends on"))),"Invalid relationship",IF(AND(M16&lt;&gt;"Superseded",COUNTIFS($B$4:$B$1003,B16,$C$4:$C$1003,C16,$D$4:$D$1003,D16,$E$4:$E$1003,E16,$F$4:$F$1003,F16,$G$4:$G$1003,G16,$M$4:$M$1003,"&lt;&gt;Superseded")&gt;1),"Duplicate relationship",IF(OR(IF(B16="UC",COUNTIF('Use cases'!$A$4:$A$253,C16),IF(B16="CAP",COUNTIF(Capabilities!$A$4:$A$253,C16),IF(B16="AIR",COUNTIF('System map'!$A$4:$A$203,C16),COUNTIFS(Components!$A$4:$A$253,C16,Components!$B$4:$B$253,B16))))&lt;&gt;1,IF(E16="UC",COUNTIF('Use cases'!$A$4:$A$253,F16),IF(E16="CAP",COUNTIF(Capabilities!$A$4:$A$253,F16),IF(E16="AIR",COUNTIF('System map'!$A$4:$A$203,F16),COUNTIFS(Components!$A$4:$A$253,F16,Components!$B$4:$B$253,E16))))&lt;&gt;1),"Endpoint missing or duplicated",IF(AND(NOT(AND(B16="UC",E16="CAP")),OR(G16="",COUNTIF('System map'!$A$4:$A$203,G16)&lt;&gt;1)),"AIR context missing / unknown",IF(AND(B16="CAP",E16="AIR",G16&lt;&gt;F16),"AIR context mismatch",IF(AND(B16="AIR",G16&lt;&gt;C16),"AIR context mismatch",IF(AND(B16="AIR",E16="AIR",C16=F16),"Self-dependency",IF(AND(B16="AIR",E16="AIR",M16&lt;&gt;"Superseded",COUNTIFS($B$4:$B$1003,"AIR",$C$4:$C$1003,F16,$E$4:$E$1003,"AIR",$F$4:$F$1003,C16,$M$4:$M$1003,"&lt;&gt;Superseded")&gt;0),"Dependency cycle (A↔B) — review",IF(AND(B16="AIR",OR(E16="MOD",E16="DATA",E16="IF",E16="AG",E16="TOOL"),IFERROR(INDEX(Components!$G$4:$G$253,MATCH(F16,Components!$A$4:$A$253,0)),"")&lt;&gt;"",IFERROR(INDEX(Components!$G$4:$G$253,MATCH(F16,Components!$A$4:$A$253,0)),"")&lt;&gt;C16),"Component owned by another AIR-ID",IF(AND(M16="Confirmed",OR(IF(B16="UC",COUNTIFS('Use cases'!$A$4:$A$253,C16,'Use cases'!$I$4:$I$253,"Confirmed",'Use cases'!$J$4:$J$253,"OK — verify source"),IF(B16="CAP",COUNTIFS(Capabilities!$A$4:$A$253,C16,Capabilities!$J$4:$J$253,"Confirmed",Capabilities!$K$4:$K$253,"OK — verify source"),IF(B16="AIR",COUNTIFS('System map'!$A$4:$A$203,C16,'System map'!$B$4:$B$203,"&lt;&gt;",'System map'!$C$4:$C$203,"&lt;&gt;",'System map'!$D$4:$D$203,"&lt;&gt;"),COUNTIFS(Components!$A$4:$A$253,C16,Components!$B$4:$B$253,B16,Components!$K$4:$K$253,"Confirmed",Components!$L$4:$L$253,"OK — verify source"))))&lt;&gt;1,IF(E16="UC",COUNTIFS('Use cases'!$A$4:$A$253,F16,'Use cases'!$I$4:$I$253,"Confirmed",'Use cases'!$J$4:$J$253,"OK — verify source"),IF(E16="CAP",COUNTIFS(Capabilities!$A$4:$A$253,F16,Capabilities!$J$4:$J$253,"Confirmed",Capabilities!$K$4:$K$253,"OK — verify source"),IF(E16="AIR",COUNTIFS('System map'!$A$4:$A$203,F16,'System map'!$B$4:$B$203,"&lt;&gt;",'System map'!$C$4:$C$203,"&lt;&gt;",'System map'!$D$4:$D$203,"&lt;&gt;"),COUNTIFS(Components!$A$4:$A$253,F16,Components!$B$4:$B$253,E16,Components!$K$4:$K$253,"Confirmed",Components!$L$4:$L$253,"OK — verify source"))))&lt;&gt;1)),"Endpoint not source-reconciled",IF(AND(M16="Confirmed",OR(L16="",K16="",K16="Unknown",K16="Low")),"Confirmed link lacks verification","OK — verify source"))))))))))))))</f>
        <v/>
      </c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8" t="n"/>
      <c r="M17" s="27" t="n"/>
      <c r="N17" s="27">
        <f>IF(COUNTA(A17:M17)=0,"",IF(OR(A17="",B17="",C17="",D17="",E17="",F17="",I17="",J17="",K17="",M17=""),"Required link detail missing",IF(COUNTIF($A$4:$A$1003,A17)&gt;1,"Duplicate Map Edge ID",IF(NOT(OR(AND(B17="UC",E17="CAP",D17="requires"),AND(B17="CAP",E17="AIR",D17="provided by"),AND(B17="AIR",OR(E17="MOD",E17="DATA",E17="IF",E17="AG",E17="TOOL"),D17="references"),AND(B17="AIR",E17="AIR",D17="depends on"))),"Invalid relationship",IF(AND(M17&lt;&gt;"Superseded",COUNTIFS($B$4:$B$1003,B17,$C$4:$C$1003,C17,$D$4:$D$1003,D17,$E$4:$E$1003,E17,$F$4:$F$1003,F17,$G$4:$G$1003,G17,$M$4:$M$1003,"&lt;&gt;Superseded")&gt;1),"Duplicate relationship",IF(OR(IF(B17="UC",COUNTIF('Use cases'!$A$4:$A$253,C17),IF(B17="CAP",COUNTIF(Capabilities!$A$4:$A$253,C17),IF(B17="AIR",COUNTIF('System map'!$A$4:$A$203,C17),COUNTIFS(Components!$A$4:$A$253,C17,Components!$B$4:$B$253,B17))))&lt;&gt;1,IF(E17="UC",COUNTIF('Use cases'!$A$4:$A$253,F17),IF(E17="CAP",COUNTIF(Capabilities!$A$4:$A$253,F17),IF(E17="AIR",COUNTIF('System map'!$A$4:$A$203,F17),COUNTIFS(Components!$A$4:$A$253,F17,Components!$B$4:$B$253,E17))))&lt;&gt;1),"Endpoint missing or duplicated",IF(AND(NOT(AND(B17="UC",E17="CAP")),OR(G17="",COUNTIF('System map'!$A$4:$A$203,G17)&lt;&gt;1)),"AIR context missing / unknown",IF(AND(B17="CAP",E17="AIR",G17&lt;&gt;F17),"AIR context mismatch",IF(AND(B17="AIR",G17&lt;&gt;C17),"AIR context mismatch",IF(AND(B17="AIR",E17="AIR",C17=F17),"Self-dependency",IF(AND(B17="AIR",E17="AIR",M17&lt;&gt;"Superseded",COUNTIFS($B$4:$B$1003,"AIR",$C$4:$C$1003,F17,$E$4:$E$1003,"AIR",$F$4:$F$1003,C17,$M$4:$M$1003,"&lt;&gt;Superseded")&gt;0),"Dependency cycle (A↔B) — review",IF(AND(B17="AIR",OR(E17="MOD",E17="DATA",E17="IF",E17="AG",E17="TOOL"),IFERROR(INDEX(Components!$G$4:$G$253,MATCH(F17,Components!$A$4:$A$253,0)),"")&lt;&gt;"",IFERROR(INDEX(Components!$G$4:$G$253,MATCH(F17,Components!$A$4:$A$253,0)),"")&lt;&gt;C17),"Component owned by another AIR-ID",IF(AND(M17="Confirmed",OR(IF(B17="UC",COUNTIFS('Use cases'!$A$4:$A$253,C17,'Use cases'!$I$4:$I$253,"Confirmed",'Use cases'!$J$4:$J$253,"OK — verify source"),IF(B17="CAP",COUNTIFS(Capabilities!$A$4:$A$253,C17,Capabilities!$J$4:$J$253,"Confirmed",Capabilities!$K$4:$K$253,"OK — verify source"),IF(B17="AIR",COUNTIFS('System map'!$A$4:$A$203,C17,'System map'!$B$4:$B$203,"&lt;&gt;",'System map'!$C$4:$C$203,"&lt;&gt;",'System map'!$D$4:$D$203,"&lt;&gt;"),COUNTIFS(Components!$A$4:$A$253,C17,Components!$B$4:$B$253,B17,Components!$K$4:$K$253,"Confirmed",Components!$L$4:$L$253,"OK — verify source"))))&lt;&gt;1,IF(E17="UC",COUNTIFS('Use cases'!$A$4:$A$253,F17,'Use cases'!$I$4:$I$253,"Confirmed",'Use cases'!$J$4:$J$253,"OK — verify source"),IF(E17="CAP",COUNTIFS(Capabilities!$A$4:$A$253,F17,Capabilities!$J$4:$J$253,"Confirmed",Capabilities!$K$4:$K$253,"OK — verify source"),IF(E17="AIR",COUNTIFS('System map'!$A$4:$A$203,F17,'System map'!$B$4:$B$203,"&lt;&gt;",'System map'!$C$4:$C$203,"&lt;&gt;",'System map'!$D$4:$D$203,"&lt;&gt;"),COUNTIFS(Components!$A$4:$A$253,F17,Components!$B$4:$B$253,E17,Components!$K$4:$K$253,"Confirmed",Components!$L$4:$L$253,"OK — verify source"))))&lt;&gt;1)),"Endpoint not source-reconciled",IF(AND(M17="Confirmed",OR(L17="",K17="",K17="Unknown",K17="Low")),"Confirmed link lacks verification","OK — verify source"))))))))))))))</f>
        <v/>
      </c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6" t="n"/>
      <c r="M18" s="25" t="n"/>
      <c r="N18" s="25">
        <f>IF(COUNTA(A18:M18)=0,"",IF(OR(A18="",B18="",C18="",D18="",E18="",F18="",I18="",J18="",K18="",M18=""),"Required link detail missing",IF(COUNTIF($A$4:$A$1003,A18)&gt;1,"Duplicate Map Edge ID",IF(NOT(OR(AND(B18="UC",E18="CAP",D18="requires"),AND(B18="CAP",E18="AIR",D18="provided by"),AND(B18="AIR",OR(E18="MOD",E18="DATA",E18="IF",E18="AG",E18="TOOL"),D18="references"),AND(B18="AIR",E18="AIR",D18="depends on"))),"Invalid relationship",IF(AND(M18&lt;&gt;"Superseded",COUNTIFS($B$4:$B$1003,B18,$C$4:$C$1003,C18,$D$4:$D$1003,D18,$E$4:$E$1003,E18,$F$4:$F$1003,F18,$G$4:$G$1003,G18,$M$4:$M$1003,"&lt;&gt;Superseded")&gt;1),"Duplicate relationship",IF(OR(IF(B18="UC",COUNTIF('Use cases'!$A$4:$A$253,C18),IF(B18="CAP",COUNTIF(Capabilities!$A$4:$A$253,C18),IF(B18="AIR",COUNTIF('System map'!$A$4:$A$203,C18),COUNTIFS(Components!$A$4:$A$253,C18,Components!$B$4:$B$253,B18))))&lt;&gt;1,IF(E18="UC",COUNTIF('Use cases'!$A$4:$A$253,F18),IF(E18="CAP",COUNTIF(Capabilities!$A$4:$A$253,F18),IF(E18="AIR",COUNTIF('System map'!$A$4:$A$203,F18),COUNTIFS(Components!$A$4:$A$253,F18,Components!$B$4:$B$253,E18))))&lt;&gt;1),"Endpoint missing or duplicated",IF(AND(NOT(AND(B18="UC",E18="CAP")),OR(G18="",COUNTIF('System map'!$A$4:$A$203,G18)&lt;&gt;1)),"AIR context missing / unknown",IF(AND(B18="CAP",E18="AIR",G18&lt;&gt;F18),"AIR context mismatch",IF(AND(B18="AIR",G18&lt;&gt;C18),"AIR context mismatch",IF(AND(B18="AIR",E18="AIR",C18=F18),"Self-dependency",IF(AND(B18="AIR",E18="AIR",M18&lt;&gt;"Superseded",COUNTIFS($B$4:$B$1003,"AIR",$C$4:$C$1003,F18,$E$4:$E$1003,"AIR",$F$4:$F$1003,C18,$M$4:$M$1003,"&lt;&gt;Superseded")&gt;0),"Dependency cycle (A↔B) — review",IF(AND(B18="AIR",OR(E18="MOD",E18="DATA",E18="IF",E18="AG",E18="TOOL"),IFERROR(INDEX(Components!$G$4:$G$253,MATCH(F18,Components!$A$4:$A$253,0)),"")&lt;&gt;"",IFERROR(INDEX(Components!$G$4:$G$253,MATCH(F18,Components!$A$4:$A$253,0)),"")&lt;&gt;C18),"Component owned by another AIR-ID",IF(AND(M18="Confirmed",OR(IF(B18="UC",COUNTIFS('Use cases'!$A$4:$A$253,C18,'Use cases'!$I$4:$I$253,"Confirmed",'Use cases'!$J$4:$J$253,"OK — verify source"),IF(B18="CAP",COUNTIFS(Capabilities!$A$4:$A$253,C18,Capabilities!$J$4:$J$253,"Confirmed",Capabilities!$K$4:$K$253,"OK — verify source"),IF(B18="AIR",COUNTIFS('System map'!$A$4:$A$203,C18,'System map'!$B$4:$B$203,"&lt;&gt;",'System map'!$C$4:$C$203,"&lt;&gt;",'System map'!$D$4:$D$203,"&lt;&gt;"),COUNTIFS(Components!$A$4:$A$253,C18,Components!$B$4:$B$253,B18,Components!$K$4:$K$253,"Confirmed",Components!$L$4:$L$253,"OK — verify source"))))&lt;&gt;1,IF(E18="UC",COUNTIFS('Use cases'!$A$4:$A$253,F18,'Use cases'!$I$4:$I$253,"Confirmed",'Use cases'!$J$4:$J$253,"OK — verify source"),IF(E18="CAP",COUNTIFS(Capabilities!$A$4:$A$253,F18,Capabilities!$J$4:$J$253,"Confirmed",Capabilities!$K$4:$K$253,"OK — verify source"),IF(E18="AIR",COUNTIFS('System map'!$A$4:$A$203,F18,'System map'!$B$4:$B$203,"&lt;&gt;",'System map'!$C$4:$C$203,"&lt;&gt;",'System map'!$D$4:$D$203,"&lt;&gt;"),COUNTIFS(Components!$A$4:$A$253,F18,Components!$B$4:$B$253,E18,Components!$K$4:$K$253,"Confirmed",Components!$L$4:$L$253,"OK — verify source"))))&lt;&gt;1)),"Endpoint not source-reconciled",IF(AND(M18="Confirmed",OR(L18="",K18="",K18="Unknown",K18="Low")),"Confirmed link lacks verification","OK — verify source"))))))))))))))</f>
        <v/>
      </c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8" t="n"/>
      <c r="M19" s="27" t="n"/>
      <c r="N19" s="27">
        <f>IF(COUNTA(A19:M19)=0,"",IF(OR(A19="",B19="",C19="",D19="",E19="",F19="",I19="",J19="",K19="",M19=""),"Required link detail missing",IF(COUNTIF($A$4:$A$1003,A19)&gt;1,"Duplicate Map Edge ID",IF(NOT(OR(AND(B19="UC",E19="CAP",D19="requires"),AND(B19="CAP",E19="AIR",D19="provided by"),AND(B19="AIR",OR(E19="MOD",E19="DATA",E19="IF",E19="AG",E19="TOOL"),D19="references"),AND(B19="AIR",E19="AIR",D19="depends on"))),"Invalid relationship",IF(AND(M19&lt;&gt;"Superseded",COUNTIFS($B$4:$B$1003,B19,$C$4:$C$1003,C19,$D$4:$D$1003,D19,$E$4:$E$1003,E19,$F$4:$F$1003,F19,$G$4:$G$1003,G19,$M$4:$M$1003,"&lt;&gt;Superseded")&gt;1),"Duplicate relationship",IF(OR(IF(B19="UC",COUNTIF('Use cases'!$A$4:$A$253,C19),IF(B19="CAP",COUNTIF(Capabilities!$A$4:$A$253,C19),IF(B19="AIR",COUNTIF('System map'!$A$4:$A$203,C19),COUNTIFS(Components!$A$4:$A$253,C19,Components!$B$4:$B$253,B19))))&lt;&gt;1,IF(E19="UC",COUNTIF('Use cases'!$A$4:$A$253,F19),IF(E19="CAP",COUNTIF(Capabilities!$A$4:$A$253,F19),IF(E19="AIR",COUNTIF('System map'!$A$4:$A$203,F19),COUNTIFS(Components!$A$4:$A$253,F19,Components!$B$4:$B$253,E19))))&lt;&gt;1),"Endpoint missing or duplicated",IF(AND(NOT(AND(B19="UC",E19="CAP")),OR(G19="",COUNTIF('System map'!$A$4:$A$203,G19)&lt;&gt;1)),"AIR context missing / unknown",IF(AND(B19="CAP",E19="AIR",G19&lt;&gt;F19),"AIR context mismatch",IF(AND(B19="AIR",G19&lt;&gt;C19),"AIR context mismatch",IF(AND(B19="AIR",E19="AIR",C19=F19),"Self-dependency",IF(AND(B19="AIR",E19="AIR",M19&lt;&gt;"Superseded",COUNTIFS($B$4:$B$1003,"AIR",$C$4:$C$1003,F19,$E$4:$E$1003,"AIR",$F$4:$F$1003,C19,$M$4:$M$1003,"&lt;&gt;Superseded")&gt;0),"Dependency cycle (A↔B) — review",IF(AND(B19="AIR",OR(E19="MOD",E19="DATA",E19="IF",E19="AG",E19="TOOL"),IFERROR(INDEX(Components!$G$4:$G$253,MATCH(F19,Components!$A$4:$A$253,0)),"")&lt;&gt;"",IFERROR(INDEX(Components!$G$4:$G$253,MATCH(F19,Components!$A$4:$A$253,0)),"")&lt;&gt;C19),"Component owned by another AIR-ID",IF(AND(M19="Confirmed",OR(IF(B19="UC",COUNTIFS('Use cases'!$A$4:$A$253,C19,'Use cases'!$I$4:$I$253,"Confirmed",'Use cases'!$J$4:$J$253,"OK — verify source"),IF(B19="CAP",COUNTIFS(Capabilities!$A$4:$A$253,C19,Capabilities!$J$4:$J$253,"Confirmed",Capabilities!$K$4:$K$253,"OK — verify source"),IF(B19="AIR",COUNTIFS('System map'!$A$4:$A$203,C19,'System map'!$B$4:$B$203,"&lt;&gt;",'System map'!$C$4:$C$203,"&lt;&gt;",'System map'!$D$4:$D$203,"&lt;&gt;"),COUNTIFS(Components!$A$4:$A$253,C19,Components!$B$4:$B$253,B19,Components!$K$4:$K$253,"Confirmed",Components!$L$4:$L$253,"OK — verify source"))))&lt;&gt;1,IF(E19="UC",COUNTIFS('Use cases'!$A$4:$A$253,F19,'Use cases'!$I$4:$I$253,"Confirmed",'Use cases'!$J$4:$J$253,"OK — verify source"),IF(E19="CAP",COUNTIFS(Capabilities!$A$4:$A$253,F19,Capabilities!$J$4:$J$253,"Confirmed",Capabilities!$K$4:$K$253,"OK — verify source"),IF(E19="AIR",COUNTIFS('System map'!$A$4:$A$203,F19,'System map'!$B$4:$B$203,"&lt;&gt;",'System map'!$C$4:$C$203,"&lt;&gt;",'System map'!$D$4:$D$203,"&lt;&gt;"),COUNTIFS(Components!$A$4:$A$253,F19,Components!$B$4:$B$253,E19,Components!$K$4:$K$253,"Confirmed",Components!$L$4:$L$253,"OK — verify source"))))&lt;&gt;1)),"Endpoint not source-reconciled",IF(AND(M19="Confirmed",OR(L19="",K19="",K19="Unknown",K19="Low")),"Confirmed link lacks verification","OK — verify source"))))))))))))))</f>
        <v/>
      </c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6" t="n"/>
      <c r="M20" s="25" t="n"/>
      <c r="N20" s="25">
        <f>IF(COUNTA(A20:M20)=0,"",IF(OR(A20="",B20="",C20="",D20="",E20="",F20="",I20="",J20="",K20="",M20=""),"Required link detail missing",IF(COUNTIF($A$4:$A$1003,A20)&gt;1,"Duplicate Map Edge ID",IF(NOT(OR(AND(B20="UC",E20="CAP",D20="requires"),AND(B20="CAP",E20="AIR",D20="provided by"),AND(B20="AIR",OR(E20="MOD",E20="DATA",E20="IF",E20="AG",E20="TOOL"),D20="references"),AND(B20="AIR",E20="AIR",D20="depends on"))),"Invalid relationship",IF(AND(M20&lt;&gt;"Superseded",COUNTIFS($B$4:$B$1003,B20,$C$4:$C$1003,C20,$D$4:$D$1003,D20,$E$4:$E$1003,E20,$F$4:$F$1003,F20,$G$4:$G$1003,G20,$M$4:$M$1003,"&lt;&gt;Superseded")&gt;1),"Duplicate relationship",IF(OR(IF(B20="UC",COUNTIF('Use cases'!$A$4:$A$253,C20),IF(B20="CAP",COUNTIF(Capabilities!$A$4:$A$253,C20),IF(B20="AIR",COUNTIF('System map'!$A$4:$A$203,C20),COUNTIFS(Components!$A$4:$A$253,C20,Components!$B$4:$B$253,B20))))&lt;&gt;1,IF(E20="UC",COUNTIF('Use cases'!$A$4:$A$253,F20),IF(E20="CAP",COUNTIF(Capabilities!$A$4:$A$253,F20),IF(E20="AIR",COUNTIF('System map'!$A$4:$A$203,F20),COUNTIFS(Components!$A$4:$A$253,F20,Components!$B$4:$B$253,E20))))&lt;&gt;1),"Endpoint missing or duplicated",IF(AND(NOT(AND(B20="UC",E20="CAP")),OR(G20="",COUNTIF('System map'!$A$4:$A$203,G20)&lt;&gt;1)),"AIR context missing / unknown",IF(AND(B20="CAP",E20="AIR",G20&lt;&gt;F20),"AIR context mismatch",IF(AND(B20="AIR",G20&lt;&gt;C20),"AIR context mismatch",IF(AND(B20="AIR",E20="AIR",C20=F20),"Self-dependency",IF(AND(B20="AIR",E20="AIR",M20&lt;&gt;"Superseded",COUNTIFS($B$4:$B$1003,"AIR",$C$4:$C$1003,F20,$E$4:$E$1003,"AIR",$F$4:$F$1003,C20,$M$4:$M$1003,"&lt;&gt;Superseded")&gt;0),"Dependency cycle (A↔B) — review",IF(AND(B20="AIR",OR(E20="MOD",E20="DATA",E20="IF",E20="AG",E20="TOOL"),IFERROR(INDEX(Components!$G$4:$G$253,MATCH(F20,Components!$A$4:$A$253,0)),"")&lt;&gt;"",IFERROR(INDEX(Components!$G$4:$G$253,MATCH(F20,Components!$A$4:$A$253,0)),"")&lt;&gt;C20),"Component owned by another AIR-ID",IF(AND(M20="Confirmed",OR(IF(B20="UC",COUNTIFS('Use cases'!$A$4:$A$253,C20,'Use cases'!$I$4:$I$253,"Confirmed",'Use cases'!$J$4:$J$253,"OK — verify source"),IF(B20="CAP",COUNTIFS(Capabilities!$A$4:$A$253,C20,Capabilities!$J$4:$J$253,"Confirmed",Capabilities!$K$4:$K$253,"OK — verify source"),IF(B20="AIR",COUNTIFS('System map'!$A$4:$A$203,C20,'System map'!$B$4:$B$203,"&lt;&gt;",'System map'!$C$4:$C$203,"&lt;&gt;",'System map'!$D$4:$D$203,"&lt;&gt;"),COUNTIFS(Components!$A$4:$A$253,C20,Components!$B$4:$B$253,B20,Components!$K$4:$K$253,"Confirmed",Components!$L$4:$L$253,"OK — verify source"))))&lt;&gt;1,IF(E20="UC",COUNTIFS('Use cases'!$A$4:$A$253,F20,'Use cases'!$I$4:$I$253,"Confirmed",'Use cases'!$J$4:$J$253,"OK — verify source"),IF(E20="CAP",COUNTIFS(Capabilities!$A$4:$A$253,F20,Capabilities!$J$4:$J$253,"Confirmed",Capabilities!$K$4:$K$253,"OK — verify source"),IF(E20="AIR",COUNTIFS('System map'!$A$4:$A$203,F20,'System map'!$B$4:$B$203,"&lt;&gt;",'System map'!$C$4:$C$203,"&lt;&gt;",'System map'!$D$4:$D$203,"&lt;&gt;"),COUNTIFS(Components!$A$4:$A$253,F20,Components!$B$4:$B$253,E20,Components!$K$4:$K$253,"Confirmed",Components!$L$4:$L$253,"OK — verify source"))))&lt;&gt;1)),"Endpoint not source-reconciled",IF(AND(M20="Confirmed",OR(L20="",K20="",K20="Unknown",K20="Low")),"Confirmed link lacks verification","OK — verify source"))))))))))))))</f>
        <v/>
      </c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8" t="n"/>
      <c r="M21" s="27" t="n"/>
      <c r="N21" s="27">
        <f>IF(COUNTA(A21:M21)=0,"",IF(OR(A21="",B21="",C21="",D21="",E21="",F21="",I21="",J21="",K21="",M21=""),"Required link detail missing",IF(COUNTIF($A$4:$A$1003,A21)&gt;1,"Duplicate Map Edge ID",IF(NOT(OR(AND(B21="UC",E21="CAP",D21="requires"),AND(B21="CAP",E21="AIR",D21="provided by"),AND(B21="AIR",OR(E21="MOD",E21="DATA",E21="IF",E21="AG",E21="TOOL"),D21="references"),AND(B21="AIR",E21="AIR",D21="depends on"))),"Invalid relationship",IF(AND(M21&lt;&gt;"Superseded",COUNTIFS($B$4:$B$1003,B21,$C$4:$C$1003,C21,$D$4:$D$1003,D21,$E$4:$E$1003,E21,$F$4:$F$1003,F21,$G$4:$G$1003,G21,$M$4:$M$1003,"&lt;&gt;Superseded")&gt;1),"Duplicate relationship",IF(OR(IF(B21="UC",COUNTIF('Use cases'!$A$4:$A$253,C21),IF(B21="CAP",COUNTIF(Capabilities!$A$4:$A$253,C21),IF(B21="AIR",COUNTIF('System map'!$A$4:$A$203,C21),COUNTIFS(Components!$A$4:$A$253,C21,Components!$B$4:$B$253,B21))))&lt;&gt;1,IF(E21="UC",COUNTIF('Use cases'!$A$4:$A$253,F21),IF(E21="CAP",COUNTIF(Capabilities!$A$4:$A$253,F21),IF(E21="AIR",COUNTIF('System map'!$A$4:$A$203,F21),COUNTIFS(Components!$A$4:$A$253,F21,Components!$B$4:$B$253,E21))))&lt;&gt;1),"Endpoint missing or duplicated",IF(AND(NOT(AND(B21="UC",E21="CAP")),OR(G21="",COUNTIF('System map'!$A$4:$A$203,G21)&lt;&gt;1)),"AIR context missing / unknown",IF(AND(B21="CAP",E21="AIR",G21&lt;&gt;F21),"AIR context mismatch",IF(AND(B21="AIR",G21&lt;&gt;C21),"AIR context mismatch",IF(AND(B21="AIR",E21="AIR",C21=F21),"Self-dependency",IF(AND(B21="AIR",E21="AIR",M21&lt;&gt;"Superseded",COUNTIFS($B$4:$B$1003,"AIR",$C$4:$C$1003,F21,$E$4:$E$1003,"AIR",$F$4:$F$1003,C21,$M$4:$M$1003,"&lt;&gt;Superseded")&gt;0),"Dependency cycle (A↔B) — review",IF(AND(B21="AIR",OR(E21="MOD",E21="DATA",E21="IF",E21="AG",E21="TOOL"),IFERROR(INDEX(Components!$G$4:$G$253,MATCH(F21,Components!$A$4:$A$253,0)),"")&lt;&gt;"",IFERROR(INDEX(Components!$G$4:$G$253,MATCH(F21,Components!$A$4:$A$253,0)),"")&lt;&gt;C21),"Component owned by another AIR-ID",IF(AND(M21="Confirmed",OR(IF(B21="UC",COUNTIFS('Use cases'!$A$4:$A$253,C21,'Use cases'!$I$4:$I$253,"Confirmed",'Use cases'!$J$4:$J$253,"OK — verify source"),IF(B21="CAP",COUNTIFS(Capabilities!$A$4:$A$253,C21,Capabilities!$J$4:$J$253,"Confirmed",Capabilities!$K$4:$K$253,"OK — verify source"),IF(B21="AIR",COUNTIFS('System map'!$A$4:$A$203,C21,'System map'!$B$4:$B$203,"&lt;&gt;",'System map'!$C$4:$C$203,"&lt;&gt;",'System map'!$D$4:$D$203,"&lt;&gt;"),COUNTIFS(Components!$A$4:$A$253,C21,Components!$B$4:$B$253,B21,Components!$K$4:$K$253,"Confirmed",Components!$L$4:$L$253,"OK — verify source"))))&lt;&gt;1,IF(E21="UC",COUNTIFS('Use cases'!$A$4:$A$253,F21,'Use cases'!$I$4:$I$253,"Confirmed",'Use cases'!$J$4:$J$253,"OK — verify source"),IF(E21="CAP",COUNTIFS(Capabilities!$A$4:$A$253,F21,Capabilities!$J$4:$J$253,"Confirmed",Capabilities!$K$4:$K$253,"OK — verify source"),IF(E21="AIR",COUNTIFS('System map'!$A$4:$A$203,F21,'System map'!$B$4:$B$203,"&lt;&gt;",'System map'!$C$4:$C$203,"&lt;&gt;",'System map'!$D$4:$D$203,"&lt;&gt;"),COUNTIFS(Components!$A$4:$A$253,F21,Components!$B$4:$B$253,E21,Components!$K$4:$K$253,"Confirmed",Components!$L$4:$L$253,"OK — verify source"))))&lt;&gt;1)),"Endpoint not source-reconciled",IF(AND(M21="Confirmed",OR(L21="",K21="",K21="Unknown",K21="Low")),"Confirmed link lacks verification","OK — verify source"))))))))))))))</f>
        <v/>
      </c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6" t="n"/>
      <c r="M22" s="25" t="n"/>
      <c r="N22" s="25">
        <f>IF(COUNTA(A22:M22)=0,"",IF(OR(A22="",B22="",C22="",D22="",E22="",F22="",I22="",J22="",K22="",M22=""),"Required link detail missing",IF(COUNTIF($A$4:$A$1003,A22)&gt;1,"Duplicate Map Edge ID",IF(NOT(OR(AND(B22="UC",E22="CAP",D22="requires"),AND(B22="CAP",E22="AIR",D22="provided by"),AND(B22="AIR",OR(E22="MOD",E22="DATA",E22="IF",E22="AG",E22="TOOL"),D22="references"),AND(B22="AIR",E22="AIR",D22="depends on"))),"Invalid relationship",IF(AND(M22&lt;&gt;"Superseded",COUNTIFS($B$4:$B$1003,B22,$C$4:$C$1003,C22,$D$4:$D$1003,D22,$E$4:$E$1003,E22,$F$4:$F$1003,F22,$G$4:$G$1003,G22,$M$4:$M$1003,"&lt;&gt;Superseded")&gt;1),"Duplicate relationship",IF(OR(IF(B22="UC",COUNTIF('Use cases'!$A$4:$A$253,C22),IF(B22="CAP",COUNTIF(Capabilities!$A$4:$A$253,C22),IF(B22="AIR",COUNTIF('System map'!$A$4:$A$203,C22),COUNTIFS(Components!$A$4:$A$253,C22,Components!$B$4:$B$253,B22))))&lt;&gt;1,IF(E22="UC",COUNTIF('Use cases'!$A$4:$A$253,F22),IF(E22="CAP",COUNTIF(Capabilities!$A$4:$A$253,F22),IF(E22="AIR",COUNTIF('System map'!$A$4:$A$203,F22),COUNTIFS(Components!$A$4:$A$253,F22,Components!$B$4:$B$253,E22))))&lt;&gt;1),"Endpoint missing or duplicated",IF(AND(NOT(AND(B22="UC",E22="CAP")),OR(G22="",COUNTIF('System map'!$A$4:$A$203,G22)&lt;&gt;1)),"AIR context missing / unknown",IF(AND(B22="CAP",E22="AIR",G22&lt;&gt;F22),"AIR context mismatch",IF(AND(B22="AIR",G22&lt;&gt;C22),"AIR context mismatch",IF(AND(B22="AIR",E22="AIR",C22=F22),"Self-dependency",IF(AND(B22="AIR",E22="AIR",M22&lt;&gt;"Superseded",COUNTIFS($B$4:$B$1003,"AIR",$C$4:$C$1003,F22,$E$4:$E$1003,"AIR",$F$4:$F$1003,C22,$M$4:$M$1003,"&lt;&gt;Superseded")&gt;0),"Dependency cycle (A↔B) — review",IF(AND(B22="AIR",OR(E22="MOD",E22="DATA",E22="IF",E22="AG",E22="TOOL"),IFERROR(INDEX(Components!$G$4:$G$253,MATCH(F22,Components!$A$4:$A$253,0)),"")&lt;&gt;"",IFERROR(INDEX(Components!$G$4:$G$253,MATCH(F22,Components!$A$4:$A$253,0)),"")&lt;&gt;C22),"Component owned by another AIR-ID",IF(AND(M22="Confirmed",OR(IF(B22="UC",COUNTIFS('Use cases'!$A$4:$A$253,C22,'Use cases'!$I$4:$I$253,"Confirmed",'Use cases'!$J$4:$J$253,"OK — verify source"),IF(B22="CAP",COUNTIFS(Capabilities!$A$4:$A$253,C22,Capabilities!$J$4:$J$253,"Confirmed",Capabilities!$K$4:$K$253,"OK — verify source"),IF(B22="AIR",COUNTIFS('System map'!$A$4:$A$203,C22,'System map'!$B$4:$B$203,"&lt;&gt;",'System map'!$C$4:$C$203,"&lt;&gt;",'System map'!$D$4:$D$203,"&lt;&gt;"),COUNTIFS(Components!$A$4:$A$253,C22,Components!$B$4:$B$253,B22,Components!$K$4:$K$253,"Confirmed",Components!$L$4:$L$253,"OK — verify source"))))&lt;&gt;1,IF(E22="UC",COUNTIFS('Use cases'!$A$4:$A$253,F22,'Use cases'!$I$4:$I$253,"Confirmed",'Use cases'!$J$4:$J$253,"OK — verify source"),IF(E22="CAP",COUNTIFS(Capabilities!$A$4:$A$253,F22,Capabilities!$J$4:$J$253,"Confirmed",Capabilities!$K$4:$K$253,"OK — verify source"),IF(E22="AIR",COUNTIFS('System map'!$A$4:$A$203,F22,'System map'!$B$4:$B$203,"&lt;&gt;",'System map'!$C$4:$C$203,"&lt;&gt;",'System map'!$D$4:$D$203,"&lt;&gt;"),COUNTIFS(Components!$A$4:$A$253,F22,Components!$B$4:$B$253,E22,Components!$K$4:$K$253,"Confirmed",Components!$L$4:$L$253,"OK — verify source"))))&lt;&gt;1)),"Endpoint not source-reconciled",IF(AND(M22="Confirmed",OR(L22="",K22="",K22="Unknown",K22="Low")),"Confirmed link lacks verification","OK — verify source"))))))))))))))</f>
        <v/>
      </c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n"/>
      <c r="M23" s="27" t="n"/>
      <c r="N23" s="27">
        <f>IF(COUNTA(A23:M23)=0,"",IF(OR(A23="",B23="",C23="",D23="",E23="",F23="",I23="",J23="",K23="",M23=""),"Required link detail missing",IF(COUNTIF($A$4:$A$1003,A23)&gt;1,"Duplicate Map Edge ID",IF(NOT(OR(AND(B23="UC",E23="CAP",D23="requires"),AND(B23="CAP",E23="AIR",D23="provided by"),AND(B23="AIR",OR(E23="MOD",E23="DATA",E23="IF",E23="AG",E23="TOOL"),D23="references"),AND(B23="AIR",E23="AIR",D23="depends on"))),"Invalid relationship",IF(AND(M23&lt;&gt;"Superseded",COUNTIFS($B$4:$B$1003,B23,$C$4:$C$1003,C23,$D$4:$D$1003,D23,$E$4:$E$1003,E23,$F$4:$F$1003,F23,$G$4:$G$1003,G23,$M$4:$M$1003,"&lt;&gt;Superseded")&gt;1),"Duplicate relationship",IF(OR(IF(B23="UC",COUNTIF('Use cases'!$A$4:$A$253,C23),IF(B23="CAP",COUNTIF(Capabilities!$A$4:$A$253,C23),IF(B23="AIR",COUNTIF('System map'!$A$4:$A$203,C23),COUNTIFS(Components!$A$4:$A$253,C23,Components!$B$4:$B$253,B23))))&lt;&gt;1,IF(E23="UC",COUNTIF('Use cases'!$A$4:$A$253,F23),IF(E23="CAP",COUNTIF(Capabilities!$A$4:$A$253,F23),IF(E23="AIR",COUNTIF('System map'!$A$4:$A$203,F23),COUNTIFS(Components!$A$4:$A$253,F23,Components!$B$4:$B$253,E23))))&lt;&gt;1),"Endpoint missing or duplicated",IF(AND(NOT(AND(B23="UC",E23="CAP")),OR(G23="",COUNTIF('System map'!$A$4:$A$203,G23)&lt;&gt;1)),"AIR context missing / unknown",IF(AND(B23="CAP",E23="AIR",G23&lt;&gt;F23),"AIR context mismatch",IF(AND(B23="AIR",G23&lt;&gt;C23),"AIR context mismatch",IF(AND(B23="AIR",E23="AIR",C23=F23),"Self-dependency",IF(AND(B23="AIR",E23="AIR",M23&lt;&gt;"Superseded",COUNTIFS($B$4:$B$1003,"AIR",$C$4:$C$1003,F23,$E$4:$E$1003,"AIR",$F$4:$F$1003,C23,$M$4:$M$1003,"&lt;&gt;Superseded")&gt;0),"Dependency cycle (A↔B) — review",IF(AND(B23="AIR",OR(E23="MOD",E23="DATA",E23="IF",E23="AG",E23="TOOL"),IFERROR(INDEX(Components!$G$4:$G$253,MATCH(F23,Components!$A$4:$A$253,0)),"")&lt;&gt;"",IFERROR(INDEX(Components!$G$4:$G$253,MATCH(F23,Components!$A$4:$A$253,0)),"")&lt;&gt;C23),"Component owned by another AIR-ID",IF(AND(M23="Confirmed",OR(IF(B23="UC",COUNTIFS('Use cases'!$A$4:$A$253,C23,'Use cases'!$I$4:$I$253,"Confirmed",'Use cases'!$J$4:$J$253,"OK — verify source"),IF(B23="CAP",COUNTIFS(Capabilities!$A$4:$A$253,C23,Capabilities!$J$4:$J$253,"Confirmed",Capabilities!$K$4:$K$253,"OK — verify source"),IF(B23="AIR",COUNTIFS('System map'!$A$4:$A$203,C23,'System map'!$B$4:$B$203,"&lt;&gt;",'System map'!$C$4:$C$203,"&lt;&gt;",'System map'!$D$4:$D$203,"&lt;&gt;"),COUNTIFS(Components!$A$4:$A$253,C23,Components!$B$4:$B$253,B23,Components!$K$4:$K$253,"Confirmed",Components!$L$4:$L$253,"OK — verify source"))))&lt;&gt;1,IF(E23="UC",COUNTIFS('Use cases'!$A$4:$A$253,F23,'Use cases'!$I$4:$I$253,"Confirmed",'Use cases'!$J$4:$J$253,"OK — verify source"),IF(E23="CAP",COUNTIFS(Capabilities!$A$4:$A$253,F23,Capabilities!$J$4:$J$253,"Confirmed",Capabilities!$K$4:$K$253,"OK — verify source"),IF(E23="AIR",COUNTIFS('System map'!$A$4:$A$203,F23,'System map'!$B$4:$B$203,"&lt;&gt;",'System map'!$C$4:$C$203,"&lt;&gt;",'System map'!$D$4:$D$203,"&lt;&gt;"),COUNTIFS(Components!$A$4:$A$253,F23,Components!$B$4:$B$253,E23,Components!$K$4:$K$253,"Confirmed",Components!$L$4:$L$253,"OK — verify source"))))&lt;&gt;1)),"Endpoint not source-reconciled",IF(AND(M23="Confirmed",OR(L23="",K23="",K23="Unknown",K23="Low")),"Confirmed link lacks verification","OK — verify source"))))))))))))))</f>
        <v/>
      </c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6" t="n"/>
      <c r="M24" s="25" t="n"/>
      <c r="N24" s="25">
        <f>IF(COUNTA(A24:M24)=0,"",IF(OR(A24="",B24="",C24="",D24="",E24="",F24="",I24="",J24="",K24="",M24=""),"Required link detail missing",IF(COUNTIF($A$4:$A$1003,A24)&gt;1,"Duplicate Map Edge ID",IF(NOT(OR(AND(B24="UC",E24="CAP",D24="requires"),AND(B24="CAP",E24="AIR",D24="provided by"),AND(B24="AIR",OR(E24="MOD",E24="DATA",E24="IF",E24="AG",E24="TOOL"),D24="references"),AND(B24="AIR",E24="AIR",D24="depends on"))),"Invalid relationship",IF(AND(M24&lt;&gt;"Superseded",COUNTIFS($B$4:$B$1003,B24,$C$4:$C$1003,C24,$D$4:$D$1003,D24,$E$4:$E$1003,E24,$F$4:$F$1003,F24,$G$4:$G$1003,G24,$M$4:$M$1003,"&lt;&gt;Superseded")&gt;1),"Duplicate relationship",IF(OR(IF(B24="UC",COUNTIF('Use cases'!$A$4:$A$253,C24),IF(B24="CAP",COUNTIF(Capabilities!$A$4:$A$253,C24),IF(B24="AIR",COUNTIF('System map'!$A$4:$A$203,C24),COUNTIFS(Components!$A$4:$A$253,C24,Components!$B$4:$B$253,B24))))&lt;&gt;1,IF(E24="UC",COUNTIF('Use cases'!$A$4:$A$253,F24),IF(E24="CAP",COUNTIF(Capabilities!$A$4:$A$253,F24),IF(E24="AIR",COUNTIF('System map'!$A$4:$A$203,F24),COUNTIFS(Components!$A$4:$A$253,F24,Components!$B$4:$B$253,E24))))&lt;&gt;1),"Endpoint missing or duplicated",IF(AND(NOT(AND(B24="UC",E24="CAP")),OR(G24="",COUNTIF('System map'!$A$4:$A$203,G24)&lt;&gt;1)),"AIR context missing / unknown",IF(AND(B24="CAP",E24="AIR",G24&lt;&gt;F24),"AIR context mismatch",IF(AND(B24="AIR",G24&lt;&gt;C24),"AIR context mismatch",IF(AND(B24="AIR",E24="AIR",C24=F24),"Self-dependency",IF(AND(B24="AIR",E24="AIR",M24&lt;&gt;"Superseded",COUNTIFS($B$4:$B$1003,"AIR",$C$4:$C$1003,F24,$E$4:$E$1003,"AIR",$F$4:$F$1003,C24,$M$4:$M$1003,"&lt;&gt;Superseded")&gt;0),"Dependency cycle (A↔B) — review",IF(AND(B24="AIR",OR(E24="MOD",E24="DATA",E24="IF",E24="AG",E24="TOOL"),IFERROR(INDEX(Components!$G$4:$G$253,MATCH(F24,Components!$A$4:$A$253,0)),"")&lt;&gt;"",IFERROR(INDEX(Components!$G$4:$G$253,MATCH(F24,Components!$A$4:$A$253,0)),"")&lt;&gt;C24),"Component owned by another AIR-ID",IF(AND(M24="Confirmed",OR(IF(B24="UC",COUNTIFS('Use cases'!$A$4:$A$253,C24,'Use cases'!$I$4:$I$253,"Confirmed",'Use cases'!$J$4:$J$253,"OK — verify source"),IF(B24="CAP",COUNTIFS(Capabilities!$A$4:$A$253,C24,Capabilities!$J$4:$J$253,"Confirmed",Capabilities!$K$4:$K$253,"OK — verify source"),IF(B24="AIR",COUNTIFS('System map'!$A$4:$A$203,C24,'System map'!$B$4:$B$203,"&lt;&gt;",'System map'!$C$4:$C$203,"&lt;&gt;",'System map'!$D$4:$D$203,"&lt;&gt;"),COUNTIFS(Components!$A$4:$A$253,C24,Components!$B$4:$B$253,B24,Components!$K$4:$K$253,"Confirmed",Components!$L$4:$L$253,"OK — verify source"))))&lt;&gt;1,IF(E24="UC",COUNTIFS('Use cases'!$A$4:$A$253,F24,'Use cases'!$I$4:$I$253,"Confirmed",'Use cases'!$J$4:$J$253,"OK — verify source"),IF(E24="CAP",COUNTIFS(Capabilities!$A$4:$A$253,F24,Capabilities!$J$4:$J$253,"Confirmed",Capabilities!$K$4:$K$253,"OK — verify source"),IF(E24="AIR",COUNTIFS('System map'!$A$4:$A$203,F24,'System map'!$B$4:$B$203,"&lt;&gt;",'System map'!$C$4:$C$203,"&lt;&gt;",'System map'!$D$4:$D$203,"&lt;&gt;"),COUNTIFS(Components!$A$4:$A$253,F24,Components!$B$4:$B$253,E24,Components!$K$4:$K$253,"Confirmed",Components!$L$4:$L$253,"OK — verify source"))))&lt;&gt;1)),"Endpoint not source-reconciled",IF(AND(M24="Confirmed",OR(L24="",K24="",K24="Unknown",K24="Low")),"Confirmed link lacks verification","OK — verify source"))))))))))))))</f>
        <v/>
      </c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n"/>
      <c r="M25" s="27" t="n"/>
      <c r="N25" s="27">
        <f>IF(COUNTA(A25:M25)=0,"",IF(OR(A25="",B25="",C25="",D25="",E25="",F25="",I25="",J25="",K25="",M25=""),"Required link detail missing",IF(COUNTIF($A$4:$A$1003,A25)&gt;1,"Duplicate Map Edge ID",IF(NOT(OR(AND(B25="UC",E25="CAP",D25="requires"),AND(B25="CAP",E25="AIR",D25="provided by"),AND(B25="AIR",OR(E25="MOD",E25="DATA",E25="IF",E25="AG",E25="TOOL"),D25="references"),AND(B25="AIR",E25="AIR",D25="depends on"))),"Invalid relationship",IF(AND(M25&lt;&gt;"Superseded",COUNTIFS($B$4:$B$1003,B25,$C$4:$C$1003,C25,$D$4:$D$1003,D25,$E$4:$E$1003,E25,$F$4:$F$1003,F25,$G$4:$G$1003,G25,$M$4:$M$1003,"&lt;&gt;Superseded")&gt;1),"Duplicate relationship",IF(OR(IF(B25="UC",COUNTIF('Use cases'!$A$4:$A$253,C25),IF(B25="CAP",COUNTIF(Capabilities!$A$4:$A$253,C25),IF(B25="AIR",COUNTIF('System map'!$A$4:$A$203,C25),COUNTIFS(Components!$A$4:$A$253,C25,Components!$B$4:$B$253,B25))))&lt;&gt;1,IF(E25="UC",COUNTIF('Use cases'!$A$4:$A$253,F25),IF(E25="CAP",COUNTIF(Capabilities!$A$4:$A$253,F25),IF(E25="AIR",COUNTIF('System map'!$A$4:$A$203,F25),COUNTIFS(Components!$A$4:$A$253,F25,Components!$B$4:$B$253,E25))))&lt;&gt;1),"Endpoint missing or duplicated",IF(AND(NOT(AND(B25="UC",E25="CAP")),OR(G25="",COUNTIF('System map'!$A$4:$A$203,G25)&lt;&gt;1)),"AIR context missing / unknown",IF(AND(B25="CAP",E25="AIR",G25&lt;&gt;F25),"AIR context mismatch",IF(AND(B25="AIR",G25&lt;&gt;C25),"AIR context mismatch",IF(AND(B25="AIR",E25="AIR",C25=F25),"Self-dependency",IF(AND(B25="AIR",E25="AIR",M25&lt;&gt;"Superseded",COUNTIFS($B$4:$B$1003,"AIR",$C$4:$C$1003,F25,$E$4:$E$1003,"AIR",$F$4:$F$1003,C25,$M$4:$M$1003,"&lt;&gt;Superseded")&gt;0),"Dependency cycle (A↔B) — review",IF(AND(B25="AIR",OR(E25="MOD",E25="DATA",E25="IF",E25="AG",E25="TOOL"),IFERROR(INDEX(Components!$G$4:$G$253,MATCH(F25,Components!$A$4:$A$253,0)),"")&lt;&gt;"",IFERROR(INDEX(Components!$G$4:$G$253,MATCH(F25,Components!$A$4:$A$253,0)),"")&lt;&gt;C25),"Component owned by another AIR-ID",IF(AND(M25="Confirmed",OR(IF(B25="UC",COUNTIFS('Use cases'!$A$4:$A$253,C25,'Use cases'!$I$4:$I$253,"Confirmed",'Use cases'!$J$4:$J$253,"OK — verify source"),IF(B25="CAP",COUNTIFS(Capabilities!$A$4:$A$253,C25,Capabilities!$J$4:$J$253,"Confirmed",Capabilities!$K$4:$K$253,"OK — verify source"),IF(B25="AIR",COUNTIFS('System map'!$A$4:$A$203,C25,'System map'!$B$4:$B$203,"&lt;&gt;",'System map'!$C$4:$C$203,"&lt;&gt;",'System map'!$D$4:$D$203,"&lt;&gt;"),COUNTIFS(Components!$A$4:$A$253,C25,Components!$B$4:$B$253,B25,Components!$K$4:$K$253,"Confirmed",Components!$L$4:$L$253,"OK — verify source"))))&lt;&gt;1,IF(E25="UC",COUNTIFS('Use cases'!$A$4:$A$253,F25,'Use cases'!$I$4:$I$253,"Confirmed",'Use cases'!$J$4:$J$253,"OK — verify source"),IF(E25="CAP",COUNTIFS(Capabilities!$A$4:$A$253,F25,Capabilities!$J$4:$J$253,"Confirmed",Capabilities!$K$4:$K$253,"OK — verify source"),IF(E25="AIR",COUNTIFS('System map'!$A$4:$A$203,F25,'System map'!$B$4:$B$203,"&lt;&gt;",'System map'!$C$4:$C$203,"&lt;&gt;",'System map'!$D$4:$D$203,"&lt;&gt;"),COUNTIFS(Components!$A$4:$A$253,F25,Components!$B$4:$B$253,E25,Components!$K$4:$K$253,"Confirmed",Components!$L$4:$L$253,"OK — verify source"))))&lt;&gt;1)),"Endpoint not source-reconciled",IF(AND(M25="Confirmed",OR(L25="",K25="",K25="Unknown",K25="Low")),"Confirmed link lacks verification","OK — verify source"))))))))))))))</f>
        <v/>
      </c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6" t="n"/>
      <c r="M26" s="25" t="n"/>
      <c r="N26" s="25">
        <f>IF(COUNTA(A26:M26)=0,"",IF(OR(A26="",B26="",C26="",D26="",E26="",F26="",I26="",J26="",K26="",M26=""),"Required link detail missing",IF(COUNTIF($A$4:$A$1003,A26)&gt;1,"Duplicate Map Edge ID",IF(NOT(OR(AND(B26="UC",E26="CAP",D26="requires"),AND(B26="CAP",E26="AIR",D26="provided by"),AND(B26="AIR",OR(E26="MOD",E26="DATA",E26="IF",E26="AG",E26="TOOL"),D26="references"),AND(B26="AIR",E26="AIR",D26="depends on"))),"Invalid relationship",IF(AND(M26&lt;&gt;"Superseded",COUNTIFS($B$4:$B$1003,B26,$C$4:$C$1003,C26,$D$4:$D$1003,D26,$E$4:$E$1003,E26,$F$4:$F$1003,F26,$G$4:$G$1003,G26,$M$4:$M$1003,"&lt;&gt;Superseded")&gt;1),"Duplicate relationship",IF(OR(IF(B26="UC",COUNTIF('Use cases'!$A$4:$A$253,C26),IF(B26="CAP",COUNTIF(Capabilities!$A$4:$A$253,C26),IF(B26="AIR",COUNTIF('System map'!$A$4:$A$203,C26),COUNTIFS(Components!$A$4:$A$253,C26,Components!$B$4:$B$253,B26))))&lt;&gt;1,IF(E26="UC",COUNTIF('Use cases'!$A$4:$A$253,F26),IF(E26="CAP",COUNTIF(Capabilities!$A$4:$A$253,F26),IF(E26="AIR",COUNTIF('System map'!$A$4:$A$203,F26),COUNTIFS(Components!$A$4:$A$253,F26,Components!$B$4:$B$253,E26))))&lt;&gt;1),"Endpoint missing or duplicated",IF(AND(NOT(AND(B26="UC",E26="CAP")),OR(G26="",COUNTIF('System map'!$A$4:$A$203,G26)&lt;&gt;1)),"AIR context missing / unknown",IF(AND(B26="CAP",E26="AIR",G26&lt;&gt;F26),"AIR context mismatch",IF(AND(B26="AIR",G26&lt;&gt;C26),"AIR context mismatch",IF(AND(B26="AIR",E26="AIR",C26=F26),"Self-dependency",IF(AND(B26="AIR",E26="AIR",M26&lt;&gt;"Superseded",COUNTIFS($B$4:$B$1003,"AIR",$C$4:$C$1003,F26,$E$4:$E$1003,"AIR",$F$4:$F$1003,C26,$M$4:$M$1003,"&lt;&gt;Superseded")&gt;0),"Dependency cycle (A↔B) — review",IF(AND(B26="AIR",OR(E26="MOD",E26="DATA",E26="IF",E26="AG",E26="TOOL"),IFERROR(INDEX(Components!$G$4:$G$253,MATCH(F26,Components!$A$4:$A$253,0)),"")&lt;&gt;"",IFERROR(INDEX(Components!$G$4:$G$253,MATCH(F26,Components!$A$4:$A$253,0)),"")&lt;&gt;C26),"Component owned by another AIR-ID",IF(AND(M26="Confirmed",OR(IF(B26="UC",COUNTIFS('Use cases'!$A$4:$A$253,C26,'Use cases'!$I$4:$I$253,"Confirmed",'Use cases'!$J$4:$J$253,"OK — verify source"),IF(B26="CAP",COUNTIFS(Capabilities!$A$4:$A$253,C26,Capabilities!$J$4:$J$253,"Confirmed",Capabilities!$K$4:$K$253,"OK — verify source"),IF(B26="AIR",COUNTIFS('System map'!$A$4:$A$203,C26,'System map'!$B$4:$B$203,"&lt;&gt;",'System map'!$C$4:$C$203,"&lt;&gt;",'System map'!$D$4:$D$203,"&lt;&gt;"),COUNTIFS(Components!$A$4:$A$253,C26,Components!$B$4:$B$253,B26,Components!$K$4:$K$253,"Confirmed",Components!$L$4:$L$253,"OK — verify source"))))&lt;&gt;1,IF(E26="UC",COUNTIFS('Use cases'!$A$4:$A$253,F26,'Use cases'!$I$4:$I$253,"Confirmed",'Use cases'!$J$4:$J$253,"OK — verify source"),IF(E26="CAP",COUNTIFS(Capabilities!$A$4:$A$253,F26,Capabilities!$J$4:$J$253,"Confirmed",Capabilities!$K$4:$K$253,"OK — verify source"),IF(E26="AIR",COUNTIFS('System map'!$A$4:$A$203,F26,'System map'!$B$4:$B$203,"&lt;&gt;",'System map'!$C$4:$C$203,"&lt;&gt;",'System map'!$D$4:$D$203,"&lt;&gt;"),COUNTIFS(Components!$A$4:$A$253,F26,Components!$B$4:$B$253,E26,Components!$K$4:$K$253,"Confirmed",Components!$L$4:$L$253,"OK — verify source"))))&lt;&gt;1)),"Endpoint not source-reconciled",IF(AND(M26="Confirmed",OR(L26="",K26="",K26="Unknown",K26="Low")),"Confirmed link lacks verification","OK — verify source"))))))))))))))</f>
        <v/>
      </c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8" t="n"/>
      <c r="M27" s="27" t="n"/>
      <c r="N27" s="27">
        <f>IF(COUNTA(A27:M27)=0,"",IF(OR(A27="",B27="",C27="",D27="",E27="",F27="",I27="",J27="",K27="",M27=""),"Required link detail missing",IF(COUNTIF($A$4:$A$1003,A27)&gt;1,"Duplicate Map Edge ID",IF(NOT(OR(AND(B27="UC",E27="CAP",D27="requires"),AND(B27="CAP",E27="AIR",D27="provided by"),AND(B27="AIR",OR(E27="MOD",E27="DATA",E27="IF",E27="AG",E27="TOOL"),D27="references"),AND(B27="AIR",E27="AIR",D27="depends on"))),"Invalid relationship",IF(AND(M27&lt;&gt;"Superseded",COUNTIFS($B$4:$B$1003,B27,$C$4:$C$1003,C27,$D$4:$D$1003,D27,$E$4:$E$1003,E27,$F$4:$F$1003,F27,$G$4:$G$1003,G27,$M$4:$M$1003,"&lt;&gt;Superseded")&gt;1),"Duplicate relationship",IF(OR(IF(B27="UC",COUNTIF('Use cases'!$A$4:$A$253,C27),IF(B27="CAP",COUNTIF(Capabilities!$A$4:$A$253,C27),IF(B27="AIR",COUNTIF('System map'!$A$4:$A$203,C27),COUNTIFS(Components!$A$4:$A$253,C27,Components!$B$4:$B$253,B27))))&lt;&gt;1,IF(E27="UC",COUNTIF('Use cases'!$A$4:$A$253,F27),IF(E27="CAP",COUNTIF(Capabilities!$A$4:$A$253,F27),IF(E27="AIR",COUNTIF('System map'!$A$4:$A$203,F27),COUNTIFS(Components!$A$4:$A$253,F27,Components!$B$4:$B$253,E27))))&lt;&gt;1),"Endpoint missing or duplicated",IF(AND(NOT(AND(B27="UC",E27="CAP")),OR(G27="",COUNTIF('System map'!$A$4:$A$203,G27)&lt;&gt;1)),"AIR context missing / unknown",IF(AND(B27="CAP",E27="AIR",G27&lt;&gt;F27),"AIR context mismatch",IF(AND(B27="AIR",G27&lt;&gt;C27),"AIR context mismatch",IF(AND(B27="AIR",E27="AIR",C27=F27),"Self-dependency",IF(AND(B27="AIR",E27="AIR",M27&lt;&gt;"Superseded",COUNTIFS($B$4:$B$1003,"AIR",$C$4:$C$1003,F27,$E$4:$E$1003,"AIR",$F$4:$F$1003,C27,$M$4:$M$1003,"&lt;&gt;Superseded")&gt;0),"Dependency cycle (A↔B) — review",IF(AND(B27="AIR",OR(E27="MOD",E27="DATA",E27="IF",E27="AG",E27="TOOL"),IFERROR(INDEX(Components!$G$4:$G$253,MATCH(F27,Components!$A$4:$A$253,0)),"")&lt;&gt;"",IFERROR(INDEX(Components!$G$4:$G$253,MATCH(F27,Components!$A$4:$A$253,0)),"")&lt;&gt;C27),"Component owned by another AIR-ID",IF(AND(M27="Confirmed",OR(IF(B27="UC",COUNTIFS('Use cases'!$A$4:$A$253,C27,'Use cases'!$I$4:$I$253,"Confirmed",'Use cases'!$J$4:$J$253,"OK — verify source"),IF(B27="CAP",COUNTIFS(Capabilities!$A$4:$A$253,C27,Capabilities!$J$4:$J$253,"Confirmed",Capabilities!$K$4:$K$253,"OK — verify source"),IF(B27="AIR",COUNTIFS('System map'!$A$4:$A$203,C27,'System map'!$B$4:$B$203,"&lt;&gt;",'System map'!$C$4:$C$203,"&lt;&gt;",'System map'!$D$4:$D$203,"&lt;&gt;"),COUNTIFS(Components!$A$4:$A$253,C27,Components!$B$4:$B$253,B27,Components!$K$4:$K$253,"Confirmed",Components!$L$4:$L$253,"OK — verify source"))))&lt;&gt;1,IF(E27="UC",COUNTIFS('Use cases'!$A$4:$A$253,F27,'Use cases'!$I$4:$I$253,"Confirmed",'Use cases'!$J$4:$J$253,"OK — verify source"),IF(E27="CAP",COUNTIFS(Capabilities!$A$4:$A$253,F27,Capabilities!$J$4:$J$253,"Confirmed",Capabilities!$K$4:$K$253,"OK — verify source"),IF(E27="AIR",COUNTIFS('System map'!$A$4:$A$203,F27,'System map'!$B$4:$B$203,"&lt;&gt;",'System map'!$C$4:$C$203,"&lt;&gt;",'System map'!$D$4:$D$203,"&lt;&gt;"),COUNTIFS(Components!$A$4:$A$253,F27,Components!$B$4:$B$253,E27,Components!$K$4:$K$253,"Confirmed",Components!$L$4:$L$253,"OK — verify source"))))&lt;&gt;1)),"Endpoint not source-reconciled",IF(AND(M27="Confirmed",OR(L27="",K27="",K27="Unknown",K27="Low")),"Confirmed link lacks verification","OK — verify source"))))))))))))))</f>
        <v/>
      </c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6" t="n"/>
      <c r="M28" s="25" t="n"/>
      <c r="N28" s="25">
        <f>IF(COUNTA(A28:M28)=0,"",IF(OR(A28="",B28="",C28="",D28="",E28="",F28="",I28="",J28="",K28="",M28=""),"Required link detail missing",IF(COUNTIF($A$4:$A$1003,A28)&gt;1,"Duplicate Map Edge ID",IF(NOT(OR(AND(B28="UC",E28="CAP",D28="requires"),AND(B28="CAP",E28="AIR",D28="provided by"),AND(B28="AIR",OR(E28="MOD",E28="DATA",E28="IF",E28="AG",E28="TOOL"),D28="references"),AND(B28="AIR",E28="AIR",D28="depends on"))),"Invalid relationship",IF(AND(M28&lt;&gt;"Superseded",COUNTIFS($B$4:$B$1003,B28,$C$4:$C$1003,C28,$D$4:$D$1003,D28,$E$4:$E$1003,E28,$F$4:$F$1003,F28,$G$4:$G$1003,G28,$M$4:$M$1003,"&lt;&gt;Superseded")&gt;1),"Duplicate relationship",IF(OR(IF(B28="UC",COUNTIF('Use cases'!$A$4:$A$253,C28),IF(B28="CAP",COUNTIF(Capabilities!$A$4:$A$253,C28),IF(B28="AIR",COUNTIF('System map'!$A$4:$A$203,C28),COUNTIFS(Components!$A$4:$A$253,C28,Components!$B$4:$B$253,B28))))&lt;&gt;1,IF(E28="UC",COUNTIF('Use cases'!$A$4:$A$253,F28),IF(E28="CAP",COUNTIF(Capabilities!$A$4:$A$253,F28),IF(E28="AIR",COUNTIF('System map'!$A$4:$A$203,F28),COUNTIFS(Components!$A$4:$A$253,F28,Components!$B$4:$B$253,E28))))&lt;&gt;1),"Endpoint missing or duplicated",IF(AND(NOT(AND(B28="UC",E28="CAP")),OR(G28="",COUNTIF('System map'!$A$4:$A$203,G28)&lt;&gt;1)),"AIR context missing / unknown",IF(AND(B28="CAP",E28="AIR",G28&lt;&gt;F28),"AIR context mismatch",IF(AND(B28="AIR",G28&lt;&gt;C28),"AIR context mismatch",IF(AND(B28="AIR",E28="AIR",C28=F28),"Self-dependency",IF(AND(B28="AIR",E28="AIR",M28&lt;&gt;"Superseded",COUNTIFS($B$4:$B$1003,"AIR",$C$4:$C$1003,F28,$E$4:$E$1003,"AIR",$F$4:$F$1003,C28,$M$4:$M$1003,"&lt;&gt;Superseded")&gt;0),"Dependency cycle (A↔B) — review",IF(AND(B28="AIR",OR(E28="MOD",E28="DATA",E28="IF",E28="AG",E28="TOOL"),IFERROR(INDEX(Components!$G$4:$G$253,MATCH(F28,Components!$A$4:$A$253,0)),"")&lt;&gt;"",IFERROR(INDEX(Components!$G$4:$G$253,MATCH(F28,Components!$A$4:$A$253,0)),"")&lt;&gt;C28),"Component owned by another AIR-ID",IF(AND(M28="Confirmed",OR(IF(B28="UC",COUNTIFS('Use cases'!$A$4:$A$253,C28,'Use cases'!$I$4:$I$253,"Confirmed",'Use cases'!$J$4:$J$253,"OK — verify source"),IF(B28="CAP",COUNTIFS(Capabilities!$A$4:$A$253,C28,Capabilities!$J$4:$J$253,"Confirmed",Capabilities!$K$4:$K$253,"OK — verify source"),IF(B28="AIR",COUNTIFS('System map'!$A$4:$A$203,C28,'System map'!$B$4:$B$203,"&lt;&gt;",'System map'!$C$4:$C$203,"&lt;&gt;",'System map'!$D$4:$D$203,"&lt;&gt;"),COUNTIFS(Components!$A$4:$A$253,C28,Components!$B$4:$B$253,B28,Components!$K$4:$K$253,"Confirmed",Components!$L$4:$L$253,"OK — verify source"))))&lt;&gt;1,IF(E28="UC",COUNTIFS('Use cases'!$A$4:$A$253,F28,'Use cases'!$I$4:$I$253,"Confirmed",'Use cases'!$J$4:$J$253,"OK — verify source"),IF(E28="CAP",COUNTIFS(Capabilities!$A$4:$A$253,F28,Capabilities!$J$4:$J$253,"Confirmed",Capabilities!$K$4:$K$253,"OK — verify source"),IF(E28="AIR",COUNTIFS('System map'!$A$4:$A$203,F28,'System map'!$B$4:$B$203,"&lt;&gt;",'System map'!$C$4:$C$203,"&lt;&gt;",'System map'!$D$4:$D$203,"&lt;&gt;"),COUNTIFS(Components!$A$4:$A$253,F28,Components!$B$4:$B$253,E28,Components!$K$4:$K$253,"Confirmed",Components!$L$4:$L$253,"OK — verify source"))))&lt;&gt;1)),"Endpoint not source-reconciled",IF(AND(M28="Confirmed",OR(L28="",K28="",K28="Unknown",K28="Low")),"Confirmed link lacks verification","OK — verify source"))))))))))))))</f>
        <v/>
      </c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8" t="n"/>
      <c r="M29" s="27" t="n"/>
      <c r="N29" s="27">
        <f>IF(COUNTA(A29:M29)=0,"",IF(OR(A29="",B29="",C29="",D29="",E29="",F29="",I29="",J29="",K29="",M29=""),"Required link detail missing",IF(COUNTIF($A$4:$A$1003,A29)&gt;1,"Duplicate Map Edge ID",IF(NOT(OR(AND(B29="UC",E29="CAP",D29="requires"),AND(B29="CAP",E29="AIR",D29="provided by"),AND(B29="AIR",OR(E29="MOD",E29="DATA",E29="IF",E29="AG",E29="TOOL"),D29="references"),AND(B29="AIR",E29="AIR",D29="depends on"))),"Invalid relationship",IF(AND(M29&lt;&gt;"Superseded",COUNTIFS($B$4:$B$1003,B29,$C$4:$C$1003,C29,$D$4:$D$1003,D29,$E$4:$E$1003,E29,$F$4:$F$1003,F29,$G$4:$G$1003,G29,$M$4:$M$1003,"&lt;&gt;Superseded")&gt;1),"Duplicate relationship",IF(OR(IF(B29="UC",COUNTIF('Use cases'!$A$4:$A$253,C29),IF(B29="CAP",COUNTIF(Capabilities!$A$4:$A$253,C29),IF(B29="AIR",COUNTIF('System map'!$A$4:$A$203,C29),COUNTIFS(Components!$A$4:$A$253,C29,Components!$B$4:$B$253,B29))))&lt;&gt;1,IF(E29="UC",COUNTIF('Use cases'!$A$4:$A$253,F29),IF(E29="CAP",COUNTIF(Capabilities!$A$4:$A$253,F29),IF(E29="AIR",COUNTIF('System map'!$A$4:$A$203,F29),COUNTIFS(Components!$A$4:$A$253,F29,Components!$B$4:$B$253,E29))))&lt;&gt;1),"Endpoint missing or duplicated",IF(AND(NOT(AND(B29="UC",E29="CAP")),OR(G29="",COUNTIF('System map'!$A$4:$A$203,G29)&lt;&gt;1)),"AIR context missing / unknown",IF(AND(B29="CAP",E29="AIR",G29&lt;&gt;F29),"AIR context mismatch",IF(AND(B29="AIR",G29&lt;&gt;C29),"AIR context mismatch",IF(AND(B29="AIR",E29="AIR",C29=F29),"Self-dependency",IF(AND(B29="AIR",E29="AIR",M29&lt;&gt;"Superseded",COUNTIFS($B$4:$B$1003,"AIR",$C$4:$C$1003,F29,$E$4:$E$1003,"AIR",$F$4:$F$1003,C29,$M$4:$M$1003,"&lt;&gt;Superseded")&gt;0),"Dependency cycle (A↔B) — review",IF(AND(B29="AIR",OR(E29="MOD",E29="DATA",E29="IF",E29="AG",E29="TOOL"),IFERROR(INDEX(Components!$G$4:$G$253,MATCH(F29,Components!$A$4:$A$253,0)),"")&lt;&gt;"",IFERROR(INDEX(Components!$G$4:$G$253,MATCH(F29,Components!$A$4:$A$253,0)),"")&lt;&gt;C29),"Component owned by another AIR-ID",IF(AND(M29="Confirmed",OR(IF(B29="UC",COUNTIFS('Use cases'!$A$4:$A$253,C29,'Use cases'!$I$4:$I$253,"Confirmed",'Use cases'!$J$4:$J$253,"OK — verify source"),IF(B29="CAP",COUNTIFS(Capabilities!$A$4:$A$253,C29,Capabilities!$J$4:$J$253,"Confirmed",Capabilities!$K$4:$K$253,"OK — verify source"),IF(B29="AIR",COUNTIFS('System map'!$A$4:$A$203,C29,'System map'!$B$4:$B$203,"&lt;&gt;",'System map'!$C$4:$C$203,"&lt;&gt;",'System map'!$D$4:$D$203,"&lt;&gt;"),COUNTIFS(Components!$A$4:$A$253,C29,Components!$B$4:$B$253,B29,Components!$K$4:$K$253,"Confirmed",Components!$L$4:$L$253,"OK — verify source"))))&lt;&gt;1,IF(E29="UC",COUNTIFS('Use cases'!$A$4:$A$253,F29,'Use cases'!$I$4:$I$253,"Confirmed",'Use cases'!$J$4:$J$253,"OK — verify source"),IF(E29="CAP",COUNTIFS(Capabilities!$A$4:$A$253,F29,Capabilities!$J$4:$J$253,"Confirmed",Capabilities!$K$4:$K$253,"OK — verify source"),IF(E29="AIR",COUNTIFS('System map'!$A$4:$A$203,F29,'System map'!$B$4:$B$203,"&lt;&gt;",'System map'!$C$4:$C$203,"&lt;&gt;",'System map'!$D$4:$D$203,"&lt;&gt;"),COUNTIFS(Components!$A$4:$A$253,F29,Components!$B$4:$B$253,E29,Components!$K$4:$K$253,"Confirmed",Components!$L$4:$L$253,"OK — verify source"))))&lt;&gt;1)),"Endpoint not source-reconciled",IF(AND(M29="Confirmed",OR(L29="",K29="",K29="Unknown",K29="Low")),"Confirmed link lacks verification","OK — verify source"))))))))))))))</f>
        <v/>
      </c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6" t="n"/>
      <c r="M30" s="25" t="n"/>
      <c r="N30" s="25">
        <f>IF(COUNTA(A30:M30)=0,"",IF(OR(A30="",B30="",C30="",D30="",E30="",F30="",I30="",J30="",K30="",M30=""),"Required link detail missing",IF(COUNTIF($A$4:$A$1003,A30)&gt;1,"Duplicate Map Edge ID",IF(NOT(OR(AND(B30="UC",E30="CAP",D30="requires"),AND(B30="CAP",E30="AIR",D30="provided by"),AND(B30="AIR",OR(E30="MOD",E30="DATA",E30="IF",E30="AG",E30="TOOL"),D30="references"),AND(B30="AIR",E30="AIR",D30="depends on"))),"Invalid relationship",IF(AND(M30&lt;&gt;"Superseded",COUNTIFS($B$4:$B$1003,B30,$C$4:$C$1003,C30,$D$4:$D$1003,D30,$E$4:$E$1003,E30,$F$4:$F$1003,F30,$G$4:$G$1003,G30,$M$4:$M$1003,"&lt;&gt;Superseded")&gt;1),"Duplicate relationship",IF(OR(IF(B30="UC",COUNTIF('Use cases'!$A$4:$A$253,C30),IF(B30="CAP",COUNTIF(Capabilities!$A$4:$A$253,C30),IF(B30="AIR",COUNTIF('System map'!$A$4:$A$203,C30),COUNTIFS(Components!$A$4:$A$253,C30,Components!$B$4:$B$253,B30))))&lt;&gt;1,IF(E30="UC",COUNTIF('Use cases'!$A$4:$A$253,F30),IF(E30="CAP",COUNTIF(Capabilities!$A$4:$A$253,F30),IF(E30="AIR",COUNTIF('System map'!$A$4:$A$203,F30),COUNTIFS(Components!$A$4:$A$253,F30,Components!$B$4:$B$253,E30))))&lt;&gt;1),"Endpoint missing or duplicated",IF(AND(NOT(AND(B30="UC",E30="CAP")),OR(G30="",COUNTIF('System map'!$A$4:$A$203,G30)&lt;&gt;1)),"AIR context missing / unknown",IF(AND(B30="CAP",E30="AIR",G30&lt;&gt;F30),"AIR context mismatch",IF(AND(B30="AIR",G30&lt;&gt;C30),"AIR context mismatch",IF(AND(B30="AIR",E30="AIR",C30=F30),"Self-dependency",IF(AND(B30="AIR",E30="AIR",M30&lt;&gt;"Superseded",COUNTIFS($B$4:$B$1003,"AIR",$C$4:$C$1003,F30,$E$4:$E$1003,"AIR",$F$4:$F$1003,C30,$M$4:$M$1003,"&lt;&gt;Superseded")&gt;0),"Dependency cycle (A↔B) — review",IF(AND(B30="AIR",OR(E30="MOD",E30="DATA",E30="IF",E30="AG",E30="TOOL"),IFERROR(INDEX(Components!$G$4:$G$253,MATCH(F30,Components!$A$4:$A$253,0)),"")&lt;&gt;"",IFERROR(INDEX(Components!$G$4:$G$253,MATCH(F30,Components!$A$4:$A$253,0)),"")&lt;&gt;C30),"Component owned by another AIR-ID",IF(AND(M30="Confirmed",OR(IF(B30="UC",COUNTIFS('Use cases'!$A$4:$A$253,C30,'Use cases'!$I$4:$I$253,"Confirmed",'Use cases'!$J$4:$J$253,"OK — verify source"),IF(B30="CAP",COUNTIFS(Capabilities!$A$4:$A$253,C30,Capabilities!$J$4:$J$253,"Confirmed",Capabilities!$K$4:$K$253,"OK — verify source"),IF(B30="AIR",COUNTIFS('System map'!$A$4:$A$203,C30,'System map'!$B$4:$B$203,"&lt;&gt;",'System map'!$C$4:$C$203,"&lt;&gt;",'System map'!$D$4:$D$203,"&lt;&gt;"),COUNTIFS(Components!$A$4:$A$253,C30,Components!$B$4:$B$253,B30,Components!$K$4:$K$253,"Confirmed",Components!$L$4:$L$253,"OK — verify source"))))&lt;&gt;1,IF(E30="UC",COUNTIFS('Use cases'!$A$4:$A$253,F30,'Use cases'!$I$4:$I$253,"Confirmed",'Use cases'!$J$4:$J$253,"OK — verify source"),IF(E30="CAP",COUNTIFS(Capabilities!$A$4:$A$253,F30,Capabilities!$J$4:$J$253,"Confirmed",Capabilities!$K$4:$K$253,"OK — verify source"),IF(E30="AIR",COUNTIFS('System map'!$A$4:$A$203,F30,'System map'!$B$4:$B$203,"&lt;&gt;",'System map'!$C$4:$C$203,"&lt;&gt;",'System map'!$D$4:$D$203,"&lt;&gt;"),COUNTIFS(Components!$A$4:$A$253,F30,Components!$B$4:$B$253,E30,Components!$K$4:$K$253,"Confirmed",Components!$L$4:$L$253,"OK — verify source"))))&lt;&gt;1)),"Endpoint not source-reconciled",IF(AND(M30="Confirmed",OR(L30="",K30="",K30="Unknown",K30="Low")),"Confirmed link lacks verification","OK — verify source"))))))))))))))</f>
        <v/>
      </c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8" t="n"/>
      <c r="M31" s="27" t="n"/>
      <c r="N31" s="27">
        <f>IF(COUNTA(A31:M31)=0,"",IF(OR(A31="",B31="",C31="",D31="",E31="",F31="",I31="",J31="",K31="",M31=""),"Required link detail missing",IF(COUNTIF($A$4:$A$1003,A31)&gt;1,"Duplicate Map Edge ID",IF(NOT(OR(AND(B31="UC",E31="CAP",D31="requires"),AND(B31="CAP",E31="AIR",D31="provided by"),AND(B31="AIR",OR(E31="MOD",E31="DATA",E31="IF",E31="AG",E31="TOOL"),D31="references"),AND(B31="AIR",E31="AIR",D31="depends on"))),"Invalid relationship",IF(AND(M31&lt;&gt;"Superseded",COUNTIFS($B$4:$B$1003,B31,$C$4:$C$1003,C31,$D$4:$D$1003,D31,$E$4:$E$1003,E31,$F$4:$F$1003,F31,$G$4:$G$1003,G31,$M$4:$M$1003,"&lt;&gt;Superseded")&gt;1),"Duplicate relationship",IF(OR(IF(B31="UC",COUNTIF('Use cases'!$A$4:$A$253,C31),IF(B31="CAP",COUNTIF(Capabilities!$A$4:$A$253,C31),IF(B31="AIR",COUNTIF('System map'!$A$4:$A$203,C31),COUNTIFS(Components!$A$4:$A$253,C31,Components!$B$4:$B$253,B31))))&lt;&gt;1,IF(E31="UC",COUNTIF('Use cases'!$A$4:$A$253,F31),IF(E31="CAP",COUNTIF(Capabilities!$A$4:$A$253,F31),IF(E31="AIR",COUNTIF('System map'!$A$4:$A$203,F31),COUNTIFS(Components!$A$4:$A$253,F31,Components!$B$4:$B$253,E31))))&lt;&gt;1),"Endpoint missing or duplicated",IF(AND(NOT(AND(B31="UC",E31="CAP")),OR(G31="",COUNTIF('System map'!$A$4:$A$203,G31)&lt;&gt;1)),"AIR context missing / unknown",IF(AND(B31="CAP",E31="AIR",G31&lt;&gt;F31),"AIR context mismatch",IF(AND(B31="AIR",G31&lt;&gt;C31),"AIR context mismatch",IF(AND(B31="AIR",E31="AIR",C31=F31),"Self-dependency",IF(AND(B31="AIR",E31="AIR",M31&lt;&gt;"Superseded",COUNTIFS($B$4:$B$1003,"AIR",$C$4:$C$1003,F31,$E$4:$E$1003,"AIR",$F$4:$F$1003,C31,$M$4:$M$1003,"&lt;&gt;Superseded")&gt;0),"Dependency cycle (A↔B) — review",IF(AND(B31="AIR",OR(E31="MOD",E31="DATA",E31="IF",E31="AG",E31="TOOL"),IFERROR(INDEX(Components!$G$4:$G$253,MATCH(F31,Components!$A$4:$A$253,0)),"")&lt;&gt;"",IFERROR(INDEX(Components!$G$4:$G$253,MATCH(F31,Components!$A$4:$A$253,0)),"")&lt;&gt;C31),"Component owned by another AIR-ID",IF(AND(M31="Confirmed",OR(IF(B31="UC",COUNTIFS('Use cases'!$A$4:$A$253,C31,'Use cases'!$I$4:$I$253,"Confirmed",'Use cases'!$J$4:$J$253,"OK — verify source"),IF(B31="CAP",COUNTIFS(Capabilities!$A$4:$A$253,C31,Capabilities!$J$4:$J$253,"Confirmed",Capabilities!$K$4:$K$253,"OK — verify source"),IF(B31="AIR",COUNTIFS('System map'!$A$4:$A$203,C31,'System map'!$B$4:$B$203,"&lt;&gt;",'System map'!$C$4:$C$203,"&lt;&gt;",'System map'!$D$4:$D$203,"&lt;&gt;"),COUNTIFS(Components!$A$4:$A$253,C31,Components!$B$4:$B$253,B31,Components!$K$4:$K$253,"Confirmed",Components!$L$4:$L$253,"OK — verify source"))))&lt;&gt;1,IF(E31="UC",COUNTIFS('Use cases'!$A$4:$A$253,F31,'Use cases'!$I$4:$I$253,"Confirmed",'Use cases'!$J$4:$J$253,"OK — verify source"),IF(E31="CAP",COUNTIFS(Capabilities!$A$4:$A$253,F31,Capabilities!$J$4:$J$253,"Confirmed",Capabilities!$K$4:$K$253,"OK — verify source"),IF(E31="AIR",COUNTIFS('System map'!$A$4:$A$203,F31,'System map'!$B$4:$B$203,"&lt;&gt;",'System map'!$C$4:$C$203,"&lt;&gt;",'System map'!$D$4:$D$203,"&lt;&gt;"),COUNTIFS(Components!$A$4:$A$253,F31,Components!$B$4:$B$253,E31,Components!$K$4:$K$253,"Confirmed",Components!$L$4:$L$253,"OK — verify source"))))&lt;&gt;1)),"Endpoint not source-reconciled",IF(AND(M31="Confirmed",OR(L31="",K31="",K31="Unknown",K31="Low")),"Confirmed link lacks verification","OK — verify source"))))))))))))))</f>
        <v/>
      </c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6" t="n"/>
      <c r="M32" s="25" t="n"/>
      <c r="N32" s="25">
        <f>IF(COUNTA(A32:M32)=0,"",IF(OR(A32="",B32="",C32="",D32="",E32="",F32="",I32="",J32="",K32="",M32=""),"Required link detail missing",IF(COUNTIF($A$4:$A$1003,A32)&gt;1,"Duplicate Map Edge ID",IF(NOT(OR(AND(B32="UC",E32="CAP",D32="requires"),AND(B32="CAP",E32="AIR",D32="provided by"),AND(B32="AIR",OR(E32="MOD",E32="DATA",E32="IF",E32="AG",E32="TOOL"),D32="references"),AND(B32="AIR",E32="AIR",D32="depends on"))),"Invalid relationship",IF(AND(M32&lt;&gt;"Superseded",COUNTIFS($B$4:$B$1003,B32,$C$4:$C$1003,C32,$D$4:$D$1003,D32,$E$4:$E$1003,E32,$F$4:$F$1003,F32,$G$4:$G$1003,G32,$M$4:$M$1003,"&lt;&gt;Superseded")&gt;1),"Duplicate relationship",IF(OR(IF(B32="UC",COUNTIF('Use cases'!$A$4:$A$253,C32),IF(B32="CAP",COUNTIF(Capabilities!$A$4:$A$253,C32),IF(B32="AIR",COUNTIF('System map'!$A$4:$A$203,C32),COUNTIFS(Components!$A$4:$A$253,C32,Components!$B$4:$B$253,B32))))&lt;&gt;1,IF(E32="UC",COUNTIF('Use cases'!$A$4:$A$253,F32),IF(E32="CAP",COUNTIF(Capabilities!$A$4:$A$253,F32),IF(E32="AIR",COUNTIF('System map'!$A$4:$A$203,F32),COUNTIFS(Components!$A$4:$A$253,F32,Components!$B$4:$B$253,E32))))&lt;&gt;1),"Endpoint missing or duplicated",IF(AND(NOT(AND(B32="UC",E32="CAP")),OR(G32="",COUNTIF('System map'!$A$4:$A$203,G32)&lt;&gt;1)),"AIR context missing / unknown",IF(AND(B32="CAP",E32="AIR",G32&lt;&gt;F32),"AIR context mismatch",IF(AND(B32="AIR",G32&lt;&gt;C32),"AIR context mismatch",IF(AND(B32="AIR",E32="AIR",C32=F32),"Self-dependency",IF(AND(B32="AIR",E32="AIR",M32&lt;&gt;"Superseded",COUNTIFS($B$4:$B$1003,"AIR",$C$4:$C$1003,F32,$E$4:$E$1003,"AIR",$F$4:$F$1003,C32,$M$4:$M$1003,"&lt;&gt;Superseded")&gt;0),"Dependency cycle (A↔B) — review",IF(AND(B32="AIR",OR(E32="MOD",E32="DATA",E32="IF",E32="AG",E32="TOOL"),IFERROR(INDEX(Components!$G$4:$G$253,MATCH(F32,Components!$A$4:$A$253,0)),"")&lt;&gt;"",IFERROR(INDEX(Components!$G$4:$G$253,MATCH(F32,Components!$A$4:$A$253,0)),"")&lt;&gt;C32),"Component owned by another AIR-ID",IF(AND(M32="Confirmed",OR(IF(B32="UC",COUNTIFS('Use cases'!$A$4:$A$253,C32,'Use cases'!$I$4:$I$253,"Confirmed",'Use cases'!$J$4:$J$253,"OK — verify source"),IF(B32="CAP",COUNTIFS(Capabilities!$A$4:$A$253,C32,Capabilities!$J$4:$J$253,"Confirmed",Capabilities!$K$4:$K$253,"OK — verify source"),IF(B32="AIR",COUNTIFS('System map'!$A$4:$A$203,C32,'System map'!$B$4:$B$203,"&lt;&gt;",'System map'!$C$4:$C$203,"&lt;&gt;",'System map'!$D$4:$D$203,"&lt;&gt;"),COUNTIFS(Components!$A$4:$A$253,C32,Components!$B$4:$B$253,B32,Components!$K$4:$K$253,"Confirmed",Components!$L$4:$L$253,"OK — verify source"))))&lt;&gt;1,IF(E32="UC",COUNTIFS('Use cases'!$A$4:$A$253,F32,'Use cases'!$I$4:$I$253,"Confirmed",'Use cases'!$J$4:$J$253,"OK — verify source"),IF(E32="CAP",COUNTIFS(Capabilities!$A$4:$A$253,F32,Capabilities!$J$4:$J$253,"Confirmed",Capabilities!$K$4:$K$253,"OK — verify source"),IF(E32="AIR",COUNTIFS('System map'!$A$4:$A$203,F32,'System map'!$B$4:$B$203,"&lt;&gt;",'System map'!$C$4:$C$203,"&lt;&gt;",'System map'!$D$4:$D$203,"&lt;&gt;"),COUNTIFS(Components!$A$4:$A$253,F32,Components!$B$4:$B$253,E32,Components!$K$4:$K$253,"Confirmed",Components!$L$4:$L$253,"OK — verify source"))))&lt;&gt;1)),"Endpoint not source-reconciled",IF(AND(M32="Confirmed",OR(L32="",K32="",K32="Unknown",K32="Low")),"Confirmed link lacks verification","OK — verify source"))))))))))))))</f>
        <v/>
      </c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8" t="n"/>
      <c r="M33" s="27" t="n"/>
      <c r="N33" s="27">
        <f>IF(COUNTA(A33:M33)=0,"",IF(OR(A33="",B33="",C33="",D33="",E33="",F33="",I33="",J33="",K33="",M33=""),"Required link detail missing",IF(COUNTIF($A$4:$A$1003,A33)&gt;1,"Duplicate Map Edge ID",IF(NOT(OR(AND(B33="UC",E33="CAP",D33="requires"),AND(B33="CAP",E33="AIR",D33="provided by"),AND(B33="AIR",OR(E33="MOD",E33="DATA",E33="IF",E33="AG",E33="TOOL"),D33="references"),AND(B33="AIR",E33="AIR",D33="depends on"))),"Invalid relationship",IF(AND(M33&lt;&gt;"Superseded",COUNTIFS($B$4:$B$1003,B33,$C$4:$C$1003,C33,$D$4:$D$1003,D33,$E$4:$E$1003,E33,$F$4:$F$1003,F33,$G$4:$G$1003,G33,$M$4:$M$1003,"&lt;&gt;Superseded")&gt;1),"Duplicate relationship",IF(OR(IF(B33="UC",COUNTIF('Use cases'!$A$4:$A$253,C33),IF(B33="CAP",COUNTIF(Capabilities!$A$4:$A$253,C33),IF(B33="AIR",COUNTIF('System map'!$A$4:$A$203,C33),COUNTIFS(Components!$A$4:$A$253,C33,Components!$B$4:$B$253,B33))))&lt;&gt;1,IF(E33="UC",COUNTIF('Use cases'!$A$4:$A$253,F33),IF(E33="CAP",COUNTIF(Capabilities!$A$4:$A$253,F33),IF(E33="AIR",COUNTIF('System map'!$A$4:$A$203,F33),COUNTIFS(Components!$A$4:$A$253,F33,Components!$B$4:$B$253,E33))))&lt;&gt;1),"Endpoint missing or duplicated",IF(AND(NOT(AND(B33="UC",E33="CAP")),OR(G33="",COUNTIF('System map'!$A$4:$A$203,G33)&lt;&gt;1)),"AIR context missing / unknown",IF(AND(B33="CAP",E33="AIR",G33&lt;&gt;F33),"AIR context mismatch",IF(AND(B33="AIR",G33&lt;&gt;C33),"AIR context mismatch",IF(AND(B33="AIR",E33="AIR",C33=F33),"Self-dependency",IF(AND(B33="AIR",E33="AIR",M33&lt;&gt;"Superseded",COUNTIFS($B$4:$B$1003,"AIR",$C$4:$C$1003,F33,$E$4:$E$1003,"AIR",$F$4:$F$1003,C33,$M$4:$M$1003,"&lt;&gt;Superseded")&gt;0),"Dependency cycle (A↔B) — review",IF(AND(B33="AIR",OR(E33="MOD",E33="DATA",E33="IF",E33="AG",E33="TOOL"),IFERROR(INDEX(Components!$G$4:$G$253,MATCH(F33,Components!$A$4:$A$253,0)),"")&lt;&gt;"",IFERROR(INDEX(Components!$G$4:$G$253,MATCH(F33,Components!$A$4:$A$253,0)),"")&lt;&gt;C33),"Component owned by another AIR-ID",IF(AND(M33="Confirmed",OR(IF(B33="UC",COUNTIFS('Use cases'!$A$4:$A$253,C33,'Use cases'!$I$4:$I$253,"Confirmed",'Use cases'!$J$4:$J$253,"OK — verify source"),IF(B33="CAP",COUNTIFS(Capabilities!$A$4:$A$253,C33,Capabilities!$J$4:$J$253,"Confirmed",Capabilities!$K$4:$K$253,"OK — verify source"),IF(B33="AIR",COUNTIFS('System map'!$A$4:$A$203,C33,'System map'!$B$4:$B$203,"&lt;&gt;",'System map'!$C$4:$C$203,"&lt;&gt;",'System map'!$D$4:$D$203,"&lt;&gt;"),COUNTIFS(Components!$A$4:$A$253,C33,Components!$B$4:$B$253,B33,Components!$K$4:$K$253,"Confirmed",Components!$L$4:$L$253,"OK — verify source"))))&lt;&gt;1,IF(E33="UC",COUNTIFS('Use cases'!$A$4:$A$253,F33,'Use cases'!$I$4:$I$253,"Confirmed",'Use cases'!$J$4:$J$253,"OK — verify source"),IF(E33="CAP",COUNTIFS(Capabilities!$A$4:$A$253,F33,Capabilities!$J$4:$J$253,"Confirmed",Capabilities!$K$4:$K$253,"OK — verify source"),IF(E33="AIR",COUNTIFS('System map'!$A$4:$A$203,F33,'System map'!$B$4:$B$203,"&lt;&gt;",'System map'!$C$4:$C$203,"&lt;&gt;",'System map'!$D$4:$D$203,"&lt;&gt;"),COUNTIFS(Components!$A$4:$A$253,F33,Components!$B$4:$B$253,E33,Components!$K$4:$K$253,"Confirmed",Components!$L$4:$L$253,"OK — verify source"))))&lt;&gt;1)),"Endpoint not source-reconciled",IF(AND(M33="Confirmed",OR(L33="",K33="",K33="Unknown",K33="Low")),"Confirmed link lacks verification","OK — verify source"))))))))))))))</f>
        <v/>
      </c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6" t="n"/>
      <c r="M34" s="25" t="n"/>
      <c r="N34" s="25">
        <f>IF(COUNTA(A34:M34)=0,"",IF(OR(A34="",B34="",C34="",D34="",E34="",F34="",I34="",J34="",K34="",M34=""),"Required link detail missing",IF(COUNTIF($A$4:$A$1003,A34)&gt;1,"Duplicate Map Edge ID",IF(NOT(OR(AND(B34="UC",E34="CAP",D34="requires"),AND(B34="CAP",E34="AIR",D34="provided by"),AND(B34="AIR",OR(E34="MOD",E34="DATA",E34="IF",E34="AG",E34="TOOL"),D34="references"),AND(B34="AIR",E34="AIR",D34="depends on"))),"Invalid relationship",IF(AND(M34&lt;&gt;"Superseded",COUNTIFS($B$4:$B$1003,B34,$C$4:$C$1003,C34,$D$4:$D$1003,D34,$E$4:$E$1003,E34,$F$4:$F$1003,F34,$G$4:$G$1003,G34,$M$4:$M$1003,"&lt;&gt;Superseded")&gt;1),"Duplicate relationship",IF(OR(IF(B34="UC",COUNTIF('Use cases'!$A$4:$A$253,C34),IF(B34="CAP",COUNTIF(Capabilities!$A$4:$A$253,C34),IF(B34="AIR",COUNTIF('System map'!$A$4:$A$203,C34),COUNTIFS(Components!$A$4:$A$253,C34,Components!$B$4:$B$253,B34))))&lt;&gt;1,IF(E34="UC",COUNTIF('Use cases'!$A$4:$A$253,F34),IF(E34="CAP",COUNTIF(Capabilities!$A$4:$A$253,F34),IF(E34="AIR",COUNTIF('System map'!$A$4:$A$203,F34),COUNTIFS(Components!$A$4:$A$253,F34,Components!$B$4:$B$253,E34))))&lt;&gt;1),"Endpoint missing or duplicated",IF(AND(NOT(AND(B34="UC",E34="CAP")),OR(G34="",COUNTIF('System map'!$A$4:$A$203,G34)&lt;&gt;1)),"AIR context missing / unknown",IF(AND(B34="CAP",E34="AIR",G34&lt;&gt;F34),"AIR context mismatch",IF(AND(B34="AIR",G34&lt;&gt;C34),"AIR context mismatch",IF(AND(B34="AIR",E34="AIR",C34=F34),"Self-dependency",IF(AND(B34="AIR",E34="AIR",M34&lt;&gt;"Superseded",COUNTIFS($B$4:$B$1003,"AIR",$C$4:$C$1003,F34,$E$4:$E$1003,"AIR",$F$4:$F$1003,C34,$M$4:$M$1003,"&lt;&gt;Superseded")&gt;0),"Dependency cycle (A↔B) — review",IF(AND(B34="AIR",OR(E34="MOD",E34="DATA",E34="IF",E34="AG",E34="TOOL"),IFERROR(INDEX(Components!$G$4:$G$253,MATCH(F34,Components!$A$4:$A$253,0)),"")&lt;&gt;"",IFERROR(INDEX(Components!$G$4:$G$253,MATCH(F34,Components!$A$4:$A$253,0)),"")&lt;&gt;C34),"Component owned by another AIR-ID",IF(AND(M34="Confirmed",OR(IF(B34="UC",COUNTIFS('Use cases'!$A$4:$A$253,C34,'Use cases'!$I$4:$I$253,"Confirmed",'Use cases'!$J$4:$J$253,"OK — verify source"),IF(B34="CAP",COUNTIFS(Capabilities!$A$4:$A$253,C34,Capabilities!$J$4:$J$253,"Confirmed",Capabilities!$K$4:$K$253,"OK — verify source"),IF(B34="AIR",COUNTIFS('System map'!$A$4:$A$203,C34,'System map'!$B$4:$B$203,"&lt;&gt;",'System map'!$C$4:$C$203,"&lt;&gt;",'System map'!$D$4:$D$203,"&lt;&gt;"),COUNTIFS(Components!$A$4:$A$253,C34,Components!$B$4:$B$253,B34,Components!$K$4:$K$253,"Confirmed",Components!$L$4:$L$253,"OK — verify source"))))&lt;&gt;1,IF(E34="UC",COUNTIFS('Use cases'!$A$4:$A$253,F34,'Use cases'!$I$4:$I$253,"Confirmed",'Use cases'!$J$4:$J$253,"OK — verify source"),IF(E34="CAP",COUNTIFS(Capabilities!$A$4:$A$253,F34,Capabilities!$J$4:$J$253,"Confirmed",Capabilities!$K$4:$K$253,"OK — verify source"),IF(E34="AIR",COUNTIFS('System map'!$A$4:$A$203,F34,'System map'!$B$4:$B$203,"&lt;&gt;",'System map'!$C$4:$C$203,"&lt;&gt;",'System map'!$D$4:$D$203,"&lt;&gt;"),COUNTIFS(Components!$A$4:$A$253,F34,Components!$B$4:$B$253,E34,Components!$K$4:$K$253,"Confirmed",Components!$L$4:$L$253,"OK — verify source"))))&lt;&gt;1)),"Endpoint not source-reconciled",IF(AND(M34="Confirmed",OR(L34="",K34="",K34="Unknown",K34="Low")),"Confirmed link lacks verification","OK — verify source"))))))))))))))</f>
        <v/>
      </c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8" t="n"/>
      <c r="M35" s="27" t="n"/>
      <c r="N35" s="27">
        <f>IF(COUNTA(A35:M35)=0,"",IF(OR(A35="",B35="",C35="",D35="",E35="",F35="",I35="",J35="",K35="",M35=""),"Required link detail missing",IF(COUNTIF($A$4:$A$1003,A35)&gt;1,"Duplicate Map Edge ID",IF(NOT(OR(AND(B35="UC",E35="CAP",D35="requires"),AND(B35="CAP",E35="AIR",D35="provided by"),AND(B35="AIR",OR(E35="MOD",E35="DATA",E35="IF",E35="AG",E35="TOOL"),D35="references"),AND(B35="AIR",E35="AIR",D35="depends on"))),"Invalid relationship",IF(AND(M35&lt;&gt;"Superseded",COUNTIFS($B$4:$B$1003,B35,$C$4:$C$1003,C35,$D$4:$D$1003,D35,$E$4:$E$1003,E35,$F$4:$F$1003,F35,$G$4:$G$1003,G35,$M$4:$M$1003,"&lt;&gt;Superseded")&gt;1),"Duplicate relationship",IF(OR(IF(B35="UC",COUNTIF('Use cases'!$A$4:$A$253,C35),IF(B35="CAP",COUNTIF(Capabilities!$A$4:$A$253,C35),IF(B35="AIR",COUNTIF('System map'!$A$4:$A$203,C35),COUNTIFS(Components!$A$4:$A$253,C35,Components!$B$4:$B$253,B35))))&lt;&gt;1,IF(E35="UC",COUNTIF('Use cases'!$A$4:$A$253,F35),IF(E35="CAP",COUNTIF(Capabilities!$A$4:$A$253,F35),IF(E35="AIR",COUNTIF('System map'!$A$4:$A$203,F35),COUNTIFS(Components!$A$4:$A$253,F35,Components!$B$4:$B$253,E35))))&lt;&gt;1),"Endpoint missing or duplicated",IF(AND(NOT(AND(B35="UC",E35="CAP")),OR(G35="",COUNTIF('System map'!$A$4:$A$203,G35)&lt;&gt;1)),"AIR context missing / unknown",IF(AND(B35="CAP",E35="AIR",G35&lt;&gt;F35),"AIR context mismatch",IF(AND(B35="AIR",G35&lt;&gt;C35),"AIR context mismatch",IF(AND(B35="AIR",E35="AIR",C35=F35),"Self-dependency",IF(AND(B35="AIR",E35="AIR",M35&lt;&gt;"Superseded",COUNTIFS($B$4:$B$1003,"AIR",$C$4:$C$1003,F35,$E$4:$E$1003,"AIR",$F$4:$F$1003,C35,$M$4:$M$1003,"&lt;&gt;Superseded")&gt;0),"Dependency cycle (A↔B) — review",IF(AND(B35="AIR",OR(E35="MOD",E35="DATA",E35="IF",E35="AG",E35="TOOL"),IFERROR(INDEX(Components!$G$4:$G$253,MATCH(F35,Components!$A$4:$A$253,0)),"")&lt;&gt;"",IFERROR(INDEX(Components!$G$4:$G$253,MATCH(F35,Components!$A$4:$A$253,0)),"")&lt;&gt;C35),"Component owned by another AIR-ID",IF(AND(M35="Confirmed",OR(IF(B35="UC",COUNTIFS('Use cases'!$A$4:$A$253,C35,'Use cases'!$I$4:$I$253,"Confirmed",'Use cases'!$J$4:$J$253,"OK — verify source"),IF(B35="CAP",COUNTIFS(Capabilities!$A$4:$A$253,C35,Capabilities!$J$4:$J$253,"Confirmed",Capabilities!$K$4:$K$253,"OK — verify source"),IF(B35="AIR",COUNTIFS('System map'!$A$4:$A$203,C35,'System map'!$B$4:$B$203,"&lt;&gt;",'System map'!$C$4:$C$203,"&lt;&gt;",'System map'!$D$4:$D$203,"&lt;&gt;"),COUNTIFS(Components!$A$4:$A$253,C35,Components!$B$4:$B$253,B35,Components!$K$4:$K$253,"Confirmed",Components!$L$4:$L$253,"OK — verify source"))))&lt;&gt;1,IF(E35="UC",COUNTIFS('Use cases'!$A$4:$A$253,F35,'Use cases'!$I$4:$I$253,"Confirmed",'Use cases'!$J$4:$J$253,"OK — verify source"),IF(E35="CAP",COUNTIFS(Capabilities!$A$4:$A$253,F35,Capabilities!$J$4:$J$253,"Confirmed",Capabilities!$K$4:$K$253,"OK — verify source"),IF(E35="AIR",COUNTIFS('System map'!$A$4:$A$203,F35,'System map'!$B$4:$B$203,"&lt;&gt;",'System map'!$C$4:$C$203,"&lt;&gt;",'System map'!$D$4:$D$203,"&lt;&gt;"),COUNTIFS(Components!$A$4:$A$253,F35,Components!$B$4:$B$253,E35,Components!$K$4:$K$253,"Confirmed",Components!$L$4:$L$253,"OK — verify source"))))&lt;&gt;1)),"Endpoint not source-reconciled",IF(AND(M35="Confirmed",OR(L35="",K35="",K35="Unknown",K35="Low")),"Confirmed link lacks verification","OK — verify source"))))))))))))))</f>
        <v/>
      </c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6" t="n"/>
      <c r="M36" s="25" t="n"/>
      <c r="N36" s="25">
        <f>IF(COUNTA(A36:M36)=0,"",IF(OR(A36="",B36="",C36="",D36="",E36="",F36="",I36="",J36="",K36="",M36=""),"Required link detail missing",IF(COUNTIF($A$4:$A$1003,A36)&gt;1,"Duplicate Map Edge ID",IF(NOT(OR(AND(B36="UC",E36="CAP",D36="requires"),AND(B36="CAP",E36="AIR",D36="provided by"),AND(B36="AIR",OR(E36="MOD",E36="DATA",E36="IF",E36="AG",E36="TOOL"),D36="references"),AND(B36="AIR",E36="AIR",D36="depends on"))),"Invalid relationship",IF(AND(M36&lt;&gt;"Superseded",COUNTIFS($B$4:$B$1003,B36,$C$4:$C$1003,C36,$D$4:$D$1003,D36,$E$4:$E$1003,E36,$F$4:$F$1003,F36,$G$4:$G$1003,G36,$M$4:$M$1003,"&lt;&gt;Superseded")&gt;1),"Duplicate relationship",IF(OR(IF(B36="UC",COUNTIF('Use cases'!$A$4:$A$253,C36),IF(B36="CAP",COUNTIF(Capabilities!$A$4:$A$253,C36),IF(B36="AIR",COUNTIF('System map'!$A$4:$A$203,C36),COUNTIFS(Components!$A$4:$A$253,C36,Components!$B$4:$B$253,B36))))&lt;&gt;1,IF(E36="UC",COUNTIF('Use cases'!$A$4:$A$253,F36),IF(E36="CAP",COUNTIF(Capabilities!$A$4:$A$253,F36),IF(E36="AIR",COUNTIF('System map'!$A$4:$A$203,F36),COUNTIFS(Components!$A$4:$A$253,F36,Components!$B$4:$B$253,E36))))&lt;&gt;1),"Endpoint missing or duplicated",IF(AND(NOT(AND(B36="UC",E36="CAP")),OR(G36="",COUNTIF('System map'!$A$4:$A$203,G36)&lt;&gt;1)),"AIR context missing / unknown",IF(AND(B36="CAP",E36="AIR",G36&lt;&gt;F36),"AIR context mismatch",IF(AND(B36="AIR",G36&lt;&gt;C36),"AIR context mismatch",IF(AND(B36="AIR",E36="AIR",C36=F36),"Self-dependency",IF(AND(B36="AIR",E36="AIR",M36&lt;&gt;"Superseded",COUNTIFS($B$4:$B$1003,"AIR",$C$4:$C$1003,F36,$E$4:$E$1003,"AIR",$F$4:$F$1003,C36,$M$4:$M$1003,"&lt;&gt;Superseded")&gt;0),"Dependency cycle (A↔B) — review",IF(AND(B36="AIR",OR(E36="MOD",E36="DATA",E36="IF",E36="AG",E36="TOOL"),IFERROR(INDEX(Components!$G$4:$G$253,MATCH(F36,Components!$A$4:$A$253,0)),"")&lt;&gt;"",IFERROR(INDEX(Components!$G$4:$G$253,MATCH(F36,Components!$A$4:$A$253,0)),"")&lt;&gt;C36),"Component owned by another AIR-ID",IF(AND(M36="Confirmed",OR(IF(B36="UC",COUNTIFS('Use cases'!$A$4:$A$253,C36,'Use cases'!$I$4:$I$253,"Confirmed",'Use cases'!$J$4:$J$253,"OK — verify source"),IF(B36="CAP",COUNTIFS(Capabilities!$A$4:$A$253,C36,Capabilities!$J$4:$J$253,"Confirmed",Capabilities!$K$4:$K$253,"OK — verify source"),IF(B36="AIR",COUNTIFS('System map'!$A$4:$A$203,C36,'System map'!$B$4:$B$203,"&lt;&gt;",'System map'!$C$4:$C$203,"&lt;&gt;",'System map'!$D$4:$D$203,"&lt;&gt;"),COUNTIFS(Components!$A$4:$A$253,C36,Components!$B$4:$B$253,B36,Components!$K$4:$K$253,"Confirmed",Components!$L$4:$L$253,"OK — verify source"))))&lt;&gt;1,IF(E36="UC",COUNTIFS('Use cases'!$A$4:$A$253,F36,'Use cases'!$I$4:$I$253,"Confirmed",'Use cases'!$J$4:$J$253,"OK — verify source"),IF(E36="CAP",COUNTIFS(Capabilities!$A$4:$A$253,F36,Capabilities!$J$4:$J$253,"Confirmed",Capabilities!$K$4:$K$253,"OK — verify source"),IF(E36="AIR",COUNTIFS('System map'!$A$4:$A$203,F36,'System map'!$B$4:$B$203,"&lt;&gt;",'System map'!$C$4:$C$203,"&lt;&gt;",'System map'!$D$4:$D$203,"&lt;&gt;"),COUNTIFS(Components!$A$4:$A$253,F36,Components!$B$4:$B$253,E36,Components!$K$4:$K$253,"Confirmed",Components!$L$4:$L$253,"OK — verify source"))))&lt;&gt;1)),"Endpoint not source-reconciled",IF(AND(M36="Confirmed",OR(L36="",K36="",K36="Unknown",K36="Low")),"Confirmed link lacks verification","OK — verify source"))))))))))))))</f>
        <v/>
      </c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8" t="n"/>
      <c r="M37" s="27" t="n"/>
      <c r="N37" s="27">
        <f>IF(COUNTA(A37:M37)=0,"",IF(OR(A37="",B37="",C37="",D37="",E37="",F37="",I37="",J37="",K37="",M37=""),"Required link detail missing",IF(COUNTIF($A$4:$A$1003,A37)&gt;1,"Duplicate Map Edge ID",IF(NOT(OR(AND(B37="UC",E37="CAP",D37="requires"),AND(B37="CAP",E37="AIR",D37="provided by"),AND(B37="AIR",OR(E37="MOD",E37="DATA",E37="IF",E37="AG",E37="TOOL"),D37="references"),AND(B37="AIR",E37="AIR",D37="depends on"))),"Invalid relationship",IF(AND(M37&lt;&gt;"Superseded",COUNTIFS($B$4:$B$1003,B37,$C$4:$C$1003,C37,$D$4:$D$1003,D37,$E$4:$E$1003,E37,$F$4:$F$1003,F37,$G$4:$G$1003,G37,$M$4:$M$1003,"&lt;&gt;Superseded")&gt;1),"Duplicate relationship",IF(OR(IF(B37="UC",COUNTIF('Use cases'!$A$4:$A$253,C37),IF(B37="CAP",COUNTIF(Capabilities!$A$4:$A$253,C37),IF(B37="AIR",COUNTIF('System map'!$A$4:$A$203,C37),COUNTIFS(Components!$A$4:$A$253,C37,Components!$B$4:$B$253,B37))))&lt;&gt;1,IF(E37="UC",COUNTIF('Use cases'!$A$4:$A$253,F37),IF(E37="CAP",COUNTIF(Capabilities!$A$4:$A$253,F37),IF(E37="AIR",COUNTIF('System map'!$A$4:$A$203,F37),COUNTIFS(Components!$A$4:$A$253,F37,Components!$B$4:$B$253,E37))))&lt;&gt;1),"Endpoint missing or duplicated",IF(AND(NOT(AND(B37="UC",E37="CAP")),OR(G37="",COUNTIF('System map'!$A$4:$A$203,G37)&lt;&gt;1)),"AIR context missing / unknown",IF(AND(B37="CAP",E37="AIR",G37&lt;&gt;F37),"AIR context mismatch",IF(AND(B37="AIR",G37&lt;&gt;C37),"AIR context mismatch",IF(AND(B37="AIR",E37="AIR",C37=F37),"Self-dependency",IF(AND(B37="AIR",E37="AIR",M37&lt;&gt;"Superseded",COUNTIFS($B$4:$B$1003,"AIR",$C$4:$C$1003,F37,$E$4:$E$1003,"AIR",$F$4:$F$1003,C37,$M$4:$M$1003,"&lt;&gt;Superseded")&gt;0),"Dependency cycle (A↔B) — review",IF(AND(B37="AIR",OR(E37="MOD",E37="DATA",E37="IF",E37="AG",E37="TOOL"),IFERROR(INDEX(Components!$G$4:$G$253,MATCH(F37,Components!$A$4:$A$253,0)),"")&lt;&gt;"",IFERROR(INDEX(Components!$G$4:$G$253,MATCH(F37,Components!$A$4:$A$253,0)),"")&lt;&gt;C37),"Component owned by another AIR-ID",IF(AND(M37="Confirmed",OR(IF(B37="UC",COUNTIFS('Use cases'!$A$4:$A$253,C37,'Use cases'!$I$4:$I$253,"Confirmed",'Use cases'!$J$4:$J$253,"OK — verify source"),IF(B37="CAP",COUNTIFS(Capabilities!$A$4:$A$253,C37,Capabilities!$J$4:$J$253,"Confirmed",Capabilities!$K$4:$K$253,"OK — verify source"),IF(B37="AIR",COUNTIFS('System map'!$A$4:$A$203,C37,'System map'!$B$4:$B$203,"&lt;&gt;",'System map'!$C$4:$C$203,"&lt;&gt;",'System map'!$D$4:$D$203,"&lt;&gt;"),COUNTIFS(Components!$A$4:$A$253,C37,Components!$B$4:$B$253,B37,Components!$K$4:$K$253,"Confirmed",Components!$L$4:$L$253,"OK — verify source"))))&lt;&gt;1,IF(E37="UC",COUNTIFS('Use cases'!$A$4:$A$253,F37,'Use cases'!$I$4:$I$253,"Confirmed",'Use cases'!$J$4:$J$253,"OK — verify source"),IF(E37="CAP",COUNTIFS(Capabilities!$A$4:$A$253,F37,Capabilities!$J$4:$J$253,"Confirmed",Capabilities!$K$4:$K$253,"OK — verify source"),IF(E37="AIR",COUNTIFS('System map'!$A$4:$A$203,F37,'System map'!$B$4:$B$203,"&lt;&gt;",'System map'!$C$4:$C$203,"&lt;&gt;",'System map'!$D$4:$D$203,"&lt;&gt;"),COUNTIFS(Components!$A$4:$A$253,F37,Components!$B$4:$B$253,E37,Components!$K$4:$K$253,"Confirmed",Components!$L$4:$L$253,"OK — verify source"))))&lt;&gt;1)),"Endpoint not source-reconciled",IF(AND(M37="Confirmed",OR(L37="",K37="",K37="Unknown",K37="Low")),"Confirmed link lacks verification","OK — verify source"))))))))))))))</f>
        <v/>
      </c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6" t="n"/>
      <c r="M38" s="25" t="n"/>
      <c r="N38" s="25">
        <f>IF(COUNTA(A38:M38)=0,"",IF(OR(A38="",B38="",C38="",D38="",E38="",F38="",I38="",J38="",K38="",M38=""),"Required link detail missing",IF(COUNTIF($A$4:$A$1003,A38)&gt;1,"Duplicate Map Edge ID",IF(NOT(OR(AND(B38="UC",E38="CAP",D38="requires"),AND(B38="CAP",E38="AIR",D38="provided by"),AND(B38="AIR",OR(E38="MOD",E38="DATA",E38="IF",E38="AG",E38="TOOL"),D38="references"),AND(B38="AIR",E38="AIR",D38="depends on"))),"Invalid relationship",IF(AND(M38&lt;&gt;"Superseded",COUNTIFS($B$4:$B$1003,B38,$C$4:$C$1003,C38,$D$4:$D$1003,D38,$E$4:$E$1003,E38,$F$4:$F$1003,F38,$G$4:$G$1003,G38,$M$4:$M$1003,"&lt;&gt;Superseded")&gt;1),"Duplicate relationship",IF(OR(IF(B38="UC",COUNTIF('Use cases'!$A$4:$A$253,C38),IF(B38="CAP",COUNTIF(Capabilities!$A$4:$A$253,C38),IF(B38="AIR",COUNTIF('System map'!$A$4:$A$203,C38),COUNTIFS(Components!$A$4:$A$253,C38,Components!$B$4:$B$253,B38))))&lt;&gt;1,IF(E38="UC",COUNTIF('Use cases'!$A$4:$A$253,F38),IF(E38="CAP",COUNTIF(Capabilities!$A$4:$A$253,F38),IF(E38="AIR",COUNTIF('System map'!$A$4:$A$203,F38),COUNTIFS(Components!$A$4:$A$253,F38,Components!$B$4:$B$253,E38))))&lt;&gt;1),"Endpoint missing or duplicated",IF(AND(NOT(AND(B38="UC",E38="CAP")),OR(G38="",COUNTIF('System map'!$A$4:$A$203,G38)&lt;&gt;1)),"AIR context missing / unknown",IF(AND(B38="CAP",E38="AIR",G38&lt;&gt;F38),"AIR context mismatch",IF(AND(B38="AIR",G38&lt;&gt;C38),"AIR context mismatch",IF(AND(B38="AIR",E38="AIR",C38=F38),"Self-dependency",IF(AND(B38="AIR",E38="AIR",M38&lt;&gt;"Superseded",COUNTIFS($B$4:$B$1003,"AIR",$C$4:$C$1003,F38,$E$4:$E$1003,"AIR",$F$4:$F$1003,C38,$M$4:$M$1003,"&lt;&gt;Superseded")&gt;0),"Dependency cycle (A↔B) — review",IF(AND(B38="AIR",OR(E38="MOD",E38="DATA",E38="IF",E38="AG",E38="TOOL"),IFERROR(INDEX(Components!$G$4:$G$253,MATCH(F38,Components!$A$4:$A$253,0)),"")&lt;&gt;"",IFERROR(INDEX(Components!$G$4:$G$253,MATCH(F38,Components!$A$4:$A$253,0)),"")&lt;&gt;C38),"Component owned by another AIR-ID",IF(AND(M38="Confirmed",OR(IF(B38="UC",COUNTIFS('Use cases'!$A$4:$A$253,C38,'Use cases'!$I$4:$I$253,"Confirmed",'Use cases'!$J$4:$J$253,"OK — verify source"),IF(B38="CAP",COUNTIFS(Capabilities!$A$4:$A$253,C38,Capabilities!$J$4:$J$253,"Confirmed",Capabilities!$K$4:$K$253,"OK — verify source"),IF(B38="AIR",COUNTIFS('System map'!$A$4:$A$203,C38,'System map'!$B$4:$B$203,"&lt;&gt;",'System map'!$C$4:$C$203,"&lt;&gt;",'System map'!$D$4:$D$203,"&lt;&gt;"),COUNTIFS(Components!$A$4:$A$253,C38,Components!$B$4:$B$253,B38,Components!$K$4:$K$253,"Confirmed",Components!$L$4:$L$253,"OK — verify source"))))&lt;&gt;1,IF(E38="UC",COUNTIFS('Use cases'!$A$4:$A$253,F38,'Use cases'!$I$4:$I$253,"Confirmed",'Use cases'!$J$4:$J$253,"OK — verify source"),IF(E38="CAP",COUNTIFS(Capabilities!$A$4:$A$253,F38,Capabilities!$J$4:$J$253,"Confirmed",Capabilities!$K$4:$K$253,"OK — verify source"),IF(E38="AIR",COUNTIFS('System map'!$A$4:$A$203,F38,'System map'!$B$4:$B$203,"&lt;&gt;",'System map'!$C$4:$C$203,"&lt;&gt;",'System map'!$D$4:$D$203,"&lt;&gt;"),COUNTIFS(Components!$A$4:$A$253,F38,Components!$B$4:$B$253,E38,Components!$K$4:$K$253,"Confirmed",Components!$L$4:$L$253,"OK — verify source"))))&lt;&gt;1)),"Endpoint not source-reconciled",IF(AND(M38="Confirmed",OR(L38="",K38="",K38="Unknown",K38="Low")),"Confirmed link lacks verification","OK — verify source"))))))))))))))</f>
        <v/>
      </c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8" t="n"/>
      <c r="M39" s="27" t="n"/>
      <c r="N39" s="27">
        <f>IF(COUNTA(A39:M39)=0,"",IF(OR(A39="",B39="",C39="",D39="",E39="",F39="",I39="",J39="",K39="",M39=""),"Required link detail missing",IF(COUNTIF($A$4:$A$1003,A39)&gt;1,"Duplicate Map Edge ID",IF(NOT(OR(AND(B39="UC",E39="CAP",D39="requires"),AND(B39="CAP",E39="AIR",D39="provided by"),AND(B39="AIR",OR(E39="MOD",E39="DATA",E39="IF",E39="AG",E39="TOOL"),D39="references"),AND(B39="AIR",E39="AIR",D39="depends on"))),"Invalid relationship",IF(AND(M39&lt;&gt;"Superseded",COUNTIFS($B$4:$B$1003,B39,$C$4:$C$1003,C39,$D$4:$D$1003,D39,$E$4:$E$1003,E39,$F$4:$F$1003,F39,$G$4:$G$1003,G39,$M$4:$M$1003,"&lt;&gt;Superseded")&gt;1),"Duplicate relationship",IF(OR(IF(B39="UC",COUNTIF('Use cases'!$A$4:$A$253,C39),IF(B39="CAP",COUNTIF(Capabilities!$A$4:$A$253,C39),IF(B39="AIR",COUNTIF('System map'!$A$4:$A$203,C39),COUNTIFS(Components!$A$4:$A$253,C39,Components!$B$4:$B$253,B39))))&lt;&gt;1,IF(E39="UC",COUNTIF('Use cases'!$A$4:$A$253,F39),IF(E39="CAP",COUNTIF(Capabilities!$A$4:$A$253,F39),IF(E39="AIR",COUNTIF('System map'!$A$4:$A$203,F39),COUNTIFS(Components!$A$4:$A$253,F39,Components!$B$4:$B$253,E39))))&lt;&gt;1),"Endpoint missing or duplicated",IF(AND(NOT(AND(B39="UC",E39="CAP")),OR(G39="",COUNTIF('System map'!$A$4:$A$203,G39)&lt;&gt;1)),"AIR context missing / unknown",IF(AND(B39="CAP",E39="AIR",G39&lt;&gt;F39),"AIR context mismatch",IF(AND(B39="AIR",G39&lt;&gt;C39),"AIR context mismatch",IF(AND(B39="AIR",E39="AIR",C39=F39),"Self-dependency",IF(AND(B39="AIR",E39="AIR",M39&lt;&gt;"Superseded",COUNTIFS($B$4:$B$1003,"AIR",$C$4:$C$1003,F39,$E$4:$E$1003,"AIR",$F$4:$F$1003,C39,$M$4:$M$1003,"&lt;&gt;Superseded")&gt;0),"Dependency cycle (A↔B) — review",IF(AND(B39="AIR",OR(E39="MOD",E39="DATA",E39="IF",E39="AG",E39="TOOL"),IFERROR(INDEX(Components!$G$4:$G$253,MATCH(F39,Components!$A$4:$A$253,0)),"")&lt;&gt;"",IFERROR(INDEX(Components!$G$4:$G$253,MATCH(F39,Components!$A$4:$A$253,0)),"")&lt;&gt;C39),"Component owned by another AIR-ID",IF(AND(M39="Confirmed",OR(IF(B39="UC",COUNTIFS('Use cases'!$A$4:$A$253,C39,'Use cases'!$I$4:$I$253,"Confirmed",'Use cases'!$J$4:$J$253,"OK — verify source"),IF(B39="CAP",COUNTIFS(Capabilities!$A$4:$A$253,C39,Capabilities!$J$4:$J$253,"Confirmed",Capabilities!$K$4:$K$253,"OK — verify source"),IF(B39="AIR",COUNTIFS('System map'!$A$4:$A$203,C39,'System map'!$B$4:$B$203,"&lt;&gt;",'System map'!$C$4:$C$203,"&lt;&gt;",'System map'!$D$4:$D$203,"&lt;&gt;"),COUNTIFS(Components!$A$4:$A$253,C39,Components!$B$4:$B$253,B39,Components!$K$4:$K$253,"Confirmed",Components!$L$4:$L$253,"OK — verify source"))))&lt;&gt;1,IF(E39="UC",COUNTIFS('Use cases'!$A$4:$A$253,F39,'Use cases'!$I$4:$I$253,"Confirmed",'Use cases'!$J$4:$J$253,"OK — verify source"),IF(E39="CAP",COUNTIFS(Capabilities!$A$4:$A$253,F39,Capabilities!$J$4:$J$253,"Confirmed",Capabilities!$K$4:$K$253,"OK — verify source"),IF(E39="AIR",COUNTIFS('System map'!$A$4:$A$203,F39,'System map'!$B$4:$B$203,"&lt;&gt;",'System map'!$C$4:$C$203,"&lt;&gt;",'System map'!$D$4:$D$203,"&lt;&gt;"),COUNTIFS(Components!$A$4:$A$253,F39,Components!$B$4:$B$253,E39,Components!$K$4:$K$253,"Confirmed",Components!$L$4:$L$253,"OK — verify source"))))&lt;&gt;1)),"Endpoint not source-reconciled",IF(AND(M39="Confirmed",OR(L39="",K39="",K39="Unknown",K39="Low")),"Confirmed link lacks verification","OK — verify source"))))))))))))))</f>
        <v/>
      </c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6" t="n"/>
      <c r="M40" s="25" t="n"/>
      <c r="N40" s="25">
        <f>IF(COUNTA(A40:M40)=0,"",IF(OR(A40="",B40="",C40="",D40="",E40="",F40="",I40="",J40="",K40="",M40=""),"Required link detail missing",IF(COUNTIF($A$4:$A$1003,A40)&gt;1,"Duplicate Map Edge ID",IF(NOT(OR(AND(B40="UC",E40="CAP",D40="requires"),AND(B40="CAP",E40="AIR",D40="provided by"),AND(B40="AIR",OR(E40="MOD",E40="DATA",E40="IF",E40="AG",E40="TOOL"),D40="references"),AND(B40="AIR",E40="AIR",D40="depends on"))),"Invalid relationship",IF(AND(M40&lt;&gt;"Superseded",COUNTIFS($B$4:$B$1003,B40,$C$4:$C$1003,C40,$D$4:$D$1003,D40,$E$4:$E$1003,E40,$F$4:$F$1003,F40,$G$4:$G$1003,G40,$M$4:$M$1003,"&lt;&gt;Superseded")&gt;1),"Duplicate relationship",IF(OR(IF(B40="UC",COUNTIF('Use cases'!$A$4:$A$253,C40),IF(B40="CAP",COUNTIF(Capabilities!$A$4:$A$253,C40),IF(B40="AIR",COUNTIF('System map'!$A$4:$A$203,C40),COUNTIFS(Components!$A$4:$A$253,C40,Components!$B$4:$B$253,B40))))&lt;&gt;1,IF(E40="UC",COUNTIF('Use cases'!$A$4:$A$253,F40),IF(E40="CAP",COUNTIF(Capabilities!$A$4:$A$253,F40),IF(E40="AIR",COUNTIF('System map'!$A$4:$A$203,F40),COUNTIFS(Components!$A$4:$A$253,F40,Components!$B$4:$B$253,E40))))&lt;&gt;1),"Endpoint missing or duplicated",IF(AND(NOT(AND(B40="UC",E40="CAP")),OR(G40="",COUNTIF('System map'!$A$4:$A$203,G40)&lt;&gt;1)),"AIR context missing / unknown",IF(AND(B40="CAP",E40="AIR",G40&lt;&gt;F40),"AIR context mismatch",IF(AND(B40="AIR",G40&lt;&gt;C40),"AIR context mismatch",IF(AND(B40="AIR",E40="AIR",C40=F40),"Self-dependency",IF(AND(B40="AIR",E40="AIR",M40&lt;&gt;"Superseded",COUNTIFS($B$4:$B$1003,"AIR",$C$4:$C$1003,F40,$E$4:$E$1003,"AIR",$F$4:$F$1003,C40,$M$4:$M$1003,"&lt;&gt;Superseded")&gt;0),"Dependency cycle (A↔B) — review",IF(AND(B40="AIR",OR(E40="MOD",E40="DATA",E40="IF",E40="AG",E40="TOOL"),IFERROR(INDEX(Components!$G$4:$G$253,MATCH(F40,Components!$A$4:$A$253,0)),"")&lt;&gt;"",IFERROR(INDEX(Components!$G$4:$G$253,MATCH(F40,Components!$A$4:$A$253,0)),"")&lt;&gt;C40),"Component owned by another AIR-ID",IF(AND(M40="Confirmed",OR(IF(B40="UC",COUNTIFS('Use cases'!$A$4:$A$253,C40,'Use cases'!$I$4:$I$253,"Confirmed",'Use cases'!$J$4:$J$253,"OK — verify source"),IF(B40="CAP",COUNTIFS(Capabilities!$A$4:$A$253,C40,Capabilities!$J$4:$J$253,"Confirmed",Capabilities!$K$4:$K$253,"OK — verify source"),IF(B40="AIR",COUNTIFS('System map'!$A$4:$A$203,C40,'System map'!$B$4:$B$203,"&lt;&gt;",'System map'!$C$4:$C$203,"&lt;&gt;",'System map'!$D$4:$D$203,"&lt;&gt;"),COUNTIFS(Components!$A$4:$A$253,C40,Components!$B$4:$B$253,B40,Components!$K$4:$K$253,"Confirmed",Components!$L$4:$L$253,"OK — verify source"))))&lt;&gt;1,IF(E40="UC",COUNTIFS('Use cases'!$A$4:$A$253,F40,'Use cases'!$I$4:$I$253,"Confirmed",'Use cases'!$J$4:$J$253,"OK — verify source"),IF(E40="CAP",COUNTIFS(Capabilities!$A$4:$A$253,F40,Capabilities!$J$4:$J$253,"Confirmed",Capabilities!$K$4:$K$253,"OK — verify source"),IF(E40="AIR",COUNTIFS('System map'!$A$4:$A$203,F40,'System map'!$B$4:$B$203,"&lt;&gt;",'System map'!$C$4:$C$203,"&lt;&gt;",'System map'!$D$4:$D$203,"&lt;&gt;"),COUNTIFS(Components!$A$4:$A$253,F40,Components!$B$4:$B$253,E40,Components!$K$4:$K$253,"Confirmed",Components!$L$4:$L$253,"OK — verify source"))))&lt;&gt;1)),"Endpoint not source-reconciled",IF(AND(M40="Confirmed",OR(L40="",K40="",K40="Unknown",K40="Low")),"Confirmed link lacks verification","OK — verify source"))))))))))))))</f>
        <v/>
      </c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8" t="n"/>
      <c r="M41" s="27" t="n"/>
      <c r="N41" s="27">
        <f>IF(COUNTA(A41:M41)=0,"",IF(OR(A41="",B41="",C41="",D41="",E41="",F41="",I41="",J41="",K41="",M41=""),"Required link detail missing",IF(COUNTIF($A$4:$A$1003,A41)&gt;1,"Duplicate Map Edge ID",IF(NOT(OR(AND(B41="UC",E41="CAP",D41="requires"),AND(B41="CAP",E41="AIR",D41="provided by"),AND(B41="AIR",OR(E41="MOD",E41="DATA",E41="IF",E41="AG",E41="TOOL"),D41="references"),AND(B41="AIR",E41="AIR",D41="depends on"))),"Invalid relationship",IF(AND(M41&lt;&gt;"Superseded",COUNTIFS($B$4:$B$1003,B41,$C$4:$C$1003,C41,$D$4:$D$1003,D41,$E$4:$E$1003,E41,$F$4:$F$1003,F41,$G$4:$G$1003,G41,$M$4:$M$1003,"&lt;&gt;Superseded")&gt;1),"Duplicate relationship",IF(OR(IF(B41="UC",COUNTIF('Use cases'!$A$4:$A$253,C41),IF(B41="CAP",COUNTIF(Capabilities!$A$4:$A$253,C41),IF(B41="AIR",COUNTIF('System map'!$A$4:$A$203,C41),COUNTIFS(Components!$A$4:$A$253,C41,Components!$B$4:$B$253,B41))))&lt;&gt;1,IF(E41="UC",COUNTIF('Use cases'!$A$4:$A$253,F41),IF(E41="CAP",COUNTIF(Capabilities!$A$4:$A$253,F41),IF(E41="AIR",COUNTIF('System map'!$A$4:$A$203,F41),COUNTIFS(Components!$A$4:$A$253,F41,Components!$B$4:$B$253,E41))))&lt;&gt;1),"Endpoint missing or duplicated",IF(AND(NOT(AND(B41="UC",E41="CAP")),OR(G41="",COUNTIF('System map'!$A$4:$A$203,G41)&lt;&gt;1)),"AIR context missing / unknown",IF(AND(B41="CAP",E41="AIR",G41&lt;&gt;F41),"AIR context mismatch",IF(AND(B41="AIR",G41&lt;&gt;C41),"AIR context mismatch",IF(AND(B41="AIR",E41="AIR",C41=F41),"Self-dependency",IF(AND(B41="AIR",E41="AIR",M41&lt;&gt;"Superseded",COUNTIFS($B$4:$B$1003,"AIR",$C$4:$C$1003,F41,$E$4:$E$1003,"AIR",$F$4:$F$1003,C41,$M$4:$M$1003,"&lt;&gt;Superseded")&gt;0),"Dependency cycle (A↔B) — review",IF(AND(B41="AIR",OR(E41="MOD",E41="DATA",E41="IF",E41="AG",E41="TOOL"),IFERROR(INDEX(Components!$G$4:$G$253,MATCH(F41,Components!$A$4:$A$253,0)),"")&lt;&gt;"",IFERROR(INDEX(Components!$G$4:$G$253,MATCH(F41,Components!$A$4:$A$253,0)),"")&lt;&gt;C41),"Component owned by another AIR-ID",IF(AND(M41="Confirmed",OR(IF(B41="UC",COUNTIFS('Use cases'!$A$4:$A$253,C41,'Use cases'!$I$4:$I$253,"Confirmed",'Use cases'!$J$4:$J$253,"OK — verify source"),IF(B41="CAP",COUNTIFS(Capabilities!$A$4:$A$253,C41,Capabilities!$J$4:$J$253,"Confirmed",Capabilities!$K$4:$K$253,"OK — verify source"),IF(B41="AIR",COUNTIFS('System map'!$A$4:$A$203,C41,'System map'!$B$4:$B$203,"&lt;&gt;",'System map'!$C$4:$C$203,"&lt;&gt;",'System map'!$D$4:$D$203,"&lt;&gt;"),COUNTIFS(Components!$A$4:$A$253,C41,Components!$B$4:$B$253,B41,Components!$K$4:$K$253,"Confirmed",Components!$L$4:$L$253,"OK — verify source"))))&lt;&gt;1,IF(E41="UC",COUNTIFS('Use cases'!$A$4:$A$253,F41,'Use cases'!$I$4:$I$253,"Confirmed",'Use cases'!$J$4:$J$253,"OK — verify source"),IF(E41="CAP",COUNTIFS(Capabilities!$A$4:$A$253,F41,Capabilities!$J$4:$J$253,"Confirmed",Capabilities!$K$4:$K$253,"OK — verify source"),IF(E41="AIR",COUNTIFS('System map'!$A$4:$A$203,F41,'System map'!$B$4:$B$203,"&lt;&gt;",'System map'!$C$4:$C$203,"&lt;&gt;",'System map'!$D$4:$D$203,"&lt;&gt;"),COUNTIFS(Components!$A$4:$A$253,F41,Components!$B$4:$B$253,E41,Components!$K$4:$K$253,"Confirmed",Components!$L$4:$L$253,"OK — verify source"))))&lt;&gt;1)),"Endpoint not source-reconciled",IF(AND(M41="Confirmed",OR(L41="",K41="",K41="Unknown",K41="Low")),"Confirmed link lacks verification","OK — verify source"))))))))))))))</f>
        <v/>
      </c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6" t="n"/>
      <c r="M42" s="25" t="n"/>
      <c r="N42" s="25">
        <f>IF(COUNTA(A42:M42)=0,"",IF(OR(A42="",B42="",C42="",D42="",E42="",F42="",I42="",J42="",K42="",M42=""),"Required link detail missing",IF(COUNTIF($A$4:$A$1003,A42)&gt;1,"Duplicate Map Edge ID",IF(NOT(OR(AND(B42="UC",E42="CAP",D42="requires"),AND(B42="CAP",E42="AIR",D42="provided by"),AND(B42="AIR",OR(E42="MOD",E42="DATA",E42="IF",E42="AG",E42="TOOL"),D42="references"),AND(B42="AIR",E42="AIR",D42="depends on"))),"Invalid relationship",IF(AND(M42&lt;&gt;"Superseded",COUNTIFS($B$4:$B$1003,B42,$C$4:$C$1003,C42,$D$4:$D$1003,D42,$E$4:$E$1003,E42,$F$4:$F$1003,F42,$G$4:$G$1003,G42,$M$4:$M$1003,"&lt;&gt;Superseded")&gt;1),"Duplicate relationship",IF(OR(IF(B42="UC",COUNTIF('Use cases'!$A$4:$A$253,C42),IF(B42="CAP",COUNTIF(Capabilities!$A$4:$A$253,C42),IF(B42="AIR",COUNTIF('System map'!$A$4:$A$203,C42),COUNTIFS(Components!$A$4:$A$253,C42,Components!$B$4:$B$253,B42))))&lt;&gt;1,IF(E42="UC",COUNTIF('Use cases'!$A$4:$A$253,F42),IF(E42="CAP",COUNTIF(Capabilities!$A$4:$A$253,F42),IF(E42="AIR",COUNTIF('System map'!$A$4:$A$203,F42),COUNTIFS(Components!$A$4:$A$253,F42,Components!$B$4:$B$253,E42))))&lt;&gt;1),"Endpoint missing or duplicated",IF(AND(NOT(AND(B42="UC",E42="CAP")),OR(G42="",COUNTIF('System map'!$A$4:$A$203,G42)&lt;&gt;1)),"AIR context missing / unknown",IF(AND(B42="CAP",E42="AIR",G42&lt;&gt;F42),"AIR context mismatch",IF(AND(B42="AIR",G42&lt;&gt;C42),"AIR context mismatch",IF(AND(B42="AIR",E42="AIR",C42=F42),"Self-dependency",IF(AND(B42="AIR",E42="AIR",M42&lt;&gt;"Superseded",COUNTIFS($B$4:$B$1003,"AIR",$C$4:$C$1003,F42,$E$4:$E$1003,"AIR",$F$4:$F$1003,C42,$M$4:$M$1003,"&lt;&gt;Superseded")&gt;0),"Dependency cycle (A↔B) — review",IF(AND(B42="AIR",OR(E42="MOD",E42="DATA",E42="IF",E42="AG",E42="TOOL"),IFERROR(INDEX(Components!$G$4:$G$253,MATCH(F42,Components!$A$4:$A$253,0)),"")&lt;&gt;"",IFERROR(INDEX(Components!$G$4:$G$253,MATCH(F42,Components!$A$4:$A$253,0)),"")&lt;&gt;C42),"Component owned by another AIR-ID",IF(AND(M42="Confirmed",OR(IF(B42="UC",COUNTIFS('Use cases'!$A$4:$A$253,C42,'Use cases'!$I$4:$I$253,"Confirmed",'Use cases'!$J$4:$J$253,"OK — verify source"),IF(B42="CAP",COUNTIFS(Capabilities!$A$4:$A$253,C42,Capabilities!$J$4:$J$253,"Confirmed",Capabilities!$K$4:$K$253,"OK — verify source"),IF(B42="AIR",COUNTIFS('System map'!$A$4:$A$203,C42,'System map'!$B$4:$B$203,"&lt;&gt;",'System map'!$C$4:$C$203,"&lt;&gt;",'System map'!$D$4:$D$203,"&lt;&gt;"),COUNTIFS(Components!$A$4:$A$253,C42,Components!$B$4:$B$253,B42,Components!$K$4:$K$253,"Confirmed",Components!$L$4:$L$253,"OK — verify source"))))&lt;&gt;1,IF(E42="UC",COUNTIFS('Use cases'!$A$4:$A$253,F42,'Use cases'!$I$4:$I$253,"Confirmed",'Use cases'!$J$4:$J$253,"OK — verify source"),IF(E42="CAP",COUNTIFS(Capabilities!$A$4:$A$253,F42,Capabilities!$J$4:$J$253,"Confirmed",Capabilities!$K$4:$K$253,"OK — verify source"),IF(E42="AIR",COUNTIFS('System map'!$A$4:$A$203,F42,'System map'!$B$4:$B$203,"&lt;&gt;",'System map'!$C$4:$C$203,"&lt;&gt;",'System map'!$D$4:$D$203,"&lt;&gt;"),COUNTIFS(Components!$A$4:$A$253,F42,Components!$B$4:$B$253,E42,Components!$K$4:$K$253,"Confirmed",Components!$L$4:$L$253,"OK — verify source"))))&lt;&gt;1)),"Endpoint not source-reconciled",IF(AND(M42="Confirmed",OR(L42="",K42="",K42="Unknown",K42="Low")),"Confirmed link lacks verification","OK — verify source"))))))))))))))</f>
        <v/>
      </c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8" t="n"/>
      <c r="M43" s="27" t="n"/>
      <c r="N43" s="27">
        <f>IF(COUNTA(A43:M43)=0,"",IF(OR(A43="",B43="",C43="",D43="",E43="",F43="",I43="",J43="",K43="",M43=""),"Required link detail missing",IF(COUNTIF($A$4:$A$1003,A43)&gt;1,"Duplicate Map Edge ID",IF(NOT(OR(AND(B43="UC",E43="CAP",D43="requires"),AND(B43="CAP",E43="AIR",D43="provided by"),AND(B43="AIR",OR(E43="MOD",E43="DATA",E43="IF",E43="AG",E43="TOOL"),D43="references"),AND(B43="AIR",E43="AIR",D43="depends on"))),"Invalid relationship",IF(AND(M43&lt;&gt;"Superseded",COUNTIFS($B$4:$B$1003,B43,$C$4:$C$1003,C43,$D$4:$D$1003,D43,$E$4:$E$1003,E43,$F$4:$F$1003,F43,$G$4:$G$1003,G43,$M$4:$M$1003,"&lt;&gt;Superseded")&gt;1),"Duplicate relationship",IF(OR(IF(B43="UC",COUNTIF('Use cases'!$A$4:$A$253,C43),IF(B43="CAP",COUNTIF(Capabilities!$A$4:$A$253,C43),IF(B43="AIR",COUNTIF('System map'!$A$4:$A$203,C43),COUNTIFS(Components!$A$4:$A$253,C43,Components!$B$4:$B$253,B43))))&lt;&gt;1,IF(E43="UC",COUNTIF('Use cases'!$A$4:$A$253,F43),IF(E43="CAP",COUNTIF(Capabilities!$A$4:$A$253,F43),IF(E43="AIR",COUNTIF('System map'!$A$4:$A$203,F43),COUNTIFS(Components!$A$4:$A$253,F43,Components!$B$4:$B$253,E43))))&lt;&gt;1),"Endpoint missing or duplicated",IF(AND(NOT(AND(B43="UC",E43="CAP")),OR(G43="",COUNTIF('System map'!$A$4:$A$203,G43)&lt;&gt;1)),"AIR context missing / unknown",IF(AND(B43="CAP",E43="AIR",G43&lt;&gt;F43),"AIR context mismatch",IF(AND(B43="AIR",G43&lt;&gt;C43),"AIR context mismatch",IF(AND(B43="AIR",E43="AIR",C43=F43),"Self-dependency",IF(AND(B43="AIR",E43="AIR",M43&lt;&gt;"Superseded",COUNTIFS($B$4:$B$1003,"AIR",$C$4:$C$1003,F43,$E$4:$E$1003,"AIR",$F$4:$F$1003,C43,$M$4:$M$1003,"&lt;&gt;Superseded")&gt;0),"Dependency cycle (A↔B) — review",IF(AND(B43="AIR",OR(E43="MOD",E43="DATA",E43="IF",E43="AG",E43="TOOL"),IFERROR(INDEX(Components!$G$4:$G$253,MATCH(F43,Components!$A$4:$A$253,0)),"")&lt;&gt;"",IFERROR(INDEX(Components!$G$4:$G$253,MATCH(F43,Components!$A$4:$A$253,0)),"")&lt;&gt;C43),"Component owned by another AIR-ID",IF(AND(M43="Confirmed",OR(IF(B43="UC",COUNTIFS('Use cases'!$A$4:$A$253,C43,'Use cases'!$I$4:$I$253,"Confirmed",'Use cases'!$J$4:$J$253,"OK — verify source"),IF(B43="CAP",COUNTIFS(Capabilities!$A$4:$A$253,C43,Capabilities!$J$4:$J$253,"Confirmed",Capabilities!$K$4:$K$253,"OK — verify source"),IF(B43="AIR",COUNTIFS('System map'!$A$4:$A$203,C43,'System map'!$B$4:$B$203,"&lt;&gt;",'System map'!$C$4:$C$203,"&lt;&gt;",'System map'!$D$4:$D$203,"&lt;&gt;"),COUNTIFS(Components!$A$4:$A$253,C43,Components!$B$4:$B$253,B43,Components!$K$4:$K$253,"Confirmed",Components!$L$4:$L$253,"OK — verify source"))))&lt;&gt;1,IF(E43="UC",COUNTIFS('Use cases'!$A$4:$A$253,F43,'Use cases'!$I$4:$I$253,"Confirmed",'Use cases'!$J$4:$J$253,"OK — verify source"),IF(E43="CAP",COUNTIFS(Capabilities!$A$4:$A$253,F43,Capabilities!$J$4:$J$253,"Confirmed",Capabilities!$K$4:$K$253,"OK — verify source"),IF(E43="AIR",COUNTIFS('System map'!$A$4:$A$203,F43,'System map'!$B$4:$B$203,"&lt;&gt;",'System map'!$C$4:$C$203,"&lt;&gt;",'System map'!$D$4:$D$203,"&lt;&gt;"),COUNTIFS(Components!$A$4:$A$253,F43,Components!$B$4:$B$253,E43,Components!$K$4:$K$253,"Confirmed",Components!$L$4:$L$253,"OK — verify source"))))&lt;&gt;1)),"Endpoint not source-reconciled",IF(AND(M43="Confirmed",OR(L43="",K43="",K43="Unknown",K43="Low")),"Confirmed link lacks verification","OK — verify source"))))))))))))))</f>
        <v/>
      </c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6" t="n"/>
      <c r="M44" s="25" t="n"/>
      <c r="N44" s="25">
        <f>IF(COUNTA(A44:M44)=0,"",IF(OR(A44="",B44="",C44="",D44="",E44="",F44="",I44="",J44="",K44="",M44=""),"Required link detail missing",IF(COUNTIF($A$4:$A$1003,A44)&gt;1,"Duplicate Map Edge ID",IF(NOT(OR(AND(B44="UC",E44="CAP",D44="requires"),AND(B44="CAP",E44="AIR",D44="provided by"),AND(B44="AIR",OR(E44="MOD",E44="DATA",E44="IF",E44="AG",E44="TOOL"),D44="references"),AND(B44="AIR",E44="AIR",D44="depends on"))),"Invalid relationship",IF(AND(M44&lt;&gt;"Superseded",COUNTIFS($B$4:$B$1003,B44,$C$4:$C$1003,C44,$D$4:$D$1003,D44,$E$4:$E$1003,E44,$F$4:$F$1003,F44,$G$4:$G$1003,G44,$M$4:$M$1003,"&lt;&gt;Superseded")&gt;1),"Duplicate relationship",IF(OR(IF(B44="UC",COUNTIF('Use cases'!$A$4:$A$253,C44),IF(B44="CAP",COUNTIF(Capabilities!$A$4:$A$253,C44),IF(B44="AIR",COUNTIF('System map'!$A$4:$A$203,C44),COUNTIFS(Components!$A$4:$A$253,C44,Components!$B$4:$B$253,B44))))&lt;&gt;1,IF(E44="UC",COUNTIF('Use cases'!$A$4:$A$253,F44),IF(E44="CAP",COUNTIF(Capabilities!$A$4:$A$253,F44),IF(E44="AIR",COUNTIF('System map'!$A$4:$A$203,F44),COUNTIFS(Components!$A$4:$A$253,F44,Components!$B$4:$B$253,E44))))&lt;&gt;1),"Endpoint missing or duplicated",IF(AND(NOT(AND(B44="UC",E44="CAP")),OR(G44="",COUNTIF('System map'!$A$4:$A$203,G44)&lt;&gt;1)),"AIR context missing / unknown",IF(AND(B44="CAP",E44="AIR",G44&lt;&gt;F44),"AIR context mismatch",IF(AND(B44="AIR",G44&lt;&gt;C44),"AIR context mismatch",IF(AND(B44="AIR",E44="AIR",C44=F44),"Self-dependency",IF(AND(B44="AIR",E44="AIR",M44&lt;&gt;"Superseded",COUNTIFS($B$4:$B$1003,"AIR",$C$4:$C$1003,F44,$E$4:$E$1003,"AIR",$F$4:$F$1003,C44,$M$4:$M$1003,"&lt;&gt;Superseded")&gt;0),"Dependency cycle (A↔B) — review",IF(AND(B44="AIR",OR(E44="MOD",E44="DATA",E44="IF",E44="AG",E44="TOOL"),IFERROR(INDEX(Components!$G$4:$G$253,MATCH(F44,Components!$A$4:$A$253,0)),"")&lt;&gt;"",IFERROR(INDEX(Components!$G$4:$G$253,MATCH(F44,Components!$A$4:$A$253,0)),"")&lt;&gt;C44),"Component owned by another AIR-ID",IF(AND(M44="Confirmed",OR(IF(B44="UC",COUNTIFS('Use cases'!$A$4:$A$253,C44,'Use cases'!$I$4:$I$253,"Confirmed",'Use cases'!$J$4:$J$253,"OK — verify source"),IF(B44="CAP",COUNTIFS(Capabilities!$A$4:$A$253,C44,Capabilities!$J$4:$J$253,"Confirmed",Capabilities!$K$4:$K$253,"OK — verify source"),IF(B44="AIR",COUNTIFS('System map'!$A$4:$A$203,C44,'System map'!$B$4:$B$203,"&lt;&gt;",'System map'!$C$4:$C$203,"&lt;&gt;",'System map'!$D$4:$D$203,"&lt;&gt;"),COUNTIFS(Components!$A$4:$A$253,C44,Components!$B$4:$B$253,B44,Components!$K$4:$K$253,"Confirmed",Components!$L$4:$L$253,"OK — verify source"))))&lt;&gt;1,IF(E44="UC",COUNTIFS('Use cases'!$A$4:$A$253,F44,'Use cases'!$I$4:$I$253,"Confirmed",'Use cases'!$J$4:$J$253,"OK — verify source"),IF(E44="CAP",COUNTIFS(Capabilities!$A$4:$A$253,F44,Capabilities!$J$4:$J$253,"Confirmed",Capabilities!$K$4:$K$253,"OK — verify source"),IF(E44="AIR",COUNTIFS('System map'!$A$4:$A$203,F44,'System map'!$B$4:$B$203,"&lt;&gt;",'System map'!$C$4:$C$203,"&lt;&gt;",'System map'!$D$4:$D$203,"&lt;&gt;"),COUNTIFS(Components!$A$4:$A$253,F44,Components!$B$4:$B$253,E44,Components!$K$4:$K$253,"Confirmed",Components!$L$4:$L$253,"OK — verify source"))))&lt;&gt;1)),"Endpoint not source-reconciled",IF(AND(M44="Confirmed",OR(L44="",K44="",K44="Unknown",K44="Low")),"Confirmed link lacks verification","OK — verify source"))))))))))))))</f>
        <v/>
      </c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8" t="n"/>
      <c r="M45" s="27" t="n"/>
      <c r="N45" s="27">
        <f>IF(COUNTA(A45:M45)=0,"",IF(OR(A45="",B45="",C45="",D45="",E45="",F45="",I45="",J45="",K45="",M45=""),"Required link detail missing",IF(COUNTIF($A$4:$A$1003,A45)&gt;1,"Duplicate Map Edge ID",IF(NOT(OR(AND(B45="UC",E45="CAP",D45="requires"),AND(B45="CAP",E45="AIR",D45="provided by"),AND(B45="AIR",OR(E45="MOD",E45="DATA",E45="IF",E45="AG",E45="TOOL"),D45="references"),AND(B45="AIR",E45="AIR",D45="depends on"))),"Invalid relationship",IF(AND(M45&lt;&gt;"Superseded",COUNTIFS($B$4:$B$1003,B45,$C$4:$C$1003,C45,$D$4:$D$1003,D45,$E$4:$E$1003,E45,$F$4:$F$1003,F45,$G$4:$G$1003,G45,$M$4:$M$1003,"&lt;&gt;Superseded")&gt;1),"Duplicate relationship",IF(OR(IF(B45="UC",COUNTIF('Use cases'!$A$4:$A$253,C45),IF(B45="CAP",COUNTIF(Capabilities!$A$4:$A$253,C45),IF(B45="AIR",COUNTIF('System map'!$A$4:$A$203,C45),COUNTIFS(Components!$A$4:$A$253,C45,Components!$B$4:$B$253,B45))))&lt;&gt;1,IF(E45="UC",COUNTIF('Use cases'!$A$4:$A$253,F45),IF(E45="CAP",COUNTIF(Capabilities!$A$4:$A$253,F45),IF(E45="AIR",COUNTIF('System map'!$A$4:$A$203,F45),COUNTIFS(Components!$A$4:$A$253,F45,Components!$B$4:$B$253,E45))))&lt;&gt;1),"Endpoint missing or duplicated",IF(AND(NOT(AND(B45="UC",E45="CAP")),OR(G45="",COUNTIF('System map'!$A$4:$A$203,G45)&lt;&gt;1)),"AIR context missing / unknown",IF(AND(B45="CAP",E45="AIR",G45&lt;&gt;F45),"AIR context mismatch",IF(AND(B45="AIR",G45&lt;&gt;C45),"AIR context mismatch",IF(AND(B45="AIR",E45="AIR",C45=F45),"Self-dependency",IF(AND(B45="AIR",E45="AIR",M45&lt;&gt;"Superseded",COUNTIFS($B$4:$B$1003,"AIR",$C$4:$C$1003,F45,$E$4:$E$1003,"AIR",$F$4:$F$1003,C45,$M$4:$M$1003,"&lt;&gt;Superseded")&gt;0),"Dependency cycle (A↔B) — review",IF(AND(B45="AIR",OR(E45="MOD",E45="DATA",E45="IF",E45="AG",E45="TOOL"),IFERROR(INDEX(Components!$G$4:$G$253,MATCH(F45,Components!$A$4:$A$253,0)),"")&lt;&gt;"",IFERROR(INDEX(Components!$G$4:$G$253,MATCH(F45,Components!$A$4:$A$253,0)),"")&lt;&gt;C45),"Component owned by another AIR-ID",IF(AND(M45="Confirmed",OR(IF(B45="UC",COUNTIFS('Use cases'!$A$4:$A$253,C45,'Use cases'!$I$4:$I$253,"Confirmed",'Use cases'!$J$4:$J$253,"OK — verify source"),IF(B45="CAP",COUNTIFS(Capabilities!$A$4:$A$253,C45,Capabilities!$J$4:$J$253,"Confirmed",Capabilities!$K$4:$K$253,"OK — verify source"),IF(B45="AIR",COUNTIFS('System map'!$A$4:$A$203,C45,'System map'!$B$4:$B$203,"&lt;&gt;",'System map'!$C$4:$C$203,"&lt;&gt;",'System map'!$D$4:$D$203,"&lt;&gt;"),COUNTIFS(Components!$A$4:$A$253,C45,Components!$B$4:$B$253,B45,Components!$K$4:$K$253,"Confirmed",Components!$L$4:$L$253,"OK — verify source"))))&lt;&gt;1,IF(E45="UC",COUNTIFS('Use cases'!$A$4:$A$253,F45,'Use cases'!$I$4:$I$253,"Confirmed",'Use cases'!$J$4:$J$253,"OK — verify source"),IF(E45="CAP",COUNTIFS(Capabilities!$A$4:$A$253,F45,Capabilities!$J$4:$J$253,"Confirmed",Capabilities!$K$4:$K$253,"OK — verify source"),IF(E45="AIR",COUNTIFS('System map'!$A$4:$A$203,F45,'System map'!$B$4:$B$203,"&lt;&gt;",'System map'!$C$4:$C$203,"&lt;&gt;",'System map'!$D$4:$D$203,"&lt;&gt;"),COUNTIFS(Components!$A$4:$A$253,F45,Components!$B$4:$B$253,E45,Components!$K$4:$K$253,"Confirmed",Components!$L$4:$L$253,"OK — verify source"))))&lt;&gt;1)),"Endpoint not source-reconciled",IF(AND(M45="Confirmed",OR(L45="",K45="",K45="Unknown",K45="Low")),"Confirmed link lacks verification","OK — verify source"))))))))))))))</f>
        <v/>
      </c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6" t="n"/>
      <c r="M46" s="25" t="n"/>
      <c r="N46" s="25">
        <f>IF(COUNTA(A46:M46)=0,"",IF(OR(A46="",B46="",C46="",D46="",E46="",F46="",I46="",J46="",K46="",M46=""),"Required link detail missing",IF(COUNTIF($A$4:$A$1003,A46)&gt;1,"Duplicate Map Edge ID",IF(NOT(OR(AND(B46="UC",E46="CAP",D46="requires"),AND(B46="CAP",E46="AIR",D46="provided by"),AND(B46="AIR",OR(E46="MOD",E46="DATA",E46="IF",E46="AG",E46="TOOL"),D46="references"),AND(B46="AIR",E46="AIR",D46="depends on"))),"Invalid relationship",IF(AND(M46&lt;&gt;"Superseded",COUNTIFS($B$4:$B$1003,B46,$C$4:$C$1003,C46,$D$4:$D$1003,D46,$E$4:$E$1003,E46,$F$4:$F$1003,F46,$G$4:$G$1003,G46,$M$4:$M$1003,"&lt;&gt;Superseded")&gt;1),"Duplicate relationship",IF(OR(IF(B46="UC",COUNTIF('Use cases'!$A$4:$A$253,C46),IF(B46="CAP",COUNTIF(Capabilities!$A$4:$A$253,C46),IF(B46="AIR",COUNTIF('System map'!$A$4:$A$203,C46),COUNTIFS(Components!$A$4:$A$253,C46,Components!$B$4:$B$253,B46))))&lt;&gt;1,IF(E46="UC",COUNTIF('Use cases'!$A$4:$A$253,F46),IF(E46="CAP",COUNTIF(Capabilities!$A$4:$A$253,F46),IF(E46="AIR",COUNTIF('System map'!$A$4:$A$203,F46),COUNTIFS(Components!$A$4:$A$253,F46,Components!$B$4:$B$253,E46))))&lt;&gt;1),"Endpoint missing or duplicated",IF(AND(NOT(AND(B46="UC",E46="CAP")),OR(G46="",COUNTIF('System map'!$A$4:$A$203,G46)&lt;&gt;1)),"AIR context missing / unknown",IF(AND(B46="CAP",E46="AIR",G46&lt;&gt;F46),"AIR context mismatch",IF(AND(B46="AIR",G46&lt;&gt;C46),"AIR context mismatch",IF(AND(B46="AIR",E46="AIR",C46=F46),"Self-dependency",IF(AND(B46="AIR",E46="AIR",M46&lt;&gt;"Superseded",COUNTIFS($B$4:$B$1003,"AIR",$C$4:$C$1003,F46,$E$4:$E$1003,"AIR",$F$4:$F$1003,C46,$M$4:$M$1003,"&lt;&gt;Superseded")&gt;0),"Dependency cycle (A↔B) — review",IF(AND(B46="AIR",OR(E46="MOD",E46="DATA",E46="IF",E46="AG",E46="TOOL"),IFERROR(INDEX(Components!$G$4:$G$253,MATCH(F46,Components!$A$4:$A$253,0)),"")&lt;&gt;"",IFERROR(INDEX(Components!$G$4:$G$253,MATCH(F46,Components!$A$4:$A$253,0)),"")&lt;&gt;C46),"Component owned by another AIR-ID",IF(AND(M46="Confirmed",OR(IF(B46="UC",COUNTIFS('Use cases'!$A$4:$A$253,C46,'Use cases'!$I$4:$I$253,"Confirmed",'Use cases'!$J$4:$J$253,"OK — verify source"),IF(B46="CAP",COUNTIFS(Capabilities!$A$4:$A$253,C46,Capabilities!$J$4:$J$253,"Confirmed",Capabilities!$K$4:$K$253,"OK — verify source"),IF(B46="AIR",COUNTIFS('System map'!$A$4:$A$203,C46,'System map'!$B$4:$B$203,"&lt;&gt;",'System map'!$C$4:$C$203,"&lt;&gt;",'System map'!$D$4:$D$203,"&lt;&gt;"),COUNTIFS(Components!$A$4:$A$253,C46,Components!$B$4:$B$253,B46,Components!$K$4:$K$253,"Confirmed",Components!$L$4:$L$253,"OK — verify source"))))&lt;&gt;1,IF(E46="UC",COUNTIFS('Use cases'!$A$4:$A$253,F46,'Use cases'!$I$4:$I$253,"Confirmed",'Use cases'!$J$4:$J$253,"OK — verify source"),IF(E46="CAP",COUNTIFS(Capabilities!$A$4:$A$253,F46,Capabilities!$J$4:$J$253,"Confirmed",Capabilities!$K$4:$K$253,"OK — verify source"),IF(E46="AIR",COUNTIFS('System map'!$A$4:$A$203,F46,'System map'!$B$4:$B$203,"&lt;&gt;",'System map'!$C$4:$C$203,"&lt;&gt;",'System map'!$D$4:$D$203,"&lt;&gt;"),COUNTIFS(Components!$A$4:$A$253,F46,Components!$B$4:$B$253,E46,Components!$K$4:$K$253,"Confirmed",Components!$L$4:$L$253,"OK — verify source"))))&lt;&gt;1)),"Endpoint not source-reconciled",IF(AND(M46="Confirmed",OR(L46="",K46="",K46="Unknown",K46="Low")),"Confirmed link lacks verification","OK — verify source"))))))))))))))</f>
        <v/>
      </c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8" t="n"/>
      <c r="M47" s="27" t="n"/>
      <c r="N47" s="27">
        <f>IF(COUNTA(A47:M47)=0,"",IF(OR(A47="",B47="",C47="",D47="",E47="",F47="",I47="",J47="",K47="",M47=""),"Required link detail missing",IF(COUNTIF($A$4:$A$1003,A47)&gt;1,"Duplicate Map Edge ID",IF(NOT(OR(AND(B47="UC",E47="CAP",D47="requires"),AND(B47="CAP",E47="AIR",D47="provided by"),AND(B47="AIR",OR(E47="MOD",E47="DATA",E47="IF",E47="AG",E47="TOOL"),D47="references"),AND(B47="AIR",E47="AIR",D47="depends on"))),"Invalid relationship",IF(AND(M47&lt;&gt;"Superseded",COUNTIFS($B$4:$B$1003,B47,$C$4:$C$1003,C47,$D$4:$D$1003,D47,$E$4:$E$1003,E47,$F$4:$F$1003,F47,$G$4:$G$1003,G47,$M$4:$M$1003,"&lt;&gt;Superseded")&gt;1),"Duplicate relationship",IF(OR(IF(B47="UC",COUNTIF('Use cases'!$A$4:$A$253,C47),IF(B47="CAP",COUNTIF(Capabilities!$A$4:$A$253,C47),IF(B47="AIR",COUNTIF('System map'!$A$4:$A$203,C47),COUNTIFS(Components!$A$4:$A$253,C47,Components!$B$4:$B$253,B47))))&lt;&gt;1,IF(E47="UC",COUNTIF('Use cases'!$A$4:$A$253,F47),IF(E47="CAP",COUNTIF(Capabilities!$A$4:$A$253,F47),IF(E47="AIR",COUNTIF('System map'!$A$4:$A$203,F47),COUNTIFS(Components!$A$4:$A$253,F47,Components!$B$4:$B$253,E47))))&lt;&gt;1),"Endpoint missing or duplicated",IF(AND(NOT(AND(B47="UC",E47="CAP")),OR(G47="",COUNTIF('System map'!$A$4:$A$203,G47)&lt;&gt;1)),"AIR context missing / unknown",IF(AND(B47="CAP",E47="AIR",G47&lt;&gt;F47),"AIR context mismatch",IF(AND(B47="AIR",G47&lt;&gt;C47),"AIR context mismatch",IF(AND(B47="AIR",E47="AIR",C47=F47),"Self-dependency",IF(AND(B47="AIR",E47="AIR",M47&lt;&gt;"Superseded",COUNTIFS($B$4:$B$1003,"AIR",$C$4:$C$1003,F47,$E$4:$E$1003,"AIR",$F$4:$F$1003,C47,$M$4:$M$1003,"&lt;&gt;Superseded")&gt;0),"Dependency cycle (A↔B) — review",IF(AND(B47="AIR",OR(E47="MOD",E47="DATA",E47="IF",E47="AG",E47="TOOL"),IFERROR(INDEX(Components!$G$4:$G$253,MATCH(F47,Components!$A$4:$A$253,0)),"")&lt;&gt;"",IFERROR(INDEX(Components!$G$4:$G$253,MATCH(F47,Components!$A$4:$A$253,0)),"")&lt;&gt;C47),"Component owned by another AIR-ID",IF(AND(M47="Confirmed",OR(IF(B47="UC",COUNTIFS('Use cases'!$A$4:$A$253,C47,'Use cases'!$I$4:$I$253,"Confirmed",'Use cases'!$J$4:$J$253,"OK — verify source"),IF(B47="CAP",COUNTIFS(Capabilities!$A$4:$A$253,C47,Capabilities!$J$4:$J$253,"Confirmed",Capabilities!$K$4:$K$253,"OK — verify source"),IF(B47="AIR",COUNTIFS('System map'!$A$4:$A$203,C47,'System map'!$B$4:$B$203,"&lt;&gt;",'System map'!$C$4:$C$203,"&lt;&gt;",'System map'!$D$4:$D$203,"&lt;&gt;"),COUNTIFS(Components!$A$4:$A$253,C47,Components!$B$4:$B$253,B47,Components!$K$4:$K$253,"Confirmed",Components!$L$4:$L$253,"OK — verify source"))))&lt;&gt;1,IF(E47="UC",COUNTIFS('Use cases'!$A$4:$A$253,F47,'Use cases'!$I$4:$I$253,"Confirmed",'Use cases'!$J$4:$J$253,"OK — verify source"),IF(E47="CAP",COUNTIFS(Capabilities!$A$4:$A$253,F47,Capabilities!$J$4:$J$253,"Confirmed",Capabilities!$K$4:$K$253,"OK — verify source"),IF(E47="AIR",COUNTIFS('System map'!$A$4:$A$203,F47,'System map'!$B$4:$B$203,"&lt;&gt;",'System map'!$C$4:$C$203,"&lt;&gt;",'System map'!$D$4:$D$203,"&lt;&gt;"),COUNTIFS(Components!$A$4:$A$253,F47,Components!$B$4:$B$253,E47,Components!$K$4:$K$253,"Confirmed",Components!$L$4:$L$253,"OK — verify source"))))&lt;&gt;1)),"Endpoint not source-reconciled",IF(AND(M47="Confirmed",OR(L47="",K47="",K47="Unknown",K47="Low")),"Confirmed link lacks verification","OK — verify source"))))))))))))))</f>
        <v/>
      </c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6" t="n"/>
      <c r="M48" s="25" t="n"/>
      <c r="N48" s="25">
        <f>IF(COUNTA(A48:M48)=0,"",IF(OR(A48="",B48="",C48="",D48="",E48="",F48="",I48="",J48="",K48="",M48=""),"Required link detail missing",IF(COUNTIF($A$4:$A$1003,A48)&gt;1,"Duplicate Map Edge ID",IF(NOT(OR(AND(B48="UC",E48="CAP",D48="requires"),AND(B48="CAP",E48="AIR",D48="provided by"),AND(B48="AIR",OR(E48="MOD",E48="DATA",E48="IF",E48="AG",E48="TOOL"),D48="references"),AND(B48="AIR",E48="AIR",D48="depends on"))),"Invalid relationship",IF(AND(M48&lt;&gt;"Superseded",COUNTIFS($B$4:$B$1003,B48,$C$4:$C$1003,C48,$D$4:$D$1003,D48,$E$4:$E$1003,E48,$F$4:$F$1003,F48,$G$4:$G$1003,G48,$M$4:$M$1003,"&lt;&gt;Superseded")&gt;1),"Duplicate relationship",IF(OR(IF(B48="UC",COUNTIF('Use cases'!$A$4:$A$253,C48),IF(B48="CAP",COUNTIF(Capabilities!$A$4:$A$253,C48),IF(B48="AIR",COUNTIF('System map'!$A$4:$A$203,C48),COUNTIFS(Components!$A$4:$A$253,C48,Components!$B$4:$B$253,B48))))&lt;&gt;1,IF(E48="UC",COUNTIF('Use cases'!$A$4:$A$253,F48),IF(E48="CAP",COUNTIF(Capabilities!$A$4:$A$253,F48),IF(E48="AIR",COUNTIF('System map'!$A$4:$A$203,F48),COUNTIFS(Components!$A$4:$A$253,F48,Components!$B$4:$B$253,E48))))&lt;&gt;1),"Endpoint missing or duplicated",IF(AND(NOT(AND(B48="UC",E48="CAP")),OR(G48="",COUNTIF('System map'!$A$4:$A$203,G48)&lt;&gt;1)),"AIR context missing / unknown",IF(AND(B48="CAP",E48="AIR",G48&lt;&gt;F48),"AIR context mismatch",IF(AND(B48="AIR",G48&lt;&gt;C48),"AIR context mismatch",IF(AND(B48="AIR",E48="AIR",C48=F48),"Self-dependency",IF(AND(B48="AIR",E48="AIR",M48&lt;&gt;"Superseded",COUNTIFS($B$4:$B$1003,"AIR",$C$4:$C$1003,F48,$E$4:$E$1003,"AIR",$F$4:$F$1003,C48,$M$4:$M$1003,"&lt;&gt;Superseded")&gt;0),"Dependency cycle (A↔B) — review",IF(AND(B48="AIR",OR(E48="MOD",E48="DATA",E48="IF",E48="AG",E48="TOOL"),IFERROR(INDEX(Components!$G$4:$G$253,MATCH(F48,Components!$A$4:$A$253,0)),"")&lt;&gt;"",IFERROR(INDEX(Components!$G$4:$G$253,MATCH(F48,Components!$A$4:$A$253,0)),"")&lt;&gt;C48),"Component owned by another AIR-ID",IF(AND(M48="Confirmed",OR(IF(B48="UC",COUNTIFS('Use cases'!$A$4:$A$253,C48,'Use cases'!$I$4:$I$253,"Confirmed",'Use cases'!$J$4:$J$253,"OK — verify source"),IF(B48="CAP",COUNTIFS(Capabilities!$A$4:$A$253,C48,Capabilities!$J$4:$J$253,"Confirmed",Capabilities!$K$4:$K$253,"OK — verify source"),IF(B48="AIR",COUNTIFS('System map'!$A$4:$A$203,C48,'System map'!$B$4:$B$203,"&lt;&gt;",'System map'!$C$4:$C$203,"&lt;&gt;",'System map'!$D$4:$D$203,"&lt;&gt;"),COUNTIFS(Components!$A$4:$A$253,C48,Components!$B$4:$B$253,B48,Components!$K$4:$K$253,"Confirmed",Components!$L$4:$L$253,"OK — verify source"))))&lt;&gt;1,IF(E48="UC",COUNTIFS('Use cases'!$A$4:$A$253,F48,'Use cases'!$I$4:$I$253,"Confirmed",'Use cases'!$J$4:$J$253,"OK — verify source"),IF(E48="CAP",COUNTIFS(Capabilities!$A$4:$A$253,F48,Capabilities!$J$4:$J$253,"Confirmed",Capabilities!$K$4:$K$253,"OK — verify source"),IF(E48="AIR",COUNTIFS('System map'!$A$4:$A$203,F48,'System map'!$B$4:$B$203,"&lt;&gt;",'System map'!$C$4:$C$203,"&lt;&gt;",'System map'!$D$4:$D$203,"&lt;&gt;"),COUNTIFS(Components!$A$4:$A$253,F48,Components!$B$4:$B$253,E48,Components!$K$4:$K$253,"Confirmed",Components!$L$4:$L$253,"OK — verify source"))))&lt;&gt;1)),"Endpoint not source-reconciled",IF(AND(M48="Confirmed",OR(L48="",K48="",K48="Unknown",K48="Low")),"Confirmed link lacks verification","OK — verify source"))))))))))))))</f>
        <v/>
      </c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8" t="n"/>
      <c r="M49" s="27" t="n"/>
      <c r="N49" s="27">
        <f>IF(COUNTA(A49:M49)=0,"",IF(OR(A49="",B49="",C49="",D49="",E49="",F49="",I49="",J49="",K49="",M49=""),"Required link detail missing",IF(COUNTIF($A$4:$A$1003,A49)&gt;1,"Duplicate Map Edge ID",IF(NOT(OR(AND(B49="UC",E49="CAP",D49="requires"),AND(B49="CAP",E49="AIR",D49="provided by"),AND(B49="AIR",OR(E49="MOD",E49="DATA",E49="IF",E49="AG",E49="TOOL"),D49="references"),AND(B49="AIR",E49="AIR",D49="depends on"))),"Invalid relationship",IF(AND(M49&lt;&gt;"Superseded",COUNTIFS($B$4:$B$1003,B49,$C$4:$C$1003,C49,$D$4:$D$1003,D49,$E$4:$E$1003,E49,$F$4:$F$1003,F49,$G$4:$G$1003,G49,$M$4:$M$1003,"&lt;&gt;Superseded")&gt;1),"Duplicate relationship",IF(OR(IF(B49="UC",COUNTIF('Use cases'!$A$4:$A$253,C49),IF(B49="CAP",COUNTIF(Capabilities!$A$4:$A$253,C49),IF(B49="AIR",COUNTIF('System map'!$A$4:$A$203,C49),COUNTIFS(Components!$A$4:$A$253,C49,Components!$B$4:$B$253,B49))))&lt;&gt;1,IF(E49="UC",COUNTIF('Use cases'!$A$4:$A$253,F49),IF(E49="CAP",COUNTIF(Capabilities!$A$4:$A$253,F49),IF(E49="AIR",COUNTIF('System map'!$A$4:$A$203,F49),COUNTIFS(Components!$A$4:$A$253,F49,Components!$B$4:$B$253,E49))))&lt;&gt;1),"Endpoint missing or duplicated",IF(AND(NOT(AND(B49="UC",E49="CAP")),OR(G49="",COUNTIF('System map'!$A$4:$A$203,G49)&lt;&gt;1)),"AIR context missing / unknown",IF(AND(B49="CAP",E49="AIR",G49&lt;&gt;F49),"AIR context mismatch",IF(AND(B49="AIR",G49&lt;&gt;C49),"AIR context mismatch",IF(AND(B49="AIR",E49="AIR",C49=F49),"Self-dependency",IF(AND(B49="AIR",E49="AIR",M49&lt;&gt;"Superseded",COUNTIFS($B$4:$B$1003,"AIR",$C$4:$C$1003,F49,$E$4:$E$1003,"AIR",$F$4:$F$1003,C49,$M$4:$M$1003,"&lt;&gt;Superseded")&gt;0),"Dependency cycle (A↔B) — review",IF(AND(B49="AIR",OR(E49="MOD",E49="DATA",E49="IF",E49="AG",E49="TOOL"),IFERROR(INDEX(Components!$G$4:$G$253,MATCH(F49,Components!$A$4:$A$253,0)),"")&lt;&gt;"",IFERROR(INDEX(Components!$G$4:$G$253,MATCH(F49,Components!$A$4:$A$253,0)),"")&lt;&gt;C49),"Component owned by another AIR-ID",IF(AND(M49="Confirmed",OR(IF(B49="UC",COUNTIFS('Use cases'!$A$4:$A$253,C49,'Use cases'!$I$4:$I$253,"Confirmed",'Use cases'!$J$4:$J$253,"OK — verify source"),IF(B49="CAP",COUNTIFS(Capabilities!$A$4:$A$253,C49,Capabilities!$J$4:$J$253,"Confirmed",Capabilities!$K$4:$K$253,"OK — verify source"),IF(B49="AIR",COUNTIFS('System map'!$A$4:$A$203,C49,'System map'!$B$4:$B$203,"&lt;&gt;",'System map'!$C$4:$C$203,"&lt;&gt;",'System map'!$D$4:$D$203,"&lt;&gt;"),COUNTIFS(Components!$A$4:$A$253,C49,Components!$B$4:$B$253,B49,Components!$K$4:$K$253,"Confirmed",Components!$L$4:$L$253,"OK — verify source"))))&lt;&gt;1,IF(E49="UC",COUNTIFS('Use cases'!$A$4:$A$253,F49,'Use cases'!$I$4:$I$253,"Confirmed",'Use cases'!$J$4:$J$253,"OK — verify source"),IF(E49="CAP",COUNTIFS(Capabilities!$A$4:$A$253,F49,Capabilities!$J$4:$J$253,"Confirmed",Capabilities!$K$4:$K$253,"OK — verify source"),IF(E49="AIR",COUNTIFS('System map'!$A$4:$A$203,F49,'System map'!$B$4:$B$203,"&lt;&gt;",'System map'!$C$4:$C$203,"&lt;&gt;",'System map'!$D$4:$D$203,"&lt;&gt;"),COUNTIFS(Components!$A$4:$A$253,F49,Components!$B$4:$B$253,E49,Components!$K$4:$K$253,"Confirmed",Components!$L$4:$L$253,"OK — verify source"))))&lt;&gt;1)),"Endpoint not source-reconciled",IF(AND(M49="Confirmed",OR(L49="",K49="",K49="Unknown",K49="Low")),"Confirmed link lacks verification","OK — verify source"))))))))))))))</f>
        <v/>
      </c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6" t="n"/>
      <c r="M50" s="25" t="n"/>
      <c r="N50" s="25">
        <f>IF(COUNTA(A50:M50)=0,"",IF(OR(A50="",B50="",C50="",D50="",E50="",F50="",I50="",J50="",K50="",M50=""),"Required link detail missing",IF(COUNTIF($A$4:$A$1003,A50)&gt;1,"Duplicate Map Edge ID",IF(NOT(OR(AND(B50="UC",E50="CAP",D50="requires"),AND(B50="CAP",E50="AIR",D50="provided by"),AND(B50="AIR",OR(E50="MOD",E50="DATA",E50="IF",E50="AG",E50="TOOL"),D50="references"),AND(B50="AIR",E50="AIR",D50="depends on"))),"Invalid relationship",IF(AND(M50&lt;&gt;"Superseded",COUNTIFS($B$4:$B$1003,B50,$C$4:$C$1003,C50,$D$4:$D$1003,D50,$E$4:$E$1003,E50,$F$4:$F$1003,F50,$G$4:$G$1003,G50,$M$4:$M$1003,"&lt;&gt;Superseded")&gt;1),"Duplicate relationship",IF(OR(IF(B50="UC",COUNTIF('Use cases'!$A$4:$A$253,C50),IF(B50="CAP",COUNTIF(Capabilities!$A$4:$A$253,C50),IF(B50="AIR",COUNTIF('System map'!$A$4:$A$203,C50),COUNTIFS(Components!$A$4:$A$253,C50,Components!$B$4:$B$253,B50))))&lt;&gt;1,IF(E50="UC",COUNTIF('Use cases'!$A$4:$A$253,F50),IF(E50="CAP",COUNTIF(Capabilities!$A$4:$A$253,F50),IF(E50="AIR",COUNTIF('System map'!$A$4:$A$203,F50),COUNTIFS(Components!$A$4:$A$253,F50,Components!$B$4:$B$253,E50))))&lt;&gt;1),"Endpoint missing or duplicated",IF(AND(NOT(AND(B50="UC",E50="CAP")),OR(G50="",COUNTIF('System map'!$A$4:$A$203,G50)&lt;&gt;1)),"AIR context missing / unknown",IF(AND(B50="CAP",E50="AIR",G50&lt;&gt;F50),"AIR context mismatch",IF(AND(B50="AIR",G50&lt;&gt;C50),"AIR context mismatch",IF(AND(B50="AIR",E50="AIR",C50=F50),"Self-dependency",IF(AND(B50="AIR",E50="AIR",M50&lt;&gt;"Superseded",COUNTIFS($B$4:$B$1003,"AIR",$C$4:$C$1003,F50,$E$4:$E$1003,"AIR",$F$4:$F$1003,C50,$M$4:$M$1003,"&lt;&gt;Superseded")&gt;0),"Dependency cycle (A↔B) — review",IF(AND(B50="AIR",OR(E50="MOD",E50="DATA",E50="IF",E50="AG",E50="TOOL"),IFERROR(INDEX(Components!$G$4:$G$253,MATCH(F50,Components!$A$4:$A$253,0)),"")&lt;&gt;"",IFERROR(INDEX(Components!$G$4:$G$253,MATCH(F50,Components!$A$4:$A$253,0)),"")&lt;&gt;C50),"Component owned by another AIR-ID",IF(AND(M50="Confirmed",OR(IF(B50="UC",COUNTIFS('Use cases'!$A$4:$A$253,C50,'Use cases'!$I$4:$I$253,"Confirmed",'Use cases'!$J$4:$J$253,"OK — verify source"),IF(B50="CAP",COUNTIFS(Capabilities!$A$4:$A$253,C50,Capabilities!$J$4:$J$253,"Confirmed",Capabilities!$K$4:$K$253,"OK — verify source"),IF(B50="AIR",COUNTIFS('System map'!$A$4:$A$203,C50,'System map'!$B$4:$B$203,"&lt;&gt;",'System map'!$C$4:$C$203,"&lt;&gt;",'System map'!$D$4:$D$203,"&lt;&gt;"),COUNTIFS(Components!$A$4:$A$253,C50,Components!$B$4:$B$253,B50,Components!$K$4:$K$253,"Confirmed",Components!$L$4:$L$253,"OK — verify source"))))&lt;&gt;1,IF(E50="UC",COUNTIFS('Use cases'!$A$4:$A$253,F50,'Use cases'!$I$4:$I$253,"Confirmed",'Use cases'!$J$4:$J$253,"OK — verify source"),IF(E50="CAP",COUNTIFS(Capabilities!$A$4:$A$253,F50,Capabilities!$J$4:$J$253,"Confirmed",Capabilities!$K$4:$K$253,"OK — verify source"),IF(E50="AIR",COUNTIFS('System map'!$A$4:$A$203,F50,'System map'!$B$4:$B$203,"&lt;&gt;",'System map'!$C$4:$C$203,"&lt;&gt;",'System map'!$D$4:$D$203,"&lt;&gt;"),COUNTIFS(Components!$A$4:$A$253,F50,Components!$B$4:$B$253,E50,Components!$K$4:$K$253,"Confirmed",Components!$L$4:$L$253,"OK — verify source"))))&lt;&gt;1)),"Endpoint not source-reconciled",IF(AND(M50="Confirmed",OR(L50="",K50="",K50="Unknown",K50="Low")),"Confirmed link lacks verification","OK — verify source"))))))))))))))</f>
        <v/>
      </c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8" t="n"/>
      <c r="M51" s="27" t="n"/>
      <c r="N51" s="27">
        <f>IF(COUNTA(A51:M51)=0,"",IF(OR(A51="",B51="",C51="",D51="",E51="",F51="",I51="",J51="",K51="",M51=""),"Required link detail missing",IF(COUNTIF($A$4:$A$1003,A51)&gt;1,"Duplicate Map Edge ID",IF(NOT(OR(AND(B51="UC",E51="CAP",D51="requires"),AND(B51="CAP",E51="AIR",D51="provided by"),AND(B51="AIR",OR(E51="MOD",E51="DATA",E51="IF",E51="AG",E51="TOOL"),D51="references"),AND(B51="AIR",E51="AIR",D51="depends on"))),"Invalid relationship",IF(AND(M51&lt;&gt;"Superseded",COUNTIFS($B$4:$B$1003,B51,$C$4:$C$1003,C51,$D$4:$D$1003,D51,$E$4:$E$1003,E51,$F$4:$F$1003,F51,$G$4:$G$1003,G51,$M$4:$M$1003,"&lt;&gt;Superseded")&gt;1),"Duplicate relationship",IF(OR(IF(B51="UC",COUNTIF('Use cases'!$A$4:$A$253,C51),IF(B51="CAP",COUNTIF(Capabilities!$A$4:$A$253,C51),IF(B51="AIR",COUNTIF('System map'!$A$4:$A$203,C51),COUNTIFS(Components!$A$4:$A$253,C51,Components!$B$4:$B$253,B51))))&lt;&gt;1,IF(E51="UC",COUNTIF('Use cases'!$A$4:$A$253,F51),IF(E51="CAP",COUNTIF(Capabilities!$A$4:$A$253,F51),IF(E51="AIR",COUNTIF('System map'!$A$4:$A$203,F51),COUNTIFS(Components!$A$4:$A$253,F51,Components!$B$4:$B$253,E51))))&lt;&gt;1),"Endpoint missing or duplicated",IF(AND(NOT(AND(B51="UC",E51="CAP")),OR(G51="",COUNTIF('System map'!$A$4:$A$203,G51)&lt;&gt;1)),"AIR context missing / unknown",IF(AND(B51="CAP",E51="AIR",G51&lt;&gt;F51),"AIR context mismatch",IF(AND(B51="AIR",G51&lt;&gt;C51),"AIR context mismatch",IF(AND(B51="AIR",E51="AIR",C51=F51),"Self-dependency",IF(AND(B51="AIR",E51="AIR",M51&lt;&gt;"Superseded",COUNTIFS($B$4:$B$1003,"AIR",$C$4:$C$1003,F51,$E$4:$E$1003,"AIR",$F$4:$F$1003,C51,$M$4:$M$1003,"&lt;&gt;Superseded")&gt;0),"Dependency cycle (A↔B) — review",IF(AND(B51="AIR",OR(E51="MOD",E51="DATA",E51="IF",E51="AG",E51="TOOL"),IFERROR(INDEX(Components!$G$4:$G$253,MATCH(F51,Components!$A$4:$A$253,0)),"")&lt;&gt;"",IFERROR(INDEX(Components!$G$4:$G$253,MATCH(F51,Components!$A$4:$A$253,0)),"")&lt;&gt;C51),"Component owned by another AIR-ID",IF(AND(M51="Confirmed",OR(IF(B51="UC",COUNTIFS('Use cases'!$A$4:$A$253,C51,'Use cases'!$I$4:$I$253,"Confirmed",'Use cases'!$J$4:$J$253,"OK — verify source"),IF(B51="CAP",COUNTIFS(Capabilities!$A$4:$A$253,C51,Capabilities!$J$4:$J$253,"Confirmed",Capabilities!$K$4:$K$253,"OK — verify source"),IF(B51="AIR",COUNTIFS('System map'!$A$4:$A$203,C51,'System map'!$B$4:$B$203,"&lt;&gt;",'System map'!$C$4:$C$203,"&lt;&gt;",'System map'!$D$4:$D$203,"&lt;&gt;"),COUNTIFS(Components!$A$4:$A$253,C51,Components!$B$4:$B$253,B51,Components!$K$4:$K$253,"Confirmed",Components!$L$4:$L$253,"OK — verify source"))))&lt;&gt;1,IF(E51="UC",COUNTIFS('Use cases'!$A$4:$A$253,F51,'Use cases'!$I$4:$I$253,"Confirmed",'Use cases'!$J$4:$J$253,"OK — verify source"),IF(E51="CAP",COUNTIFS(Capabilities!$A$4:$A$253,F51,Capabilities!$J$4:$J$253,"Confirmed",Capabilities!$K$4:$K$253,"OK — verify source"),IF(E51="AIR",COUNTIFS('System map'!$A$4:$A$203,F51,'System map'!$B$4:$B$203,"&lt;&gt;",'System map'!$C$4:$C$203,"&lt;&gt;",'System map'!$D$4:$D$203,"&lt;&gt;"),COUNTIFS(Components!$A$4:$A$253,F51,Components!$B$4:$B$253,E51,Components!$K$4:$K$253,"Confirmed",Components!$L$4:$L$253,"OK — verify source"))))&lt;&gt;1)),"Endpoint not source-reconciled",IF(AND(M51="Confirmed",OR(L51="",K51="",K51="Unknown",K51="Low")),"Confirmed link lacks verification","OK — verify source"))))))))))))))</f>
        <v/>
      </c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6" t="n"/>
      <c r="M52" s="25" t="n"/>
      <c r="N52" s="25">
        <f>IF(COUNTA(A52:M52)=0,"",IF(OR(A52="",B52="",C52="",D52="",E52="",F52="",I52="",J52="",K52="",M52=""),"Required link detail missing",IF(COUNTIF($A$4:$A$1003,A52)&gt;1,"Duplicate Map Edge ID",IF(NOT(OR(AND(B52="UC",E52="CAP",D52="requires"),AND(B52="CAP",E52="AIR",D52="provided by"),AND(B52="AIR",OR(E52="MOD",E52="DATA",E52="IF",E52="AG",E52="TOOL"),D52="references"),AND(B52="AIR",E52="AIR",D52="depends on"))),"Invalid relationship",IF(AND(M52&lt;&gt;"Superseded",COUNTIFS($B$4:$B$1003,B52,$C$4:$C$1003,C52,$D$4:$D$1003,D52,$E$4:$E$1003,E52,$F$4:$F$1003,F52,$G$4:$G$1003,G52,$M$4:$M$1003,"&lt;&gt;Superseded")&gt;1),"Duplicate relationship",IF(OR(IF(B52="UC",COUNTIF('Use cases'!$A$4:$A$253,C52),IF(B52="CAP",COUNTIF(Capabilities!$A$4:$A$253,C52),IF(B52="AIR",COUNTIF('System map'!$A$4:$A$203,C52),COUNTIFS(Components!$A$4:$A$253,C52,Components!$B$4:$B$253,B52))))&lt;&gt;1,IF(E52="UC",COUNTIF('Use cases'!$A$4:$A$253,F52),IF(E52="CAP",COUNTIF(Capabilities!$A$4:$A$253,F52),IF(E52="AIR",COUNTIF('System map'!$A$4:$A$203,F52),COUNTIFS(Components!$A$4:$A$253,F52,Components!$B$4:$B$253,E52))))&lt;&gt;1),"Endpoint missing or duplicated",IF(AND(NOT(AND(B52="UC",E52="CAP")),OR(G52="",COUNTIF('System map'!$A$4:$A$203,G52)&lt;&gt;1)),"AIR context missing / unknown",IF(AND(B52="CAP",E52="AIR",G52&lt;&gt;F52),"AIR context mismatch",IF(AND(B52="AIR",G52&lt;&gt;C52),"AIR context mismatch",IF(AND(B52="AIR",E52="AIR",C52=F52),"Self-dependency",IF(AND(B52="AIR",E52="AIR",M52&lt;&gt;"Superseded",COUNTIFS($B$4:$B$1003,"AIR",$C$4:$C$1003,F52,$E$4:$E$1003,"AIR",$F$4:$F$1003,C52,$M$4:$M$1003,"&lt;&gt;Superseded")&gt;0),"Dependency cycle (A↔B) — review",IF(AND(B52="AIR",OR(E52="MOD",E52="DATA",E52="IF",E52="AG",E52="TOOL"),IFERROR(INDEX(Components!$G$4:$G$253,MATCH(F52,Components!$A$4:$A$253,0)),"")&lt;&gt;"",IFERROR(INDEX(Components!$G$4:$G$253,MATCH(F52,Components!$A$4:$A$253,0)),"")&lt;&gt;C52),"Component owned by another AIR-ID",IF(AND(M52="Confirmed",OR(IF(B52="UC",COUNTIFS('Use cases'!$A$4:$A$253,C52,'Use cases'!$I$4:$I$253,"Confirmed",'Use cases'!$J$4:$J$253,"OK — verify source"),IF(B52="CAP",COUNTIFS(Capabilities!$A$4:$A$253,C52,Capabilities!$J$4:$J$253,"Confirmed",Capabilities!$K$4:$K$253,"OK — verify source"),IF(B52="AIR",COUNTIFS('System map'!$A$4:$A$203,C52,'System map'!$B$4:$B$203,"&lt;&gt;",'System map'!$C$4:$C$203,"&lt;&gt;",'System map'!$D$4:$D$203,"&lt;&gt;"),COUNTIFS(Components!$A$4:$A$253,C52,Components!$B$4:$B$253,B52,Components!$K$4:$K$253,"Confirmed",Components!$L$4:$L$253,"OK — verify source"))))&lt;&gt;1,IF(E52="UC",COUNTIFS('Use cases'!$A$4:$A$253,F52,'Use cases'!$I$4:$I$253,"Confirmed",'Use cases'!$J$4:$J$253,"OK — verify source"),IF(E52="CAP",COUNTIFS(Capabilities!$A$4:$A$253,F52,Capabilities!$J$4:$J$253,"Confirmed",Capabilities!$K$4:$K$253,"OK — verify source"),IF(E52="AIR",COUNTIFS('System map'!$A$4:$A$203,F52,'System map'!$B$4:$B$203,"&lt;&gt;",'System map'!$C$4:$C$203,"&lt;&gt;",'System map'!$D$4:$D$203,"&lt;&gt;"),COUNTIFS(Components!$A$4:$A$253,F52,Components!$B$4:$B$253,E52,Components!$K$4:$K$253,"Confirmed",Components!$L$4:$L$253,"OK — verify source"))))&lt;&gt;1)),"Endpoint not source-reconciled",IF(AND(M52="Confirmed",OR(L52="",K52="",K52="Unknown",K52="Low")),"Confirmed link lacks verification","OK — verify source"))))))))))))))</f>
        <v/>
      </c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8" t="n"/>
      <c r="M53" s="27" t="n"/>
      <c r="N53" s="27">
        <f>IF(COUNTA(A53:M53)=0,"",IF(OR(A53="",B53="",C53="",D53="",E53="",F53="",I53="",J53="",K53="",M53=""),"Required link detail missing",IF(COUNTIF($A$4:$A$1003,A53)&gt;1,"Duplicate Map Edge ID",IF(NOT(OR(AND(B53="UC",E53="CAP",D53="requires"),AND(B53="CAP",E53="AIR",D53="provided by"),AND(B53="AIR",OR(E53="MOD",E53="DATA",E53="IF",E53="AG",E53="TOOL"),D53="references"),AND(B53="AIR",E53="AIR",D53="depends on"))),"Invalid relationship",IF(AND(M53&lt;&gt;"Superseded",COUNTIFS($B$4:$B$1003,B53,$C$4:$C$1003,C53,$D$4:$D$1003,D53,$E$4:$E$1003,E53,$F$4:$F$1003,F53,$G$4:$G$1003,G53,$M$4:$M$1003,"&lt;&gt;Superseded")&gt;1),"Duplicate relationship",IF(OR(IF(B53="UC",COUNTIF('Use cases'!$A$4:$A$253,C53),IF(B53="CAP",COUNTIF(Capabilities!$A$4:$A$253,C53),IF(B53="AIR",COUNTIF('System map'!$A$4:$A$203,C53),COUNTIFS(Components!$A$4:$A$253,C53,Components!$B$4:$B$253,B53))))&lt;&gt;1,IF(E53="UC",COUNTIF('Use cases'!$A$4:$A$253,F53),IF(E53="CAP",COUNTIF(Capabilities!$A$4:$A$253,F53),IF(E53="AIR",COUNTIF('System map'!$A$4:$A$203,F53),COUNTIFS(Components!$A$4:$A$253,F53,Components!$B$4:$B$253,E53))))&lt;&gt;1),"Endpoint missing or duplicated",IF(AND(NOT(AND(B53="UC",E53="CAP")),OR(G53="",COUNTIF('System map'!$A$4:$A$203,G53)&lt;&gt;1)),"AIR context missing / unknown",IF(AND(B53="CAP",E53="AIR",G53&lt;&gt;F53),"AIR context mismatch",IF(AND(B53="AIR",G53&lt;&gt;C53),"AIR context mismatch",IF(AND(B53="AIR",E53="AIR",C53=F53),"Self-dependency",IF(AND(B53="AIR",E53="AIR",M53&lt;&gt;"Superseded",COUNTIFS($B$4:$B$1003,"AIR",$C$4:$C$1003,F53,$E$4:$E$1003,"AIR",$F$4:$F$1003,C53,$M$4:$M$1003,"&lt;&gt;Superseded")&gt;0),"Dependency cycle (A↔B) — review",IF(AND(B53="AIR",OR(E53="MOD",E53="DATA",E53="IF",E53="AG",E53="TOOL"),IFERROR(INDEX(Components!$G$4:$G$253,MATCH(F53,Components!$A$4:$A$253,0)),"")&lt;&gt;"",IFERROR(INDEX(Components!$G$4:$G$253,MATCH(F53,Components!$A$4:$A$253,0)),"")&lt;&gt;C53),"Component owned by another AIR-ID",IF(AND(M53="Confirmed",OR(IF(B53="UC",COUNTIFS('Use cases'!$A$4:$A$253,C53,'Use cases'!$I$4:$I$253,"Confirmed",'Use cases'!$J$4:$J$253,"OK — verify source"),IF(B53="CAP",COUNTIFS(Capabilities!$A$4:$A$253,C53,Capabilities!$J$4:$J$253,"Confirmed",Capabilities!$K$4:$K$253,"OK — verify source"),IF(B53="AIR",COUNTIFS('System map'!$A$4:$A$203,C53,'System map'!$B$4:$B$203,"&lt;&gt;",'System map'!$C$4:$C$203,"&lt;&gt;",'System map'!$D$4:$D$203,"&lt;&gt;"),COUNTIFS(Components!$A$4:$A$253,C53,Components!$B$4:$B$253,B53,Components!$K$4:$K$253,"Confirmed",Components!$L$4:$L$253,"OK — verify source"))))&lt;&gt;1,IF(E53="UC",COUNTIFS('Use cases'!$A$4:$A$253,F53,'Use cases'!$I$4:$I$253,"Confirmed",'Use cases'!$J$4:$J$253,"OK — verify source"),IF(E53="CAP",COUNTIFS(Capabilities!$A$4:$A$253,F53,Capabilities!$J$4:$J$253,"Confirmed",Capabilities!$K$4:$K$253,"OK — verify source"),IF(E53="AIR",COUNTIFS('System map'!$A$4:$A$203,F53,'System map'!$B$4:$B$203,"&lt;&gt;",'System map'!$C$4:$C$203,"&lt;&gt;",'System map'!$D$4:$D$203,"&lt;&gt;"),COUNTIFS(Components!$A$4:$A$253,F53,Components!$B$4:$B$253,E53,Components!$K$4:$K$253,"Confirmed",Components!$L$4:$L$253,"OK — verify source"))))&lt;&gt;1)),"Endpoint not source-reconciled",IF(AND(M53="Confirmed",OR(L53="",K53="",K53="Unknown",K53="Low")),"Confirmed link lacks verification","OK — verify source"))))))))))))))</f>
        <v/>
      </c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6" t="n"/>
      <c r="M54" s="25" t="n"/>
      <c r="N54" s="25">
        <f>IF(COUNTA(A54:M54)=0,"",IF(OR(A54="",B54="",C54="",D54="",E54="",F54="",I54="",J54="",K54="",M54=""),"Required link detail missing",IF(COUNTIF($A$4:$A$1003,A54)&gt;1,"Duplicate Map Edge ID",IF(NOT(OR(AND(B54="UC",E54="CAP",D54="requires"),AND(B54="CAP",E54="AIR",D54="provided by"),AND(B54="AIR",OR(E54="MOD",E54="DATA",E54="IF",E54="AG",E54="TOOL"),D54="references"),AND(B54="AIR",E54="AIR",D54="depends on"))),"Invalid relationship",IF(AND(M54&lt;&gt;"Superseded",COUNTIFS($B$4:$B$1003,B54,$C$4:$C$1003,C54,$D$4:$D$1003,D54,$E$4:$E$1003,E54,$F$4:$F$1003,F54,$G$4:$G$1003,G54,$M$4:$M$1003,"&lt;&gt;Superseded")&gt;1),"Duplicate relationship",IF(OR(IF(B54="UC",COUNTIF('Use cases'!$A$4:$A$253,C54),IF(B54="CAP",COUNTIF(Capabilities!$A$4:$A$253,C54),IF(B54="AIR",COUNTIF('System map'!$A$4:$A$203,C54),COUNTIFS(Components!$A$4:$A$253,C54,Components!$B$4:$B$253,B54))))&lt;&gt;1,IF(E54="UC",COUNTIF('Use cases'!$A$4:$A$253,F54),IF(E54="CAP",COUNTIF(Capabilities!$A$4:$A$253,F54),IF(E54="AIR",COUNTIF('System map'!$A$4:$A$203,F54),COUNTIFS(Components!$A$4:$A$253,F54,Components!$B$4:$B$253,E54))))&lt;&gt;1),"Endpoint missing or duplicated",IF(AND(NOT(AND(B54="UC",E54="CAP")),OR(G54="",COUNTIF('System map'!$A$4:$A$203,G54)&lt;&gt;1)),"AIR context missing / unknown",IF(AND(B54="CAP",E54="AIR",G54&lt;&gt;F54),"AIR context mismatch",IF(AND(B54="AIR",G54&lt;&gt;C54),"AIR context mismatch",IF(AND(B54="AIR",E54="AIR",C54=F54),"Self-dependency",IF(AND(B54="AIR",E54="AIR",M54&lt;&gt;"Superseded",COUNTIFS($B$4:$B$1003,"AIR",$C$4:$C$1003,F54,$E$4:$E$1003,"AIR",$F$4:$F$1003,C54,$M$4:$M$1003,"&lt;&gt;Superseded")&gt;0),"Dependency cycle (A↔B) — review",IF(AND(B54="AIR",OR(E54="MOD",E54="DATA",E54="IF",E54="AG",E54="TOOL"),IFERROR(INDEX(Components!$G$4:$G$253,MATCH(F54,Components!$A$4:$A$253,0)),"")&lt;&gt;"",IFERROR(INDEX(Components!$G$4:$G$253,MATCH(F54,Components!$A$4:$A$253,0)),"")&lt;&gt;C54),"Component owned by another AIR-ID",IF(AND(M54="Confirmed",OR(IF(B54="UC",COUNTIFS('Use cases'!$A$4:$A$253,C54,'Use cases'!$I$4:$I$253,"Confirmed",'Use cases'!$J$4:$J$253,"OK — verify source"),IF(B54="CAP",COUNTIFS(Capabilities!$A$4:$A$253,C54,Capabilities!$J$4:$J$253,"Confirmed",Capabilities!$K$4:$K$253,"OK — verify source"),IF(B54="AIR",COUNTIFS('System map'!$A$4:$A$203,C54,'System map'!$B$4:$B$203,"&lt;&gt;",'System map'!$C$4:$C$203,"&lt;&gt;",'System map'!$D$4:$D$203,"&lt;&gt;"),COUNTIFS(Components!$A$4:$A$253,C54,Components!$B$4:$B$253,B54,Components!$K$4:$K$253,"Confirmed",Components!$L$4:$L$253,"OK — verify source"))))&lt;&gt;1,IF(E54="UC",COUNTIFS('Use cases'!$A$4:$A$253,F54,'Use cases'!$I$4:$I$253,"Confirmed",'Use cases'!$J$4:$J$253,"OK — verify source"),IF(E54="CAP",COUNTIFS(Capabilities!$A$4:$A$253,F54,Capabilities!$J$4:$J$253,"Confirmed",Capabilities!$K$4:$K$253,"OK — verify source"),IF(E54="AIR",COUNTIFS('System map'!$A$4:$A$203,F54,'System map'!$B$4:$B$203,"&lt;&gt;",'System map'!$C$4:$C$203,"&lt;&gt;",'System map'!$D$4:$D$203,"&lt;&gt;"),COUNTIFS(Components!$A$4:$A$253,F54,Components!$B$4:$B$253,E54,Components!$K$4:$K$253,"Confirmed",Components!$L$4:$L$253,"OK — verify source"))))&lt;&gt;1)),"Endpoint not source-reconciled",IF(AND(M54="Confirmed",OR(L54="",K54="",K54="Unknown",K54="Low")),"Confirmed link lacks verification","OK — verify source"))))))))))))))</f>
        <v/>
      </c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8" t="n"/>
      <c r="M55" s="27" t="n"/>
      <c r="N55" s="27">
        <f>IF(COUNTA(A55:M55)=0,"",IF(OR(A55="",B55="",C55="",D55="",E55="",F55="",I55="",J55="",K55="",M55=""),"Required link detail missing",IF(COUNTIF($A$4:$A$1003,A55)&gt;1,"Duplicate Map Edge ID",IF(NOT(OR(AND(B55="UC",E55="CAP",D55="requires"),AND(B55="CAP",E55="AIR",D55="provided by"),AND(B55="AIR",OR(E55="MOD",E55="DATA",E55="IF",E55="AG",E55="TOOL"),D55="references"),AND(B55="AIR",E55="AIR",D55="depends on"))),"Invalid relationship",IF(AND(M55&lt;&gt;"Superseded",COUNTIFS($B$4:$B$1003,B55,$C$4:$C$1003,C55,$D$4:$D$1003,D55,$E$4:$E$1003,E55,$F$4:$F$1003,F55,$G$4:$G$1003,G55,$M$4:$M$1003,"&lt;&gt;Superseded")&gt;1),"Duplicate relationship",IF(OR(IF(B55="UC",COUNTIF('Use cases'!$A$4:$A$253,C55),IF(B55="CAP",COUNTIF(Capabilities!$A$4:$A$253,C55),IF(B55="AIR",COUNTIF('System map'!$A$4:$A$203,C55),COUNTIFS(Components!$A$4:$A$253,C55,Components!$B$4:$B$253,B55))))&lt;&gt;1,IF(E55="UC",COUNTIF('Use cases'!$A$4:$A$253,F55),IF(E55="CAP",COUNTIF(Capabilities!$A$4:$A$253,F55),IF(E55="AIR",COUNTIF('System map'!$A$4:$A$203,F55),COUNTIFS(Components!$A$4:$A$253,F55,Components!$B$4:$B$253,E55))))&lt;&gt;1),"Endpoint missing or duplicated",IF(AND(NOT(AND(B55="UC",E55="CAP")),OR(G55="",COUNTIF('System map'!$A$4:$A$203,G55)&lt;&gt;1)),"AIR context missing / unknown",IF(AND(B55="CAP",E55="AIR",G55&lt;&gt;F55),"AIR context mismatch",IF(AND(B55="AIR",G55&lt;&gt;C55),"AIR context mismatch",IF(AND(B55="AIR",E55="AIR",C55=F55),"Self-dependency",IF(AND(B55="AIR",E55="AIR",M55&lt;&gt;"Superseded",COUNTIFS($B$4:$B$1003,"AIR",$C$4:$C$1003,F55,$E$4:$E$1003,"AIR",$F$4:$F$1003,C55,$M$4:$M$1003,"&lt;&gt;Superseded")&gt;0),"Dependency cycle (A↔B) — review",IF(AND(B55="AIR",OR(E55="MOD",E55="DATA",E55="IF",E55="AG",E55="TOOL"),IFERROR(INDEX(Components!$G$4:$G$253,MATCH(F55,Components!$A$4:$A$253,0)),"")&lt;&gt;"",IFERROR(INDEX(Components!$G$4:$G$253,MATCH(F55,Components!$A$4:$A$253,0)),"")&lt;&gt;C55),"Component owned by another AIR-ID",IF(AND(M55="Confirmed",OR(IF(B55="UC",COUNTIFS('Use cases'!$A$4:$A$253,C55,'Use cases'!$I$4:$I$253,"Confirmed",'Use cases'!$J$4:$J$253,"OK — verify source"),IF(B55="CAP",COUNTIFS(Capabilities!$A$4:$A$253,C55,Capabilities!$J$4:$J$253,"Confirmed",Capabilities!$K$4:$K$253,"OK — verify source"),IF(B55="AIR",COUNTIFS('System map'!$A$4:$A$203,C55,'System map'!$B$4:$B$203,"&lt;&gt;",'System map'!$C$4:$C$203,"&lt;&gt;",'System map'!$D$4:$D$203,"&lt;&gt;"),COUNTIFS(Components!$A$4:$A$253,C55,Components!$B$4:$B$253,B55,Components!$K$4:$K$253,"Confirmed",Components!$L$4:$L$253,"OK — verify source"))))&lt;&gt;1,IF(E55="UC",COUNTIFS('Use cases'!$A$4:$A$253,F55,'Use cases'!$I$4:$I$253,"Confirmed",'Use cases'!$J$4:$J$253,"OK — verify source"),IF(E55="CAP",COUNTIFS(Capabilities!$A$4:$A$253,F55,Capabilities!$J$4:$J$253,"Confirmed",Capabilities!$K$4:$K$253,"OK — verify source"),IF(E55="AIR",COUNTIFS('System map'!$A$4:$A$203,F55,'System map'!$B$4:$B$203,"&lt;&gt;",'System map'!$C$4:$C$203,"&lt;&gt;",'System map'!$D$4:$D$203,"&lt;&gt;"),COUNTIFS(Components!$A$4:$A$253,F55,Components!$B$4:$B$253,E55,Components!$K$4:$K$253,"Confirmed",Components!$L$4:$L$253,"OK — verify source"))))&lt;&gt;1)),"Endpoint not source-reconciled",IF(AND(M55="Confirmed",OR(L55="",K55="",K55="Unknown",K55="Low")),"Confirmed link lacks verification","OK — verify source"))))))))))))))</f>
        <v/>
      </c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6" t="n"/>
      <c r="M56" s="25" t="n"/>
      <c r="N56" s="25">
        <f>IF(COUNTA(A56:M56)=0,"",IF(OR(A56="",B56="",C56="",D56="",E56="",F56="",I56="",J56="",K56="",M56=""),"Required link detail missing",IF(COUNTIF($A$4:$A$1003,A56)&gt;1,"Duplicate Map Edge ID",IF(NOT(OR(AND(B56="UC",E56="CAP",D56="requires"),AND(B56="CAP",E56="AIR",D56="provided by"),AND(B56="AIR",OR(E56="MOD",E56="DATA",E56="IF",E56="AG",E56="TOOL"),D56="references"),AND(B56="AIR",E56="AIR",D56="depends on"))),"Invalid relationship",IF(AND(M56&lt;&gt;"Superseded",COUNTIFS($B$4:$B$1003,B56,$C$4:$C$1003,C56,$D$4:$D$1003,D56,$E$4:$E$1003,E56,$F$4:$F$1003,F56,$G$4:$G$1003,G56,$M$4:$M$1003,"&lt;&gt;Superseded")&gt;1),"Duplicate relationship",IF(OR(IF(B56="UC",COUNTIF('Use cases'!$A$4:$A$253,C56),IF(B56="CAP",COUNTIF(Capabilities!$A$4:$A$253,C56),IF(B56="AIR",COUNTIF('System map'!$A$4:$A$203,C56),COUNTIFS(Components!$A$4:$A$253,C56,Components!$B$4:$B$253,B56))))&lt;&gt;1,IF(E56="UC",COUNTIF('Use cases'!$A$4:$A$253,F56),IF(E56="CAP",COUNTIF(Capabilities!$A$4:$A$253,F56),IF(E56="AIR",COUNTIF('System map'!$A$4:$A$203,F56),COUNTIFS(Components!$A$4:$A$253,F56,Components!$B$4:$B$253,E56))))&lt;&gt;1),"Endpoint missing or duplicated",IF(AND(NOT(AND(B56="UC",E56="CAP")),OR(G56="",COUNTIF('System map'!$A$4:$A$203,G56)&lt;&gt;1)),"AIR context missing / unknown",IF(AND(B56="CAP",E56="AIR",G56&lt;&gt;F56),"AIR context mismatch",IF(AND(B56="AIR",G56&lt;&gt;C56),"AIR context mismatch",IF(AND(B56="AIR",E56="AIR",C56=F56),"Self-dependency",IF(AND(B56="AIR",E56="AIR",M56&lt;&gt;"Superseded",COUNTIFS($B$4:$B$1003,"AIR",$C$4:$C$1003,F56,$E$4:$E$1003,"AIR",$F$4:$F$1003,C56,$M$4:$M$1003,"&lt;&gt;Superseded")&gt;0),"Dependency cycle (A↔B) — review",IF(AND(B56="AIR",OR(E56="MOD",E56="DATA",E56="IF",E56="AG",E56="TOOL"),IFERROR(INDEX(Components!$G$4:$G$253,MATCH(F56,Components!$A$4:$A$253,0)),"")&lt;&gt;"",IFERROR(INDEX(Components!$G$4:$G$253,MATCH(F56,Components!$A$4:$A$253,0)),"")&lt;&gt;C56),"Component owned by another AIR-ID",IF(AND(M56="Confirmed",OR(IF(B56="UC",COUNTIFS('Use cases'!$A$4:$A$253,C56,'Use cases'!$I$4:$I$253,"Confirmed",'Use cases'!$J$4:$J$253,"OK — verify source"),IF(B56="CAP",COUNTIFS(Capabilities!$A$4:$A$253,C56,Capabilities!$J$4:$J$253,"Confirmed",Capabilities!$K$4:$K$253,"OK — verify source"),IF(B56="AIR",COUNTIFS('System map'!$A$4:$A$203,C56,'System map'!$B$4:$B$203,"&lt;&gt;",'System map'!$C$4:$C$203,"&lt;&gt;",'System map'!$D$4:$D$203,"&lt;&gt;"),COUNTIFS(Components!$A$4:$A$253,C56,Components!$B$4:$B$253,B56,Components!$K$4:$K$253,"Confirmed",Components!$L$4:$L$253,"OK — verify source"))))&lt;&gt;1,IF(E56="UC",COUNTIFS('Use cases'!$A$4:$A$253,F56,'Use cases'!$I$4:$I$253,"Confirmed",'Use cases'!$J$4:$J$253,"OK — verify source"),IF(E56="CAP",COUNTIFS(Capabilities!$A$4:$A$253,F56,Capabilities!$J$4:$J$253,"Confirmed",Capabilities!$K$4:$K$253,"OK — verify source"),IF(E56="AIR",COUNTIFS('System map'!$A$4:$A$203,F56,'System map'!$B$4:$B$203,"&lt;&gt;",'System map'!$C$4:$C$203,"&lt;&gt;",'System map'!$D$4:$D$203,"&lt;&gt;"),COUNTIFS(Components!$A$4:$A$253,F56,Components!$B$4:$B$253,E56,Components!$K$4:$K$253,"Confirmed",Components!$L$4:$L$253,"OK — verify source"))))&lt;&gt;1)),"Endpoint not source-reconciled",IF(AND(M56="Confirmed",OR(L56="",K56="",K56="Unknown",K56="Low")),"Confirmed link lacks verification","OK — verify source"))))))))))))))</f>
        <v/>
      </c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8" t="n"/>
      <c r="M57" s="27" t="n"/>
      <c r="N57" s="27">
        <f>IF(COUNTA(A57:M57)=0,"",IF(OR(A57="",B57="",C57="",D57="",E57="",F57="",I57="",J57="",K57="",M57=""),"Required link detail missing",IF(COUNTIF($A$4:$A$1003,A57)&gt;1,"Duplicate Map Edge ID",IF(NOT(OR(AND(B57="UC",E57="CAP",D57="requires"),AND(B57="CAP",E57="AIR",D57="provided by"),AND(B57="AIR",OR(E57="MOD",E57="DATA",E57="IF",E57="AG",E57="TOOL"),D57="references"),AND(B57="AIR",E57="AIR",D57="depends on"))),"Invalid relationship",IF(AND(M57&lt;&gt;"Superseded",COUNTIFS($B$4:$B$1003,B57,$C$4:$C$1003,C57,$D$4:$D$1003,D57,$E$4:$E$1003,E57,$F$4:$F$1003,F57,$G$4:$G$1003,G57,$M$4:$M$1003,"&lt;&gt;Superseded")&gt;1),"Duplicate relationship",IF(OR(IF(B57="UC",COUNTIF('Use cases'!$A$4:$A$253,C57),IF(B57="CAP",COUNTIF(Capabilities!$A$4:$A$253,C57),IF(B57="AIR",COUNTIF('System map'!$A$4:$A$203,C57),COUNTIFS(Components!$A$4:$A$253,C57,Components!$B$4:$B$253,B57))))&lt;&gt;1,IF(E57="UC",COUNTIF('Use cases'!$A$4:$A$253,F57),IF(E57="CAP",COUNTIF(Capabilities!$A$4:$A$253,F57),IF(E57="AIR",COUNTIF('System map'!$A$4:$A$203,F57),COUNTIFS(Components!$A$4:$A$253,F57,Components!$B$4:$B$253,E57))))&lt;&gt;1),"Endpoint missing or duplicated",IF(AND(NOT(AND(B57="UC",E57="CAP")),OR(G57="",COUNTIF('System map'!$A$4:$A$203,G57)&lt;&gt;1)),"AIR context missing / unknown",IF(AND(B57="CAP",E57="AIR",G57&lt;&gt;F57),"AIR context mismatch",IF(AND(B57="AIR",G57&lt;&gt;C57),"AIR context mismatch",IF(AND(B57="AIR",E57="AIR",C57=F57),"Self-dependency",IF(AND(B57="AIR",E57="AIR",M57&lt;&gt;"Superseded",COUNTIFS($B$4:$B$1003,"AIR",$C$4:$C$1003,F57,$E$4:$E$1003,"AIR",$F$4:$F$1003,C57,$M$4:$M$1003,"&lt;&gt;Superseded")&gt;0),"Dependency cycle (A↔B) — review",IF(AND(B57="AIR",OR(E57="MOD",E57="DATA",E57="IF",E57="AG",E57="TOOL"),IFERROR(INDEX(Components!$G$4:$G$253,MATCH(F57,Components!$A$4:$A$253,0)),"")&lt;&gt;"",IFERROR(INDEX(Components!$G$4:$G$253,MATCH(F57,Components!$A$4:$A$253,0)),"")&lt;&gt;C57),"Component owned by another AIR-ID",IF(AND(M57="Confirmed",OR(IF(B57="UC",COUNTIFS('Use cases'!$A$4:$A$253,C57,'Use cases'!$I$4:$I$253,"Confirmed",'Use cases'!$J$4:$J$253,"OK — verify source"),IF(B57="CAP",COUNTIFS(Capabilities!$A$4:$A$253,C57,Capabilities!$J$4:$J$253,"Confirmed",Capabilities!$K$4:$K$253,"OK — verify source"),IF(B57="AIR",COUNTIFS('System map'!$A$4:$A$203,C57,'System map'!$B$4:$B$203,"&lt;&gt;",'System map'!$C$4:$C$203,"&lt;&gt;",'System map'!$D$4:$D$203,"&lt;&gt;"),COUNTIFS(Components!$A$4:$A$253,C57,Components!$B$4:$B$253,B57,Components!$K$4:$K$253,"Confirmed",Components!$L$4:$L$253,"OK — verify source"))))&lt;&gt;1,IF(E57="UC",COUNTIFS('Use cases'!$A$4:$A$253,F57,'Use cases'!$I$4:$I$253,"Confirmed",'Use cases'!$J$4:$J$253,"OK — verify source"),IF(E57="CAP",COUNTIFS(Capabilities!$A$4:$A$253,F57,Capabilities!$J$4:$J$253,"Confirmed",Capabilities!$K$4:$K$253,"OK — verify source"),IF(E57="AIR",COUNTIFS('System map'!$A$4:$A$203,F57,'System map'!$B$4:$B$203,"&lt;&gt;",'System map'!$C$4:$C$203,"&lt;&gt;",'System map'!$D$4:$D$203,"&lt;&gt;"),COUNTIFS(Components!$A$4:$A$253,F57,Components!$B$4:$B$253,E57,Components!$K$4:$K$253,"Confirmed",Components!$L$4:$L$253,"OK — verify source"))))&lt;&gt;1)),"Endpoint not source-reconciled",IF(AND(M57="Confirmed",OR(L57="",K57="",K57="Unknown",K57="Low")),"Confirmed link lacks verification","OK — verify source"))))))))))))))</f>
        <v/>
      </c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6" t="n"/>
      <c r="M58" s="25" t="n"/>
      <c r="N58" s="25">
        <f>IF(COUNTA(A58:M58)=0,"",IF(OR(A58="",B58="",C58="",D58="",E58="",F58="",I58="",J58="",K58="",M58=""),"Required link detail missing",IF(COUNTIF($A$4:$A$1003,A58)&gt;1,"Duplicate Map Edge ID",IF(NOT(OR(AND(B58="UC",E58="CAP",D58="requires"),AND(B58="CAP",E58="AIR",D58="provided by"),AND(B58="AIR",OR(E58="MOD",E58="DATA",E58="IF",E58="AG",E58="TOOL"),D58="references"),AND(B58="AIR",E58="AIR",D58="depends on"))),"Invalid relationship",IF(AND(M58&lt;&gt;"Superseded",COUNTIFS($B$4:$B$1003,B58,$C$4:$C$1003,C58,$D$4:$D$1003,D58,$E$4:$E$1003,E58,$F$4:$F$1003,F58,$G$4:$G$1003,G58,$M$4:$M$1003,"&lt;&gt;Superseded")&gt;1),"Duplicate relationship",IF(OR(IF(B58="UC",COUNTIF('Use cases'!$A$4:$A$253,C58),IF(B58="CAP",COUNTIF(Capabilities!$A$4:$A$253,C58),IF(B58="AIR",COUNTIF('System map'!$A$4:$A$203,C58),COUNTIFS(Components!$A$4:$A$253,C58,Components!$B$4:$B$253,B58))))&lt;&gt;1,IF(E58="UC",COUNTIF('Use cases'!$A$4:$A$253,F58),IF(E58="CAP",COUNTIF(Capabilities!$A$4:$A$253,F58),IF(E58="AIR",COUNTIF('System map'!$A$4:$A$203,F58),COUNTIFS(Components!$A$4:$A$253,F58,Components!$B$4:$B$253,E58))))&lt;&gt;1),"Endpoint missing or duplicated",IF(AND(NOT(AND(B58="UC",E58="CAP")),OR(G58="",COUNTIF('System map'!$A$4:$A$203,G58)&lt;&gt;1)),"AIR context missing / unknown",IF(AND(B58="CAP",E58="AIR",G58&lt;&gt;F58),"AIR context mismatch",IF(AND(B58="AIR",G58&lt;&gt;C58),"AIR context mismatch",IF(AND(B58="AIR",E58="AIR",C58=F58),"Self-dependency",IF(AND(B58="AIR",E58="AIR",M58&lt;&gt;"Superseded",COUNTIFS($B$4:$B$1003,"AIR",$C$4:$C$1003,F58,$E$4:$E$1003,"AIR",$F$4:$F$1003,C58,$M$4:$M$1003,"&lt;&gt;Superseded")&gt;0),"Dependency cycle (A↔B) — review",IF(AND(B58="AIR",OR(E58="MOD",E58="DATA",E58="IF",E58="AG",E58="TOOL"),IFERROR(INDEX(Components!$G$4:$G$253,MATCH(F58,Components!$A$4:$A$253,0)),"")&lt;&gt;"",IFERROR(INDEX(Components!$G$4:$G$253,MATCH(F58,Components!$A$4:$A$253,0)),"")&lt;&gt;C58),"Component owned by another AIR-ID",IF(AND(M58="Confirmed",OR(IF(B58="UC",COUNTIFS('Use cases'!$A$4:$A$253,C58,'Use cases'!$I$4:$I$253,"Confirmed",'Use cases'!$J$4:$J$253,"OK — verify source"),IF(B58="CAP",COUNTIFS(Capabilities!$A$4:$A$253,C58,Capabilities!$J$4:$J$253,"Confirmed",Capabilities!$K$4:$K$253,"OK — verify source"),IF(B58="AIR",COUNTIFS('System map'!$A$4:$A$203,C58,'System map'!$B$4:$B$203,"&lt;&gt;",'System map'!$C$4:$C$203,"&lt;&gt;",'System map'!$D$4:$D$203,"&lt;&gt;"),COUNTIFS(Components!$A$4:$A$253,C58,Components!$B$4:$B$253,B58,Components!$K$4:$K$253,"Confirmed",Components!$L$4:$L$253,"OK — verify source"))))&lt;&gt;1,IF(E58="UC",COUNTIFS('Use cases'!$A$4:$A$253,F58,'Use cases'!$I$4:$I$253,"Confirmed",'Use cases'!$J$4:$J$253,"OK — verify source"),IF(E58="CAP",COUNTIFS(Capabilities!$A$4:$A$253,F58,Capabilities!$J$4:$J$253,"Confirmed",Capabilities!$K$4:$K$253,"OK — verify source"),IF(E58="AIR",COUNTIFS('System map'!$A$4:$A$203,F58,'System map'!$B$4:$B$203,"&lt;&gt;",'System map'!$C$4:$C$203,"&lt;&gt;",'System map'!$D$4:$D$203,"&lt;&gt;"),COUNTIFS(Components!$A$4:$A$253,F58,Components!$B$4:$B$253,E58,Components!$K$4:$K$253,"Confirmed",Components!$L$4:$L$253,"OK — verify source"))))&lt;&gt;1)),"Endpoint not source-reconciled",IF(AND(M58="Confirmed",OR(L58="",K58="",K58="Unknown",K58="Low")),"Confirmed link lacks verification","OK — verify source"))))))))))))))</f>
        <v/>
      </c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8" t="n"/>
      <c r="M59" s="27" t="n"/>
      <c r="N59" s="27">
        <f>IF(COUNTA(A59:M59)=0,"",IF(OR(A59="",B59="",C59="",D59="",E59="",F59="",I59="",J59="",K59="",M59=""),"Required link detail missing",IF(COUNTIF($A$4:$A$1003,A59)&gt;1,"Duplicate Map Edge ID",IF(NOT(OR(AND(B59="UC",E59="CAP",D59="requires"),AND(B59="CAP",E59="AIR",D59="provided by"),AND(B59="AIR",OR(E59="MOD",E59="DATA",E59="IF",E59="AG",E59="TOOL"),D59="references"),AND(B59="AIR",E59="AIR",D59="depends on"))),"Invalid relationship",IF(AND(M59&lt;&gt;"Superseded",COUNTIFS($B$4:$B$1003,B59,$C$4:$C$1003,C59,$D$4:$D$1003,D59,$E$4:$E$1003,E59,$F$4:$F$1003,F59,$G$4:$G$1003,G59,$M$4:$M$1003,"&lt;&gt;Superseded")&gt;1),"Duplicate relationship",IF(OR(IF(B59="UC",COUNTIF('Use cases'!$A$4:$A$253,C59),IF(B59="CAP",COUNTIF(Capabilities!$A$4:$A$253,C59),IF(B59="AIR",COUNTIF('System map'!$A$4:$A$203,C59),COUNTIFS(Components!$A$4:$A$253,C59,Components!$B$4:$B$253,B59))))&lt;&gt;1,IF(E59="UC",COUNTIF('Use cases'!$A$4:$A$253,F59),IF(E59="CAP",COUNTIF(Capabilities!$A$4:$A$253,F59),IF(E59="AIR",COUNTIF('System map'!$A$4:$A$203,F59),COUNTIFS(Components!$A$4:$A$253,F59,Components!$B$4:$B$253,E59))))&lt;&gt;1),"Endpoint missing or duplicated",IF(AND(NOT(AND(B59="UC",E59="CAP")),OR(G59="",COUNTIF('System map'!$A$4:$A$203,G59)&lt;&gt;1)),"AIR context missing / unknown",IF(AND(B59="CAP",E59="AIR",G59&lt;&gt;F59),"AIR context mismatch",IF(AND(B59="AIR",G59&lt;&gt;C59),"AIR context mismatch",IF(AND(B59="AIR",E59="AIR",C59=F59),"Self-dependency",IF(AND(B59="AIR",E59="AIR",M59&lt;&gt;"Superseded",COUNTIFS($B$4:$B$1003,"AIR",$C$4:$C$1003,F59,$E$4:$E$1003,"AIR",$F$4:$F$1003,C59,$M$4:$M$1003,"&lt;&gt;Superseded")&gt;0),"Dependency cycle (A↔B) — review",IF(AND(B59="AIR",OR(E59="MOD",E59="DATA",E59="IF",E59="AG",E59="TOOL"),IFERROR(INDEX(Components!$G$4:$G$253,MATCH(F59,Components!$A$4:$A$253,0)),"")&lt;&gt;"",IFERROR(INDEX(Components!$G$4:$G$253,MATCH(F59,Components!$A$4:$A$253,0)),"")&lt;&gt;C59),"Component owned by another AIR-ID",IF(AND(M59="Confirmed",OR(IF(B59="UC",COUNTIFS('Use cases'!$A$4:$A$253,C59,'Use cases'!$I$4:$I$253,"Confirmed",'Use cases'!$J$4:$J$253,"OK — verify source"),IF(B59="CAP",COUNTIFS(Capabilities!$A$4:$A$253,C59,Capabilities!$J$4:$J$253,"Confirmed",Capabilities!$K$4:$K$253,"OK — verify source"),IF(B59="AIR",COUNTIFS('System map'!$A$4:$A$203,C59,'System map'!$B$4:$B$203,"&lt;&gt;",'System map'!$C$4:$C$203,"&lt;&gt;",'System map'!$D$4:$D$203,"&lt;&gt;"),COUNTIFS(Components!$A$4:$A$253,C59,Components!$B$4:$B$253,B59,Components!$K$4:$K$253,"Confirmed",Components!$L$4:$L$253,"OK — verify source"))))&lt;&gt;1,IF(E59="UC",COUNTIFS('Use cases'!$A$4:$A$253,F59,'Use cases'!$I$4:$I$253,"Confirmed",'Use cases'!$J$4:$J$253,"OK — verify source"),IF(E59="CAP",COUNTIFS(Capabilities!$A$4:$A$253,F59,Capabilities!$J$4:$J$253,"Confirmed",Capabilities!$K$4:$K$253,"OK — verify source"),IF(E59="AIR",COUNTIFS('System map'!$A$4:$A$203,F59,'System map'!$B$4:$B$203,"&lt;&gt;",'System map'!$C$4:$C$203,"&lt;&gt;",'System map'!$D$4:$D$203,"&lt;&gt;"),COUNTIFS(Components!$A$4:$A$253,F59,Components!$B$4:$B$253,E59,Components!$K$4:$K$253,"Confirmed",Components!$L$4:$L$253,"OK — verify source"))))&lt;&gt;1)),"Endpoint not source-reconciled",IF(AND(M59="Confirmed",OR(L59="",K59="",K59="Unknown",K59="Low")),"Confirmed link lacks verification","OK — verify source"))))))))))))))</f>
        <v/>
      </c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6" t="n"/>
      <c r="M60" s="25" t="n"/>
      <c r="N60" s="25">
        <f>IF(COUNTA(A60:M60)=0,"",IF(OR(A60="",B60="",C60="",D60="",E60="",F60="",I60="",J60="",K60="",M60=""),"Required link detail missing",IF(COUNTIF($A$4:$A$1003,A60)&gt;1,"Duplicate Map Edge ID",IF(NOT(OR(AND(B60="UC",E60="CAP",D60="requires"),AND(B60="CAP",E60="AIR",D60="provided by"),AND(B60="AIR",OR(E60="MOD",E60="DATA",E60="IF",E60="AG",E60="TOOL"),D60="references"),AND(B60="AIR",E60="AIR",D60="depends on"))),"Invalid relationship",IF(AND(M60&lt;&gt;"Superseded",COUNTIFS($B$4:$B$1003,B60,$C$4:$C$1003,C60,$D$4:$D$1003,D60,$E$4:$E$1003,E60,$F$4:$F$1003,F60,$G$4:$G$1003,G60,$M$4:$M$1003,"&lt;&gt;Superseded")&gt;1),"Duplicate relationship",IF(OR(IF(B60="UC",COUNTIF('Use cases'!$A$4:$A$253,C60),IF(B60="CAP",COUNTIF(Capabilities!$A$4:$A$253,C60),IF(B60="AIR",COUNTIF('System map'!$A$4:$A$203,C60),COUNTIFS(Components!$A$4:$A$253,C60,Components!$B$4:$B$253,B60))))&lt;&gt;1,IF(E60="UC",COUNTIF('Use cases'!$A$4:$A$253,F60),IF(E60="CAP",COUNTIF(Capabilities!$A$4:$A$253,F60),IF(E60="AIR",COUNTIF('System map'!$A$4:$A$203,F60),COUNTIFS(Components!$A$4:$A$253,F60,Components!$B$4:$B$253,E60))))&lt;&gt;1),"Endpoint missing or duplicated",IF(AND(NOT(AND(B60="UC",E60="CAP")),OR(G60="",COUNTIF('System map'!$A$4:$A$203,G60)&lt;&gt;1)),"AIR context missing / unknown",IF(AND(B60="CAP",E60="AIR",G60&lt;&gt;F60),"AIR context mismatch",IF(AND(B60="AIR",G60&lt;&gt;C60),"AIR context mismatch",IF(AND(B60="AIR",E60="AIR",C60=F60),"Self-dependency",IF(AND(B60="AIR",E60="AIR",M60&lt;&gt;"Superseded",COUNTIFS($B$4:$B$1003,"AIR",$C$4:$C$1003,F60,$E$4:$E$1003,"AIR",$F$4:$F$1003,C60,$M$4:$M$1003,"&lt;&gt;Superseded")&gt;0),"Dependency cycle (A↔B) — review",IF(AND(B60="AIR",OR(E60="MOD",E60="DATA",E60="IF",E60="AG",E60="TOOL"),IFERROR(INDEX(Components!$G$4:$G$253,MATCH(F60,Components!$A$4:$A$253,0)),"")&lt;&gt;"",IFERROR(INDEX(Components!$G$4:$G$253,MATCH(F60,Components!$A$4:$A$253,0)),"")&lt;&gt;C60),"Component owned by another AIR-ID",IF(AND(M60="Confirmed",OR(IF(B60="UC",COUNTIFS('Use cases'!$A$4:$A$253,C60,'Use cases'!$I$4:$I$253,"Confirmed",'Use cases'!$J$4:$J$253,"OK — verify source"),IF(B60="CAP",COUNTIFS(Capabilities!$A$4:$A$253,C60,Capabilities!$J$4:$J$253,"Confirmed",Capabilities!$K$4:$K$253,"OK — verify source"),IF(B60="AIR",COUNTIFS('System map'!$A$4:$A$203,C60,'System map'!$B$4:$B$203,"&lt;&gt;",'System map'!$C$4:$C$203,"&lt;&gt;",'System map'!$D$4:$D$203,"&lt;&gt;"),COUNTIFS(Components!$A$4:$A$253,C60,Components!$B$4:$B$253,B60,Components!$K$4:$K$253,"Confirmed",Components!$L$4:$L$253,"OK — verify source"))))&lt;&gt;1,IF(E60="UC",COUNTIFS('Use cases'!$A$4:$A$253,F60,'Use cases'!$I$4:$I$253,"Confirmed",'Use cases'!$J$4:$J$253,"OK — verify source"),IF(E60="CAP",COUNTIFS(Capabilities!$A$4:$A$253,F60,Capabilities!$J$4:$J$253,"Confirmed",Capabilities!$K$4:$K$253,"OK — verify source"),IF(E60="AIR",COUNTIFS('System map'!$A$4:$A$203,F60,'System map'!$B$4:$B$203,"&lt;&gt;",'System map'!$C$4:$C$203,"&lt;&gt;",'System map'!$D$4:$D$203,"&lt;&gt;"),COUNTIFS(Components!$A$4:$A$253,F60,Components!$B$4:$B$253,E60,Components!$K$4:$K$253,"Confirmed",Components!$L$4:$L$253,"OK — verify source"))))&lt;&gt;1)),"Endpoint not source-reconciled",IF(AND(M60="Confirmed",OR(L60="",K60="",K60="Unknown",K60="Low")),"Confirmed link lacks verification","OK — verify source"))))))))))))))</f>
        <v/>
      </c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8" t="n"/>
      <c r="M61" s="27" t="n"/>
      <c r="N61" s="27">
        <f>IF(COUNTA(A61:M61)=0,"",IF(OR(A61="",B61="",C61="",D61="",E61="",F61="",I61="",J61="",K61="",M61=""),"Required link detail missing",IF(COUNTIF($A$4:$A$1003,A61)&gt;1,"Duplicate Map Edge ID",IF(NOT(OR(AND(B61="UC",E61="CAP",D61="requires"),AND(B61="CAP",E61="AIR",D61="provided by"),AND(B61="AIR",OR(E61="MOD",E61="DATA",E61="IF",E61="AG",E61="TOOL"),D61="references"),AND(B61="AIR",E61="AIR",D61="depends on"))),"Invalid relationship",IF(AND(M61&lt;&gt;"Superseded",COUNTIFS($B$4:$B$1003,B61,$C$4:$C$1003,C61,$D$4:$D$1003,D61,$E$4:$E$1003,E61,$F$4:$F$1003,F61,$G$4:$G$1003,G61,$M$4:$M$1003,"&lt;&gt;Superseded")&gt;1),"Duplicate relationship",IF(OR(IF(B61="UC",COUNTIF('Use cases'!$A$4:$A$253,C61),IF(B61="CAP",COUNTIF(Capabilities!$A$4:$A$253,C61),IF(B61="AIR",COUNTIF('System map'!$A$4:$A$203,C61),COUNTIFS(Components!$A$4:$A$253,C61,Components!$B$4:$B$253,B61))))&lt;&gt;1,IF(E61="UC",COUNTIF('Use cases'!$A$4:$A$253,F61),IF(E61="CAP",COUNTIF(Capabilities!$A$4:$A$253,F61),IF(E61="AIR",COUNTIF('System map'!$A$4:$A$203,F61),COUNTIFS(Components!$A$4:$A$253,F61,Components!$B$4:$B$253,E61))))&lt;&gt;1),"Endpoint missing or duplicated",IF(AND(NOT(AND(B61="UC",E61="CAP")),OR(G61="",COUNTIF('System map'!$A$4:$A$203,G61)&lt;&gt;1)),"AIR context missing / unknown",IF(AND(B61="CAP",E61="AIR",G61&lt;&gt;F61),"AIR context mismatch",IF(AND(B61="AIR",G61&lt;&gt;C61),"AIR context mismatch",IF(AND(B61="AIR",E61="AIR",C61=F61),"Self-dependency",IF(AND(B61="AIR",E61="AIR",M61&lt;&gt;"Superseded",COUNTIFS($B$4:$B$1003,"AIR",$C$4:$C$1003,F61,$E$4:$E$1003,"AIR",$F$4:$F$1003,C61,$M$4:$M$1003,"&lt;&gt;Superseded")&gt;0),"Dependency cycle (A↔B) — review",IF(AND(B61="AIR",OR(E61="MOD",E61="DATA",E61="IF",E61="AG",E61="TOOL"),IFERROR(INDEX(Components!$G$4:$G$253,MATCH(F61,Components!$A$4:$A$253,0)),"")&lt;&gt;"",IFERROR(INDEX(Components!$G$4:$G$253,MATCH(F61,Components!$A$4:$A$253,0)),"")&lt;&gt;C61),"Component owned by another AIR-ID",IF(AND(M61="Confirmed",OR(IF(B61="UC",COUNTIFS('Use cases'!$A$4:$A$253,C61,'Use cases'!$I$4:$I$253,"Confirmed",'Use cases'!$J$4:$J$253,"OK — verify source"),IF(B61="CAP",COUNTIFS(Capabilities!$A$4:$A$253,C61,Capabilities!$J$4:$J$253,"Confirmed",Capabilities!$K$4:$K$253,"OK — verify source"),IF(B61="AIR",COUNTIFS('System map'!$A$4:$A$203,C61,'System map'!$B$4:$B$203,"&lt;&gt;",'System map'!$C$4:$C$203,"&lt;&gt;",'System map'!$D$4:$D$203,"&lt;&gt;"),COUNTIFS(Components!$A$4:$A$253,C61,Components!$B$4:$B$253,B61,Components!$K$4:$K$253,"Confirmed",Components!$L$4:$L$253,"OK — verify source"))))&lt;&gt;1,IF(E61="UC",COUNTIFS('Use cases'!$A$4:$A$253,F61,'Use cases'!$I$4:$I$253,"Confirmed",'Use cases'!$J$4:$J$253,"OK — verify source"),IF(E61="CAP",COUNTIFS(Capabilities!$A$4:$A$253,F61,Capabilities!$J$4:$J$253,"Confirmed",Capabilities!$K$4:$K$253,"OK — verify source"),IF(E61="AIR",COUNTIFS('System map'!$A$4:$A$203,F61,'System map'!$B$4:$B$203,"&lt;&gt;",'System map'!$C$4:$C$203,"&lt;&gt;",'System map'!$D$4:$D$203,"&lt;&gt;"),COUNTIFS(Components!$A$4:$A$253,F61,Components!$B$4:$B$253,E61,Components!$K$4:$K$253,"Confirmed",Components!$L$4:$L$253,"OK — verify source"))))&lt;&gt;1)),"Endpoint not source-reconciled",IF(AND(M61="Confirmed",OR(L61="",K61="",K61="Unknown",K61="Low")),"Confirmed link lacks verification","OK — verify source"))))))))))))))</f>
        <v/>
      </c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6" t="n"/>
      <c r="M62" s="25" t="n"/>
      <c r="N62" s="25">
        <f>IF(COUNTA(A62:M62)=0,"",IF(OR(A62="",B62="",C62="",D62="",E62="",F62="",I62="",J62="",K62="",M62=""),"Required link detail missing",IF(COUNTIF($A$4:$A$1003,A62)&gt;1,"Duplicate Map Edge ID",IF(NOT(OR(AND(B62="UC",E62="CAP",D62="requires"),AND(B62="CAP",E62="AIR",D62="provided by"),AND(B62="AIR",OR(E62="MOD",E62="DATA",E62="IF",E62="AG",E62="TOOL"),D62="references"),AND(B62="AIR",E62="AIR",D62="depends on"))),"Invalid relationship",IF(AND(M62&lt;&gt;"Superseded",COUNTIFS($B$4:$B$1003,B62,$C$4:$C$1003,C62,$D$4:$D$1003,D62,$E$4:$E$1003,E62,$F$4:$F$1003,F62,$G$4:$G$1003,G62,$M$4:$M$1003,"&lt;&gt;Superseded")&gt;1),"Duplicate relationship",IF(OR(IF(B62="UC",COUNTIF('Use cases'!$A$4:$A$253,C62),IF(B62="CAP",COUNTIF(Capabilities!$A$4:$A$253,C62),IF(B62="AIR",COUNTIF('System map'!$A$4:$A$203,C62),COUNTIFS(Components!$A$4:$A$253,C62,Components!$B$4:$B$253,B62))))&lt;&gt;1,IF(E62="UC",COUNTIF('Use cases'!$A$4:$A$253,F62),IF(E62="CAP",COUNTIF(Capabilities!$A$4:$A$253,F62),IF(E62="AIR",COUNTIF('System map'!$A$4:$A$203,F62),COUNTIFS(Components!$A$4:$A$253,F62,Components!$B$4:$B$253,E62))))&lt;&gt;1),"Endpoint missing or duplicated",IF(AND(NOT(AND(B62="UC",E62="CAP")),OR(G62="",COUNTIF('System map'!$A$4:$A$203,G62)&lt;&gt;1)),"AIR context missing / unknown",IF(AND(B62="CAP",E62="AIR",G62&lt;&gt;F62),"AIR context mismatch",IF(AND(B62="AIR",G62&lt;&gt;C62),"AIR context mismatch",IF(AND(B62="AIR",E62="AIR",C62=F62),"Self-dependency",IF(AND(B62="AIR",E62="AIR",M62&lt;&gt;"Superseded",COUNTIFS($B$4:$B$1003,"AIR",$C$4:$C$1003,F62,$E$4:$E$1003,"AIR",$F$4:$F$1003,C62,$M$4:$M$1003,"&lt;&gt;Superseded")&gt;0),"Dependency cycle (A↔B) — review",IF(AND(B62="AIR",OR(E62="MOD",E62="DATA",E62="IF",E62="AG",E62="TOOL"),IFERROR(INDEX(Components!$G$4:$G$253,MATCH(F62,Components!$A$4:$A$253,0)),"")&lt;&gt;"",IFERROR(INDEX(Components!$G$4:$G$253,MATCH(F62,Components!$A$4:$A$253,0)),"")&lt;&gt;C62),"Component owned by another AIR-ID",IF(AND(M62="Confirmed",OR(IF(B62="UC",COUNTIFS('Use cases'!$A$4:$A$253,C62,'Use cases'!$I$4:$I$253,"Confirmed",'Use cases'!$J$4:$J$253,"OK — verify source"),IF(B62="CAP",COUNTIFS(Capabilities!$A$4:$A$253,C62,Capabilities!$J$4:$J$253,"Confirmed",Capabilities!$K$4:$K$253,"OK — verify source"),IF(B62="AIR",COUNTIFS('System map'!$A$4:$A$203,C62,'System map'!$B$4:$B$203,"&lt;&gt;",'System map'!$C$4:$C$203,"&lt;&gt;",'System map'!$D$4:$D$203,"&lt;&gt;"),COUNTIFS(Components!$A$4:$A$253,C62,Components!$B$4:$B$253,B62,Components!$K$4:$K$253,"Confirmed",Components!$L$4:$L$253,"OK — verify source"))))&lt;&gt;1,IF(E62="UC",COUNTIFS('Use cases'!$A$4:$A$253,F62,'Use cases'!$I$4:$I$253,"Confirmed",'Use cases'!$J$4:$J$253,"OK — verify source"),IF(E62="CAP",COUNTIFS(Capabilities!$A$4:$A$253,F62,Capabilities!$J$4:$J$253,"Confirmed",Capabilities!$K$4:$K$253,"OK — verify source"),IF(E62="AIR",COUNTIFS('System map'!$A$4:$A$203,F62,'System map'!$B$4:$B$203,"&lt;&gt;",'System map'!$C$4:$C$203,"&lt;&gt;",'System map'!$D$4:$D$203,"&lt;&gt;"),COUNTIFS(Components!$A$4:$A$253,F62,Components!$B$4:$B$253,E62,Components!$K$4:$K$253,"Confirmed",Components!$L$4:$L$253,"OK — verify source"))))&lt;&gt;1)),"Endpoint not source-reconciled",IF(AND(M62="Confirmed",OR(L62="",K62="",K62="Unknown",K62="Low")),"Confirmed link lacks verification","OK — verify source"))))))))))))))</f>
        <v/>
      </c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8" t="n"/>
      <c r="M63" s="27" t="n"/>
      <c r="N63" s="27">
        <f>IF(COUNTA(A63:M63)=0,"",IF(OR(A63="",B63="",C63="",D63="",E63="",F63="",I63="",J63="",K63="",M63=""),"Required link detail missing",IF(COUNTIF($A$4:$A$1003,A63)&gt;1,"Duplicate Map Edge ID",IF(NOT(OR(AND(B63="UC",E63="CAP",D63="requires"),AND(B63="CAP",E63="AIR",D63="provided by"),AND(B63="AIR",OR(E63="MOD",E63="DATA",E63="IF",E63="AG",E63="TOOL"),D63="references"),AND(B63="AIR",E63="AIR",D63="depends on"))),"Invalid relationship",IF(AND(M63&lt;&gt;"Superseded",COUNTIFS($B$4:$B$1003,B63,$C$4:$C$1003,C63,$D$4:$D$1003,D63,$E$4:$E$1003,E63,$F$4:$F$1003,F63,$G$4:$G$1003,G63,$M$4:$M$1003,"&lt;&gt;Superseded")&gt;1),"Duplicate relationship",IF(OR(IF(B63="UC",COUNTIF('Use cases'!$A$4:$A$253,C63),IF(B63="CAP",COUNTIF(Capabilities!$A$4:$A$253,C63),IF(B63="AIR",COUNTIF('System map'!$A$4:$A$203,C63),COUNTIFS(Components!$A$4:$A$253,C63,Components!$B$4:$B$253,B63))))&lt;&gt;1,IF(E63="UC",COUNTIF('Use cases'!$A$4:$A$253,F63),IF(E63="CAP",COUNTIF(Capabilities!$A$4:$A$253,F63),IF(E63="AIR",COUNTIF('System map'!$A$4:$A$203,F63),COUNTIFS(Components!$A$4:$A$253,F63,Components!$B$4:$B$253,E63))))&lt;&gt;1),"Endpoint missing or duplicated",IF(AND(NOT(AND(B63="UC",E63="CAP")),OR(G63="",COUNTIF('System map'!$A$4:$A$203,G63)&lt;&gt;1)),"AIR context missing / unknown",IF(AND(B63="CAP",E63="AIR",G63&lt;&gt;F63),"AIR context mismatch",IF(AND(B63="AIR",G63&lt;&gt;C63),"AIR context mismatch",IF(AND(B63="AIR",E63="AIR",C63=F63),"Self-dependency",IF(AND(B63="AIR",E63="AIR",M63&lt;&gt;"Superseded",COUNTIFS($B$4:$B$1003,"AIR",$C$4:$C$1003,F63,$E$4:$E$1003,"AIR",$F$4:$F$1003,C63,$M$4:$M$1003,"&lt;&gt;Superseded")&gt;0),"Dependency cycle (A↔B) — review",IF(AND(B63="AIR",OR(E63="MOD",E63="DATA",E63="IF",E63="AG",E63="TOOL"),IFERROR(INDEX(Components!$G$4:$G$253,MATCH(F63,Components!$A$4:$A$253,0)),"")&lt;&gt;"",IFERROR(INDEX(Components!$G$4:$G$253,MATCH(F63,Components!$A$4:$A$253,0)),"")&lt;&gt;C63),"Component owned by another AIR-ID",IF(AND(M63="Confirmed",OR(IF(B63="UC",COUNTIFS('Use cases'!$A$4:$A$253,C63,'Use cases'!$I$4:$I$253,"Confirmed",'Use cases'!$J$4:$J$253,"OK — verify source"),IF(B63="CAP",COUNTIFS(Capabilities!$A$4:$A$253,C63,Capabilities!$J$4:$J$253,"Confirmed",Capabilities!$K$4:$K$253,"OK — verify source"),IF(B63="AIR",COUNTIFS('System map'!$A$4:$A$203,C63,'System map'!$B$4:$B$203,"&lt;&gt;",'System map'!$C$4:$C$203,"&lt;&gt;",'System map'!$D$4:$D$203,"&lt;&gt;"),COUNTIFS(Components!$A$4:$A$253,C63,Components!$B$4:$B$253,B63,Components!$K$4:$K$253,"Confirmed",Components!$L$4:$L$253,"OK — verify source"))))&lt;&gt;1,IF(E63="UC",COUNTIFS('Use cases'!$A$4:$A$253,F63,'Use cases'!$I$4:$I$253,"Confirmed",'Use cases'!$J$4:$J$253,"OK — verify source"),IF(E63="CAP",COUNTIFS(Capabilities!$A$4:$A$253,F63,Capabilities!$J$4:$J$253,"Confirmed",Capabilities!$K$4:$K$253,"OK — verify source"),IF(E63="AIR",COUNTIFS('System map'!$A$4:$A$203,F63,'System map'!$B$4:$B$203,"&lt;&gt;",'System map'!$C$4:$C$203,"&lt;&gt;",'System map'!$D$4:$D$203,"&lt;&gt;"),COUNTIFS(Components!$A$4:$A$253,F63,Components!$B$4:$B$253,E63,Components!$K$4:$K$253,"Confirmed",Components!$L$4:$L$253,"OK — verify source"))))&lt;&gt;1)),"Endpoint not source-reconciled",IF(AND(M63="Confirmed",OR(L63="",K63="",K63="Unknown",K63="Low")),"Confirmed link lacks verification","OK — verify source"))))))))))))))</f>
        <v/>
      </c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6" t="n"/>
      <c r="M64" s="25" t="n"/>
      <c r="N64" s="25">
        <f>IF(COUNTA(A64:M64)=0,"",IF(OR(A64="",B64="",C64="",D64="",E64="",F64="",I64="",J64="",K64="",M64=""),"Required link detail missing",IF(COUNTIF($A$4:$A$1003,A64)&gt;1,"Duplicate Map Edge ID",IF(NOT(OR(AND(B64="UC",E64="CAP",D64="requires"),AND(B64="CAP",E64="AIR",D64="provided by"),AND(B64="AIR",OR(E64="MOD",E64="DATA",E64="IF",E64="AG",E64="TOOL"),D64="references"),AND(B64="AIR",E64="AIR",D64="depends on"))),"Invalid relationship",IF(AND(M64&lt;&gt;"Superseded",COUNTIFS($B$4:$B$1003,B64,$C$4:$C$1003,C64,$D$4:$D$1003,D64,$E$4:$E$1003,E64,$F$4:$F$1003,F64,$G$4:$G$1003,G64,$M$4:$M$1003,"&lt;&gt;Superseded")&gt;1),"Duplicate relationship",IF(OR(IF(B64="UC",COUNTIF('Use cases'!$A$4:$A$253,C64),IF(B64="CAP",COUNTIF(Capabilities!$A$4:$A$253,C64),IF(B64="AIR",COUNTIF('System map'!$A$4:$A$203,C64),COUNTIFS(Components!$A$4:$A$253,C64,Components!$B$4:$B$253,B64))))&lt;&gt;1,IF(E64="UC",COUNTIF('Use cases'!$A$4:$A$253,F64),IF(E64="CAP",COUNTIF(Capabilities!$A$4:$A$253,F64),IF(E64="AIR",COUNTIF('System map'!$A$4:$A$203,F64),COUNTIFS(Components!$A$4:$A$253,F64,Components!$B$4:$B$253,E64))))&lt;&gt;1),"Endpoint missing or duplicated",IF(AND(NOT(AND(B64="UC",E64="CAP")),OR(G64="",COUNTIF('System map'!$A$4:$A$203,G64)&lt;&gt;1)),"AIR context missing / unknown",IF(AND(B64="CAP",E64="AIR",G64&lt;&gt;F64),"AIR context mismatch",IF(AND(B64="AIR",G64&lt;&gt;C64),"AIR context mismatch",IF(AND(B64="AIR",E64="AIR",C64=F64),"Self-dependency",IF(AND(B64="AIR",E64="AIR",M64&lt;&gt;"Superseded",COUNTIFS($B$4:$B$1003,"AIR",$C$4:$C$1003,F64,$E$4:$E$1003,"AIR",$F$4:$F$1003,C64,$M$4:$M$1003,"&lt;&gt;Superseded")&gt;0),"Dependency cycle (A↔B) — review",IF(AND(B64="AIR",OR(E64="MOD",E64="DATA",E64="IF",E64="AG",E64="TOOL"),IFERROR(INDEX(Components!$G$4:$G$253,MATCH(F64,Components!$A$4:$A$253,0)),"")&lt;&gt;"",IFERROR(INDEX(Components!$G$4:$G$253,MATCH(F64,Components!$A$4:$A$253,0)),"")&lt;&gt;C64),"Component owned by another AIR-ID",IF(AND(M64="Confirmed",OR(IF(B64="UC",COUNTIFS('Use cases'!$A$4:$A$253,C64,'Use cases'!$I$4:$I$253,"Confirmed",'Use cases'!$J$4:$J$253,"OK — verify source"),IF(B64="CAP",COUNTIFS(Capabilities!$A$4:$A$253,C64,Capabilities!$J$4:$J$253,"Confirmed",Capabilities!$K$4:$K$253,"OK — verify source"),IF(B64="AIR",COUNTIFS('System map'!$A$4:$A$203,C64,'System map'!$B$4:$B$203,"&lt;&gt;",'System map'!$C$4:$C$203,"&lt;&gt;",'System map'!$D$4:$D$203,"&lt;&gt;"),COUNTIFS(Components!$A$4:$A$253,C64,Components!$B$4:$B$253,B64,Components!$K$4:$K$253,"Confirmed",Components!$L$4:$L$253,"OK — verify source"))))&lt;&gt;1,IF(E64="UC",COUNTIFS('Use cases'!$A$4:$A$253,F64,'Use cases'!$I$4:$I$253,"Confirmed",'Use cases'!$J$4:$J$253,"OK — verify source"),IF(E64="CAP",COUNTIFS(Capabilities!$A$4:$A$253,F64,Capabilities!$J$4:$J$253,"Confirmed",Capabilities!$K$4:$K$253,"OK — verify source"),IF(E64="AIR",COUNTIFS('System map'!$A$4:$A$203,F64,'System map'!$B$4:$B$203,"&lt;&gt;",'System map'!$C$4:$C$203,"&lt;&gt;",'System map'!$D$4:$D$203,"&lt;&gt;"),COUNTIFS(Components!$A$4:$A$253,F64,Components!$B$4:$B$253,E64,Components!$K$4:$K$253,"Confirmed",Components!$L$4:$L$253,"OK — verify source"))))&lt;&gt;1)),"Endpoint not source-reconciled",IF(AND(M64="Confirmed",OR(L64="",K64="",K64="Unknown",K64="Low")),"Confirmed link lacks verification","OK — verify source"))))))))))))))</f>
        <v/>
      </c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8" t="n"/>
      <c r="M65" s="27" t="n"/>
      <c r="N65" s="27">
        <f>IF(COUNTA(A65:M65)=0,"",IF(OR(A65="",B65="",C65="",D65="",E65="",F65="",I65="",J65="",K65="",M65=""),"Required link detail missing",IF(COUNTIF($A$4:$A$1003,A65)&gt;1,"Duplicate Map Edge ID",IF(NOT(OR(AND(B65="UC",E65="CAP",D65="requires"),AND(B65="CAP",E65="AIR",D65="provided by"),AND(B65="AIR",OR(E65="MOD",E65="DATA",E65="IF",E65="AG",E65="TOOL"),D65="references"),AND(B65="AIR",E65="AIR",D65="depends on"))),"Invalid relationship",IF(AND(M65&lt;&gt;"Superseded",COUNTIFS($B$4:$B$1003,B65,$C$4:$C$1003,C65,$D$4:$D$1003,D65,$E$4:$E$1003,E65,$F$4:$F$1003,F65,$G$4:$G$1003,G65,$M$4:$M$1003,"&lt;&gt;Superseded")&gt;1),"Duplicate relationship",IF(OR(IF(B65="UC",COUNTIF('Use cases'!$A$4:$A$253,C65),IF(B65="CAP",COUNTIF(Capabilities!$A$4:$A$253,C65),IF(B65="AIR",COUNTIF('System map'!$A$4:$A$203,C65),COUNTIFS(Components!$A$4:$A$253,C65,Components!$B$4:$B$253,B65))))&lt;&gt;1,IF(E65="UC",COUNTIF('Use cases'!$A$4:$A$253,F65),IF(E65="CAP",COUNTIF(Capabilities!$A$4:$A$253,F65),IF(E65="AIR",COUNTIF('System map'!$A$4:$A$203,F65),COUNTIFS(Components!$A$4:$A$253,F65,Components!$B$4:$B$253,E65))))&lt;&gt;1),"Endpoint missing or duplicated",IF(AND(NOT(AND(B65="UC",E65="CAP")),OR(G65="",COUNTIF('System map'!$A$4:$A$203,G65)&lt;&gt;1)),"AIR context missing / unknown",IF(AND(B65="CAP",E65="AIR",G65&lt;&gt;F65),"AIR context mismatch",IF(AND(B65="AIR",G65&lt;&gt;C65),"AIR context mismatch",IF(AND(B65="AIR",E65="AIR",C65=F65),"Self-dependency",IF(AND(B65="AIR",E65="AIR",M65&lt;&gt;"Superseded",COUNTIFS($B$4:$B$1003,"AIR",$C$4:$C$1003,F65,$E$4:$E$1003,"AIR",$F$4:$F$1003,C65,$M$4:$M$1003,"&lt;&gt;Superseded")&gt;0),"Dependency cycle (A↔B) — review",IF(AND(B65="AIR",OR(E65="MOD",E65="DATA",E65="IF",E65="AG",E65="TOOL"),IFERROR(INDEX(Components!$G$4:$G$253,MATCH(F65,Components!$A$4:$A$253,0)),"")&lt;&gt;"",IFERROR(INDEX(Components!$G$4:$G$253,MATCH(F65,Components!$A$4:$A$253,0)),"")&lt;&gt;C65),"Component owned by another AIR-ID",IF(AND(M65="Confirmed",OR(IF(B65="UC",COUNTIFS('Use cases'!$A$4:$A$253,C65,'Use cases'!$I$4:$I$253,"Confirmed",'Use cases'!$J$4:$J$253,"OK — verify source"),IF(B65="CAP",COUNTIFS(Capabilities!$A$4:$A$253,C65,Capabilities!$J$4:$J$253,"Confirmed",Capabilities!$K$4:$K$253,"OK — verify source"),IF(B65="AIR",COUNTIFS('System map'!$A$4:$A$203,C65,'System map'!$B$4:$B$203,"&lt;&gt;",'System map'!$C$4:$C$203,"&lt;&gt;",'System map'!$D$4:$D$203,"&lt;&gt;"),COUNTIFS(Components!$A$4:$A$253,C65,Components!$B$4:$B$253,B65,Components!$K$4:$K$253,"Confirmed",Components!$L$4:$L$253,"OK — verify source"))))&lt;&gt;1,IF(E65="UC",COUNTIFS('Use cases'!$A$4:$A$253,F65,'Use cases'!$I$4:$I$253,"Confirmed",'Use cases'!$J$4:$J$253,"OK — verify source"),IF(E65="CAP",COUNTIFS(Capabilities!$A$4:$A$253,F65,Capabilities!$J$4:$J$253,"Confirmed",Capabilities!$K$4:$K$253,"OK — verify source"),IF(E65="AIR",COUNTIFS('System map'!$A$4:$A$203,F65,'System map'!$B$4:$B$203,"&lt;&gt;",'System map'!$C$4:$C$203,"&lt;&gt;",'System map'!$D$4:$D$203,"&lt;&gt;"),COUNTIFS(Components!$A$4:$A$253,F65,Components!$B$4:$B$253,E65,Components!$K$4:$K$253,"Confirmed",Components!$L$4:$L$253,"OK — verify source"))))&lt;&gt;1)),"Endpoint not source-reconciled",IF(AND(M65="Confirmed",OR(L65="",K65="",K65="Unknown",K65="Low")),"Confirmed link lacks verification","OK — verify source"))))))))))))))</f>
        <v/>
      </c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6" t="n"/>
      <c r="M66" s="25" t="n"/>
      <c r="N66" s="25">
        <f>IF(COUNTA(A66:M66)=0,"",IF(OR(A66="",B66="",C66="",D66="",E66="",F66="",I66="",J66="",K66="",M66=""),"Required link detail missing",IF(COUNTIF($A$4:$A$1003,A66)&gt;1,"Duplicate Map Edge ID",IF(NOT(OR(AND(B66="UC",E66="CAP",D66="requires"),AND(B66="CAP",E66="AIR",D66="provided by"),AND(B66="AIR",OR(E66="MOD",E66="DATA",E66="IF",E66="AG",E66="TOOL"),D66="references"),AND(B66="AIR",E66="AIR",D66="depends on"))),"Invalid relationship",IF(AND(M66&lt;&gt;"Superseded",COUNTIFS($B$4:$B$1003,B66,$C$4:$C$1003,C66,$D$4:$D$1003,D66,$E$4:$E$1003,E66,$F$4:$F$1003,F66,$G$4:$G$1003,G66,$M$4:$M$1003,"&lt;&gt;Superseded")&gt;1),"Duplicate relationship",IF(OR(IF(B66="UC",COUNTIF('Use cases'!$A$4:$A$253,C66),IF(B66="CAP",COUNTIF(Capabilities!$A$4:$A$253,C66),IF(B66="AIR",COUNTIF('System map'!$A$4:$A$203,C66),COUNTIFS(Components!$A$4:$A$253,C66,Components!$B$4:$B$253,B66))))&lt;&gt;1,IF(E66="UC",COUNTIF('Use cases'!$A$4:$A$253,F66),IF(E66="CAP",COUNTIF(Capabilities!$A$4:$A$253,F66),IF(E66="AIR",COUNTIF('System map'!$A$4:$A$203,F66),COUNTIFS(Components!$A$4:$A$253,F66,Components!$B$4:$B$253,E66))))&lt;&gt;1),"Endpoint missing or duplicated",IF(AND(NOT(AND(B66="UC",E66="CAP")),OR(G66="",COUNTIF('System map'!$A$4:$A$203,G66)&lt;&gt;1)),"AIR context missing / unknown",IF(AND(B66="CAP",E66="AIR",G66&lt;&gt;F66),"AIR context mismatch",IF(AND(B66="AIR",G66&lt;&gt;C66),"AIR context mismatch",IF(AND(B66="AIR",E66="AIR",C66=F66),"Self-dependency",IF(AND(B66="AIR",E66="AIR",M66&lt;&gt;"Superseded",COUNTIFS($B$4:$B$1003,"AIR",$C$4:$C$1003,F66,$E$4:$E$1003,"AIR",$F$4:$F$1003,C66,$M$4:$M$1003,"&lt;&gt;Superseded")&gt;0),"Dependency cycle (A↔B) — review",IF(AND(B66="AIR",OR(E66="MOD",E66="DATA",E66="IF",E66="AG",E66="TOOL"),IFERROR(INDEX(Components!$G$4:$G$253,MATCH(F66,Components!$A$4:$A$253,0)),"")&lt;&gt;"",IFERROR(INDEX(Components!$G$4:$G$253,MATCH(F66,Components!$A$4:$A$253,0)),"")&lt;&gt;C66),"Component owned by another AIR-ID",IF(AND(M66="Confirmed",OR(IF(B66="UC",COUNTIFS('Use cases'!$A$4:$A$253,C66,'Use cases'!$I$4:$I$253,"Confirmed",'Use cases'!$J$4:$J$253,"OK — verify source"),IF(B66="CAP",COUNTIFS(Capabilities!$A$4:$A$253,C66,Capabilities!$J$4:$J$253,"Confirmed",Capabilities!$K$4:$K$253,"OK — verify source"),IF(B66="AIR",COUNTIFS('System map'!$A$4:$A$203,C66,'System map'!$B$4:$B$203,"&lt;&gt;",'System map'!$C$4:$C$203,"&lt;&gt;",'System map'!$D$4:$D$203,"&lt;&gt;"),COUNTIFS(Components!$A$4:$A$253,C66,Components!$B$4:$B$253,B66,Components!$K$4:$K$253,"Confirmed",Components!$L$4:$L$253,"OK — verify source"))))&lt;&gt;1,IF(E66="UC",COUNTIFS('Use cases'!$A$4:$A$253,F66,'Use cases'!$I$4:$I$253,"Confirmed",'Use cases'!$J$4:$J$253,"OK — verify source"),IF(E66="CAP",COUNTIFS(Capabilities!$A$4:$A$253,F66,Capabilities!$J$4:$J$253,"Confirmed",Capabilities!$K$4:$K$253,"OK — verify source"),IF(E66="AIR",COUNTIFS('System map'!$A$4:$A$203,F66,'System map'!$B$4:$B$203,"&lt;&gt;",'System map'!$C$4:$C$203,"&lt;&gt;",'System map'!$D$4:$D$203,"&lt;&gt;"),COUNTIFS(Components!$A$4:$A$253,F66,Components!$B$4:$B$253,E66,Components!$K$4:$K$253,"Confirmed",Components!$L$4:$L$253,"OK — verify source"))))&lt;&gt;1)),"Endpoint not source-reconciled",IF(AND(M66="Confirmed",OR(L66="",K66="",K66="Unknown",K66="Low")),"Confirmed link lacks verification","OK — verify source"))))))))))))))</f>
        <v/>
      </c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8" t="n"/>
      <c r="M67" s="27" t="n"/>
      <c r="N67" s="27">
        <f>IF(COUNTA(A67:M67)=0,"",IF(OR(A67="",B67="",C67="",D67="",E67="",F67="",I67="",J67="",K67="",M67=""),"Required link detail missing",IF(COUNTIF($A$4:$A$1003,A67)&gt;1,"Duplicate Map Edge ID",IF(NOT(OR(AND(B67="UC",E67="CAP",D67="requires"),AND(B67="CAP",E67="AIR",D67="provided by"),AND(B67="AIR",OR(E67="MOD",E67="DATA",E67="IF",E67="AG",E67="TOOL"),D67="references"),AND(B67="AIR",E67="AIR",D67="depends on"))),"Invalid relationship",IF(AND(M67&lt;&gt;"Superseded",COUNTIFS($B$4:$B$1003,B67,$C$4:$C$1003,C67,$D$4:$D$1003,D67,$E$4:$E$1003,E67,$F$4:$F$1003,F67,$G$4:$G$1003,G67,$M$4:$M$1003,"&lt;&gt;Superseded")&gt;1),"Duplicate relationship",IF(OR(IF(B67="UC",COUNTIF('Use cases'!$A$4:$A$253,C67),IF(B67="CAP",COUNTIF(Capabilities!$A$4:$A$253,C67),IF(B67="AIR",COUNTIF('System map'!$A$4:$A$203,C67),COUNTIFS(Components!$A$4:$A$253,C67,Components!$B$4:$B$253,B67))))&lt;&gt;1,IF(E67="UC",COUNTIF('Use cases'!$A$4:$A$253,F67),IF(E67="CAP",COUNTIF(Capabilities!$A$4:$A$253,F67),IF(E67="AIR",COUNTIF('System map'!$A$4:$A$203,F67),COUNTIFS(Components!$A$4:$A$253,F67,Components!$B$4:$B$253,E67))))&lt;&gt;1),"Endpoint missing or duplicated",IF(AND(NOT(AND(B67="UC",E67="CAP")),OR(G67="",COUNTIF('System map'!$A$4:$A$203,G67)&lt;&gt;1)),"AIR context missing / unknown",IF(AND(B67="CAP",E67="AIR",G67&lt;&gt;F67),"AIR context mismatch",IF(AND(B67="AIR",G67&lt;&gt;C67),"AIR context mismatch",IF(AND(B67="AIR",E67="AIR",C67=F67),"Self-dependency",IF(AND(B67="AIR",E67="AIR",M67&lt;&gt;"Superseded",COUNTIFS($B$4:$B$1003,"AIR",$C$4:$C$1003,F67,$E$4:$E$1003,"AIR",$F$4:$F$1003,C67,$M$4:$M$1003,"&lt;&gt;Superseded")&gt;0),"Dependency cycle (A↔B) — review",IF(AND(B67="AIR",OR(E67="MOD",E67="DATA",E67="IF",E67="AG",E67="TOOL"),IFERROR(INDEX(Components!$G$4:$G$253,MATCH(F67,Components!$A$4:$A$253,0)),"")&lt;&gt;"",IFERROR(INDEX(Components!$G$4:$G$253,MATCH(F67,Components!$A$4:$A$253,0)),"")&lt;&gt;C67),"Component owned by another AIR-ID",IF(AND(M67="Confirmed",OR(IF(B67="UC",COUNTIFS('Use cases'!$A$4:$A$253,C67,'Use cases'!$I$4:$I$253,"Confirmed",'Use cases'!$J$4:$J$253,"OK — verify source"),IF(B67="CAP",COUNTIFS(Capabilities!$A$4:$A$253,C67,Capabilities!$J$4:$J$253,"Confirmed",Capabilities!$K$4:$K$253,"OK — verify source"),IF(B67="AIR",COUNTIFS('System map'!$A$4:$A$203,C67,'System map'!$B$4:$B$203,"&lt;&gt;",'System map'!$C$4:$C$203,"&lt;&gt;",'System map'!$D$4:$D$203,"&lt;&gt;"),COUNTIFS(Components!$A$4:$A$253,C67,Components!$B$4:$B$253,B67,Components!$K$4:$K$253,"Confirmed",Components!$L$4:$L$253,"OK — verify source"))))&lt;&gt;1,IF(E67="UC",COUNTIFS('Use cases'!$A$4:$A$253,F67,'Use cases'!$I$4:$I$253,"Confirmed",'Use cases'!$J$4:$J$253,"OK — verify source"),IF(E67="CAP",COUNTIFS(Capabilities!$A$4:$A$253,F67,Capabilities!$J$4:$J$253,"Confirmed",Capabilities!$K$4:$K$253,"OK — verify source"),IF(E67="AIR",COUNTIFS('System map'!$A$4:$A$203,F67,'System map'!$B$4:$B$203,"&lt;&gt;",'System map'!$C$4:$C$203,"&lt;&gt;",'System map'!$D$4:$D$203,"&lt;&gt;"),COUNTIFS(Components!$A$4:$A$253,F67,Components!$B$4:$B$253,E67,Components!$K$4:$K$253,"Confirmed",Components!$L$4:$L$253,"OK — verify source"))))&lt;&gt;1)),"Endpoint not source-reconciled",IF(AND(M67="Confirmed",OR(L67="",K67="",K67="Unknown",K67="Low")),"Confirmed link lacks verification","OK — verify source"))))))))))))))</f>
        <v/>
      </c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6" t="n"/>
      <c r="M68" s="25" t="n"/>
      <c r="N68" s="25">
        <f>IF(COUNTA(A68:M68)=0,"",IF(OR(A68="",B68="",C68="",D68="",E68="",F68="",I68="",J68="",K68="",M68=""),"Required link detail missing",IF(COUNTIF($A$4:$A$1003,A68)&gt;1,"Duplicate Map Edge ID",IF(NOT(OR(AND(B68="UC",E68="CAP",D68="requires"),AND(B68="CAP",E68="AIR",D68="provided by"),AND(B68="AIR",OR(E68="MOD",E68="DATA",E68="IF",E68="AG",E68="TOOL"),D68="references"),AND(B68="AIR",E68="AIR",D68="depends on"))),"Invalid relationship",IF(AND(M68&lt;&gt;"Superseded",COUNTIFS($B$4:$B$1003,B68,$C$4:$C$1003,C68,$D$4:$D$1003,D68,$E$4:$E$1003,E68,$F$4:$F$1003,F68,$G$4:$G$1003,G68,$M$4:$M$1003,"&lt;&gt;Superseded")&gt;1),"Duplicate relationship",IF(OR(IF(B68="UC",COUNTIF('Use cases'!$A$4:$A$253,C68),IF(B68="CAP",COUNTIF(Capabilities!$A$4:$A$253,C68),IF(B68="AIR",COUNTIF('System map'!$A$4:$A$203,C68),COUNTIFS(Components!$A$4:$A$253,C68,Components!$B$4:$B$253,B68))))&lt;&gt;1,IF(E68="UC",COUNTIF('Use cases'!$A$4:$A$253,F68),IF(E68="CAP",COUNTIF(Capabilities!$A$4:$A$253,F68),IF(E68="AIR",COUNTIF('System map'!$A$4:$A$203,F68),COUNTIFS(Components!$A$4:$A$253,F68,Components!$B$4:$B$253,E68))))&lt;&gt;1),"Endpoint missing or duplicated",IF(AND(NOT(AND(B68="UC",E68="CAP")),OR(G68="",COUNTIF('System map'!$A$4:$A$203,G68)&lt;&gt;1)),"AIR context missing / unknown",IF(AND(B68="CAP",E68="AIR",G68&lt;&gt;F68),"AIR context mismatch",IF(AND(B68="AIR",G68&lt;&gt;C68),"AIR context mismatch",IF(AND(B68="AIR",E68="AIR",C68=F68),"Self-dependency",IF(AND(B68="AIR",E68="AIR",M68&lt;&gt;"Superseded",COUNTIFS($B$4:$B$1003,"AIR",$C$4:$C$1003,F68,$E$4:$E$1003,"AIR",$F$4:$F$1003,C68,$M$4:$M$1003,"&lt;&gt;Superseded")&gt;0),"Dependency cycle (A↔B) — review",IF(AND(B68="AIR",OR(E68="MOD",E68="DATA",E68="IF",E68="AG",E68="TOOL"),IFERROR(INDEX(Components!$G$4:$G$253,MATCH(F68,Components!$A$4:$A$253,0)),"")&lt;&gt;"",IFERROR(INDEX(Components!$G$4:$G$253,MATCH(F68,Components!$A$4:$A$253,0)),"")&lt;&gt;C68),"Component owned by another AIR-ID",IF(AND(M68="Confirmed",OR(IF(B68="UC",COUNTIFS('Use cases'!$A$4:$A$253,C68,'Use cases'!$I$4:$I$253,"Confirmed",'Use cases'!$J$4:$J$253,"OK — verify source"),IF(B68="CAP",COUNTIFS(Capabilities!$A$4:$A$253,C68,Capabilities!$J$4:$J$253,"Confirmed",Capabilities!$K$4:$K$253,"OK — verify source"),IF(B68="AIR",COUNTIFS('System map'!$A$4:$A$203,C68,'System map'!$B$4:$B$203,"&lt;&gt;",'System map'!$C$4:$C$203,"&lt;&gt;",'System map'!$D$4:$D$203,"&lt;&gt;"),COUNTIFS(Components!$A$4:$A$253,C68,Components!$B$4:$B$253,B68,Components!$K$4:$K$253,"Confirmed",Components!$L$4:$L$253,"OK — verify source"))))&lt;&gt;1,IF(E68="UC",COUNTIFS('Use cases'!$A$4:$A$253,F68,'Use cases'!$I$4:$I$253,"Confirmed",'Use cases'!$J$4:$J$253,"OK — verify source"),IF(E68="CAP",COUNTIFS(Capabilities!$A$4:$A$253,F68,Capabilities!$J$4:$J$253,"Confirmed",Capabilities!$K$4:$K$253,"OK — verify source"),IF(E68="AIR",COUNTIFS('System map'!$A$4:$A$203,F68,'System map'!$B$4:$B$203,"&lt;&gt;",'System map'!$C$4:$C$203,"&lt;&gt;",'System map'!$D$4:$D$203,"&lt;&gt;"),COUNTIFS(Components!$A$4:$A$253,F68,Components!$B$4:$B$253,E68,Components!$K$4:$K$253,"Confirmed",Components!$L$4:$L$253,"OK — verify source"))))&lt;&gt;1)),"Endpoint not source-reconciled",IF(AND(M68="Confirmed",OR(L68="",K68="",K68="Unknown",K68="Low")),"Confirmed link lacks verification","OK — verify source"))))))))))))))</f>
        <v/>
      </c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8" t="n"/>
      <c r="M69" s="27" t="n"/>
      <c r="N69" s="27">
        <f>IF(COUNTA(A69:M69)=0,"",IF(OR(A69="",B69="",C69="",D69="",E69="",F69="",I69="",J69="",K69="",M69=""),"Required link detail missing",IF(COUNTIF($A$4:$A$1003,A69)&gt;1,"Duplicate Map Edge ID",IF(NOT(OR(AND(B69="UC",E69="CAP",D69="requires"),AND(B69="CAP",E69="AIR",D69="provided by"),AND(B69="AIR",OR(E69="MOD",E69="DATA",E69="IF",E69="AG",E69="TOOL"),D69="references"),AND(B69="AIR",E69="AIR",D69="depends on"))),"Invalid relationship",IF(AND(M69&lt;&gt;"Superseded",COUNTIFS($B$4:$B$1003,B69,$C$4:$C$1003,C69,$D$4:$D$1003,D69,$E$4:$E$1003,E69,$F$4:$F$1003,F69,$G$4:$G$1003,G69,$M$4:$M$1003,"&lt;&gt;Superseded")&gt;1),"Duplicate relationship",IF(OR(IF(B69="UC",COUNTIF('Use cases'!$A$4:$A$253,C69),IF(B69="CAP",COUNTIF(Capabilities!$A$4:$A$253,C69),IF(B69="AIR",COUNTIF('System map'!$A$4:$A$203,C69),COUNTIFS(Components!$A$4:$A$253,C69,Components!$B$4:$B$253,B69))))&lt;&gt;1,IF(E69="UC",COUNTIF('Use cases'!$A$4:$A$253,F69),IF(E69="CAP",COUNTIF(Capabilities!$A$4:$A$253,F69),IF(E69="AIR",COUNTIF('System map'!$A$4:$A$203,F69),COUNTIFS(Components!$A$4:$A$253,F69,Components!$B$4:$B$253,E69))))&lt;&gt;1),"Endpoint missing or duplicated",IF(AND(NOT(AND(B69="UC",E69="CAP")),OR(G69="",COUNTIF('System map'!$A$4:$A$203,G69)&lt;&gt;1)),"AIR context missing / unknown",IF(AND(B69="CAP",E69="AIR",G69&lt;&gt;F69),"AIR context mismatch",IF(AND(B69="AIR",G69&lt;&gt;C69),"AIR context mismatch",IF(AND(B69="AIR",E69="AIR",C69=F69),"Self-dependency",IF(AND(B69="AIR",E69="AIR",M69&lt;&gt;"Superseded",COUNTIFS($B$4:$B$1003,"AIR",$C$4:$C$1003,F69,$E$4:$E$1003,"AIR",$F$4:$F$1003,C69,$M$4:$M$1003,"&lt;&gt;Superseded")&gt;0),"Dependency cycle (A↔B) — review",IF(AND(B69="AIR",OR(E69="MOD",E69="DATA",E69="IF",E69="AG",E69="TOOL"),IFERROR(INDEX(Components!$G$4:$G$253,MATCH(F69,Components!$A$4:$A$253,0)),"")&lt;&gt;"",IFERROR(INDEX(Components!$G$4:$G$253,MATCH(F69,Components!$A$4:$A$253,0)),"")&lt;&gt;C69),"Component owned by another AIR-ID",IF(AND(M69="Confirmed",OR(IF(B69="UC",COUNTIFS('Use cases'!$A$4:$A$253,C69,'Use cases'!$I$4:$I$253,"Confirmed",'Use cases'!$J$4:$J$253,"OK — verify source"),IF(B69="CAP",COUNTIFS(Capabilities!$A$4:$A$253,C69,Capabilities!$J$4:$J$253,"Confirmed",Capabilities!$K$4:$K$253,"OK — verify source"),IF(B69="AIR",COUNTIFS('System map'!$A$4:$A$203,C69,'System map'!$B$4:$B$203,"&lt;&gt;",'System map'!$C$4:$C$203,"&lt;&gt;",'System map'!$D$4:$D$203,"&lt;&gt;"),COUNTIFS(Components!$A$4:$A$253,C69,Components!$B$4:$B$253,B69,Components!$K$4:$K$253,"Confirmed",Components!$L$4:$L$253,"OK — verify source"))))&lt;&gt;1,IF(E69="UC",COUNTIFS('Use cases'!$A$4:$A$253,F69,'Use cases'!$I$4:$I$253,"Confirmed",'Use cases'!$J$4:$J$253,"OK — verify source"),IF(E69="CAP",COUNTIFS(Capabilities!$A$4:$A$253,F69,Capabilities!$J$4:$J$253,"Confirmed",Capabilities!$K$4:$K$253,"OK — verify source"),IF(E69="AIR",COUNTIFS('System map'!$A$4:$A$203,F69,'System map'!$B$4:$B$203,"&lt;&gt;",'System map'!$C$4:$C$203,"&lt;&gt;",'System map'!$D$4:$D$203,"&lt;&gt;"),COUNTIFS(Components!$A$4:$A$253,F69,Components!$B$4:$B$253,E69,Components!$K$4:$K$253,"Confirmed",Components!$L$4:$L$253,"OK — verify source"))))&lt;&gt;1)),"Endpoint not source-reconciled",IF(AND(M69="Confirmed",OR(L69="",K69="",K69="Unknown",K69="Low")),"Confirmed link lacks verification","OK — verify source"))))))))))))))</f>
        <v/>
      </c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6" t="n"/>
      <c r="M70" s="25" t="n"/>
      <c r="N70" s="25">
        <f>IF(COUNTA(A70:M70)=0,"",IF(OR(A70="",B70="",C70="",D70="",E70="",F70="",I70="",J70="",K70="",M70=""),"Required link detail missing",IF(COUNTIF($A$4:$A$1003,A70)&gt;1,"Duplicate Map Edge ID",IF(NOT(OR(AND(B70="UC",E70="CAP",D70="requires"),AND(B70="CAP",E70="AIR",D70="provided by"),AND(B70="AIR",OR(E70="MOD",E70="DATA",E70="IF",E70="AG",E70="TOOL"),D70="references"),AND(B70="AIR",E70="AIR",D70="depends on"))),"Invalid relationship",IF(AND(M70&lt;&gt;"Superseded",COUNTIFS($B$4:$B$1003,B70,$C$4:$C$1003,C70,$D$4:$D$1003,D70,$E$4:$E$1003,E70,$F$4:$F$1003,F70,$G$4:$G$1003,G70,$M$4:$M$1003,"&lt;&gt;Superseded")&gt;1),"Duplicate relationship",IF(OR(IF(B70="UC",COUNTIF('Use cases'!$A$4:$A$253,C70),IF(B70="CAP",COUNTIF(Capabilities!$A$4:$A$253,C70),IF(B70="AIR",COUNTIF('System map'!$A$4:$A$203,C70),COUNTIFS(Components!$A$4:$A$253,C70,Components!$B$4:$B$253,B70))))&lt;&gt;1,IF(E70="UC",COUNTIF('Use cases'!$A$4:$A$253,F70),IF(E70="CAP",COUNTIF(Capabilities!$A$4:$A$253,F70),IF(E70="AIR",COUNTIF('System map'!$A$4:$A$203,F70),COUNTIFS(Components!$A$4:$A$253,F70,Components!$B$4:$B$253,E70))))&lt;&gt;1),"Endpoint missing or duplicated",IF(AND(NOT(AND(B70="UC",E70="CAP")),OR(G70="",COUNTIF('System map'!$A$4:$A$203,G70)&lt;&gt;1)),"AIR context missing / unknown",IF(AND(B70="CAP",E70="AIR",G70&lt;&gt;F70),"AIR context mismatch",IF(AND(B70="AIR",G70&lt;&gt;C70),"AIR context mismatch",IF(AND(B70="AIR",E70="AIR",C70=F70),"Self-dependency",IF(AND(B70="AIR",E70="AIR",M70&lt;&gt;"Superseded",COUNTIFS($B$4:$B$1003,"AIR",$C$4:$C$1003,F70,$E$4:$E$1003,"AIR",$F$4:$F$1003,C70,$M$4:$M$1003,"&lt;&gt;Superseded")&gt;0),"Dependency cycle (A↔B) — review",IF(AND(B70="AIR",OR(E70="MOD",E70="DATA",E70="IF",E70="AG",E70="TOOL"),IFERROR(INDEX(Components!$G$4:$G$253,MATCH(F70,Components!$A$4:$A$253,0)),"")&lt;&gt;"",IFERROR(INDEX(Components!$G$4:$G$253,MATCH(F70,Components!$A$4:$A$253,0)),"")&lt;&gt;C70),"Component owned by another AIR-ID",IF(AND(M70="Confirmed",OR(IF(B70="UC",COUNTIFS('Use cases'!$A$4:$A$253,C70,'Use cases'!$I$4:$I$253,"Confirmed",'Use cases'!$J$4:$J$253,"OK — verify source"),IF(B70="CAP",COUNTIFS(Capabilities!$A$4:$A$253,C70,Capabilities!$J$4:$J$253,"Confirmed",Capabilities!$K$4:$K$253,"OK — verify source"),IF(B70="AIR",COUNTIFS('System map'!$A$4:$A$203,C70,'System map'!$B$4:$B$203,"&lt;&gt;",'System map'!$C$4:$C$203,"&lt;&gt;",'System map'!$D$4:$D$203,"&lt;&gt;"),COUNTIFS(Components!$A$4:$A$253,C70,Components!$B$4:$B$253,B70,Components!$K$4:$K$253,"Confirmed",Components!$L$4:$L$253,"OK — verify source"))))&lt;&gt;1,IF(E70="UC",COUNTIFS('Use cases'!$A$4:$A$253,F70,'Use cases'!$I$4:$I$253,"Confirmed",'Use cases'!$J$4:$J$253,"OK — verify source"),IF(E70="CAP",COUNTIFS(Capabilities!$A$4:$A$253,F70,Capabilities!$J$4:$J$253,"Confirmed",Capabilities!$K$4:$K$253,"OK — verify source"),IF(E70="AIR",COUNTIFS('System map'!$A$4:$A$203,F70,'System map'!$B$4:$B$203,"&lt;&gt;",'System map'!$C$4:$C$203,"&lt;&gt;",'System map'!$D$4:$D$203,"&lt;&gt;"),COUNTIFS(Components!$A$4:$A$253,F70,Components!$B$4:$B$253,E70,Components!$K$4:$K$253,"Confirmed",Components!$L$4:$L$253,"OK — verify source"))))&lt;&gt;1)),"Endpoint not source-reconciled",IF(AND(M70="Confirmed",OR(L70="",K70="",K70="Unknown",K70="Low")),"Confirmed link lacks verification","OK — verify source"))))))))))))))</f>
        <v/>
      </c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8" t="n"/>
      <c r="M71" s="27" t="n"/>
      <c r="N71" s="27">
        <f>IF(COUNTA(A71:M71)=0,"",IF(OR(A71="",B71="",C71="",D71="",E71="",F71="",I71="",J71="",K71="",M71=""),"Required link detail missing",IF(COUNTIF($A$4:$A$1003,A71)&gt;1,"Duplicate Map Edge ID",IF(NOT(OR(AND(B71="UC",E71="CAP",D71="requires"),AND(B71="CAP",E71="AIR",D71="provided by"),AND(B71="AIR",OR(E71="MOD",E71="DATA",E71="IF",E71="AG",E71="TOOL"),D71="references"),AND(B71="AIR",E71="AIR",D71="depends on"))),"Invalid relationship",IF(AND(M71&lt;&gt;"Superseded",COUNTIFS($B$4:$B$1003,B71,$C$4:$C$1003,C71,$D$4:$D$1003,D71,$E$4:$E$1003,E71,$F$4:$F$1003,F71,$G$4:$G$1003,G71,$M$4:$M$1003,"&lt;&gt;Superseded")&gt;1),"Duplicate relationship",IF(OR(IF(B71="UC",COUNTIF('Use cases'!$A$4:$A$253,C71),IF(B71="CAP",COUNTIF(Capabilities!$A$4:$A$253,C71),IF(B71="AIR",COUNTIF('System map'!$A$4:$A$203,C71),COUNTIFS(Components!$A$4:$A$253,C71,Components!$B$4:$B$253,B71))))&lt;&gt;1,IF(E71="UC",COUNTIF('Use cases'!$A$4:$A$253,F71),IF(E71="CAP",COUNTIF(Capabilities!$A$4:$A$253,F71),IF(E71="AIR",COUNTIF('System map'!$A$4:$A$203,F71),COUNTIFS(Components!$A$4:$A$253,F71,Components!$B$4:$B$253,E71))))&lt;&gt;1),"Endpoint missing or duplicated",IF(AND(NOT(AND(B71="UC",E71="CAP")),OR(G71="",COUNTIF('System map'!$A$4:$A$203,G71)&lt;&gt;1)),"AIR context missing / unknown",IF(AND(B71="CAP",E71="AIR",G71&lt;&gt;F71),"AIR context mismatch",IF(AND(B71="AIR",G71&lt;&gt;C71),"AIR context mismatch",IF(AND(B71="AIR",E71="AIR",C71=F71),"Self-dependency",IF(AND(B71="AIR",E71="AIR",M71&lt;&gt;"Superseded",COUNTIFS($B$4:$B$1003,"AIR",$C$4:$C$1003,F71,$E$4:$E$1003,"AIR",$F$4:$F$1003,C71,$M$4:$M$1003,"&lt;&gt;Superseded")&gt;0),"Dependency cycle (A↔B) — review",IF(AND(B71="AIR",OR(E71="MOD",E71="DATA",E71="IF",E71="AG",E71="TOOL"),IFERROR(INDEX(Components!$G$4:$G$253,MATCH(F71,Components!$A$4:$A$253,0)),"")&lt;&gt;"",IFERROR(INDEX(Components!$G$4:$G$253,MATCH(F71,Components!$A$4:$A$253,0)),"")&lt;&gt;C71),"Component owned by another AIR-ID",IF(AND(M71="Confirmed",OR(IF(B71="UC",COUNTIFS('Use cases'!$A$4:$A$253,C71,'Use cases'!$I$4:$I$253,"Confirmed",'Use cases'!$J$4:$J$253,"OK — verify source"),IF(B71="CAP",COUNTIFS(Capabilities!$A$4:$A$253,C71,Capabilities!$J$4:$J$253,"Confirmed",Capabilities!$K$4:$K$253,"OK — verify source"),IF(B71="AIR",COUNTIFS('System map'!$A$4:$A$203,C71,'System map'!$B$4:$B$203,"&lt;&gt;",'System map'!$C$4:$C$203,"&lt;&gt;",'System map'!$D$4:$D$203,"&lt;&gt;"),COUNTIFS(Components!$A$4:$A$253,C71,Components!$B$4:$B$253,B71,Components!$K$4:$K$253,"Confirmed",Components!$L$4:$L$253,"OK — verify source"))))&lt;&gt;1,IF(E71="UC",COUNTIFS('Use cases'!$A$4:$A$253,F71,'Use cases'!$I$4:$I$253,"Confirmed",'Use cases'!$J$4:$J$253,"OK — verify source"),IF(E71="CAP",COUNTIFS(Capabilities!$A$4:$A$253,F71,Capabilities!$J$4:$J$253,"Confirmed",Capabilities!$K$4:$K$253,"OK — verify source"),IF(E71="AIR",COUNTIFS('System map'!$A$4:$A$203,F71,'System map'!$B$4:$B$203,"&lt;&gt;",'System map'!$C$4:$C$203,"&lt;&gt;",'System map'!$D$4:$D$203,"&lt;&gt;"),COUNTIFS(Components!$A$4:$A$253,F71,Components!$B$4:$B$253,E71,Components!$K$4:$K$253,"Confirmed",Components!$L$4:$L$253,"OK — verify source"))))&lt;&gt;1)),"Endpoint not source-reconciled",IF(AND(M71="Confirmed",OR(L71="",K71="",K71="Unknown",K71="Low")),"Confirmed link lacks verification","OK — verify source"))))))))))))))</f>
        <v/>
      </c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6" t="n"/>
      <c r="M72" s="25" t="n"/>
      <c r="N72" s="25">
        <f>IF(COUNTA(A72:M72)=0,"",IF(OR(A72="",B72="",C72="",D72="",E72="",F72="",I72="",J72="",K72="",M72=""),"Required link detail missing",IF(COUNTIF($A$4:$A$1003,A72)&gt;1,"Duplicate Map Edge ID",IF(NOT(OR(AND(B72="UC",E72="CAP",D72="requires"),AND(B72="CAP",E72="AIR",D72="provided by"),AND(B72="AIR",OR(E72="MOD",E72="DATA",E72="IF",E72="AG",E72="TOOL"),D72="references"),AND(B72="AIR",E72="AIR",D72="depends on"))),"Invalid relationship",IF(AND(M72&lt;&gt;"Superseded",COUNTIFS($B$4:$B$1003,B72,$C$4:$C$1003,C72,$D$4:$D$1003,D72,$E$4:$E$1003,E72,$F$4:$F$1003,F72,$G$4:$G$1003,G72,$M$4:$M$1003,"&lt;&gt;Superseded")&gt;1),"Duplicate relationship",IF(OR(IF(B72="UC",COUNTIF('Use cases'!$A$4:$A$253,C72),IF(B72="CAP",COUNTIF(Capabilities!$A$4:$A$253,C72),IF(B72="AIR",COUNTIF('System map'!$A$4:$A$203,C72),COUNTIFS(Components!$A$4:$A$253,C72,Components!$B$4:$B$253,B72))))&lt;&gt;1,IF(E72="UC",COUNTIF('Use cases'!$A$4:$A$253,F72),IF(E72="CAP",COUNTIF(Capabilities!$A$4:$A$253,F72),IF(E72="AIR",COUNTIF('System map'!$A$4:$A$203,F72),COUNTIFS(Components!$A$4:$A$253,F72,Components!$B$4:$B$253,E72))))&lt;&gt;1),"Endpoint missing or duplicated",IF(AND(NOT(AND(B72="UC",E72="CAP")),OR(G72="",COUNTIF('System map'!$A$4:$A$203,G72)&lt;&gt;1)),"AIR context missing / unknown",IF(AND(B72="CAP",E72="AIR",G72&lt;&gt;F72),"AIR context mismatch",IF(AND(B72="AIR",G72&lt;&gt;C72),"AIR context mismatch",IF(AND(B72="AIR",E72="AIR",C72=F72),"Self-dependency",IF(AND(B72="AIR",E72="AIR",M72&lt;&gt;"Superseded",COUNTIFS($B$4:$B$1003,"AIR",$C$4:$C$1003,F72,$E$4:$E$1003,"AIR",$F$4:$F$1003,C72,$M$4:$M$1003,"&lt;&gt;Superseded")&gt;0),"Dependency cycle (A↔B) — review",IF(AND(B72="AIR",OR(E72="MOD",E72="DATA",E72="IF",E72="AG",E72="TOOL"),IFERROR(INDEX(Components!$G$4:$G$253,MATCH(F72,Components!$A$4:$A$253,0)),"")&lt;&gt;"",IFERROR(INDEX(Components!$G$4:$G$253,MATCH(F72,Components!$A$4:$A$253,0)),"")&lt;&gt;C72),"Component owned by another AIR-ID",IF(AND(M72="Confirmed",OR(IF(B72="UC",COUNTIFS('Use cases'!$A$4:$A$253,C72,'Use cases'!$I$4:$I$253,"Confirmed",'Use cases'!$J$4:$J$253,"OK — verify source"),IF(B72="CAP",COUNTIFS(Capabilities!$A$4:$A$253,C72,Capabilities!$J$4:$J$253,"Confirmed",Capabilities!$K$4:$K$253,"OK — verify source"),IF(B72="AIR",COUNTIFS('System map'!$A$4:$A$203,C72,'System map'!$B$4:$B$203,"&lt;&gt;",'System map'!$C$4:$C$203,"&lt;&gt;",'System map'!$D$4:$D$203,"&lt;&gt;"),COUNTIFS(Components!$A$4:$A$253,C72,Components!$B$4:$B$253,B72,Components!$K$4:$K$253,"Confirmed",Components!$L$4:$L$253,"OK — verify source"))))&lt;&gt;1,IF(E72="UC",COUNTIFS('Use cases'!$A$4:$A$253,F72,'Use cases'!$I$4:$I$253,"Confirmed",'Use cases'!$J$4:$J$253,"OK — verify source"),IF(E72="CAP",COUNTIFS(Capabilities!$A$4:$A$253,F72,Capabilities!$J$4:$J$253,"Confirmed",Capabilities!$K$4:$K$253,"OK — verify source"),IF(E72="AIR",COUNTIFS('System map'!$A$4:$A$203,F72,'System map'!$B$4:$B$203,"&lt;&gt;",'System map'!$C$4:$C$203,"&lt;&gt;",'System map'!$D$4:$D$203,"&lt;&gt;"),COUNTIFS(Components!$A$4:$A$253,F72,Components!$B$4:$B$253,E72,Components!$K$4:$K$253,"Confirmed",Components!$L$4:$L$253,"OK — verify source"))))&lt;&gt;1)),"Endpoint not source-reconciled",IF(AND(M72="Confirmed",OR(L72="",K72="",K72="Unknown",K72="Low")),"Confirmed link lacks verification","OK — verify source"))))))))))))))</f>
        <v/>
      </c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8" t="n"/>
      <c r="M73" s="27" t="n"/>
      <c r="N73" s="27">
        <f>IF(COUNTA(A73:M73)=0,"",IF(OR(A73="",B73="",C73="",D73="",E73="",F73="",I73="",J73="",K73="",M73=""),"Required link detail missing",IF(COUNTIF($A$4:$A$1003,A73)&gt;1,"Duplicate Map Edge ID",IF(NOT(OR(AND(B73="UC",E73="CAP",D73="requires"),AND(B73="CAP",E73="AIR",D73="provided by"),AND(B73="AIR",OR(E73="MOD",E73="DATA",E73="IF",E73="AG",E73="TOOL"),D73="references"),AND(B73="AIR",E73="AIR",D73="depends on"))),"Invalid relationship",IF(AND(M73&lt;&gt;"Superseded",COUNTIFS($B$4:$B$1003,B73,$C$4:$C$1003,C73,$D$4:$D$1003,D73,$E$4:$E$1003,E73,$F$4:$F$1003,F73,$G$4:$G$1003,G73,$M$4:$M$1003,"&lt;&gt;Superseded")&gt;1),"Duplicate relationship",IF(OR(IF(B73="UC",COUNTIF('Use cases'!$A$4:$A$253,C73),IF(B73="CAP",COUNTIF(Capabilities!$A$4:$A$253,C73),IF(B73="AIR",COUNTIF('System map'!$A$4:$A$203,C73),COUNTIFS(Components!$A$4:$A$253,C73,Components!$B$4:$B$253,B73))))&lt;&gt;1,IF(E73="UC",COUNTIF('Use cases'!$A$4:$A$253,F73),IF(E73="CAP",COUNTIF(Capabilities!$A$4:$A$253,F73),IF(E73="AIR",COUNTIF('System map'!$A$4:$A$203,F73),COUNTIFS(Components!$A$4:$A$253,F73,Components!$B$4:$B$253,E73))))&lt;&gt;1),"Endpoint missing or duplicated",IF(AND(NOT(AND(B73="UC",E73="CAP")),OR(G73="",COUNTIF('System map'!$A$4:$A$203,G73)&lt;&gt;1)),"AIR context missing / unknown",IF(AND(B73="CAP",E73="AIR",G73&lt;&gt;F73),"AIR context mismatch",IF(AND(B73="AIR",G73&lt;&gt;C73),"AIR context mismatch",IF(AND(B73="AIR",E73="AIR",C73=F73),"Self-dependency",IF(AND(B73="AIR",E73="AIR",M73&lt;&gt;"Superseded",COUNTIFS($B$4:$B$1003,"AIR",$C$4:$C$1003,F73,$E$4:$E$1003,"AIR",$F$4:$F$1003,C73,$M$4:$M$1003,"&lt;&gt;Superseded")&gt;0),"Dependency cycle (A↔B) — review",IF(AND(B73="AIR",OR(E73="MOD",E73="DATA",E73="IF",E73="AG",E73="TOOL"),IFERROR(INDEX(Components!$G$4:$G$253,MATCH(F73,Components!$A$4:$A$253,0)),"")&lt;&gt;"",IFERROR(INDEX(Components!$G$4:$G$253,MATCH(F73,Components!$A$4:$A$253,0)),"")&lt;&gt;C73),"Component owned by another AIR-ID",IF(AND(M73="Confirmed",OR(IF(B73="UC",COUNTIFS('Use cases'!$A$4:$A$253,C73,'Use cases'!$I$4:$I$253,"Confirmed",'Use cases'!$J$4:$J$253,"OK — verify source"),IF(B73="CAP",COUNTIFS(Capabilities!$A$4:$A$253,C73,Capabilities!$J$4:$J$253,"Confirmed",Capabilities!$K$4:$K$253,"OK — verify source"),IF(B73="AIR",COUNTIFS('System map'!$A$4:$A$203,C73,'System map'!$B$4:$B$203,"&lt;&gt;",'System map'!$C$4:$C$203,"&lt;&gt;",'System map'!$D$4:$D$203,"&lt;&gt;"),COUNTIFS(Components!$A$4:$A$253,C73,Components!$B$4:$B$253,B73,Components!$K$4:$K$253,"Confirmed",Components!$L$4:$L$253,"OK — verify source"))))&lt;&gt;1,IF(E73="UC",COUNTIFS('Use cases'!$A$4:$A$253,F73,'Use cases'!$I$4:$I$253,"Confirmed",'Use cases'!$J$4:$J$253,"OK — verify source"),IF(E73="CAP",COUNTIFS(Capabilities!$A$4:$A$253,F73,Capabilities!$J$4:$J$253,"Confirmed",Capabilities!$K$4:$K$253,"OK — verify source"),IF(E73="AIR",COUNTIFS('System map'!$A$4:$A$203,F73,'System map'!$B$4:$B$203,"&lt;&gt;",'System map'!$C$4:$C$203,"&lt;&gt;",'System map'!$D$4:$D$203,"&lt;&gt;"),COUNTIFS(Components!$A$4:$A$253,F73,Components!$B$4:$B$253,E73,Components!$K$4:$K$253,"Confirmed",Components!$L$4:$L$253,"OK — verify source"))))&lt;&gt;1)),"Endpoint not source-reconciled",IF(AND(M73="Confirmed",OR(L73="",K73="",K73="Unknown",K73="Low")),"Confirmed link lacks verification","OK — verify source"))))))))))))))</f>
        <v/>
      </c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6" t="n"/>
      <c r="M74" s="25" t="n"/>
      <c r="N74" s="25">
        <f>IF(COUNTA(A74:M74)=0,"",IF(OR(A74="",B74="",C74="",D74="",E74="",F74="",I74="",J74="",K74="",M74=""),"Required link detail missing",IF(COUNTIF($A$4:$A$1003,A74)&gt;1,"Duplicate Map Edge ID",IF(NOT(OR(AND(B74="UC",E74="CAP",D74="requires"),AND(B74="CAP",E74="AIR",D74="provided by"),AND(B74="AIR",OR(E74="MOD",E74="DATA",E74="IF",E74="AG",E74="TOOL"),D74="references"),AND(B74="AIR",E74="AIR",D74="depends on"))),"Invalid relationship",IF(AND(M74&lt;&gt;"Superseded",COUNTIFS($B$4:$B$1003,B74,$C$4:$C$1003,C74,$D$4:$D$1003,D74,$E$4:$E$1003,E74,$F$4:$F$1003,F74,$G$4:$G$1003,G74,$M$4:$M$1003,"&lt;&gt;Superseded")&gt;1),"Duplicate relationship",IF(OR(IF(B74="UC",COUNTIF('Use cases'!$A$4:$A$253,C74),IF(B74="CAP",COUNTIF(Capabilities!$A$4:$A$253,C74),IF(B74="AIR",COUNTIF('System map'!$A$4:$A$203,C74),COUNTIFS(Components!$A$4:$A$253,C74,Components!$B$4:$B$253,B74))))&lt;&gt;1,IF(E74="UC",COUNTIF('Use cases'!$A$4:$A$253,F74),IF(E74="CAP",COUNTIF(Capabilities!$A$4:$A$253,F74),IF(E74="AIR",COUNTIF('System map'!$A$4:$A$203,F74),COUNTIFS(Components!$A$4:$A$253,F74,Components!$B$4:$B$253,E74))))&lt;&gt;1),"Endpoint missing or duplicated",IF(AND(NOT(AND(B74="UC",E74="CAP")),OR(G74="",COUNTIF('System map'!$A$4:$A$203,G74)&lt;&gt;1)),"AIR context missing / unknown",IF(AND(B74="CAP",E74="AIR",G74&lt;&gt;F74),"AIR context mismatch",IF(AND(B74="AIR",G74&lt;&gt;C74),"AIR context mismatch",IF(AND(B74="AIR",E74="AIR",C74=F74),"Self-dependency",IF(AND(B74="AIR",E74="AIR",M74&lt;&gt;"Superseded",COUNTIFS($B$4:$B$1003,"AIR",$C$4:$C$1003,F74,$E$4:$E$1003,"AIR",$F$4:$F$1003,C74,$M$4:$M$1003,"&lt;&gt;Superseded")&gt;0),"Dependency cycle (A↔B) — review",IF(AND(B74="AIR",OR(E74="MOD",E74="DATA",E74="IF",E74="AG",E74="TOOL"),IFERROR(INDEX(Components!$G$4:$G$253,MATCH(F74,Components!$A$4:$A$253,0)),"")&lt;&gt;"",IFERROR(INDEX(Components!$G$4:$G$253,MATCH(F74,Components!$A$4:$A$253,0)),"")&lt;&gt;C74),"Component owned by another AIR-ID",IF(AND(M74="Confirmed",OR(IF(B74="UC",COUNTIFS('Use cases'!$A$4:$A$253,C74,'Use cases'!$I$4:$I$253,"Confirmed",'Use cases'!$J$4:$J$253,"OK — verify source"),IF(B74="CAP",COUNTIFS(Capabilities!$A$4:$A$253,C74,Capabilities!$J$4:$J$253,"Confirmed",Capabilities!$K$4:$K$253,"OK — verify source"),IF(B74="AIR",COUNTIFS('System map'!$A$4:$A$203,C74,'System map'!$B$4:$B$203,"&lt;&gt;",'System map'!$C$4:$C$203,"&lt;&gt;",'System map'!$D$4:$D$203,"&lt;&gt;"),COUNTIFS(Components!$A$4:$A$253,C74,Components!$B$4:$B$253,B74,Components!$K$4:$K$253,"Confirmed",Components!$L$4:$L$253,"OK — verify source"))))&lt;&gt;1,IF(E74="UC",COUNTIFS('Use cases'!$A$4:$A$253,F74,'Use cases'!$I$4:$I$253,"Confirmed",'Use cases'!$J$4:$J$253,"OK — verify source"),IF(E74="CAP",COUNTIFS(Capabilities!$A$4:$A$253,F74,Capabilities!$J$4:$J$253,"Confirmed",Capabilities!$K$4:$K$253,"OK — verify source"),IF(E74="AIR",COUNTIFS('System map'!$A$4:$A$203,F74,'System map'!$B$4:$B$203,"&lt;&gt;",'System map'!$C$4:$C$203,"&lt;&gt;",'System map'!$D$4:$D$203,"&lt;&gt;"),COUNTIFS(Components!$A$4:$A$253,F74,Components!$B$4:$B$253,E74,Components!$K$4:$K$253,"Confirmed",Components!$L$4:$L$253,"OK — verify source"))))&lt;&gt;1)),"Endpoint not source-reconciled",IF(AND(M74="Confirmed",OR(L74="",K74="",K74="Unknown",K74="Low")),"Confirmed link lacks verification","OK — verify source"))))))))))))))</f>
        <v/>
      </c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8" t="n"/>
      <c r="M75" s="27" t="n"/>
      <c r="N75" s="27">
        <f>IF(COUNTA(A75:M75)=0,"",IF(OR(A75="",B75="",C75="",D75="",E75="",F75="",I75="",J75="",K75="",M75=""),"Required link detail missing",IF(COUNTIF($A$4:$A$1003,A75)&gt;1,"Duplicate Map Edge ID",IF(NOT(OR(AND(B75="UC",E75="CAP",D75="requires"),AND(B75="CAP",E75="AIR",D75="provided by"),AND(B75="AIR",OR(E75="MOD",E75="DATA",E75="IF",E75="AG",E75="TOOL"),D75="references"),AND(B75="AIR",E75="AIR",D75="depends on"))),"Invalid relationship",IF(AND(M75&lt;&gt;"Superseded",COUNTIFS($B$4:$B$1003,B75,$C$4:$C$1003,C75,$D$4:$D$1003,D75,$E$4:$E$1003,E75,$F$4:$F$1003,F75,$G$4:$G$1003,G75,$M$4:$M$1003,"&lt;&gt;Superseded")&gt;1),"Duplicate relationship",IF(OR(IF(B75="UC",COUNTIF('Use cases'!$A$4:$A$253,C75),IF(B75="CAP",COUNTIF(Capabilities!$A$4:$A$253,C75),IF(B75="AIR",COUNTIF('System map'!$A$4:$A$203,C75),COUNTIFS(Components!$A$4:$A$253,C75,Components!$B$4:$B$253,B75))))&lt;&gt;1,IF(E75="UC",COUNTIF('Use cases'!$A$4:$A$253,F75),IF(E75="CAP",COUNTIF(Capabilities!$A$4:$A$253,F75),IF(E75="AIR",COUNTIF('System map'!$A$4:$A$203,F75),COUNTIFS(Components!$A$4:$A$253,F75,Components!$B$4:$B$253,E75))))&lt;&gt;1),"Endpoint missing or duplicated",IF(AND(NOT(AND(B75="UC",E75="CAP")),OR(G75="",COUNTIF('System map'!$A$4:$A$203,G75)&lt;&gt;1)),"AIR context missing / unknown",IF(AND(B75="CAP",E75="AIR",G75&lt;&gt;F75),"AIR context mismatch",IF(AND(B75="AIR",G75&lt;&gt;C75),"AIR context mismatch",IF(AND(B75="AIR",E75="AIR",C75=F75),"Self-dependency",IF(AND(B75="AIR",E75="AIR",M75&lt;&gt;"Superseded",COUNTIFS($B$4:$B$1003,"AIR",$C$4:$C$1003,F75,$E$4:$E$1003,"AIR",$F$4:$F$1003,C75,$M$4:$M$1003,"&lt;&gt;Superseded")&gt;0),"Dependency cycle (A↔B) — review",IF(AND(B75="AIR",OR(E75="MOD",E75="DATA",E75="IF",E75="AG",E75="TOOL"),IFERROR(INDEX(Components!$G$4:$G$253,MATCH(F75,Components!$A$4:$A$253,0)),"")&lt;&gt;"",IFERROR(INDEX(Components!$G$4:$G$253,MATCH(F75,Components!$A$4:$A$253,0)),"")&lt;&gt;C75),"Component owned by another AIR-ID",IF(AND(M75="Confirmed",OR(IF(B75="UC",COUNTIFS('Use cases'!$A$4:$A$253,C75,'Use cases'!$I$4:$I$253,"Confirmed",'Use cases'!$J$4:$J$253,"OK — verify source"),IF(B75="CAP",COUNTIFS(Capabilities!$A$4:$A$253,C75,Capabilities!$J$4:$J$253,"Confirmed",Capabilities!$K$4:$K$253,"OK — verify source"),IF(B75="AIR",COUNTIFS('System map'!$A$4:$A$203,C75,'System map'!$B$4:$B$203,"&lt;&gt;",'System map'!$C$4:$C$203,"&lt;&gt;",'System map'!$D$4:$D$203,"&lt;&gt;"),COUNTIFS(Components!$A$4:$A$253,C75,Components!$B$4:$B$253,B75,Components!$K$4:$K$253,"Confirmed",Components!$L$4:$L$253,"OK — verify source"))))&lt;&gt;1,IF(E75="UC",COUNTIFS('Use cases'!$A$4:$A$253,F75,'Use cases'!$I$4:$I$253,"Confirmed",'Use cases'!$J$4:$J$253,"OK — verify source"),IF(E75="CAP",COUNTIFS(Capabilities!$A$4:$A$253,F75,Capabilities!$J$4:$J$253,"Confirmed",Capabilities!$K$4:$K$253,"OK — verify source"),IF(E75="AIR",COUNTIFS('System map'!$A$4:$A$203,F75,'System map'!$B$4:$B$203,"&lt;&gt;",'System map'!$C$4:$C$203,"&lt;&gt;",'System map'!$D$4:$D$203,"&lt;&gt;"),COUNTIFS(Components!$A$4:$A$253,F75,Components!$B$4:$B$253,E75,Components!$K$4:$K$253,"Confirmed",Components!$L$4:$L$253,"OK — verify source"))))&lt;&gt;1)),"Endpoint not source-reconciled",IF(AND(M75="Confirmed",OR(L75="",K75="",K75="Unknown",K75="Low")),"Confirmed link lacks verification","OK — verify source"))))))))))))))</f>
        <v/>
      </c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6" t="n"/>
      <c r="M76" s="25" t="n"/>
      <c r="N76" s="25">
        <f>IF(COUNTA(A76:M76)=0,"",IF(OR(A76="",B76="",C76="",D76="",E76="",F76="",I76="",J76="",K76="",M76=""),"Required link detail missing",IF(COUNTIF($A$4:$A$1003,A76)&gt;1,"Duplicate Map Edge ID",IF(NOT(OR(AND(B76="UC",E76="CAP",D76="requires"),AND(B76="CAP",E76="AIR",D76="provided by"),AND(B76="AIR",OR(E76="MOD",E76="DATA",E76="IF",E76="AG",E76="TOOL"),D76="references"),AND(B76="AIR",E76="AIR",D76="depends on"))),"Invalid relationship",IF(AND(M76&lt;&gt;"Superseded",COUNTIFS($B$4:$B$1003,B76,$C$4:$C$1003,C76,$D$4:$D$1003,D76,$E$4:$E$1003,E76,$F$4:$F$1003,F76,$G$4:$G$1003,G76,$M$4:$M$1003,"&lt;&gt;Superseded")&gt;1),"Duplicate relationship",IF(OR(IF(B76="UC",COUNTIF('Use cases'!$A$4:$A$253,C76),IF(B76="CAP",COUNTIF(Capabilities!$A$4:$A$253,C76),IF(B76="AIR",COUNTIF('System map'!$A$4:$A$203,C76),COUNTIFS(Components!$A$4:$A$253,C76,Components!$B$4:$B$253,B76))))&lt;&gt;1,IF(E76="UC",COUNTIF('Use cases'!$A$4:$A$253,F76),IF(E76="CAP",COUNTIF(Capabilities!$A$4:$A$253,F76),IF(E76="AIR",COUNTIF('System map'!$A$4:$A$203,F76),COUNTIFS(Components!$A$4:$A$253,F76,Components!$B$4:$B$253,E76))))&lt;&gt;1),"Endpoint missing or duplicated",IF(AND(NOT(AND(B76="UC",E76="CAP")),OR(G76="",COUNTIF('System map'!$A$4:$A$203,G76)&lt;&gt;1)),"AIR context missing / unknown",IF(AND(B76="CAP",E76="AIR",G76&lt;&gt;F76),"AIR context mismatch",IF(AND(B76="AIR",G76&lt;&gt;C76),"AIR context mismatch",IF(AND(B76="AIR",E76="AIR",C76=F76),"Self-dependency",IF(AND(B76="AIR",E76="AIR",M76&lt;&gt;"Superseded",COUNTIFS($B$4:$B$1003,"AIR",$C$4:$C$1003,F76,$E$4:$E$1003,"AIR",$F$4:$F$1003,C76,$M$4:$M$1003,"&lt;&gt;Superseded")&gt;0),"Dependency cycle (A↔B) — review",IF(AND(B76="AIR",OR(E76="MOD",E76="DATA",E76="IF",E76="AG",E76="TOOL"),IFERROR(INDEX(Components!$G$4:$G$253,MATCH(F76,Components!$A$4:$A$253,0)),"")&lt;&gt;"",IFERROR(INDEX(Components!$G$4:$G$253,MATCH(F76,Components!$A$4:$A$253,0)),"")&lt;&gt;C76),"Component owned by another AIR-ID",IF(AND(M76="Confirmed",OR(IF(B76="UC",COUNTIFS('Use cases'!$A$4:$A$253,C76,'Use cases'!$I$4:$I$253,"Confirmed",'Use cases'!$J$4:$J$253,"OK — verify source"),IF(B76="CAP",COUNTIFS(Capabilities!$A$4:$A$253,C76,Capabilities!$J$4:$J$253,"Confirmed",Capabilities!$K$4:$K$253,"OK — verify source"),IF(B76="AIR",COUNTIFS('System map'!$A$4:$A$203,C76,'System map'!$B$4:$B$203,"&lt;&gt;",'System map'!$C$4:$C$203,"&lt;&gt;",'System map'!$D$4:$D$203,"&lt;&gt;"),COUNTIFS(Components!$A$4:$A$253,C76,Components!$B$4:$B$253,B76,Components!$K$4:$K$253,"Confirmed",Components!$L$4:$L$253,"OK — verify source"))))&lt;&gt;1,IF(E76="UC",COUNTIFS('Use cases'!$A$4:$A$253,F76,'Use cases'!$I$4:$I$253,"Confirmed",'Use cases'!$J$4:$J$253,"OK — verify source"),IF(E76="CAP",COUNTIFS(Capabilities!$A$4:$A$253,F76,Capabilities!$J$4:$J$253,"Confirmed",Capabilities!$K$4:$K$253,"OK — verify source"),IF(E76="AIR",COUNTIFS('System map'!$A$4:$A$203,F76,'System map'!$B$4:$B$203,"&lt;&gt;",'System map'!$C$4:$C$203,"&lt;&gt;",'System map'!$D$4:$D$203,"&lt;&gt;"),COUNTIFS(Components!$A$4:$A$253,F76,Components!$B$4:$B$253,E76,Components!$K$4:$K$253,"Confirmed",Components!$L$4:$L$253,"OK — verify source"))))&lt;&gt;1)),"Endpoint not source-reconciled",IF(AND(M76="Confirmed",OR(L76="",K76="",K76="Unknown",K76="Low")),"Confirmed link lacks verification","OK — verify source"))))))))))))))</f>
        <v/>
      </c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8" t="n"/>
      <c r="M77" s="27" t="n"/>
      <c r="N77" s="27">
        <f>IF(COUNTA(A77:M77)=0,"",IF(OR(A77="",B77="",C77="",D77="",E77="",F77="",I77="",J77="",K77="",M77=""),"Required link detail missing",IF(COUNTIF($A$4:$A$1003,A77)&gt;1,"Duplicate Map Edge ID",IF(NOT(OR(AND(B77="UC",E77="CAP",D77="requires"),AND(B77="CAP",E77="AIR",D77="provided by"),AND(B77="AIR",OR(E77="MOD",E77="DATA",E77="IF",E77="AG",E77="TOOL"),D77="references"),AND(B77="AIR",E77="AIR",D77="depends on"))),"Invalid relationship",IF(AND(M77&lt;&gt;"Superseded",COUNTIFS($B$4:$B$1003,B77,$C$4:$C$1003,C77,$D$4:$D$1003,D77,$E$4:$E$1003,E77,$F$4:$F$1003,F77,$G$4:$G$1003,G77,$M$4:$M$1003,"&lt;&gt;Superseded")&gt;1),"Duplicate relationship",IF(OR(IF(B77="UC",COUNTIF('Use cases'!$A$4:$A$253,C77),IF(B77="CAP",COUNTIF(Capabilities!$A$4:$A$253,C77),IF(B77="AIR",COUNTIF('System map'!$A$4:$A$203,C77),COUNTIFS(Components!$A$4:$A$253,C77,Components!$B$4:$B$253,B77))))&lt;&gt;1,IF(E77="UC",COUNTIF('Use cases'!$A$4:$A$253,F77),IF(E77="CAP",COUNTIF(Capabilities!$A$4:$A$253,F77),IF(E77="AIR",COUNTIF('System map'!$A$4:$A$203,F77),COUNTIFS(Components!$A$4:$A$253,F77,Components!$B$4:$B$253,E77))))&lt;&gt;1),"Endpoint missing or duplicated",IF(AND(NOT(AND(B77="UC",E77="CAP")),OR(G77="",COUNTIF('System map'!$A$4:$A$203,G77)&lt;&gt;1)),"AIR context missing / unknown",IF(AND(B77="CAP",E77="AIR",G77&lt;&gt;F77),"AIR context mismatch",IF(AND(B77="AIR",G77&lt;&gt;C77),"AIR context mismatch",IF(AND(B77="AIR",E77="AIR",C77=F77),"Self-dependency",IF(AND(B77="AIR",E77="AIR",M77&lt;&gt;"Superseded",COUNTIFS($B$4:$B$1003,"AIR",$C$4:$C$1003,F77,$E$4:$E$1003,"AIR",$F$4:$F$1003,C77,$M$4:$M$1003,"&lt;&gt;Superseded")&gt;0),"Dependency cycle (A↔B) — review",IF(AND(B77="AIR",OR(E77="MOD",E77="DATA",E77="IF",E77="AG",E77="TOOL"),IFERROR(INDEX(Components!$G$4:$G$253,MATCH(F77,Components!$A$4:$A$253,0)),"")&lt;&gt;"",IFERROR(INDEX(Components!$G$4:$G$253,MATCH(F77,Components!$A$4:$A$253,0)),"")&lt;&gt;C77),"Component owned by another AIR-ID",IF(AND(M77="Confirmed",OR(IF(B77="UC",COUNTIFS('Use cases'!$A$4:$A$253,C77,'Use cases'!$I$4:$I$253,"Confirmed",'Use cases'!$J$4:$J$253,"OK — verify source"),IF(B77="CAP",COUNTIFS(Capabilities!$A$4:$A$253,C77,Capabilities!$J$4:$J$253,"Confirmed",Capabilities!$K$4:$K$253,"OK — verify source"),IF(B77="AIR",COUNTIFS('System map'!$A$4:$A$203,C77,'System map'!$B$4:$B$203,"&lt;&gt;",'System map'!$C$4:$C$203,"&lt;&gt;",'System map'!$D$4:$D$203,"&lt;&gt;"),COUNTIFS(Components!$A$4:$A$253,C77,Components!$B$4:$B$253,B77,Components!$K$4:$K$253,"Confirmed",Components!$L$4:$L$253,"OK — verify source"))))&lt;&gt;1,IF(E77="UC",COUNTIFS('Use cases'!$A$4:$A$253,F77,'Use cases'!$I$4:$I$253,"Confirmed",'Use cases'!$J$4:$J$253,"OK — verify source"),IF(E77="CAP",COUNTIFS(Capabilities!$A$4:$A$253,F77,Capabilities!$J$4:$J$253,"Confirmed",Capabilities!$K$4:$K$253,"OK — verify source"),IF(E77="AIR",COUNTIFS('System map'!$A$4:$A$203,F77,'System map'!$B$4:$B$203,"&lt;&gt;",'System map'!$C$4:$C$203,"&lt;&gt;",'System map'!$D$4:$D$203,"&lt;&gt;"),COUNTIFS(Components!$A$4:$A$253,F77,Components!$B$4:$B$253,E77,Components!$K$4:$K$253,"Confirmed",Components!$L$4:$L$253,"OK — verify source"))))&lt;&gt;1)),"Endpoint not source-reconciled",IF(AND(M77="Confirmed",OR(L77="",K77="",K77="Unknown",K77="Low")),"Confirmed link lacks verification","OK — verify source"))))))))))))))</f>
        <v/>
      </c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6" t="n"/>
      <c r="M78" s="25" t="n"/>
      <c r="N78" s="25">
        <f>IF(COUNTA(A78:M78)=0,"",IF(OR(A78="",B78="",C78="",D78="",E78="",F78="",I78="",J78="",K78="",M78=""),"Required link detail missing",IF(COUNTIF($A$4:$A$1003,A78)&gt;1,"Duplicate Map Edge ID",IF(NOT(OR(AND(B78="UC",E78="CAP",D78="requires"),AND(B78="CAP",E78="AIR",D78="provided by"),AND(B78="AIR",OR(E78="MOD",E78="DATA",E78="IF",E78="AG",E78="TOOL"),D78="references"),AND(B78="AIR",E78="AIR",D78="depends on"))),"Invalid relationship",IF(AND(M78&lt;&gt;"Superseded",COUNTIFS($B$4:$B$1003,B78,$C$4:$C$1003,C78,$D$4:$D$1003,D78,$E$4:$E$1003,E78,$F$4:$F$1003,F78,$G$4:$G$1003,G78,$M$4:$M$1003,"&lt;&gt;Superseded")&gt;1),"Duplicate relationship",IF(OR(IF(B78="UC",COUNTIF('Use cases'!$A$4:$A$253,C78),IF(B78="CAP",COUNTIF(Capabilities!$A$4:$A$253,C78),IF(B78="AIR",COUNTIF('System map'!$A$4:$A$203,C78),COUNTIFS(Components!$A$4:$A$253,C78,Components!$B$4:$B$253,B78))))&lt;&gt;1,IF(E78="UC",COUNTIF('Use cases'!$A$4:$A$253,F78),IF(E78="CAP",COUNTIF(Capabilities!$A$4:$A$253,F78),IF(E78="AIR",COUNTIF('System map'!$A$4:$A$203,F78),COUNTIFS(Components!$A$4:$A$253,F78,Components!$B$4:$B$253,E78))))&lt;&gt;1),"Endpoint missing or duplicated",IF(AND(NOT(AND(B78="UC",E78="CAP")),OR(G78="",COUNTIF('System map'!$A$4:$A$203,G78)&lt;&gt;1)),"AIR context missing / unknown",IF(AND(B78="CAP",E78="AIR",G78&lt;&gt;F78),"AIR context mismatch",IF(AND(B78="AIR",G78&lt;&gt;C78),"AIR context mismatch",IF(AND(B78="AIR",E78="AIR",C78=F78),"Self-dependency",IF(AND(B78="AIR",E78="AIR",M78&lt;&gt;"Superseded",COUNTIFS($B$4:$B$1003,"AIR",$C$4:$C$1003,F78,$E$4:$E$1003,"AIR",$F$4:$F$1003,C78,$M$4:$M$1003,"&lt;&gt;Superseded")&gt;0),"Dependency cycle (A↔B) — review",IF(AND(B78="AIR",OR(E78="MOD",E78="DATA",E78="IF",E78="AG",E78="TOOL"),IFERROR(INDEX(Components!$G$4:$G$253,MATCH(F78,Components!$A$4:$A$253,0)),"")&lt;&gt;"",IFERROR(INDEX(Components!$G$4:$G$253,MATCH(F78,Components!$A$4:$A$253,0)),"")&lt;&gt;C78),"Component owned by another AIR-ID",IF(AND(M78="Confirmed",OR(IF(B78="UC",COUNTIFS('Use cases'!$A$4:$A$253,C78,'Use cases'!$I$4:$I$253,"Confirmed",'Use cases'!$J$4:$J$253,"OK — verify source"),IF(B78="CAP",COUNTIFS(Capabilities!$A$4:$A$253,C78,Capabilities!$J$4:$J$253,"Confirmed",Capabilities!$K$4:$K$253,"OK — verify source"),IF(B78="AIR",COUNTIFS('System map'!$A$4:$A$203,C78,'System map'!$B$4:$B$203,"&lt;&gt;",'System map'!$C$4:$C$203,"&lt;&gt;",'System map'!$D$4:$D$203,"&lt;&gt;"),COUNTIFS(Components!$A$4:$A$253,C78,Components!$B$4:$B$253,B78,Components!$K$4:$K$253,"Confirmed",Components!$L$4:$L$253,"OK — verify source"))))&lt;&gt;1,IF(E78="UC",COUNTIFS('Use cases'!$A$4:$A$253,F78,'Use cases'!$I$4:$I$253,"Confirmed",'Use cases'!$J$4:$J$253,"OK — verify source"),IF(E78="CAP",COUNTIFS(Capabilities!$A$4:$A$253,F78,Capabilities!$J$4:$J$253,"Confirmed",Capabilities!$K$4:$K$253,"OK — verify source"),IF(E78="AIR",COUNTIFS('System map'!$A$4:$A$203,F78,'System map'!$B$4:$B$203,"&lt;&gt;",'System map'!$C$4:$C$203,"&lt;&gt;",'System map'!$D$4:$D$203,"&lt;&gt;"),COUNTIFS(Components!$A$4:$A$253,F78,Components!$B$4:$B$253,E78,Components!$K$4:$K$253,"Confirmed",Components!$L$4:$L$253,"OK — verify source"))))&lt;&gt;1)),"Endpoint not source-reconciled",IF(AND(M78="Confirmed",OR(L78="",K78="",K78="Unknown",K78="Low")),"Confirmed link lacks verification","OK — verify source"))))))))))))))</f>
        <v/>
      </c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8" t="n"/>
      <c r="M79" s="27" t="n"/>
      <c r="N79" s="27">
        <f>IF(COUNTA(A79:M79)=0,"",IF(OR(A79="",B79="",C79="",D79="",E79="",F79="",I79="",J79="",K79="",M79=""),"Required link detail missing",IF(COUNTIF($A$4:$A$1003,A79)&gt;1,"Duplicate Map Edge ID",IF(NOT(OR(AND(B79="UC",E79="CAP",D79="requires"),AND(B79="CAP",E79="AIR",D79="provided by"),AND(B79="AIR",OR(E79="MOD",E79="DATA",E79="IF",E79="AG",E79="TOOL"),D79="references"),AND(B79="AIR",E79="AIR",D79="depends on"))),"Invalid relationship",IF(AND(M79&lt;&gt;"Superseded",COUNTIFS($B$4:$B$1003,B79,$C$4:$C$1003,C79,$D$4:$D$1003,D79,$E$4:$E$1003,E79,$F$4:$F$1003,F79,$G$4:$G$1003,G79,$M$4:$M$1003,"&lt;&gt;Superseded")&gt;1),"Duplicate relationship",IF(OR(IF(B79="UC",COUNTIF('Use cases'!$A$4:$A$253,C79),IF(B79="CAP",COUNTIF(Capabilities!$A$4:$A$253,C79),IF(B79="AIR",COUNTIF('System map'!$A$4:$A$203,C79),COUNTIFS(Components!$A$4:$A$253,C79,Components!$B$4:$B$253,B79))))&lt;&gt;1,IF(E79="UC",COUNTIF('Use cases'!$A$4:$A$253,F79),IF(E79="CAP",COUNTIF(Capabilities!$A$4:$A$253,F79),IF(E79="AIR",COUNTIF('System map'!$A$4:$A$203,F79),COUNTIFS(Components!$A$4:$A$253,F79,Components!$B$4:$B$253,E79))))&lt;&gt;1),"Endpoint missing or duplicated",IF(AND(NOT(AND(B79="UC",E79="CAP")),OR(G79="",COUNTIF('System map'!$A$4:$A$203,G79)&lt;&gt;1)),"AIR context missing / unknown",IF(AND(B79="CAP",E79="AIR",G79&lt;&gt;F79),"AIR context mismatch",IF(AND(B79="AIR",G79&lt;&gt;C79),"AIR context mismatch",IF(AND(B79="AIR",E79="AIR",C79=F79),"Self-dependency",IF(AND(B79="AIR",E79="AIR",M79&lt;&gt;"Superseded",COUNTIFS($B$4:$B$1003,"AIR",$C$4:$C$1003,F79,$E$4:$E$1003,"AIR",$F$4:$F$1003,C79,$M$4:$M$1003,"&lt;&gt;Superseded")&gt;0),"Dependency cycle (A↔B) — review",IF(AND(B79="AIR",OR(E79="MOD",E79="DATA",E79="IF",E79="AG",E79="TOOL"),IFERROR(INDEX(Components!$G$4:$G$253,MATCH(F79,Components!$A$4:$A$253,0)),"")&lt;&gt;"",IFERROR(INDEX(Components!$G$4:$G$253,MATCH(F79,Components!$A$4:$A$253,0)),"")&lt;&gt;C79),"Component owned by another AIR-ID",IF(AND(M79="Confirmed",OR(IF(B79="UC",COUNTIFS('Use cases'!$A$4:$A$253,C79,'Use cases'!$I$4:$I$253,"Confirmed",'Use cases'!$J$4:$J$253,"OK — verify source"),IF(B79="CAP",COUNTIFS(Capabilities!$A$4:$A$253,C79,Capabilities!$J$4:$J$253,"Confirmed",Capabilities!$K$4:$K$253,"OK — verify source"),IF(B79="AIR",COUNTIFS('System map'!$A$4:$A$203,C79,'System map'!$B$4:$B$203,"&lt;&gt;",'System map'!$C$4:$C$203,"&lt;&gt;",'System map'!$D$4:$D$203,"&lt;&gt;"),COUNTIFS(Components!$A$4:$A$253,C79,Components!$B$4:$B$253,B79,Components!$K$4:$K$253,"Confirmed",Components!$L$4:$L$253,"OK — verify source"))))&lt;&gt;1,IF(E79="UC",COUNTIFS('Use cases'!$A$4:$A$253,F79,'Use cases'!$I$4:$I$253,"Confirmed",'Use cases'!$J$4:$J$253,"OK — verify source"),IF(E79="CAP",COUNTIFS(Capabilities!$A$4:$A$253,F79,Capabilities!$J$4:$J$253,"Confirmed",Capabilities!$K$4:$K$253,"OK — verify source"),IF(E79="AIR",COUNTIFS('System map'!$A$4:$A$203,F79,'System map'!$B$4:$B$203,"&lt;&gt;",'System map'!$C$4:$C$203,"&lt;&gt;",'System map'!$D$4:$D$203,"&lt;&gt;"),COUNTIFS(Components!$A$4:$A$253,F79,Components!$B$4:$B$253,E79,Components!$K$4:$K$253,"Confirmed",Components!$L$4:$L$253,"OK — verify source"))))&lt;&gt;1)),"Endpoint not source-reconciled",IF(AND(M79="Confirmed",OR(L79="",K79="",K79="Unknown",K79="Low")),"Confirmed link lacks verification","OK — verify source"))))))))))))))</f>
        <v/>
      </c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6" t="n"/>
      <c r="M80" s="25" t="n"/>
      <c r="N80" s="25">
        <f>IF(COUNTA(A80:M80)=0,"",IF(OR(A80="",B80="",C80="",D80="",E80="",F80="",I80="",J80="",K80="",M80=""),"Required link detail missing",IF(COUNTIF($A$4:$A$1003,A80)&gt;1,"Duplicate Map Edge ID",IF(NOT(OR(AND(B80="UC",E80="CAP",D80="requires"),AND(B80="CAP",E80="AIR",D80="provided by"),AND(B80="AIR",OR(E80="MOD",E80="DATA",E80="IF",E80="AG",E80="TOOL"),D80="references"),AND(B80="AIR",E80="AIR",D80="depends on"))),"Invalid relationship",IF(AND(M80&lt;&gt;"Superseded",COUNTIFS($B$4:$B$1003,B80,$C$4:$C$1003,C80,$D$4:$D$1003,D80,$E$4:$E$1003,E80,$F$4:$F$1003,F80,$G$4:$G$1003,G80,$M$4:$M$1003,"&lt;&gt;Superseded")&gt;1),"Duplicate relationship",IF(OR(IF(B80="UC",COUNTIF('Use cases'!$A$4:$A$253,C80),IF(B80="CAP",COUNTIF(Capabilities!$A$4:$A$253,C80),IF(B80="AIR",COUNTIF('System map'!$A$4:$A$203,C80),COUNTIFS(Components!$A$4:$A$253,C80,Components!$B$4:$B$253,B80))))&lt;&gt;1,IF(E80="UC",COUNTIF('Use cases'!$A$4:$A$253,F80),IF(E80="CAP",COUNTIF(Capabilities!$A$4:$A$253,F80),IF(E80="AIR",COUNTIF('System map'!$A$4:$A$203,F80),COUNTIFS(Components!$A$4:$A$253,F80,Components!$B$4:$B$253,E80))))&lt;&gt;1),"Endpoint missing or duplicated",IF(AND(NOT(AND(B80="UC",E80="CAP")),OR(G80="",COUNTIF('System map'!$A$4:$A$203,G80)&lt;&gt;1)),"AIR context missing / unknown",IF(AND(B80="CAP",E80="AIR",G80&lt;&gt;F80),"AIR context mismatch",IF(AND(B80="AIR",G80&lt;&gt;C80),"AIR context mismatch",IF(AND(B80="AIR",E80="AIR",C80=F80),"Self-dependency",IF(AND(B80="AIR",E80="AIR",M80&lt;&gt;"Superseded",COUNTIFS($B$4:$B$1003,"AIR",$C$4:$C$1003,F80,$E$4:$E$1003,"AIR",$F$4:$F$1003,C80,$M$4:$M$1003,"&lt;&gt;Superseded")&gt;0),"Dependency cycle (A↔B) — review",IF(AND(B80="AIR",OR(E80="MOD",E80="DATA",E80="IF",E80="AG",E80="TOOL"),IFERROR(INDEX(Components!$G$4:$G$253,MATCH(F80,Components!$A$4:$A$253,0)),"")&lt;&gt;"",IFERROR(INDEX(Components!$G$4:$G$253,MATCH(F80,Components!$A$4:$A$253,0)),"")&lt;&gt;C80),"Component owned by another AIR-ID",IF(AND(M80="Confirmed",OR(IF(B80="UC",COUNTIFS('Use cases'!$A$4:$A$253,C80,'Use cases'!$I$4:$I$253,"Confirmed",'Use cases'!$J$4:$J$253,"OK — verify source"),IF(B80="CAP",COUNTIFS(Capabilities!$A$4:$A$253,C80,Capabilities!$J$4:$J$253,"Confirmed",Capabilities!$K$4:$K$253,"OK — verify source"),IF(B80="AIR",COUNTIFS('System map'!$A$4:$A$203,C80,'System map'!$B$4:$B$203,"&lt;&gt;",'System map'!$C$4:$C$203,"&lt;&gt;",'System map'!$D$4:$D$203,"&lt;&gt;"),COUNTIFS(Components!$A$4:$A$253,C80,Components!$B$4:$B$253,B80,Components!$K$4:$K$253,"Confirmed",Components!$L$4:$L$253,"OK — verify source"))))&lt;&gt;1,IF(E80="UC",COUNTIFS('Use cases'!$A$4:$A$253,F80,'Use cases'!$I$4:$I$253,"Confirmed",'Use cases'!$J$4:$J$253,"OK — verify source"),IF(E80="CAP",COUNTIFS(Capabilities!$A$4:$A$253,F80,Capabilities!$J$4:$J$253,"Confirmed",Capabilities!$K$4:$K$253,"OK — verify source"),IF(E80="AIR",COUNTIFS('System map'!$A$4:$A$203,F80,'System map'!$B$4:$B$203,"&lt;&gt;",'System map'!$C$4:$C$203,"&lt;&gt;",'System map'!$D$4:$D$203,"&lt;&gt;"),COUNTIFS(Components!$A$4:$A$253,F80,Components!$B$4:$B$253,E80,Components!$K$4:$K$253,"Confirmed",Components!$L$4:$L$253,"OK — verify source"))))&lt;&gt;1)),"Endpoint not source-reconciled",IF(AND(M80="Confirmed",OR(L80="",K80="",K80="Unknown",K80="Low")),"Confirmed link lacks verification","OK — verify source"))))))))))))))</f>
        <v/>
      </c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8" t="n"/>
      <c r="M81" s="27" t="n"/>
      <c r="N81" s="27">
        <f>IF(COUNTA(A81:M81)=0,"",IF(OR(A81="",B81="",C81="",D81="",E81="",F81="",I81="",J81="",K81="",M81=""),"Required link detail missing",IF(COUNTIF($A$4:$A$1003,A81)&gt;1,"Duplicate Map Edge ID",IF(NOT(OR(AND(B81="UC",E81="CAP",D81="requires"),AND(B81="CAP",E81="AIR",D81="provided by"),AND(B81="AIR",OR(E81="MOD",E81="DATA",E81="IF",E81="AG",E81="TOOL"),D81="references"),AND(B81="AIR",E81="AIR",D81="depends on"))),"Invalid relationship",IF(AND(M81&lt;&gt;"Superseded",COUNTIFS($B$4:$B$1003,B81,$C$4:$C$1003,C81,$D$4:$D$1003,D81,$E$4:$E$1003,E81,$F$4:$F$1003,F81,$G$4:$G$1003,G81,$M$4:$M$1003,"&lt;&gt;Superseded")&gt;1),"Duplicate relationship",IF(OR(IF(B81="UC",COUNTIF('Use cases'!$A$4:$A$253,C81),IF(B81="CAP",COUNTIF(Capabilities!$A$4:$A$253,C81),IF(B81="AIR",COUNTIF('System map'!$A$4:$A$203,C81),COUNTIFS(Components!$A$4:$A$253,C81,Components!$B$4:$B$253,B81))))&lt;&gt;1,IF(E81="UC",COUNTIF('Use cases'!$A$4:$A$253,F81),IF(E81="CAP",COUNTIF(Capabilities!$A$4:$A$253,F81),IF(E81="AIR",COUNTIF('System map'!$A$4:$A$203,F81),COUNTIFS(Components!$A$4:$A$253,F81,Components!$B$4:$B$253,E81))))&lt;&gt;1),"Endpoint missing or duplicated",IF(AND(NOT(AND(B81="UC",E81="CAP")),OR(G81="",COUNTIF('System map'!$A$4:$A$203,G81)&lt;&gt;1)),"AIR context missing / unknown",IF(AND(B81="CAP",E81="AIR",G81&lt;&gt;F81),"AIR context mismatch",IF(AND(B81="AIR",G81&lt;&gt;C81),"AIR context mismatch",IF(AND(B81="AIR",E81="AIR",C81=F81),"Self-dependency",IF(AND(B81="AIR",E81="AIR",M81&lt;&gt;"Superseded",COUNTIFS($B$4:$B$1003,"AIR",$C$4:$C$1003,F81,$E$4:$E$1003,"AIR",$F$4:$F$1003,C81,$M$4:$M$1003,"&lt;&gt;Superseded")&gt;0),"Dependency cycle (A↔B) — review",IF(AND(B81="AIR",OR(E81="MOD",E81="DATA",E81="IF",E81="AG",E81="TOOL"),IFERROR(INDEX(Components!$G$4:$G$253,MATCH(F81,Components!$A$4:$A$253,0)),"")&lt;&gt;"",IFERROR(INDEX(Components!$G$4:$G$253,MATCH(F81,Components!$A$4:$A$253,0)),"")&lt;&gt;C81),"Component owned by another AIR-ID",IF(AND(M81="Confirmed",OR(IF(B81="UC",COUNTIFS('Use cases'!$A$4:$A$253,C81,'Use cases'!$I$4:$I$253,"Confirmed",'Use cases'!$J$4:$J$253,"OK — verify source"),IF(B81="CAP",COUNTIFS(Capabilities!$A$4:$A$253,C81,Capabilities!$J$4:$J$253,"Confirmed",Capabilities!$K$4:$K$253,"OK — verify source"),IF(B81="AIR",COUNTIFS('System map'!$A$4:$A$203,C81,'System map'!$B$4:$B$203,"&lt;&gt;",'System map'!$C$4:$C$203,"&lt;&gt;",'System map'!$D$4:$D$203,"&lt;&gt;"),COUNTIFS(Components!$A$4:$A$253,C81,Components!$B$4:$B$253,B81,Components!$K$4:$K$253,"Confirmed",Components!$L$4:$L$253,"OK — verify source"))))&lt;&gt;1,IF(E81="UC",COUNTIFS('Use cases'!$A$4:$A$253,F81,'Use cases'!$I$4:$I$253,"Confirmed",'Use cases'!$J$4:$J$253,"OK — verify source"),IF(E81="CAP",COUNTIFS(Capabilities!$A$4:$A$253,F81,Capabilities!$J$4:$J$253,"Confirmed",Capabilities!$K$4:$K$253,"OK — verify source"),IF(E81="AIR",COUNTIFS('System map'!$A$4:$A$203,F81,'System map'!$B$4:$B$203,"&lt;&gt;",'System map'!$C$4:$C$203,"&lt;&gt;",'System map'!$D$4:$D$203,"&lt;&gt;"),COUNTIFS(Components!$A$4:$A$253,F81,Components!$B$4:$B$253,E81,Components!$K$4:$K$253,"Confirmed",Components!$L$4:$L$253,"OK — verify source"))))&lt;&gt;1)),"Endpoint not source-reconciled",IF(AND(M81="Confirmed",OR(L81="",K81="",K81="Unknown",K81="Low")),"Confirmed link lacks verification","OK — verify source"))))))))))))))</f>
        <v/>
      </c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6" t="n"/>
      <c r="M82" s="25" t="n"/>
      <c r="N82" s="25">
        <f>IF(COUNTA(A82:M82)=0,"",IF(OR(A82="",B82="",C82="",D82="",E82="",F82="",I82="",J82="",K82="",M82=""),"Required link detail missing",IF(COUNTIF($A$4:$A$1003,A82)&gt;1,"Duplicate Map Edge ID",IF(NOT(OR(AND(B82="UC",E82="CAP",D82="requires"),AND(B82="CAP",E82="AIR",D82="provided by"),AND(B82="AIR",OR(E82="MOD",E82="DATA",E82="IF",E82="AG",E82="TOOL"),D82="references"),AND(B82="AIR",E82="AIR",D82="depends on"))),"Invalid relationship",IF(AND(M82&lt;&gt;"Superseded",COUNTIFS($B$4:$B$1003,B82,$C$4:$C$1003,C82,$D$4:$D$1003,D82,$E$4:$E$1003,E82,$F$4:$F$1003,F82,$G$4:$G$1003,G82,$M$4:$M$1003,"&lt;&gt;Superseded")&gt;1),"Duplicate relationship",IF(OR(IF(B82="UC",COUNTIF('Use cases'!$A$4:$A$253,C82),IF(B82="CAP",COUNTIF(Capabilities!$A$4:$A$253,C82),IF(B82="AIR",COUNTIF('System map'!$A$4:$A$203,C82),COUNTIFS(Components!$A$4:$A$253,C82,Components!$B$4:$B$253,B82))))&lt;&gt;1,IF(E82="UC",COUNTIF('Use cases'!$A$4:$A$253,F82),IF(E82="CAP",COUNTIF(Capabilities!$A$4:$A$253,F82),IF(E82="AIR",COUNTIF('System map'!$A$4:$A$203,F82),COUNTIFS(Components!$A$4:$A$253,F82,Components!$B$4:$B$253,E82))))&lt;&gt;1),"Endpoint missing or duplicated",IF(AND(NOT(AND(B82="UC",E82="CAP")),OR(G82="",COUNTIF('System map'!$A$4:$A$203,G82)&lt;&gt;1)),"AIR context missing / unknown",IF(AND(B82="CAP",E82="AIR",G82&lt;&gt;F82),"AIR context mismatch",IF(AND(B82="AIR",G82&lt;&gt;C82),"AIR context mismatch",IF(AND(B82="AIR",E82="AIR",C82=F82),"Self-dependency",IF(AND(B82="AIR",E82="AIR",M82&lt;&gt;"Superseded",COUNTIFS($B$4:$B$1003,"AIR",$C$4:$C$1003,F82,$E$4:$E$1003,"AIR",$F$4:$F$1003,C82,$M$4:$M$1003,"&lt;&gt;Superseded")&gt;0),"Dependency cycle (A↔B) — review",IF(AND(B82="AIR",OR(E82="MOD",E82="DATA",E82="IF",E82="AG",E82="TOOL"),IFERROR(INDEX(Components!$G$4:$G$253,MATCH(F82,Components!$A$4:$A$253,0)),"")&lt;&gt;"",IFERROR(INDEX(Components!$G$4:$G$253,MATCH(F82,Components!$A$4:$A$253,0)),"")&lt;&gt;C82),"Component owned by another AIR-ID",IF(AND(M82="Confirmed",OR(IF(B82="UC",COUNTIFS('Use cases'!$A$4:$A$253,C82,'Use cases'!$I$4:$I$253,"Confirmed",'Use cases'!$J$4:$J$253,"OK — verify source"),IF(B82="CAP",COUNTIFS(Capabilities!$A$4:$A$253,C82,Capabilities!$J$4:$J$253,"Confirmed",Capabilities!$K$4:$K$253,"OK — verify source"),IF(B82="AIR",COUNTIFS('System map'!$A$4:$A$203,C82,'System map'!$B$4:$B$203,"&lt;&gt;",'System map'!$C$4:$C$203,"&lt;&gt;",'System map'!$D$4:$D$203,"&lt;&gt;"),COUNTIFS(Components!$A$4:$A$253,C82,Components!$B$4:$B$253,B82,Components!$K$4:$K$253,"Confirmed",Components!$L$4:$L$253,"OK — verify source"))))&lt;&gt;1,IF(E82="UC",COUNTIFS('Use cases'!$A$4:$A$253,F82,'Use cases'!$I$4:$I$253,"Confirmed",'Use cases'!$J$4:$J$253,"OK — verify source"),IF(E82="CAP",COUNTIFS(Capabilities!$A$4:$A$253,F82,Capabilities!$J$4:$J$253,"Confirmed",Capabilities!$K$4:$K$253,"OK — verify source"),IF(E82="AIR",COUNTIFS('System map'!$A$4:$A$203,F82,'System map'!$B$4:$B$203,"&lt;&gt;",'System map'!$C$4:$C$203,"&lt;&gt;",'System map'!$D$4:$D$203,"&lt;&gt;"),COUNTIFS(Components!$A$4:$A$253,F82,Components!$B$4:$B$253,E82,Components!$K$4:$K$253,"Confirmed",Components!$L$4:$L$253,"OK — verify source"))))&lt;&gt;1)),"Endpoint not source-reconciled",IF(AND(M82="Confirmed",OR(L82="",K82="",K82="Unknown",K82="Low")),"Confirmed link lacks verification","OK — verify source"))))))))))))))</f>
        <v/>
      </c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8" t="n"/>
      <c r="M83" s="27" t="n"/>
      <c r="N83" s="27">
        <f>IF(COUNTA(A83:M83)=0,"",IF(OR(A83="",B83="",C83="",D83="",E83="",F83="",I83="",J83="",K83="",M83=""),"Required link detail missing",IF(COUNTIF($A$4:$A$1003,A83)&gt;1,"Duplicate Map Edge ID",IF(NOT(OR(AND(B83="UC",E83="CAP",D83="requires"),AND(B83="CAP",E83="AIR",D83="provided by"),AND(B83="AIR",OR(E83="MOD",E83="DATA",E83="IF",E83="AG",E83="TOOL"),D83="references"),AND(B83="AIR",E83="AIR",D83="depends on"))),"Invalid relationship",IF(AND(M83&lt;&gt;"Superseded",COUNTIFS($B$4:$B$1003,B83,$C$4:$C$1003,C83,$D$4:$D$1003,D83,$E$4:$E$1003,E83,$F$4:$F$1003,F83,$G$4:$G$1003,G83,$M$4:$M$1003,"&lt;&gt;Superseded")&gt;1),"Duplicate relationship",IF(OR(IF(B83="UC",COUNTIF('Use cases'!$A$4:$A$253,C83),IF(B83="CAP",COUNTIF(Capabilities!$A$4:$A$253,C83),IF(B83="AIR",COUNTIF('System map'!$A$4:$A$203,C83),COUNTIFS(Components!$A$4:$A$253,C83,Components!$B$4:$B$253,B83))))&lt;&gt;1,IF(E83="UC",COUNTIF('Use cases'!$A$4:$A$253,F83),IF(E83="CAP",COUNTIF(Capabilities!$A$4:$A$253,F83),IF(E83="AIR",COUNTIF('System map'!$A$4:$A$203,F83),COUNTIFS(Components!$A$4:$A$253,F83,Components!$B$4:$B$253,E83))))&lt;&gt;1),"Endpoint missing or duplicated",IF(AND(NOT(AND(B83="UC",E83="CAP")),OR(G83="",COUNTIF('System map'!$A$4:$A$203,G83)&lt;&gt;1)),"AIR context missing / unknown",IF(AND(B83="CAP",E83="AIR",G83&lt;&gt;F83),"AIR context mismatch",IF(AND(B83="AIR",G83&lt;&gt;C83),"AIR context mismatch",IF(AND(B83="AIR",E83="AIR",C83=F83),"Self-dependency",IF(AND(B83="AIR",E83="AIR",M83&lt;&gt;"Superseded",COUNTIFS($B$4:$B$1003,"AIR",$C$4:$C$1003,F83,$E$4:$E$1003,"AIR",$F$4:$F$1003,C83,$M$4:$M$1003,"&lt;&gt;Superseded")&gt;0),"Dependency cycle (A↔B) — review",IF(AND(B83="AIR",OR(E83="MOD",E83="DATA",E83="IF",E83="AG",E83="TOOL"),IFERROR(INDEX(Components!$G$4:$G$253,MATCH(F83,Components!$A$4:$A$253,0)),"")&lt;&gt;"",IFERROR(INDEX(Components!$G$4:$G$253,MATCH(F83,Components!$A$4:$A$253,0)),"")&lt;&gt;C83),"Component owned by another AIR-ID",IF(AND(M83="Confirmed",OR(IF(B83="UC",COUNTIFS('Use cases'!$A$4:$A$253,C83,'Use cases'!$I$4:$I$253,"Confirmed",'Use cases'!$J$4:$J$253,"OK — verify source"),IF(B83="CAP",COUNTIFS(Capabilities!$A$4:$A$253,C83,Capabilities!$J$4:$J$253,"Confirmed",Capabilities!$K$4:$K$253,"OK — verify source"),IF(B83="AIR",COUNTIFS('System map'!$A$4:$A$203,C83,'System map'!$B$4:$B$203,"&lt;&gt;",'System map'!$C$4:$C$203,"&lt;&gt;",'System map'!$D$4:$D$203,"&lt;&gt;"),COUNTIFS(Components!$A$4:$A$253,C83,Components!$B$4:$B$253,B83,Components!$K$4:$K$253,"Confirmed",Components!$L$4:$L$253,"OK — verify source"))))&lt;&gt;1,IF(E83="UC",COUNTIFS('Use cases'!$A$4:$A$253,F83,'Use cases'!$I$4:$I$253,"Confirmed",'Use cases'!$J$4:$J$253,"OK — verify source"),IF(E83="CAP",COUNTIFS(Capabilities!$A$4:$A$253,F83,Capabilities!$J$4:$J$253,"Confirmed",Capabilities!$K$4:$K$253,"OK — verify source"),IF(E83="AIR",COUNTIFS('System map'!$A$4:$A$203,F83,'System map'!$B$4:$B$203,"&lt;&gt;",'System map'!$C$4:$C$203,"&lt;&gt;",'System map'!$D$4:$D$203,"&lt;&gt;"),COUNTIFS(Components!$A$4:$A$253,F83,Components!$B$4:$B$253,E83,Components!$K$4:$K$253,"Confirmed",Components!$L$4:$L$253,"OK — verify source"))))&lt;&gt;1)),"Endpoint not source-reconciled",IF(AND(M83="Confirmed",OR(L83="",K83="",K83="Unknown",K83="Low")),"Confirmed link lacks verification","OK — verify source"))))))))))))))</f>
        <v/>
      </c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6" t="n"/>
      <c r="M84" s="25" t="n"/>
      <c r="N84" s="25">
        <f>IF(COUNTA(A84:M84)=0,"",IF(OR(A84="",B84="",C84="",D84="",E84="",F84="",I84="",J84="",K84="",M84=""),"Required link detail missing",IF(COUNTIF($A$4:$A$1003,A84)&gt;1,"Duplicate Map Edge ID",IF(NOT(OR(AND(B84="UC",E84="CAP",D84="requires"),AND(B84="CAP",E84="AIR",D84="provided by"),AND(B84="AIR",OR(E84="MOD",E84="DATA",E84="IF",E84="AG",E84="TOOL"),D84="references"),AND(B84="AIR",E84="AIR",D84="depends on"))),"Invalid relationship",IF(AND(M84&lt;&gt;"Superseded",COUNTIFS($B$4:$B$1003,B84,$C$4:$C$1003,C84,$D$4:$D$1003,D84,$E$4:$E$1003,E84,$F$4:$F$1003,F84,$G$4:$G$1003,G84,$M$4:$M$1003,"&lt;&gt;Superseded")&gt;1),"Duplicate relationship",IF(OR(IF(B84="UC",COUNTIF('Use cases'!$A$4:$A$253,C84),IF(B84="CAP",COUNTIF(Capabilities!$A$4:$A$253,C84),IF(B84="AIR",COUNTIF('System map'!$A$4:$A$203,C84),COUNTIFS(Components!$A$4:$A$253,C84,Components!$B$4:$B$253,B84))))&lt;&gt;1,IF(E84="UC",COUNTIF('Use cases'!$A$4:$A$253,F84),IF(E84="CAP",COUNTIF(Capabilities!$A$4:$A$253,F84),IF(E84="AIR",COUNTIF('System map'!$A$4:$A$203,F84),COUNTIFS(Components!$A$4:$A$253,F84,Components!$B$4:$B$253,E84))))&lt;&gt;1),"Endpoint missing or duplicated",IF(AND(NOT(AND(B84="UC",E84="CAP")),OR(G84="",COUNTIF('System map'!$A$4:$A$203,G84)&lt;&gt;1)),"AIR context missing / unknown",IF(AND(B84="CAP",E84="AIR",G84&lt;&gt;F84),"AIR context mismatch",IF(AND(B84="AIR",G84&lt;&gt;C84),"AIR context mismatch",IF(AND(B84="AIR",E84="AIR",C84=F84),"Self-dependency",IF(AND(B84="AIR",E84="AIR",M84&lt;&gt;"Superseded",COUNTIFS($B$4:$B$1003,"AIR",$C$4:$C$1003,F84,$E$4:$E$1003,"AIR",$F$4:$F$1003,C84,$M$4:$M$1003,"&lt;&gt;Superseded")&gt;0),"Dependency cycle (A↔B) — review",IF(AND(B84="AIR",OR(E84="MOD",E84="DATA",E84="IF",E84="AG",E84="TOOL"),IFERROR(INDEX(Components!$G$4:$G$253,MATCH(F84,Components!$A$4:$A$253,0)),"")&lt;&gt;"",IFERROR(INDEX(Components!$G$4:$G$253,MATCH(F84,Components!$A$4:$A$253,0)),"")&lt;&gt;C84),"Component owned by another AIR-ID",IF(AND(M84="Confirmed",OR(IF(B84="UC",COUNTIFS('Use cases'!$A$4:$A$253,C84,'Use cases'!$I$4:$I$253,"Confirmed",'Use cases'!$J$4:$J$253,"OK — verify source"),IF(B84="CAP",COUNTIFS(Capabilities!$A$4:$A$253,C84,Capabilities!$J$4:$J$253,"Confirmed",Capabilities!$K$4:$K$253,"OK — verify source"),IF(B84="AIR",COUNTIFS('System map'!$A$4:$A$203,C84,'System map'!$B$4:$B$203,"&lt;&gt;",'System map'!$C$4:$C$203,"&lt;&gt;",'System map'!$D$4:$D$203,"&lt;&gt;"),COUNTIFS(Components!$A$4:$A$253,C84,Components!$B$4:$B$253,B84,Components!$K$4:$K$253,"Confirmed",Components!$L$4:$L$253,"OK — verify source"))))&lt;&gt;1,IF(E84="UC",COUNTIFS('Use cases'!$A$4:$A$253,F84,'Use cases'!$I$4:$I$253,"Confirmed",'Use cases'!$J$4:$J$253,"OK — verify source"),IF(E84="CAP",COUNTIFS(Capabilities!$A$4:$A$253,F84,Capabilities!$J$4:$J$253,"Confirmed",Capabilities!$K$4:$K$253,"OK — verify source"),IF(E84="AIR",COUNTIFS('System map'!$A$4:$A$203,F84,'System map'!$B$4:$B$203,"&lt;&gt;",'System map'!$C$4:$C$203,"&lt;&gt;",'System map'!$D$4:$D$203,"&lt;&gt;"),COUNTIFS(Components!$A$4:$A$253,F84,Components!$B$4:$B$253,E84,Components!$K$4:$K$253,"Confirmed",Components!$L$4:$L$253,"OK — verify source"))))&lt;&gt;1)),"Endpoint not source-reconciled",IF(AND(M84="Confirmed",OR(L84="",K84="",K84="Unknown",K84="Low")),"Confirmed link lacks verification","OK — verify source"))))))))))))))</f>
        <v/>
      </c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8" t="n"/>
      <c r="M85" s="27" t="n"/>
      <c r="N85" s="27">
        <f>IF(COUNTA(A85:M85)=0,"",IF(OR(A85="",B85="",C85="",D85="",E85="",F85="",I85="",J85="",K85="",M85=""),"Required link detail missing",IF(COUNTIF($A$4:$A$1003,A85)&gt;1,"Duplicate Map Edge ID",IF(NOT(OR(AND(B85="UC",E85="CAP",D85="requires"),AND(B85="CAP",E85="AIR",D85="provided by"),AND(B85="AIR",OR(E85="MOD",E85="DATA",E85="IF",E85="AG",E85="TOOL"),D85="references"),AND(B85="AIR",E85="AIR",D85="depends on"))),"Invalid relationship",IF(AND(M85&lt;&gt;"Superseded",COUNTIFS($B$4:$B$1003,B85,$C$4:$C$1003,C85,$D$4:$D$1003,D85,$E$4:$E$1003,E85,$F$4:$F$1003,F85,$G$4:$G$1003,G85,$M$4:$M$1003,"&lt;&gt;Superseded")&gt;1),"Duplicate relationship",IF(OR(IF(B85="UC",COUNTIF('Use cases'!$A$4:$A$253,C85),IF(B85="CAP",COUNTIF(Capabilities!$A$4:$A$253,C85),IF(B85="AIR",COUNTIF('System map'!$A$4:$A$203,C85),COUNTIFS(Components!$A$4:$A$253,C85,Components!$B$4:$B$253,B85))))&lt;&gt;1,IF(E85="UC",COUNTIF('Use cases'!$A$4:$A$253,F85),IF(E85="CAP",COUNTIF(Capabilities!$A$4:$A$253,F85),IF(E85="AIR",COUNTIF('System map'!$A$4:$A$203,F85),COUNTIFS(Components!$A$4:$A$253,F85,Components!$B$4:$B$253,E85))))&lt;&gt;1),"Endpoint missing or duplicated",IF(AND(NOT(AND(B85="UC",E85="CAP")),OR(G85="",COUNTIF('System map'!$A$4:$A$203,G85)&lt;&gt;1)),"AIR context missing / unknown",IF(AND(B85="CAP",E85="AIR",G85&lt;&gt;F85),"AIR context mismatch",IF(AND(B85="AIR",G85&lt;&gt;C85),"AIR context mismatch",IF(AND(B85="AIR",E85="AIR",C85=F85),"Self-dependency",IF(AND(B85="AIR",E85="AIR",M85&lt;&gt;"Superseded",COUNTIFS($B$4:$B$1003,"AIR",$C$4:$C$1003,F85,$E$4:$E$1003,"AIR",$F$4:$F$1003,C85,$M$4:$M$1003,"&lt;&gt;Superseded")&gt;0),"Dependency cycle (A↔B) — review",IF(AND(B85="AIR",OR(E85="MOD",E85="DATA",E85="IF",E85="AG",E85="TOOL"),IFERROR(INDEX(Components!$G$4:$G$253,MATCH(F85,Components!$A$4:$A$253,0)),"")&lt;&gt;"",IFERROR(INDEX(Components!$G$4:$G$253,MATCH(F85,Components!$A$4:$A$253,0)),"")&lt;&gt;C85),"Component owned by another AIR-ID",IF(AND(M85="Confirmed",OR(IF(B85="UC",COUNTIFS('Use cases'!$A$4:$A$253,C85,'Use cases'!$I$4:$I$253,"Confirmed",'Use cases'!$J$4:$J$253,"OK — verify source"),IF(B85="CAP",COUNTIFS(Capabilities!$A$4:$A$253,C85,Capabilities!$J$4:$J$253,"Confirmed",Capabilities!$K$4:$K$253,"OK — verify source"),IF(B85="AIR",COUNTIFS('System map'!$A$4:$A$203,C85,'System map'!$B$4:$B$203,"&lt;&gt;",'System map'!$C$4:$C$203,"&lt;&gt;",'System map'!$D$4:$D$203,"&lt;&gt;"),COUNTIFS(Components!$A$4:$A$253,C85,Components!$B$4:$B$253,B85,Components!$K$4:$K$253,"Confirmed",Components!$L$4:$L$253,"OK — verify source"))))&lt;&gt;1,IF(E85="UC",COUNTIFS('Use cases'!$A$4:$A$253,F85,'Use cases'!$I$4:$I$253,"Confirmed",'Use cases'!$J$4:$J$253,"OK — verify source"),IF(E85="CAP",COUNTIFS(Capabilities!$A$4:$A$253,F85,Capabilities!$J$4:$J$253,"Confirmed",Capabilities!$K$4:$K$253,"OK — verify source"),IF(E85="AIR",COUNTIFS('System map'!$A$4:$A$203,F85,'System map'!$B$4:$B$203,"&lt;&gt;",'System map'!$C$4:$C$203,"&lt;&gt;",'System map'!$D$4:$D$203,"&lt;&gt;"),COUNTIFS(Components!$A$4:$A$253,F85,Components!$B$4:$B$253,E85,Components!$K$4:$K$253,"Confirmed",Components!$L$4:$L$253,"OK — verify source"))))&lt;&gt;1)),"Endpoint not source-reconciled",IF(AND(M85="Confirmed",OR(L85="",K85="",K85="Unknown",K85="Low")),"Confirmed link lacks verification","OK — verify source"))))))))))))))</f>
        <v/>
      </c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6" t="n"/>
      <c r="M86" s="25" t="n"/>
      <c r="N86" s="25">
        <f>IF(COUNTA(A86:M86)=0,"",IF(OR(A86="",B86="",C86="",D86="",E86="",F86="",I86="",J86="",K86="",M86=""),"Required link detail missing",IF(COUNTIF($A$4:$A$1003,A86)&gt;1,"Duplicate Map Edge ID",IF(NOT(OR(AND(B86="UC",E86="CAP",D86="requires"),AND(B86="CAP",E86="AIR",D86="provided by"),AND(B86="AIR",OR(E86="MOD",E86="DATA",E86="IF",E86="AG",E86="TOOL"),D86="references"),AND(B86="AIR",E86="AIR",D86="depends on"))),"Invalid relationship",IF(AND(M86&lt;&gt;"Superseded",COUNTIFS($B$4:$B$1003,B86,$C$4:$C$1003,C86,$D$4:$D$1003,D86,$E$4:$E$1003,E86,$F$4:$F$1003,F86,$G$4:$G$1003,G86,$M$4:$M$1003,"&lt;&gt;Superseded")&gt;1),"Duplicate relationship",IF(OR(IF(B86="UC",COUNTIF('Use cases'!$A$4:$A$253,C86),IF(B86="CAP",COUNTIF(Capabilities!$A$4:$A$253,C86),IF(B86="AIR",COUNTIF('System map'!$A$4:$A$203,C86),COUNTIFS(Components!$A$4:$A$253,C86,Components!$B$4:$B$253,B86))))&lt;&gt;1,IF(E86="UC",COUNTIF('Use cases'!$A$4:$A$253,F86),IF(E86="CAP",COUNTIF(Capabilities!$A$4:$A$253,F86),IF(E86="AIR",COUNTIF('System map'!$A$4:$A$203,F86),COUNTIFS(Components!$A$4:$A$253,F86,Components!$B$4:$B$253,E86))))&lt;&gt;1),"Endpoint missing or duplicated",IF(AND(NOT(AND(B86="UC",E86="CAP")),OR(G86="",COUNTIF('System map'!$A$4:$A$203,G86)&lt;&gt;1)),"AIR context missing / unknown",IF(AND(B86="CAP",E86="AIR",G86&lt;&gt;F86),"AIR context mismatch",IF(AND(B86="AIR",G86&lt;&gt;C86),"AIR context mismatch",IF(AND(B86="AIR",E86="AIR",C86=F86),"Self-dependency",IF(AND(B86="AIR",E86="AIR",M86&lt;&gt;"Superseded",COUNTIFS($B$4:$B$1003,"AIR",$C$4:$C$1003,F86,$E$4:$E$1003,"AIR",$F$4:$F$1003,C86,$M$4:$M$1003,"&lt;&gt;Superseded")&gt;0),"Dependency cycle (A↔B) — review",IF(AND(B86="AIR",OR(E86="MOD",E86="DATA",E86="IF",E86="AG",E86="TOOL"),IFERROR(INDEX(Components!$G$4:$G$253,MATCH(F86,Components!$A$4:$A$253,0)),"")&lt;&gt;"",IFERROR(INDEX(Components!$G$4:$G$253,MATCH(F86,Components!$A$4:$A$253,0)),"")&lt;&gt;C86),"Component owned by another AIR-ID",IF(AND(M86="Confirmed",OR(IF(B86="UC",COUNTIFS('Use cases'!$A$4:$A$253,C86,'Use cases'!$I$4:$I$253,"Confirmed",'Use cases'!$J$4:$J$253,"OK — verify source"),IF(B86="CAP",COUNTIFS(Capabilities!$A$4:$A$253,C86,Capabilities!$J$4:$J$253,"Confirmed",Capabilities!$K$4:$K$253,"OK — verify source"),IF(B86="AIR",COUNTIFS('System map'!$A$4:$A$203,C86,'System map'!$B$4:$B$203,"&lt;&gt;",'System map'!$C$4:$C$203,"&lt;&gt;",'System map'!$D$4:$D$203,"&lt;&gt;"),COUNTIFS(Components!$A$4:$A$253,C86,Components!$B$4:$B$253,B86,Components!$K$4:$K$253,"Confirmed",Components!$L$4:$L$253,"OK — verify source"))))&lt;&gt;1,IF(E86="UC",COUNTIFS('Use cases'!$A$4:$A$253,F86,'Use cases'!$I$4:$I$253,"Confirmed",'Use cases'!$J$4:$J$253,"OK — verify source"),IF(E86="CAP",COUNTIFS(Capabilities!$A$4:$A$253,F86,Capabilities!$J$4:$J$253,"Confirmed",Capabilities!$K$4:$K$253,"OK — verify source"),IF(E86="AIR",COUNTIFS('System map'!$A$4:$A$203,F86,'System map'!$B$4:$B$203,"&lt;&gt;",'System map'!$C$4:$C$203,"&lt;&gt;",'System map'!$D$4:$D$203,"&lt;&gt;"),COUNTIFS(Components!$A$4:$A$253,F86,Components!$B$4:$B$253,E86,Components!$K$4:$K$253,"Confirmed",Components!$L$4:$L$253,"OK — verify source"))))&lt;&gt;1)),"Endpoint not source-reconciled",IF(AND(M86="Confirmed",OR(L86="",K86="",K86="Unknown",K86="Low")),"Confirmed link lacks verification","OK — verify source"))))))))))))))</f>
        <v/>
      </c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8" t="n"/>
      <c r="M87" s="27" t="n"/>
      <c r="N87" s="27">
        <f>IF(COUNTA(A87:M87)=0,"",IF(OR(A87="",B87="",C87="",D87="",E87="",F87="",I87="",J87="",K87="",M87=""),"Required link detail missing",IF(COUNTIF($A$4:$A$1003,A87)&gt;1,"Duplicate Map Edge ID",IF(NOT(OR(AND(B87="UC",E87="CAP",D87="requires"),AND(B87="CAP",E87="AIR",D87="provided by"),AND(B87="AIR",OR(E87="MOD",E87="DATA",E87="IF",E87="AG",E87="TOOL"),D87="references"),AND(B87="AIR",E87="AIR",D87="depends on"))),"Invalid relationship",IF(AND(M87&lt;&gt;"Superseded",COUNTIFS($B$4:$B$1003,B87,$C$4:$C$1003,C87,$D$4:$D$1003,D87,$E$4:$E$1003,E87,$F$4:$F$1003,F87,$G$4:$G$1003,G87,$M$4:$M$1003,"&lt;&gt;Superseded")&gt;1),"Duplicate relationship",IF(OR(IF(B87="UC",COUNTIF('Use cases'!$A$4:$A$253,C87),IF(B87="CAP",COUNTIF(Capabilities!$A$4:$A$253,C87),IF(B87="AIR",COUNTIF('System map'!$A$4:$A$203,C87),COUNTIFS(Components!$A$4:$A$253,C87,Components!$B$4:$B$253,B87))))&lt;&gt;1,IF(E87="UC",COUNTIF('Use cases'!$A$4:$A$253,F87),IF(E87="CAP",COUNTIF(Capabilities!$A$4:$A$253,F87),IF(E87="AIR",COUNTIF('System map'!$A$4:$A$203,F87),COUNTIFS(Components!$A$4:$A$253,F87,Components!$B$4:$B$253,E87))))&lt;&gt;1),"Endpoint missing or duplicated",IF(AND(NOT(AND(B87="UC",E87="CAP")),OR(G87="",COUNTIF('System map'!$A$4:$A$203,G87)&lt;&gt;1)),"AIR context missing / unknown",IF(AND(B87="CAP",E87="AIR",G87&lt;&gt;F87),"AIR context mismatch",IF(AND(B87="AIR",G87&lt;&gt;C87),"AIR context mismatch",IF(AND(B87="AIR",E87="AIR",C87=F87),"Self-dependency",IF(AND(B87="AIR",E87="AIR",M87&lt;&gt;"Superseded",COUNTIFS($B$4:$B$1003,"AIR",$C$4:$C$1003,F87,$E$4:$E$1003,"AIR",$F$4:$F$1003,C87,$M$4:$M$1003,"&lt;&gt;Superseded")&gt;0),"Dependency cycle (A↔B) — review",IF(AND(B87="AIR",OR(E87="MOD",E87="DATA",E87="IF",E87="AG",E87="TOOL"),IFERROR(INDEX(Components!$G$4:$G$253,MATCH(F87,Components!$A$4:$A$253,0)),"")&lt;&gt;"",IFERROR(INDEX(Components!$G$4:$G$253,MATCH(F87,Components!$A$4:$A$253,0)),"")&lt;&gt;C87),"Component owned by another AIR-ID",IF(AND(M87="Confirmed",OR(IF(B87="UC",COUNTIFS('Use cases'!$A$4:$A$253,C87,'Use cases'!$I$4:$I$253,"Confirmed",'Use cases'!$J$4:$J$253,"OK — verify source"),IF(B87="CAP",COUNTIFS(Capabilities!$A$4:$A$253,C87,Capabilities!$J$4:$J$253,"Confirmed",Capabilities!$K$4:$K$253,"OK — verify source"),IF(B87="AIR",COUNTIFS('System map'!$A$4:$A$203,C87,'System map'!$B$4:$B$203,"&lt;&gt;",'System map'!$C$4:$C$203,"&lt;&gt;",'System map'!$D$4:$D$203,"&lt;&gt;"),COUNTIFS(Components!$A$4:$A$253,C87,Components!$B$4:$B$253,B87,Components!$K$4:$K$253,"Confirmed",Components!$L$4:$L$253,"OK — verify source"))))&lt;&gt;1,IF(E87="UC",COUNTIFS('Use cases'!$A$4:$A$253,F87,'Use cases'!$I$4:$I$253,"Confirmed",'Use cases'!$J$4:$J$253,"OK — verify source"),IF(E87="CAP",COUNTIFS(Capabilities!$A$4:$A$253,F87,Capabilities!$J$4:$J$253,"Confirmed",Capabilities!$K$4:$K$253,"OK — verify source"),IF(E87="AIR",COUNTIFS('System map'!$A$4:$A$203,F87,'System map'!$B$4:$B$203,"&lt;&gt;",'System map'!$C$4:$C$203,"&lt;&gt;",'System map'!$D$4:$D$203,"&lt;&gt;"),COUNTIFS(Components!$A$4:$A$253,F87,Components!$B$4:$B$253,E87,Components!$K$4:$K$253,"Confirmed",Components!$L$4:$L$253,"OK — verify source"))))&lt;&gt;1)),"Endpoint not source-reconciled",IF(AND(M87="Confirmed",OR(L87="",K87="",K87="Unknown",K87="Low")),"Confirmed link lacks verification","OK — verify source"))))))))))))))</f>
        <v/>
      </c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6" t="n"/>
      <c r="M88" s="25" t="n"/>
      <c r="N88" s="25">
        <f>IF(COUNTA(A88:M88)=0,"",IF(OR(A88="",B88="",C88="",D88="",E88="",F88="",I88="",J88="",K88="",M88=""),"Required link detail missing",IF(COUNTIF($A$4:$A$1003,A88)&gt;1,"Duplicate Map Edge ID",IF(NOT(OR(AND(B88="UC",E88="CAP",D88="requires"),AND(B88="CAP",E88="AIR",D88="provided by"),AND(B88="AIR",OR(E88="MOD",E88="DATA",E88="IF",E88="AG",E88="TOOL"),D88="references"),AND(B88="AIR",E88="AIR",D88="depends on"))),"Invalid relationship",IF(AND(M88&lt;&gt;"Superseded",COUNTIFS($B$4:$B$1003,B88,$C$4:$C$1003,C88,$D$4:$D$1003,D88,$E$4:$E$1003,E88,$F$4:$F$1003,F88,$G$4:$G$1003,G88,$M$4:$M$1003,"&lt;&gt;Superseded")&gt;1),"Duplicate relationship",IF(OR(IF(B88="UC",COUNTIF('Use cases'!$A$4:$A$253,C88),IF(B88="CAP",COUNTIF(Capabilities!$A$4:$A$253,C88),IF(B88="AIR",COUNTIF('System map'!$A$4:$A$203,C88),COUNTIFS(Components!$A$4:$A$253,C88,Components!$B$4:$B$253,B88))))&lt;&gt;1,IF(E88="UC",COUNTIF('Use cases'!$A$4:$A$253,F88),IF(E88="CAP",COUNTIF(Capabilities!$A$4:$A$253,F88),IF(E88="AIR",COUNTIF('System map'!$A$4:$A$203,F88),COUNTIFS(Components!$A$4:$A$253,F88,Components!$B$4:$B$253,E88))))&lt;&gt;1),"Endpoint missing or duplicated",IF(AND(NOT(AND(B88="UC",E88="CAP")),OR(G88="",COUNTIF('System map'!$A$4:$A$203,G88)&lt;&gt;1)),"AIR context missing / unknown",IF(AND(B88="CAP",E88="AIR",G88&lt;&gt;F88),"AIR context mismatch",IF(AND(B88="AIR",G88&lt;&gt;C88),"AIR context mismatch",IF(AND(B88="AIR",E88="AIR",C88=F88),"Self-dependency",IF(AND(B88="AIR",E88="AIR",M88&lt;&gt;"Superseded",COUNTIFS($B$4:$B$1003,"AIR",$C$4:$C$1003,F88,$E$4:$E$1003,"AIR",$F$4:$F$1003,C88,$M$4:$M$1003,"&lt;&gt;Superseded")&gt;0),"Dependency cycle (A↔B) — review",IF(AND(B88="AIR",OR(E88="MOD",E88="DATA",E88="IF",E88="AG",E88="TOOL"),IFERROR(INDEX(Components!$G$4:$G$253,MATCH(F88,Components!$A$4:$A$253,0)),"")&lt;&gt;"",IFERROR(INDEX(Components!$G$4:$G$253,MATCH(F88,Components!$A$4:$A$253,0)),"")&lt;&gt;C88),"Component owned by another AIR-ID",IF(AND(M88="Confirmed",OR(IF(B88="UC",COUNTIFS('Use cases'!$A$4:$A$253,C88,'Use cases'!$I$4:$I$253,"Confirmed",'Use cases'!$J$4:$J$253,"OK — verify source"),IF(B88="CAP",COUNTIFS(Capabilities!$A$4:$A$253,C88,Capabilities!$J$4:$J$253,"Confirmed",Capabilities!$K$4:$K$253,"OK — verify source"),IF(B88="AIR",COUNTIFS('System map'!$A$4:$A$203,C88,'System map'!$B$4:$B$203,"&lt;&gt;",'System map'!$C$4:$C$203,"&lt;&gt;",'System map'!$D$4:$D$203,"&lt;&gt;"),COUNTIFS(Components!$A$4:$A$253,C88,Components!$B$4:$B$253,B88,Components!$K$4:$K$253,"Confirmed",Components!$L$4:$L$253,"OK — verify source"))))&lt;&gt;1,IF(E88="UC",COUNTIFS('Use cases'!$A$4:$A$253,F88,'Use cases'!$I$4:$I$253,"Confirmed",'Use cases'!$J$4:$J$253,"OK — verify source"),IF(E88="CAP",COUNTIFS(Capabilities!$A$4:$A$253,F88,Capabilities!$J$4:$J$253,"Confirmed",Capabilities!$K$4:$K$253,"OK — verify source"),IF(E88="AIR",COUNTIFS('System map'!$A$4:$A$203,F88,'System map'!$B$4:$B$203,"&lt;&gt;",'System map'!$C$4:$C$203,"&lt;&gt;",'System map'!$D$4:$D$203,"&lt;&gt;"),COUNTIFS(Components!$A$4:$A$253,F88,Components!$B$4:$B$253,E88,Components!$K$4:$K$253,"Confirmed",Components!$L$4:$L$253,"OK — verify source"))))&lt;&gt;1)),"Endpoint not source-reconciled",IF(AND(M88="Confirmed",OR(L88="",K88="",K88="Unknown",K88="Low")),"Confirmed link lacks verification","OK — verify source"))))))))))))))</f>
        <v/>
      </c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8" t="n"/>
      <c r="M89" s="27" t="n"/>
      <c r="N89" s="27">
        <f>IF(COUNTA(A89:M89)=0,"",IF(OR(A89="",B89="",C89="",D89="",E89="",F89="",I89="",J89="",K89="",M89=""),"Required link detail missing",IF(COUNTIF($A$4:$A$1003,A89)&gt;1,"Duplicate Map Edge ID",IF(NOT(OR(AND(B89="UC",E89="CAP",D89="requires"),AND(B89="CAP",E89="AIR",D89="provided by"),AND(B89="AIR",OR(E89="MOD",E89="DATA",E89="IF",E89="AG",E89="TOOL"),D89="references"),AND(B89="AIR",E89="AIR",D89="depends on"))),"Invalid relationship",IF(AND(M89&lt;&gt;"Superseded",COUNTIFS($B$4:$B$1003,B89,$C$4:$C$1003,C89,$D$4:$D$1003,D89,$E$4:$E$1003,E89,$F$4:$F$1003,F89,$G$4:$G$1003,G89,$M$4:$M$1003,"&lt;&gt;Superseded")&gt;1),"Duplicate relationship",IF(OR(IF(B89="UC",COUNTIF('Use cases'!$A$4:$A$253,C89),IF(B89="CAP",COUNTIF(Capabilities!$A$4:$A$253,C89),IF(B89="AIR",COUNTIF('System map'!$A$4:$A$203,C89),COUNTIFS(Components!$A$4:$A$253,C89,Components!$B$4:$B$253,B89))))&lt;&gt;1,IF(E89="UC",COUNTIF('Use cases'!$A$4:$A$253,F89),IF(E89="CAP",COUNTIF(Capabilities!$A$4:$A$253,F89),IF(E89="AIR",COUNTIF('System map'!$A$4:$A$203,F89),COUNTIFS(Components!$A$4:$A$253,F89,Components!$B$4:$B$253,E89))))&lt;&gt;1),"Endpoint missing or duplicated",IF(AND(NOT(AND(B89="UC",E89="CAP")),OR(G89="",COUNTIF('System map'!$A$4:$A$203,G89)&lt;&gt;1)),"AIR context missing / unknown",IF(AND(B89="CAP",E89="AIR",G89&lt;&gt;F89),"AIR context mismatch",IF(AND(B89="AIR",G89&lt;&gt;C89),"AIR context mismatch",IF(AND(B89="AIR",E89="AIR",C89=F89),"Self-dependency",IF(AND(B89="AIR",E89="AIR",M89&lt;&gt;"Superseded",COUNTIFS($B$4:$B$1003,"AIR",$C$4:$C$1003,F89,$E$4:$E$1003,"AIR",$F$4:$F$1003,C89,$M$4:$M$1003,"&lt;&gt;Superseded")&gt;0),"Dependency cycle (A↔B) — review",IF(AND(B89="AIR",OR(E89="MOD",E89="DATA",E89="IF",E89="AG",E89="TOOL"),IFERROR(INDEX(Components!$G$4:$G$253,MATCH(F89,Components!$A$4:$A$253,0)),"")&lt;&gt;"",IFERROR(INDEX(Components!$G$4:$G$253,MATCH(F89,Components!$A$4:$A$253,0)),"")&lt;&gt;C89),"Component owned by another AIR-ID",IF(AND(M89="Confirmed",OR(IF(B89="UC",COUNTIFS('Use cases'!$A$4:$A$253,C89,'Use cases'!$I$4:$I$253,"Confirmed",'Use cases'!$J$4:$J$253,"OK — verify source"),IF(B89="CAP",COUNTIFS(Capabilities!$A$4:$A$253,C89,Capabilities!$J$4:$J$253,"Confirmed",Capabilities!$K$4:$K$253,"OK — verify source"),IF(B89="AIR",COUNTIFS('System map'!$A$4:$A$203,C89,'System map'!$B$4:$B$203,"&lt;&gt;",'System map'!$C$4:$C$203,"&lt;&gt;",'System map'!$D$4:$D$203,"&lt;&gt;"),COUNTIFS(Components!$A$4:$A$253,C89,Components!$B$4:$B$253,B89,Components!$K$4:$K$253,"Confirmed",Components!$L$4:$L$253,"OK — verify source"))))&lt;&gt;1,IF(E89="UC",COUNTIFS('Use cases'!$A$4:$A$253,F89,'Use cases'!$I$4:$I$253,"Confirmed",'Use cases'!$J$4:$J$253,"OK — verify source"),IF(E89="CAP",COUNTIFS(Capabilities!$A$4:$A$253,F89,Capabilities!$J$4:$J$253,"Confirmed",Capabilities!$K$4:$K$253,"OK — verify source"),IF(E89="AIR",COUNTIFS('System map'!$A$4:$A$203,F89,'System map'!$B$4:$B$203,"&lt;&gt;",'System map'!$C$4:$C$203,"&lt;&gt;",'System map'!$D$4:$D$203,"&lt;&gt;"),COUNTIFS(Components!$A$4:$A$253,F89,Components!$B$4:$B$253,E89,Components!$K$4:$K$253,"Confirmed",Components!$L$4:$L$253,"OK — verify source"))))&lt;&gt;1)),"Endpoint not source-reconciled",IF(AND(M89="Confirmed",OR(L89="",K89="",K89="Unknown",K89="Low")),"Confirmed link lacks verification","OK — verify source"))))))))))))))</f>
        <v/>
      </c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6" t="n"/>
      <c r="M90" s="25" t="n"/>
      <c r="N90" s="25">
        <f>IF(COUNTA(A90:M90)=0,"",IF(OR(A90="",B90="",C90="",D90="",E90="",F90="",I90="",J90="",K90="",M90=""),"Required link detail missing",IF(COUNTIF($A$4:$A$1003,A90)&gt;1,"Duplicate Map Edge ID",IF(NOT(OR(AND(B90="UC",E90="CAP",D90="requires"),AND(B90="CAP",E90="AIR",D90="provided by"),AND(B90="AIR",OR(E90="MOD",E90="DATA",E90="IF",E90="AG",E90="TOOL"),D90="references"),AND(B90="AIR",E90="AIR",D90="depends on"))),"Invalid relationship",IF(AND(M90&lt;&gt;"Superseded",COUNTIFS($B$4:$B$1003,B90,$C$4:$C$1003,C90,$D$4:$D$1003,D90,$E$4:$E$1003,E90,$F$4:$F$1003,F90,$G$4:$G$1003,G90,$M$4:$M$1003,"&lt;&gt;Superseded")&gt;1),"Duplicate relationship",IF(OR(IF(B90="UC",COUNTIF('Use cases'!$A$4:$A$253,C90),IF(B90="CAP",COUNTIF(Capabilities!$A$4:$A$253,C90),IF(B90="AIR",COUNTIF('System map'!$A$4:$A$203,C90),COUNTIFS(Components!$A$4:$A$253,C90,Components!$B$4:$B$253,B90))))&lt;&gt;1,IF(E90="UC",COUNTIF('Use cases'!$A$4:$A$253,F90),IF(E90="CAP",COUNTIF(Capabilities!$A$4:$A$253,F90),IF(E90="AIR",COUNTIF('System map'!$A$4:$A$203,F90),COUNTIFS(Components!$A$4:$A$253,F90,Components!$B$4:$B$253,E90))))&lt;&gt;1),"Endpoint missing or duplicated",IF(AND(NOT(AND(B90="UC",E90="CAP")),OR(G90="",COUNTIF('System map'!$A$4:$A$203,G90)&lt;&gt;1)),"AIR context missing / unknown",IF(AND(B90="CAP",E90="AIR",G90&lt;&gt;F90),"AIR context mismatch",IF(AND(B90="AIR",G90&lt;&gt;C90),"AIR context mismatch",IF(AND(B90="AIR",E90="AIR",C90=F90),"Self-dependency",IF(AND(B90="AIR",E90="AIR",M90&lt;&gt;"Superseded",COUNTIFS($B$4:$B$1003,"AIR",$C$4:$C$1003,F90,$E$4:$E$1003,"AIR",$F$4:$F$1003,C90,$M$4:$M$1003,"&lt;&gt;Superseded")&gt;0),"Dependency cycle (A↔B) — review",IF(AND(B90="AIR",OR(E90="MOD",E90="DATA",E90="IF",E90="AG",E90="TOOL"),IFERROR(INDEX(Components!$G$4:$G$253,MATCH(F90,Components!$A$4:$A$253,0)),"")&lt;&gt;"",IFERROR(INDEX(Components!$G$4:$G$253,MATCH(F90,Components!$A$4:$A$253,0)),"")&lt;&gt;C90),"Component owned by another AIR-ID",IF(AND(M90="Confirmed",OR(IF(B90="UC",COUNTIFS('Use cases'!$A$4:$A$253,C90,'Use cases'!$I$4:$I$253,"Confirmed",'Use cases'!$J$4:$J$253,"OK — verify source"),IF(B90="CAP",COUNTIFS(Capabilities!$A$4:$A$253,C90,Capabilities!$J$4:$J$253,"Confirmed",Capabilities!$K$4:$K$253,"OK — verify source"),IF(B90="AIR",COUNTIFS('System map'!$A$4:$A$203,C90,'System map'!$B$4:$B$203,"&lt;&gt;",'System map'!$C$4:$C$203,"&lt;&gt;",'System map'!$D$4:$D$203,"&lt;&gt;"),COUNTIFS(Components!$A$4:$A$253,C90,Components!$B$4:$B$253,B90,Components!$K$4:$K$253,"Confirmed",Components!$L$4:$L$253,"OK — verify source"))))&lt;&gt;1,IF(E90="UC",COUNTIFS('Use cases'!$A$4:$A$253,F90,'Use cases'!$I$4:$I$253,"Confirmed",'Use cases'!$J$4:$J$253,"OK — verify source"),IF(E90="CAP",COUNTIFS(Capabilities!$A$4:$A$253,F90,Capabilities!$J$4:$J$253,"Confirmed",Capabilities!$K$4:$K$253,"OK — verify source"),IF(E90="AIR",COUNTIFS('System map'!$A$4:$A$203,F90,'System map'!$B$4:$B$203,"&lt;&gt;",'System map'!$C$4:$C$203,"&lt;&gt;",'System map'!$D$4:$D$203,"&lt;&gt;"),COUNTIFS(Components!$A$4:$A$253,F90,Components!$B$4:$B$253,E90,Components!$K$4:$K$253,"Confirmed",Components!$L$4:$L$253,"OK — verify source"))))&lt;&gt;1)),"Endpoint not source-reconciled",IF(AND(M90="Confirmed",OR(L90="",K90="",K90="Unknown",K90="Low")),"Confirmed link lacks verification","OK — verify source"))))))))))))))</f>
        <v/>
      </c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8" t="n"/>
      <c r="M91" s="27" t="n"/>
      <c r="N91" s="27">
        <f>IF(COUNTA(A91:M91)=0,"",IF(OR(A91="",B91="",C91="",D91="",E91="",F91="",I91="",J91="",K91="",M91=""),"Required link detail missing",IF(COUNTIF($A$4:$A$1003,A91)&gt;1,"Duplicate Map Edge ID",IF(NOT(OR(AND(B91="UC",E91="CAP",D91="requires"),AND(B91="CAP",E91="AIR",D91="provided by"),AND(B91="AIR",OR(E91="MOD",E91="DATA",E91="IF",E91="AG",E91="TOOL"),D91="references"),AND(B91="AIR",E91="AIR",D91="depends on"))),"Invalid relationship",IF(AND(M91&lt;&gt;"Superseded",COUNTIFS($B$4:$B$1003,B91,$C$4:$C$1003,C91,$D$4:$D$1003,D91,$E$4:$E$1003,E91,$F$4:$F$1003,F91,$G$4:$G$1003,G91,$M$4:$M$1003,"&lt;&gt;Superseded")&gt;1),"Duplicate relationship",IF(OR(IF(B91="UC",COUNTIF('Use cases'!$A$4:$A$253,C91),IF(B91="CAP",COUNTIF(Capabilities!$A$4:$A$253,C91),IF(B91="AIR",COUNTIF('System map'!$A$4:$A$203,C91),COUNTIFS(Components!$A$4:$A$253,C91,Components!$B$4:$B$253,B91))))&lt;&gt;1,IF(E91="UC",COUNTIF('Use cases'!$A$4:$A$253,F91),IF(E91="CAP",COUNTIF(Capabilities!$A$4:$A$253,F91),IF(E91="AIR",COUNTIF('System map'!$A$4:$A$203,F91),COUNTIFS(Components!$A$4:$A$253,F91,Components!$B$4:$B$253,E91))))&lt;&gt;1),"Endpoint missing or duplicated",IF(AND(NOT(AND(B91="UC",E91="CAP")),OR(G91="",COUNTIF('System map'!$A$4:$A$203,G91)&lt;&gt;1)),"AIR context missing / unknown",IF(AND(B91="CAP",E91="AIR",G91&lt;&gt;F91),"AIR context mismatch",IF(AND(B91="AIR",G91&lt;&gt;C91),"AIR context mismatch",IF(AND(B91="AIR",E91="AIR",C91=F91),"Self-dependency",IF(AND(B91="AIR",E91="AIR",M91&lt;&gt;"Superseded",COUNTIFS($B$4:$B$1003,"AIR",$C$4:$C$1003,F91,$E$4:$E$1003,"AIR",$F$4:$F$1003,C91,$M$4:$M$1003,"&lt;&gt;Superseded")&gt;0),"Dependency cycle (A↔B) — review",IF(AND(B91="AIR",OR(E91="MOD",E91="DATA",E91="IF",E91="AG",E91="TOOL"),IFERROR(INDEX(Components!$G$4:$G$253,MATCH(F91,Components!$A$4:$A$253,0)),"")&lt;&gt;"",IFERROR(INDEX(Components!$G$4:$G$253,MATCH(F91,Components!$A$4:$A$253,0)),"")&lt;&gt;C91),"Component owned by another AIR-ID",IF(AND(M91="Confirmed",OR(IF(B91="UC",COUNTIFS('Use cases'!$A$4:$A$253,C91,'Use cases'!$I$4:$I$253,"Confirmed",'Use cases'!$J$4:$J$253,"OK — verify source"),IF(B91="CAP",COUNTIFS(Capabilities!$A$4:$A$253,C91,Capabilities!$J$4:$J$253,"Confirmed",Capabilities!$K$4:$K$253,"OK — verify source"),IF(B91="AIR",COUNTIFS('System map'!$A$4:$A$203,C91,'System map'!$B$4:$B$203,"&lt;&gt;",'System map'!$C$4:$C$203,"&lt;&gt;",'System map'!$D$4:$D$203,"&lt;&gt;"),COUNTIFS(Components!$A$4:$A$253,C91,Components!$B$4:$B$253,B91,Components!$K$4:$K$253,"Confirmed",Components!$L$4:$L$253,"OK — verify source"))))&lt;&gt;1,IF(E91="UC",COUNTIFS('Use cases'!$A$4:$A$253,F91,'Use cases'!$I$4:$I$253,"Confirmed",'Use cases'!$J$4:$J$253,"OK — verify source"),IF(E91="CAP",COUNTIFS(Capabilities!$A$4:$A$253,F91,Capabilities!$J$4:$J$253,"Confirmed",Capabilities!$K$4:$K$253,"OK — verify source"),IF(E91="AIR",COUNTIFS('System map'!$A$4:$A$203,F91,'System map'!$B$4:$B$203,"&lt;&gt;",'System map'!$C$4:$C$203,"&lt;&gt;",'System map'!$D$4:$D$203,"&lt;&gt;"),COUNTIFS(Components!$A$4:$A$253,F91,Components!$B$4:$B$253,E91,Components!$K$4:$K$253,"Confirmed",Components!$L$4:$L$253,"OK — verify source"))))&lt;&gt;1)),"Endpoint not source-reconciled",IF(AND(M91="Confirmed",OR(L91="",K91="",K91="Unknown",K91="Low")),"Confirmed link lacks verification","OK — verify source"))))))))))))))</f>
        <v/>
      </c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6" t="n"/>
      <c r="M92" s="25" t="n"/>
      <c r="N92" s="25">
        <f>IF(COUNTA(A92:M92)=0,"",IF(OR(A92="",B92="",C92="",D92="",E92="",F92="",I92="",J92="",K92="",M92=""),"Required link detail missing",IF(COUNTIF($A$4:$A$1003,A92)&gt;1,"Duplicate Map Edge ID",IF(NOT(OR(AND(B92="UC",E92="CAP",D92="requires"),AND(B92="CAP",E92="AIR",D92="provided by"),AND(B92="AIR",OR(E92="MOD",E92="DATA",E92="IF",E92="AG",E92="TOOL"),D92="references"),AND(B92="AIR",E92="AIR",D92="depends on"))),"Invalid relationship",IF(AND(M92&lt;&gt;"Superseded",COUNTIFS($B$4:$B$1003,B92,$C$4:$C$1003,C92,$D$4:$D$1003,D92,$E$4:$E$1003,E92,$F$4:$F$1003,F92,$G$4:$G$1003,G92,$M$4:$M$1003,"&lt;&gt;Superseded")&gt;1),"Duplicate relationship",IF(OR(IF(B92="UC",COUNTIF('Use cases'!$A$4:$A$253,C92),IF(B92="CAP",COUNTIF(Capabilities!$A$4:$A$253,C92),IF(B92="AIR",COUNTIF('System map'!$A$4:$A$203,C92),COUNTIFS(Components!$A$4:$A$253,C92,Components!$B$4:$B$253,B92))))&lt;&gt;1,IF(E92="UC",COUNTIF('Use cases'!$A$4:$A$253,F92),IF(E92="CAP",COUNTIF(Capabilities!$A$4:$A$253,F92),IF(E92="AIR",COUNTIF('System map'!$A$4:$A$203,F92),COUNTIFS(Components!$A$4:$A$253,F92,Components!$B$4:$B$253,E92))))&lt;&gt;1),"Endpoint missing or duplicated",IF(AND(NOT(AND(B92="UC",E92="CAP")),OR(G92="",COUNTIF('System map'!$A$4:$A$203,G92)&lt;&gt;1)),"AIR context missing / unknown",IF(AND(B92="CAP",E92="AIR",G92&lt;&gt;F92),"AIR context mismatch",IF(AND(B92="AIR",G92&lt;&gt;C92),"AIR context mismatch",IF(AND(B92="AIR",E92="AIR",C92=F92),"Self-dependency",IF(AND(B92="AIR",E92="AIR",M92&lt;&gt;"Superseded",COUNTIFS($B$4:$B$1003,"AIR",$C$4:$C$1003,F92,$E$4:$E$1003,"AIR",$F$4:$F$1003,C92,$M$4:$M$1003,"&lt;&gt;Superseded")&gt;0),"Dependency cycle (A↔B) — review",IF(AND(B92="AIR",OR(E92="MOD",E92="DATA",E92="IF",E92="AG",E92="TOOL"),IFERROR(INDEX(Components!$G$4:$G$253,MATCH(F92,Components!$A$4:$A$253,0)),"")&lt;&gt;"",IFERROR(INDEX(Components!$G$4:$G$253,MATCH(F92,Components!$A$4:$A$253,0)),"")&lt;&gt;C92),"Component owned by another AIR-ID",IF(AND(M92="Confirmed",OR(IF(B92="UC",COUNTIFS('Use cases'!$A$4:$A$253,C92,'Use cases'!$I$4:$I$253,"Confirmed",'Use cases'!$J$4:$J$253,"OK — verify source"),IF(B92="CAP",COUNTIFS(Capabilities!$A$4:$A$253,C92,Capabilities!$J$4:$J$253,"Confirmed",Capabilities!$K$4:$K$253,"OK — verify source"),IF(B92="AIR",COUNTIFS('System map'!$A$4:$A$203,C92,'System map'!$B$4:$B$203,"&lt;&gt;",'System map'!$C$4:$C$203,"&lt;&gt;",'System map'!$D$4:$D$203,"&lt;&gt;"),COUNTIFS(Components!$A$4:$A$253,C92,Components!$B$4:$B$253,B92,Components!$K$4:$K$253,"Confirmed",Components!$L$4:$L$253,"OK — verify source"))))&lt;&gt;1,IF(E92="UC",COUNTIFS('Use cases'!$A$4:$A$253,F92,'Use cases'!$I$4:$I$253,"Confirmed",'Use cases'!$J$4:$J$253,"OK — verify source"),IF(E92="CAP",COUNTIFS(Capabilities!$A$4:$A$253,F92,Capabilities!$J$4:$J$253,"Confirmed",Capabilities!$K$4:$K$253,"OK — verify source"),IF(E92="AIR",COUNTIFS('System map'!$A$4:$A$203,F92,'System map'!$B$4:$B$203,"&lt;&gt;",'System map'!$C$4:$C$203,"&lt;&gt;",'System map'!$D$4:$D$203,"&lt;&gt;"),COUNTIFS(Components!$A$4:$A$253,F92,Components!$B$4:$B$253,E92,Components!$K$4:$K$253,"Confirmed",Components!$L$4:$L$253,"OK — verify source"))))&lt;&gt;1)),"Endpoint not source-reconciled",IF(AND(M92="Confirmed",OR(L92="",K92="",K92="Unknown",K92="Low")),"Confirmed link lacks verification","OK — verify source"))))))))))))))</f>
        <v/>
      </c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8" t="n"/>
      <c r="M93" s="27" t="n"/>
      <c r="N93" s="27">
        <f>IF(COUNTA(A93:M93)=0,"",IF(OR(A93="",B93="",C93="",D93="",E93="",F93="",I93="",J93="",K93="",M93=""),"Required link detail missing",IF(COUNTIF($A$4:$A$1003,A93)&gt;1,"Duplicate Map Edge ID",IF(NOT(OR(AND(B93="UC",E93="CAP",D93="requires"),AND(B93="CAP",E93="AIR",D93="provided by"),AND(B93="AIR",OR(E93="MOD",E93="DATA",E93="IF",E93="AG",E93="TOOL"),D93="references"),AND(B93="AIR",E93="AIR",D93="depends on"))),"Invalid relationship",IF(AND(M93&lt;&gt;"Superseded",COUNTIFS($B$4:$B$1003,B93,$C$4:$C$1003,C93,$D$4:$D$1003,D93,$E$4:$E$1003,E93,$F$4:$F$1003,F93,$G$4:$G$1003,G93,$M$4:$M$1003,"&lt;&gt;Superseded")&gt;1),"Duplicate relationship",IF(OR(IF(B93="UC",COUNTIF('Use cases'!$A$4:$A$253,C93),IF(B93="CAP",COUNTIF(Capabilities!$A$4:$A$253,C93),IF(B93="AIR",COUNTIF('System map'!$A$4:$A$203,C93),COUNTIFS(Components!$A$4:$A$253,C93,Components!$B$4:$B$253,B93))))&lt;&gt;1,IF(E93="UC",COUNTIF('Use cases'!$A$4:$A$253,F93),IF(E93="CAP",COUNTIF(Capabilities!$A$4:$A$253,F93),IF(E93="AIR",COUNTIF('System map'!$A$4:$A$203,F93),COUNTIFS(Components!$A$4:$A$253,F93,Components!$B$4:$B$253,E93))))&lt;&gt;1),"Endpoint missing or duplicated",IF(AND(NOT(AND(B93="UC",E93="CAP")),OR(G93="",COUNTIF('System map'!$A$4:$A$203,G93)&lt;&gt;1)),"AIR context missing / unknown",IF(AND(B93="CAP",E93="AIR",G93&lt;&gt;F93),"AIR context mismatch",IF(AND(B93="AIR",G93&lt;&gt;C93),"AIR context mismatch",IF(AND(B93="AIR",E93="AIR",C93=F93),"Self-dependency",IF(AND(B93="AIR",E93="AIR",M93&lt;&gt;"Superseded",COUNTIFS($B$4:$B$1003,"AIR",$C$4:$C$1003,F93,$E$4:$E$1003,"AIR",$F$4:$F$1003,C93,$M$4:$M$1003,"&lt;&gt;Superseded")&gt;0),"Dependency cycle (A↔B) — review",IF(AND(B93="AIR",OR(E93="MOD",E93="DATA",E93="IF",E93="AG",E93="TOOL"),IFERROR(INDEX(Components!$G$4:$G$253,MATCH(F93,Components!$A$4:$A$253,0)),"")&lt;&gt;"",IFERROR(INDEX(Components!$G$4:$G$253,MATCH(F93,Components!$A$4:$A$253,0)),"")&lt;&gt;C93),"Component owned by another AIR-ID",IF(AND(M93="Confirmed",OR(IF(B93="UC",COUNTIFS('Use cases'!$A$4:$A$253,C93,'Use cases'!$I$4:$I$253,"Confirmed",'Use cases'!$J$4:$J$253,"OK — verify source"),IF(B93="CAP",COUNTIFS(Capabilities!$A$4:$A$253,C93,Capabilities!$J$4:$J$253,"Confirmed",Capabilities!$K$4:$K$253,"OK — verify source"),IF(B93="AIR",COUNTIFS('System map'!$A$4:$A$203,C93,'System map'!$B$4:$B$203,"&lt;&gt;",'System map'!$C$4:$C$203,"&lt;&gt;",'System map'!$D$4:$D$203,"&lt;&gt;"),COUNTIFS(Components!$A$4:$A$253,C93,Components!$B$4:$B$253,B93,Components!$K$4:$K$253,"Confirmed",Components!$L$4:$L$253,"OK — verify source"))))&lt;&gt;1,IF(E93="UC",COUNTIFS('Use cases'!$A$4:$A$253,F93,'Use cases'!$I$4:$I$253,"Confirmed",'Use cases'!$J$4:$J$253,"OK — verify source"),IF(E93="CAP",COUNTIFS(Capabilities!$A$4:$A$253,F93,Capabilities!$J$4:$J$253,"Confirmed",Capabilities!$K$4:$K$253,"OK — verify source"),IF(E93="AIR",COUNTIFS('System map'!$A$4:$A$203,F93,'System map'!$B$4:$B$203,"&lt;&gt;",'System map'!$C$4:$C$203,"&lt;&gt;",'System map'!$D$4:$D$203,"&lt;&gt;"),COUNTIFS(Components!$A$4:$A$253,F93,Components!$B$4:$B$253,E93,Components!$K$4:$K$253,"Confirmed",Components!$L$4:$L$253,"OK — verify source"))))&lt;&gt;1)),"Endpoint not source-reconciled",IF(AND(M93="Confirmed",OR(L93="",K93="",K93="Unknown",K93="Low")),"Confirmed link lacks verification","OK — verify source"))))))))))))))</f>
        <v/>
      </c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6" t="n"/>
      <c r="M94" s="25" t="n"/>
      <c r="N94" s="25">
        <f>IF(COUNTA(A94:M94)=0,"",IF(OR(A94="",B94="",C94="",D94="",E94="",F94="",I94="",J94="",K94="",M94=""),"Required link detail missing",IF(COUNTIF($A$4:$A$1003,A94)&gt;1,"Duplicate Map Edge ID",IF(NOT(OR(AND(B94="UC",E94="CAP",D94="requires"),AND(B94="CAP",E94="AIR",D94="provided by"),AND(B94="AIR",OR(E94="MOD",E94="DATA",E94="IF",E94="AG",E94="TOOL"),D94="references"),AND(B94="AIR",E94="AIR",D94="depends on"))),"Invalid relationship",IF(AND(M94&lt;&gt;"Superseded",COUNTIFS($B$4:$B$1003,B94,$C$4:$C$1003,C94,$D$4:$D$1003,D94,$E$4:$E$1003,E94,$F$4:$F$1003,F94,$G$4:$G$1003,G94,$M$4:$M$1003,"&lt;&gt;Superseded")&gt;1),"Duplicate relationship",IF(OR(IF(B94="UC",COUNTIF('Use cases'!$A$4:$A$253,C94),IF(B94="CAP",COUNTIF(Capabilities!$A$4:$A$253,C94),IF(B94="AIR",COUNTIF('System map'!$A$4:$A$203,C94),COUNTIFS(Components!$A$4:$A$253,C94,Components!$B$4:$B$253,B94))))&lt;&gt;1,IF(E94="UC",COUNTIF('Use cases'!$A$4:$A$253,F94),IF(E94="CAP",COUNTIF(Capabilities!$A$4:$A$253,F94),IF(E94="AIR",COUNTIF('System map'!$A$4:$A$203,F94),COUNTIFS(Components!$A$4:$A$253,F94,Components!$B$4:$B$253,E94))))&lt;&gt;1),"Endpoint missing or duplicated",IF(AND(NOT(AND(B94="UC",E94="CAP")),OR(G94="",COUNTIF('System map'!$A$4:$A$203,G94)&lt;&gt;1)),"AIR context missing / unknown",IF(AND(B94="CAP",E94="AIR",G94&lt;&gt;F94),"AIR context mismatch",IF(AND(B94="AIR",G94&lt;&gt;C94),"AIR context mismatch",IF(AND(B94="AIR",E94="AIR",C94=F94),"Self-dependency",IF(AND(B94="AIR",E94="AIR",M94&lt;&gt;"Superseded",COUNTIFS($B$4:$B$1003,"AIR",$C$4:$C$1003,F94,$E$4:$E$1003,"AIR",$F$4:$F$1003,C94,$M$4:$M$1003,"&lt;&gt;Superseded")&gt;0),"Dependency cycle (A↔B) — review",IF(AND(B94="AIR",OR(E94="MOD",E94="DATA",E94="IF",E94="AG",E94="TOOL"),IFERROR(INDEX(Components!$G$4:$G$253,MATCH(F94,Components!$A$4:$A$253,0)),"")&lt;&gt;"",IFERROR(INDEX(Components!$G$4:$G$253,MATCH(F94,Components!$A$4:$A$253,0)),"")&lt;&gt;C94),"Component owned by another AIR-ID",IF(AND(M94="Confirmed",OR(IF(B94="UC",COUNTIFS('Use cases'!$A$4:$A$253,C94,'Use cases'!$I$4:$I$253,"Confirmed",'Use cases'!$J$4:$J$253,"OK — verify source"),IF(B94="CAP",COUNTIFS(Capabilities!$A$4:$A$253,C94,Capabilities!$J$4:$J$253,"Confirmed",Capabilities!$K$4:$K$253,"OK — verify source"),IF(B94="AIR",COUNTIFS('System map'!$A$4:$A$203,C94,'System map'!$B$4:$B$203,"&lt;&gt;",'System map'!$C$4:$C$203,"&lt;&gt;",'System map'!$D$4:$D$203,"&lt;&gt;"),COUNTIFS(Components!$A$4:$A$253,C94,Components!$B$4:$B$253,B94,Components!$K$4:$K$253,"Confirmed",Components!$L$4:$L$253,"OK — verify source"))))&lt;&gt;1,IF(E94="UC",COUNTIFS('Use cases'!$A$4:$A$253,F94,'Use cases'!$I$4:$I$253,"Confirmed",'Use cases'!$J$4:$J$253,"OK — verify source"),IF(E94="CAP",COUNTIFS(Capabilities!$A$4:$A$253,F94,Capabilities!$J$4:$J$253,"Confirmed",Capabilities!$K$4:$K$253,"OK — verify source"),IF(E94="AIR",COUNTIFS('System map'!$A$4:$A$203,F94,'System map'!$B$4:$B$203,"&lt;&gt;",'System map'!$C$4:$C$203,"&lt;&gt;",'System map'!$D$4:$D$203,"&lt;&gt;"),COUNTIFS(Components!$A$4:$A$253,F94,Components!$B$4:$B$253,E94,Components!$K$4:$K$253,"Confirmed",Components!$L$4:$L$253,"OK — verify source"))))&lt;&gt;1)),"Endpoint not source-reconciled",IF(AND(M94="Confirmed",OR(L94="",K94="",K94="Unknown",K94="Low")),"Confirmed link lacks verification","OK — verify source"))))))))))))))</f>
        <v/>
      </c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8" t="n"/>
      <c r="M95" s="27" t="n"/>
      <c r="N95" s="27">
        <f>IF(COUNTA(A95:M95)=0,"",IF(OR(A95="",B95="",C95="",D95="",E95="",F95="",I95="",J95="",K95="",M95=""),"Required link detail missing",IF(COUNTIF($A$4:$A$1003,A95)&gt;1,"Duplicate Map Edge ID",IF(NOT(OR(AND(B95="UC",E95="CAP",D95="requires"),AND(B95="CAP",E95="AIR",D95="provided by"),AND(B95="AIR",OR(E95="MOD",E95="DATA",E95="IF",E95="AG",E95="TOOL"),D95="references"),AND(B95="AIR",E95="AIR",D95="depends on"))),"Invalid relationship",IF(AND(M95&lt;&gt;"Superseded",COUNTIFS($B$4:$B$1003,B95,$C$4:$C$1003,C95,$D$4:$D$1003,D95,$E$4:$E$1003,E95,$F$4:$F$1003,F95,$G$4:$G$1003,G95,$M$4:$M$1003,"&lt;&gt;Superseded")&gt;1),"Duplicate relationship",IF(OR(IF(B95="UC",COUNTIF('Use cases'!$A$4:$A$253,C95),IF(B95="CAP",COUNTIF(Capabilities!$A$4:$A$253,C95),IF(B95="AIR",COUNTIF('System map'!$A$4:$A$203,C95),COUNTIFS(Components!$A$4:$A$253,C95,Components!$B$4:$B$253,B95))))&lt;&gt;1,IF(E95="UC",COUNTIF('Use cases'!$A$4:$A$253,F95),IF(E95="CAP",COUNTIF(Capabilities!$A$4:$A$253,F95),IF(E95="AIR",COUNTIF('System map'!$A$4:$A$203,F95),COUNTIFS(Components!$A$4:$A$253,F95,Components!$B$4:$B$253,E95))))&lt;&gt;1),"Endpoint missing or duplicated",IF(AND(NOT(AND(B95="UC",E95="CAP")),OR(G95="",COUNTIF('System map'!$A$4:$A$203,G95)&lt;&gt;1)),"AIR context missing / unknown",IF(AND(B95="CAP",E95="AIR",G95&lt;&gt;F95),"AIR context mismatch",IF(AND(B95="AIR",G95&lt;&gt;C95),"AIR context mismatch",IF(AND(B95="AIR",E95="AIR",C95=F95),"Self-dependency",IF(AND(B95="AIR",E95="AIR",M95&lt;&gt;"Superseded",COUNTIFS($B$4:$B$1003,"AIR",$C$4:$C$1003,F95,$E$4:$E$1003,"AIR",$F$4:$F$1003,C95,$M$4:$M$1003,"&lt;&gt;Superseded")&gt;0),"Dependency cycle (A↔B) — review",IF(AND(B95="AIR",OR(E95="MOD",E95="DATA",E95="IF",E95="AG",E95="TOOL"),IFERROR(INDEX(Components!$G$4:$G$253,MATCH(F95,Components!$A$4:$A$253,0)),"")&lt;&gt;"",IFERROR(INDEX(Components!$G$4:$G$253,MATCH(F95,Components!$A$4:$A$253,0)),"")&lt;&gt;C95),"Component owned by another AIR-ID",IF(AND(M95="Confirmed",OR(IF(B95="UC",COUNTIFS('Use cases'!$A$4:$A$253,C95,'Use cases'!$I$4:$I$253,"Confirmed",'Use cases'!$J$4:$J$253,"OK — verify source"),IF(B95="CAP",COUNTIFS(Capabilities!$A$4:$A$253,C95,Capabilities!$J$4:$J$253,"Confirmed",Capabilities!$K$4:$K$253,"OK — verify source"),IF(B95="AIR",COUNTIFS('System map'!$A$4:$A$203,C95,'System map'!$B$4:$B$203,"&lt;&gt;",'System map'!$C$4:$C$203,"&lt;&gt;",'System map'!$D$4:$D$203,"&lt;&gt;"),COUNTIFS(Components!$A$4:$A$253,C95,Components!$B$4:$B$253,B95,Components!$K$4:$K$253,"Confirmed",Components!$L$4:$L$253,"OK — verify source"))))&lt;&gt;1,IF(E95="UC",COUNTIFS('Use cases'!$A$4:$A$253,F95,'Use cases'!$I$4:$I$253,"Confirmed",'Use cases'!$J$4:$J$253,"OK — verify source"),IF(E95="CAP",COUNTIFS(Capabilities!$A$4:$A$253,F95,Capabilities!$J$4:$J$253,"Confirmed",Capabilities!$K$4:$K$253,"OK — verify source"),IF(E95="AIR",COUNTIFS('System map'!$A$4:$A$203,F95,'System map'!$B$4:$B$203,"&lt;&gt;",'System map'!$C$4:$C$203,"&lt;&gt;",'System map'!$D$4:$D$203,"&lt;&gt;"),COUNTIFS(Components!$A$4:$A$253,F95,Components!$B$4:$B$253,E95,Components!$K$4:$K$253,"Confirmed",Components!$L$4:$L$253,"OK — verify source"))))&lt;&gt;1)),"Endpoint not source-reconciled",IF(AND(M95="Confirmed",OR(L95="",K95="",K95="Unknown",K95="Low")),"Confirmed link lacks verification","OK — verify source"))))))))))))))</f>
        <v/>
      </c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6" t="n"/>
      <c r="M96" s="25" t="n"/>
      <c r="N96" s="25">
        <f>IF(COUNTA(A96:M96)=0,"",IF(OR(A96="",B96="",C96="",D96="",E96="",F96="",I96="",J96="",K96="",M96=""),"Required link detail missing",IF(COUNTIF($A$4:$A$1003,A96)&gt;1,"Duplicate Map Edge ID",IF(NOT(OR(AND(B96="UC",E96="CAP",D96="requires"),AND(B96="CAP",E96="AIR",D96="provided by"),AND(B96="AIR",OR(E96="MOD",E96="DATA",E96="IF",E96="AG",E96="TOOL"),D96="references"),AND(B96="AIR",E96="AIR",D96="depends on"))),"Invalid relationship",IF(AND(M96&lt;&gt;"Superseded",COUNTIFS($B$4:$B$1003,B96,$C$4:$C$1003,C96,$D$4:$D$1003,D96,$E$4:$E$1003,E96,$F$4:$F$1003,F96,$G$4:$G$1003,G96,$M$4:$M$1003,"&lt;&gt;Superseded")&gt;1),"Duplicate relationship",IF(OR(IF(B96="UC",COUNTIF('Use cases'!$A$4:$A$253,C96),IF(B96="CAP",COUNTIF(Capabilities!$A$4:$A$253,C96),IF(B96="AIR",COUNTIF('System map'!$A$4:$A$203,C96),COUNTIFS(Components!$A$4:$A$253,C96,Components!$B$4:$B$253,B96))))&lt;&gt;1,IF(E96="UC",COUNTIF('Use cases'!$A$4:$A$253,F96),IF(E96="CAP",COUNTIF(Capabilities!$A$4:$A$253,F96),IF(E96="AIR",COUNTIF('System map'!$A$4:$A$203,F96),COUNTIFS(Components!$A$4:$A$253,F96,Components!$B$4:$B$253,E96))))&lt;&gt;1),"Endpoint missing or duplicated",IF(AND(NOT(AND(B96="UC",E96="CAP")),OR(G96="",COUNTIF('System map'!$A$4:$A$203,G96)&lt;&gt;1)),"AIR context missing / unknown",IF(AND(B96="CAP",E96="AIR",G96&lt;&gt;F96),"AIR context mismatch",IF(AND(B96="AIR",G96&lt;&gt;C96),"AIR context mismatch",IF(AND(B96="AIR",E96="AIR",C96=F96),"Self-dependency",IF(AND(B96="AIR",E96="AIR",M96&lt;&gt;"Superseded",COUNTIFS($B$4:$B$1003,"AIR",$C$4:$C$1003,F96,$E$4:$E$1003,"AIR",$F$4:$F$1003,C96,$M$4:$M$1003,"&lt;&gt;Superseded")&gt;0),"Dependency cycle (A↔B) — review",IF(AND(B96="AIR",OR(E96="MOD",E96="DATA",E96="IF",E96="AG",E96="TOOL"),IFERROR(INDEX(Components!$G$4:$G$253,MATCH(F96,Components!$A$4:$A$253,0)),"")&lt;&gt;"",IFERROR(INDEX(Components!$G$4:$G$253,MATCH(F96,Components!$A$4:$A$253,0)),"")&lt;&gt;C96),"Component owned by another AIR-ID",IF(AND(M96="Confirmed",OR(IF(B96="UC",COUNTIFS('Use cases'!$A$4:$A$253,C96,'Use cases'!$I$4:$I$253,"Confirmed",'Use cases'!$J$4:$J$253,"OK — verify source"),IF(B96="CAP",COUNTIFS(Capabilities!$A$4:$A$253,C96,Capabilities!$J$4:$J$253,"Confirmed",Capabilities!$K$4:$K$253,"OK — verify source"),IF(B96="AIR",COUNTIFS('System map'!$A$4:$A$203,C96,'System map'!$B$4:$B$203,"&lt;&gt;",'System map'!$C$4:$C$203,"&lt;&gt;",'System map'!$D$4:$D$203,"&lt;&gt;"),COUNTIFS(Components!$A$4:$A$253,C96,Components!$B$4:$B$253,B96,Components!$K$4:$K$253,"Confirmed",Components!$L$4:$L$253,"OK — verify source"))))&lt;&gt;1,IF(E96="UC",COUNTIFS('Use cases'!$A$4:$A$253,F96,'Use cases'!$I$4:$I$253,"Confirmed",'Use cases'!$J$4:$J$253,"OK — verify source"),IF(E96="CAP",COUNTIFS(Capabilities!$A$4:$A$253,F96,Capabilities!$J$4:$J$253,"Confirmed",Capabilities!$K$4:$K$253,"OK — verify source"),IF(E96="AIR",COUNTIFS('System map'!$A$4:$A$203,F96,'System map'!$B$4:$B$203,"&lt;&gt;",'System map'!$C$4:$C$203,"&lt;&gt;",'System map'!$D$4:$D$203,"&lt;&gt;"),COUNTIFS(Components!$A$4:$A$253,F96,Components!$B$4:$B$253,E96,Components!$K$4:$K$253,"Confirmed",Components!$L$4:$L$253,"OK — verify source"))))&lt;&gt;1)),"Endpoint not source-reconciled",IF(AND(M96="Confirmed",OR(L96="",K96="",K96="Unknown",K96="Low")),"Confirmed link lacks verification","OK — verify source"))))))))))))))</f>
        <v/>
      </c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8" t="n"/>
      <c r="M97" s="27" t="n"/>
      <c r="N97" s="27">
        <f>IF(COUNTA(A97:M97)=0,"",IF(OR(A97="",B97="",C97="",D97="",E97="",F97="",I97="",J97="",K97="",M97=""),"Required link detail missing",IF(COUNTIF($A$4:$A$1003,A97)&gt;1,"Duplicate Map Edge ID",IF(NOT(OR(AND(B97="UC",E97="CAP",D97="requires"),AND(B97="CAP",E97="AIR",D97="provided by"),AND(B97="AIR",OR(E97="MOD",E97="DATA",E97="IF",E97="AG",E97="TOOL"),D97="references"),AND(B97="AIR",E97="AIR",D97="depends on"))),"Invalid relationship",IF(AND(M97&lt;&gt;"Superseded",COUNTIFS($B$4:$B$1003,B97,$C$4:$C$1003,C97,$D$4:$D$1003,D97,$E$4:$E$1003,E97,$F$4:$F$1003,F97,$G$4:$G$1003,G97,$M$4:$M$1003,"&lt;&gt;Superseded")&gt;1),"Duplicate relationship",IF(OR(IF(B97="UC",COUNTIF('Use cases'!$A$4:$A$253,C97),IF(B97="CAP",COUNTIF(Capabilities!$A$4:$A$253,C97),IF(B97="AIR",COUNTIF('System map'!$A$4:$A$203,C97),COUNTIFS(Components!$A$4:$A$253,C97,Components!$B$4:$B$253,B97))))&lt;&gt;1,IF(E97="UC",COUNTIF('Use cases'!$A$4:$A$253,F97),IF(E97="CAP",COUNTIF(Capabilities!$A$4:$A$253,F97),IF(E97="AIR",COUNTIF('System map'!$A$4:$A$203,F97),COUNTIFS(Components!$A$4:$A$253,F97,Components!$B$4:$B$253,E97))))&lt;&gt;1),"Endpoint missing or duplicated",IF(AND(NOT(AND(B97="UC",E97="CAP")),OR(G97="",COUNTIF('System map'!$A$4:$A$203,G97)&lt;&gt;1)),"AIR context missing / unknown",IF(AND(B97="CAP",E97="AIR",G97&lt;&gt;F97),"AIR context mismatch",IF(AND(B97="AIR",G97&lt;&gt;C97),"AIR context mismatch",IF(AND(B97="AIR",E97="AIR",C97=F97),"Self-dependency",IF(AND(B97="AIR",E97="AIR",M97&lt;&gt;"Superseded",COUNTIFS($B$4:$B$1003,"AIR",$C$4:$C$1003,F97,$E$4:$E$1003,"AIR",$F$4:$F$1003,C97,$M$4:$M$1003,"&lt;&gt;Superseded")&gt;0),"Dependency cycle (A↔B) — review",IF(AND(B97="AIR",OR(E97="MOD",E97="DATA",E97="IF",E97="AG",E97="TOOL"),IFERROR(INDEX(Components!$G$4:$G$253,MATCH(F97,Components!$A$4:$A$253,0)),"")&lt;&gt;"",IFERROR(INDEX(Components!$G$4:$G$253,MATCH(F97,Components!$A$4:$A$253,0)),"")&lt;&gt;C97),"Component owned by another AIR-ID",IF(AND(M97="Confirmed",OR(IF(B97="UC",COUNTIFS('Use cases'!$A$4:$A$253,C97,'Use cases'!$I$4:$I$253,"Confirmed",'Use cases'!$J$4:$J$253,"OK — verify source"),IF(B97="CAP",COUNTIFS(Capabilities!$A$4:$A$253,C97,Capabilities!$J$4:$J$253,"Confirmed",Capabilities!$K$4:$K$253,"OK — verify source"),IF(B97="AIR",COUNTIFS('System map'!$A$4:$A$203,C97,'System map'!$B$4:$B$203,"&lt;&gt;",'System map'!$C$4:$C$203,"&lt;&gt;",'System map'!$D$4:$D$203,"&lt;&gt;"),COUNTIFS(Components!$A$4:$A$253,C97,Components!$B$4:$B$253,B97,Components!$K$4:$K$253,"Confirmed",Components!$L$4:$L$253,"OK — verify source"))))&lt;&gt;1,IF(E97="UC",COUNTIFS('Use cases'!$A$4:$A$253,F97,'Use cases'!$I$4:$I$253,"Confirmed",'Use cases'!$J$4:$J$253,"OK — verify source"),IF(E97="CAP",COUNTIFS(Capabilities!$A$4:$A$253,F97,Capabilities!$J$4:$J$253,"Confirmed",Capabilities!$K$4:$K$253,"OK — verify source"),IF(E97="AIR",COUNTIFS('System map'!$A$4:$A$203,F97,'System map'!$B$4:$B$203,"&lt;&gt;",'System map'!$C$4:$C$203,"&lt;&gt;",'System map'!$D$4:$D$203,"&lt;&gt;"),COUNTIFS(Components!$A$4:$A$253,F97,Components!$B$4:$B$253,E97,Components!$K$4:$K$253,"Confirmed",Components!$L$4:$L$253,"OK — verify source"))))&lt;&gt;1)),"Endpoint not source-reconciled",IF(AND(M97="Confirmed",OR(L97="",K97="",K97="Unknown",K97="Low")),"Confirmed link lacks verification","OK — verify source"))))))))))))))</f>
        <v/>
      </c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6" t="n"/>
      <c r="M98" s="25" t="n"/>
      <c r="N98" s="25">
        <f>IF(COUNTA(A98:M98)=0,"",IF(OR(A98="",B98="",C98="",D98="",E98="",F98="",I98="",J98="",K98="",M98=""),"Required link detail missing",IF(COUNTIF($A$4:$A$1003,A98)&gt;1,"Duplicate Map Edge ID",IF(NOT(OR(AND(B98="UC",E98="CAP",D98="requires"),AND(B98="CAP",E98="AIR",D98="provided by"),AND(B98="AIR",OR(E98="MOD",E98="DATA",E98="IF",E98="AG",E98="TOOL"),D98="references"),AND(B98="AIR",E98="AIR",D98="depends on"))),"Invalid relationship",IF(AND(M98&lt;&gt;"Superseded",COUNTIFS($B$4:$B$1003,B98,$C$4:$C$1003,C98,$D$4:$D$1003,D98,$E$4:$E$1003,E98,$F$4:$F$1003,F98,$G$4:$G$1003,G98,$M$4:$M$1003,"&lt;&gt;Superseded")&gt;1),"Duplicate relationship",IF(OR(IF(B98="UC",COUNTIF('Use cases'!$A$4:$A$253,C98),IF(B98="CAP",COUNTIF(Capabilities!$A$4:$A$253,C98),IF(B98="AIR",COUNTIF('System map'!$A$4:$A$203,C98),COUNTIFS(Components!$A$4:$A$253,C98,Components!$B$4:$B$253,B98))))&lt;&gt;1,IF(E98="UC",COUNTIF('Use cases'!$A$4:$A$253,F98),IF(E98="CAP",COUNTIF(Capabilities!$A$4:$A$253,F98),IF(E98="AIR",COUNTIF('System map'!$A$4:$A$203,F98),COUNTIFS(Components!$A$4:$A$253,F98,Components!$B$4:$B$253,E98))))&lt;&gt;1),"Endpoint missing or duplicated",IF(AND(NOT(AND(B98="UC",E98="CAP")),OR(G98="",COUNTIF('System map'!$A$4:$A$203,G98)&lt;&gt;1)),"AIR context missing / unknown",IF(AND(B98="CAP",E98="AIR",G98&lt;&gt;F98),"AIR context mismatch",IF(AND(B98="AIR",G98&lt;&gt;C98),"AIR context mismatch",IF(AND(B98="AIR",E98="AIR",C98=F98),"Self-dependency",IF(AND(B98="AIR",E98="AIR",M98&lt;&gt;"Superseded",COUNTIFS($B$4:$B$1003,"AIR",$C$4:$C$1003,F98,$E$4:$E$1003,"AIR",$F$4:$F$1003,C98,$M$4:$M$1003,"&lt;&gt;Superseded")&gt;0),"Dependency cycle (A↔B) — review",IF(AND(B98="AIR",OR(E98="MOD",E98="DATA",E98="IF",E98="AG",E98="TOOL"),IFERROR(INDEX(Components!$G$4:$G$253,MATCH(F98,Components!$A$4:$A$253,0)),"")&lt;&gt;"",IFERROR(INDEX(Components!$G$4:$G$253,MATCH(F98,Components!$A$4:$A$253,0)),"")&lt;&gt;C98),"Component owned by another AIR-ID",IF(AND(M98="Confirmed",OR(IF(B98="UC",COUNTIFS('Use cases'!$A$4:$A$253,C98,'Use cases'!$I$4:$I$253,"Confirmed",'Use cases'!$J$4:$J$253,"OK — verify source"),IF(B98="CAP",COUNTIFS(Capabilities!$A$4:$A$253,C98,Capabilities!$J$4:$J$253,"Confirmed",Capabilities!$K$4:$K$253,"OK — verify source"),IF(B98="AIR",COUNTIFS('System map'!$A$4:$A$203,C98,'System map'!$B$4:$B$203,"&lt;&gt;",'System map'!$C$4:$C$203,"&lt;&gt;",'System map'!$D$4:$D$203,"&lt;&gt;"),COUNTIFS(Components!$A$4:$A$253,C98,Components!$B$4:$B$253,B98,Components!$K$4:$K$253,"Confirmed",Components!$L$4:$L$253,"OK — verify source"))))&lt;&gt;1,IF(E98="UC",COUNTIFS('Use cases'!$A$4:$A$253,F98,'Use cases'!$I$4:$I$253,"Confirmed",'Use cases'!$J$4:$J$253,"OK — verify source"),IF(E98="CAP",COUNTIFS(Capabilities!$A$4:$A$253,F98,Capabilities!$J$4:$J$253,"Confirmed",Capabilities!$K$4:$K$253,"OK — verify source"),IF(E98="AIR",COUNTIFS('System map'!$A$4:$A$203,F98,'System map'!$B$4:$B$203,"&lt;&gt;",'System map'!$C$4:$C$203,"&lt;&gt;",'System map'!$D$4:$D$203,"&lt;&gt;"),COUNTIFS(Components!$A$4:$A$253,F98,Components!$B$4:$B$253,E98,Components!$K$4:$K$253,"Confirmed",Components!$L$4:$L$253,"OK — verify source"))))&lt;&gt;1)),"Endpoint not source-reconciled",IF(AND(M98="Confirmed",OR(L98="",K98="",K98="Unknown",K98="Low")),"Confirmed link lacks verification","OK — verify source"))))))))))))))</f>
        <v/>
      </c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8" t="n"/>
      <c r="M99" s="27" t="n"/>
      <c r="N99" s="27">
        <f>IF(COUNTA(A99:M99)=0,"",IF(OR(A99="",B99="",C99="",D99="",E99="",F99="",I99="",J99="",K99="",M99=""),"Required link detail missing",IF(COUNTIF($A$4:$A$1003,A99)&gt;1,"Duplicate Map Edge ID",IF(NOT(OR(AND(B99="UC",E99="CAP",D99="requires"),AND(B99="CAP",E99="AIR",D99="provided by"),AND(B99="AIR",OR(E99="MOD",E99="DATA",E99="IF",E99="AG",E99="TOOL"),D99="references"),AND(B99="AIR",E99="AIR",D99="depends on"))),"Invalid relationship",IF(AND(M99&lt;&gt;"Superseded",COUNTIFS($B$4:$B$1003,B99,$C$4:$C$1003,C99,$D$4:$D$1003,D99,$E$4:$E$1003,E99,$F$4:$F$1003,F99,$G$4:$G$1003,G99,$M$4:$M$1003,"&lt;&gt;Superseded")&gt;1),"Duplicate relationship",IF(OR(IF(B99="UC",COUNTIF('Use cases'!$A$4:$A$253,C99),IF(B99="CAP",COUNTIF(Capabilities!$A$4:$A$253,C99),IF(B99="AIR",COUNTIF('System map'!$A$4:$A$203,C99),COUNTIFS(Components!$A$4:$A$253,C99,Components!$B$4:$B$253,B99))))&lt;&gt;1,IF(E99="UC",COUNTIF('Use cases'!$A$4:$A$253,F99),IF(E99="CAP",COUNTIF(Capabilities!$A$4:$A$253,F99),IF(E99="AIR",COUNTIF('System map'!$A$4:$A$203,F99),COUNTIFS(Components!$A$4:$A$253,F99,Components!$B$4:$B$253,E99))))&lt;&gt;1),"Endpoint missing or duplicated",IF(AND(NOT(AND(B99="UC",E99="CAP")),OR(G99="",COUNTIF('System map'!$A$4:$A$203,G99)&lt;&gt;1)),"AIR context missing / unknown",IF(AND(B99="CAP",E99="AIR",G99&lt;&gt;F99),"AIR context mismatch",IF(AND(B99="AIR",G99&lt;&gt;C99),"AIR context mismatch",IF(AND(B99="AIR",E99="AIR",C99=F99),"Self-dependency",IF(AND(B99="AIR",E99="AIR",M99&lt;&gt;"Superseded",COUNTIFS($B$4:$B$1003,"AIR",$C$4:$C$1003,F99,$E$4:$E$1003,"AIR",$F$4:$F$1003,C99,$M$4:$M$1003,"&lt;&gt;Superseded")&gt;0),"Dependency cycle (A↔B) — review",IF(AND(B99="AIR",OR(E99="MOD",E99="DATA",E99="IF",E99="AG",E99="TOOL"),IFERROR(INDEX(Components!$G$4:$G$253,MATCH(F99,Components!$A$4:$A$253,0)),"")&lt;&gt;"",IFERROR(INDEX(Components!$G$4:$G$253,MATCH(F99,Components!$A$4:$A$253,0)),"")&lt;&gt;C99),"Component owned by another AIR-ID",IF(AND(M99="Confirmed",OR(IF(B99="UC",COUNTIFS('Use cases'!$A$4:$A$253,C99,'Use cases'!$I$4:$I$253,"Confirmed",'Use cases'!$J$4:$J$253,"OK — verify source"),IF(B99="CAP",COUNTIFS(Capabilities!$A$4:$A$253,C99,Capabilities!$J$4:$J$253,"Confirmed",Capabilities!$K$4:$K$253,"OK — verify source"),IF(B99="AIR",COUNTIFS('System map'!$A$4:$A$203,C99,'System map'!$B$4:$B$203,"&lt;&gt;",'System map'!$C$4:$C$203,"&lt;&gt;",'System map'!$D$4:$D$203,"&lt;&gt;"),COUNTIFS(Components!$A$4:$A$253,C99,Components!$B$4:$B$253,B99,Components!$K$4:$K$253,"Confirmed",Components!$L$4:$L$253,"OK — verify source"))))&lt;&gt;1,IF(E99="UC",COUNTIFS('Use cases'!$A$4:$A$253,F99,'Use cases'!$I$4:$I$253,"Confirmed",'Use cases'!$J$4:$J$253,"OK — verify source"),IF(E99="CAP",COUNTIFS(Capabilities!$A$4:$A$253,F99,Capabilities!$J$4:$J$253,"Confirmed",Capabilities!$K$4:$K$253,"OK — verify source"),IF(E99="AIR",COUNTIFS('System map'!$A$4:$A$203,F99,'System map'!$B$4:$B$203,"&lt;&gt;",'System map'!$C$4:$C$203,"&lt;&gt;",'System map'!$D$4:$D$203,"&lt;&gt;"),COUNTIFS(Components!$A$4:$A$253,F99,Components!$B$4:$B$253,E99,Components!$K$4:$K$253,"Confirmed",Components!$L$4:$L$253,"OK — verify source"))))&lt;&gt;1)),"Endpoint not source-reconciled",IF(AND(M99="Confirmed",OR(L99="",K99="",K99="Unknown",K99="Low")),"Confirmed link lacks verification","OK — verify source"))))))))))))))</f>
        <v/>
      </c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6" t="n"/>
      <c r="M100" s="25" t="n"/>
      <c r="N100" s="25">
        <f>IF(COUNTA(A100:M100)=0,"",IF(OR(A100="",B100="",C100="",D100="",E100="",F100="",I100="",J100="",K100="",M100=""),"Required link detail missing",IF(COUNTIF($A$4:$A$1003,A100)&gt;1,"Duplicate Map Edge ID",IF(NOT(OR(AND(B100="UC",E100="CAP",D100="requires"),AND(B100="CAP",E100="AIR",D100="provided by"),AND(B100="AIR",OR(E100="MOD",E100="DATA",E100="IF",E100="AG",E100="TOOL"),D100="references"),AND(B100="AIR",E100="AIR",D100="depends on"))),"Invalid relationship",IF(AND(M100&lt;&gt;"Superseded",COUNTIFS($B$4:$B$1003,B100,$C$4:$C$1003,C100,$D$4:$D$1003,D100,$E$4:$E$1003,E100,$F$4:$F$1003,F100,$G$4:$G$1003,G100,$M$4:$M$1003,"&lt;&gt;Superseded")&gt;1),"Duplicate relationship",IF(OR(IF(B100="UC",COUNTIF('Use cases'!$A$4:$A$253,C100),IF(B100="CAP",COUNTIF(Capabilities!$A$4:$A$253,C100),IF(B100="AIR",COUNTIF('System map'!$A$4:$A$203,C100),COUNTIFS(Components!$A$4:$A$253,C100,Components!$B$4:$B$253,B100))))&lt;&gt;1,IF(E100="UC",COUNTIF('Use cases'!$A$4:$A$253,F100),IF(E100="CAP",COUNTIF(Capabilities!$A$4:$A$253,F100),IF(E100="AIR",COUNTIF('System map'!$A$4:$A$203,F100),COUNTIFS(Components!$A$4:$A$253,F100,Components!$B$4:$B$253,E100))))&lt;&gt;1),"Endpoint missing or duplicated",IF(AND(NOT(AND(B100="UC",E100="CAP")),OR(G100="",COUNTIF('System map'!$A$4:$A$203,G100)&lt;&gt;1)),"AIR context missing / unknown",IF(AND(B100="CAP",E100="AIR",G100&lt;&gt;F100),"AIR context mismatch",IF(AND(B100="AIR",G100&lt;&gt;C100),"AIR context mismatch",IF(AND(B100="AIR",E100="AIR",C100=F100),"Self-dependency",IF(AND(B100="AIR",E100="AIR",M100&lt;&gt;"Superseded",COUNTIFS($B$4:$B$1003,"AIR",$C$4:$C$1003,F100,$E$4:$E$1003,"AIR",$F$4:$F$1003,C100,$M$4:$M$1003,"&lt;&gt;Superseded")&gt;0),"Dependency cycle (A↔B) — review",IF(AND(B100="AIR",OR(E100="MOD",E100="DATA",E100="IF",E100="AG",E100="TOOL"),IFERROR(INDEX(Components!$G$4:$G$253,MATCH(F100,Components!$A$4:$A$253,0)),"")&lt;&gt;"",IFERROR(INDEX(Components!$G$4:$G$253,MATCH(F100,Components!$A$4:$A$253,0)),"")&lt;&gt;C100),"Component owned by another AIR-ID",IF(AND(M100="Confirmed",OR(IF(B100="UC",COUNTIFS('Use cases'!$A$4:$A$253,C100,'Use cases'!$I$4:$I$253,"Confirmed",'Use cases'!$J$4:$J$253,"OK — verify source"),IF(B100="CAP",COUNTIFS(Capabilities!$A$4:$A$253,C100,Capabilities!$J$4:$J$253,"Confirmed",Capabilities!$K$4:$K$253,"OK — verify source"),IF(B100="AIR",COUNTIFS('System map'!$A$4:$A$203,C100,'System map'!$B$4:$B$203,"&lt;&gt;",'System map'!$C$4:$C$203,"&lt;&gt;",'System map'!$D$4:$D$203,"&lt;&gt;"),COUNTIFS(Components!$A$4:$A$253,C100,Components!$B$4:$B$253,B100,Components!$K$4:$K$253,"Confirmed",Components!$L$4:$L$253,"OK — verify source"))))&lt;&gt;1,IF(E100="UC",COUNTIFS('Use cases'!$A$4:$A$253,F100,'Use cases'!$I$4:$I$253,"Confirmed",'Use cases'!$J$4:$J$253,"OK — verify source"),IF(E100="CAP",COUNTIFS(Capabilities!$A$4:$A$253,F100,Capabilities!$J$4:$J$253,"Confirmed",Capabilities!$K$4:$K$253,"OK — verify source"),IF(E100="AIR",COUNTIFS('System map'!$A$4:$A$203,F100,'System map'!$B$4:$B$203,"&lt;&gt;",'System map'!$C$4:$C$203,"&lt;&gt;",'System map'!$D$4:$D$203,"&lt;&gt;"),COUNTIFS(Components!$A$4:$A$253,F100,Components!$B$4:$B$253,E100,Components!$K$4:$K$253,"Confirmed",Components!$L$4:$L$253,"OK — verify source"))))&lt;&gt;1)),"Endpoint not source-reconciled",IF(AND(M100="Confirmed",OR(L100="",K100="",K100="Unknown",K100="Low")),"Confirmed link lacks verification","OK — verify source"))))))))))))))</f>
        <v/>
      </c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8" t="n"/>
      <c r="M101" s="27" t="n"/>
      <c r="N101" s="27">
        <f>IF(COUNTA(A101:M101)=0,"",IF(OR(A101="",B101="",C101="",D101="",E101="",F101="",I101="",J101="",K101="",M101=""),"Required link detail missing",IF(COUNTIF($A$4:$A$1003,A101)&gt;1,"Duplicate Map Edge ID",IF(NOT(OR(AND(B101="UC",E101="CAP",D101="requires"),AND(B101="CAP",E101="AIR",D101="provided by"),AND(B101="AIR",OR(E101="MOD",E101="DATA",E101="IF",E101="AG",E101="TOOL"),D101="references"),AND(B101="AIR",E101="AIR",D101="depends on"))),"Invalid relationship",IF(AND(M101&lt;&gt;"Superseded",COUNTIFS($B$4:$B$1003,B101,$C$4:$C$1003,C101,$D$4:$D$1003,D101,$E$4:$E$1003,E101,$F$4:$F$1003,F101,$G$4:$G$1003,G101,$M$4:$M$1003,"&lt;&gt;Superseded")&gt;1),"Duplicate relationship",IF(OR(IF(B101="UC",COUNTIF('Use cases'!$A$4:$A$253,C101),IF(B101="CAP",COUNTIF(Capabilities!$A$4:$A$253,C101),IF(B101="AIR",COUNTIF('System map'!$A$4:$A$203,C101),COUNTIFS(Components!$A$4:$A$253,C101,Components!$B$4:$B$253,B101))))&lt;&gt;1,IF(E101="UC",COUNTIF('Use cases'!$A$4:$A$253,F101),IF(E101="CAP",COUNTIF(Capabilities!$A$4:$A$253,F101),IF(E101="AIR",COUNTIF('System map'!$A$4:$A$203,F101),COUNTIFS(Components!$A$4:$A$253,F101,Components!$B$4:$B$253,E101))))&lt;&gt;1),"Endpoint missing or duplicated",IF(AND(NOT(AND(B101="UC",E101="CAP")),OR(G101="",COUNTIF('System map'!$A$4:$A$203,G101)&lt;&gt;1)),"AIR context missing / unknown",IF(AND(B101="CAP",E101="AIR",G101&lt;&gt;F101),"AIR context mismatch",IF(AND(B101="AIR",G101&lt;&gt;C101),"AIR context mismatch",IF(AND(B101="AIR",E101="AIR",C101=F101),"Self-dependency",IF(AND(B101="AIR",E101="AIR",M101&lt;&gt;"Superseded",COUNTIFS($B$4:$B$1003,"AIR",$C$4:$C$1003,F101,$E$4:$E$1003,"AIR",$F$4:$F$1003,C101,$M$4:$M$1003,"&lt;&gt;Superseded")&gt;0),"Dependency cycle (A↔B) — review",IF(AND(B101="AIR",OR(E101="MOD",E101="DATA",E101="IF",E101="AG",E101="TOOL"),IFERROR(INDEX(Components!$G$4:$G$253,MATCH(F101,Components!$A$4:$A$253,0)),"")&lt;&gt;"",IFERROR(INDEX(Components!$G$4:$G$253,MATCH(F101,Components!$A$4:$A$253,0)),"")&lt;&gt;C101),"Component owned by another AIR-ID",IF(AND(M101="Confirmed",OR(IF(B101="UC",COUNTIFS('Use cases'!$A$4:$A$253,C101,'Use cases'!$I$4:$I$253,"Confirmed",'Use cases'!$J$4:$J$253,"OK — verify source"),IF(B101="CAP",COUNTIFS(Capabilities!$A$4:$A$253,C101,Capabilities!$J$4:$J$253,"Confirmed",Capabilities!$K$4:$K$253,"OK — verify source"),IF(B101="AIR",COUNTIFS('System map'!$A$4:$A$203,C101,'System map'!$B$4:$B$203,"&lt;&gt;",'System map'!$C$4:$C$203,"&lt;&gt;",'System map'!$D$4:$D$203,"&lt;&gt;"),COUNTIFS(Components!$A$4:$A$253,C101,Components!$B$4:$B$253,B101,Components!$K$4:$K$253,"Confirmed",Components!$L$4:$L$253,"OK — verify source"))))&lt;&gt;1,IF(E101="UC",COUNTIFS('Use cases'!$A$4:$A$253,F101,'Use cases'!$I$4:$I$253,"Confirmed",'Use cases'!$J$4:$J$253,"OK — verify source"),IF(E101="CAP",COUNTIFS(Capabilities!$A$4:$A$253,F101,Capabilities!$J$4:$J$253,"Confirmed",Capabilities!$K$4:$K$253,"OK — verify source"),IF(E101="AIR",COUNTIFS('System map'!$A$4:$A$203,F101,'System map'!$B$4:$B$203,"&lt;&gt;",'System map'!$C$4:$C$203,"&lt;&gt;",'System map'!$D$4:$D$203,"&lt;&gt;"),COUNTIFS(Components!$A$4:$A$253,F101,Components!$B$4:$B$253,E101,Components!$K$4:$K$253,"Confirmed",Components!$L$4:$L$253,"OK — verify source"))))&lt;&gt;1)),"Endpoint not source-reconciled",IF(AND(M101="Confirmed",OR(L101="",K101="",K101="Unknown",K101="Low")),"Confirmed link lacks verification","OK — verify source"))))))))))))))</f>
        <v/>
      </c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6" t="n"/>
      <c r="M102" s="25" t="n"/>
      <c r="N102" s="25">
        <f>IF(COUNTA(A102:M102)=0,"",IF(OR(A102="",B102="",C102="",D102="",E102="",F102="",I102="",J102="",K102="",M102=""),"Required link detail missing",IF(COUNTIF($A$4:$A$1003,A102)&gt;1,"Duplicate Map Edge ID",IF(NOT(OR(AND(B102="UC",E102="CAP",D102="requires"),AND(B102="CAP",E102="AIR",D102="provided by"),AND(B102="AIR",OR(E102="MOD",E102="DATA",E102="IF",E102="AG",E102="TOOL"),D102="references"),AND(B102="AIR",E102="AIR",D102="depends on"))),"Invalid relationship",IF(AND(M102&lt;&gt;"Superseded",COUNTIFS($B$4:$B$1003,B102,$C$4:$C$1003,C102,$D$4:$D$1003,D102,$E$4:$E$1003,E102,$F$4:$F$1003,F102,$G$4:$G$1003,G102,$M$4:$M$1003,"&lt;&gt;Superseded")&gt;1),"Duplicate relationship",IF(OR(IF(B102="UC",COUNTIF('Use cases'!$A$4:$A$253,C102),IF(B102="CAP",COUNTIF(Capabilities!$A$4:$A$253,C102),IF(B102="AIR",COUNTIF('System map'!$A$4:$A$203,C102),COUNTIFS(Components!$A$4:$A$253,C102,Components!$B$4:$B$253,B102))))&lt;&gt;1,IF(E102="UC",COUNTIF('Use cases'!$A$4:$A$253,F102),IF(E102="CAP",COUNTIF(Capabilities!$A$4:$A$253,F102),IF(E102="AIR",COUNTIF('System map'!$A$4:$A$203,F102),COUNTIFS(Components!$A$4:$A$253,F102,Components!$B$4:$B$253,E102))))&lt;&gt;1),"Endpoint missing or duplicated",IF(AND(NOT(AND(B102="UC",E102="CAP")),OR(G102="",COUNTIF('System map'!$A$4:$A$203,G102)&lt;&gt;1)),"AIR context missing / unknown",IF(AND(B102="CAP",E102="AIR",G102&lt;&gt;F102),"AIR context mismatch",IF(AND(B102="AIR",G102&lt;&gt;C102),"AIR context mismatch",IF(AND(B102="AIR",E102="AIR",C102=F102),"Self-dependency",IF(AND(B102="AIR",E102="AIR",M102&lt;&gt;"Superseded",COUNTIFS($B$4:$B$1003,"AIR",$C$4:$C$1003,F102,$E$4:$E$1003,"AIR",$F$4:$F$1003,C102,$M$4:$M$1003,"&lt;&gt;Superseded")&gt;0),"Dependency cycle (A↔B) — review",IF(AND(B102="AIR",OR(E102="MOD",E102="DATA",E102="IF",E102="AG",E102="TOOL"),IFERROR(INDEX(Components!$G$4:$G$253,MATCH(F102,Components!$A$4:$A$253,0)),"")&lt;&gt;"",IFERROR(INDEX(Components!$G$4:$G$253,MATCH(F102,Components!$A$4:$A$253,0)),"")&lt;&gt;C102),"Component owned by another AIR-ID",IF(AND(M102="Confirmed",OR(IF(B102="UC",COUNTIFS('Use cases'!$A$4:$A$253,C102,'Use cases'!$I$4:$I$253,"Confirmed",'Use cases'!$J$4:$J$253,"OK — verify source"),IF(B102="CAP",COUNTIFS(Capabilities!$A$4:$A$253,C102,Capabilities!$J$4:$J$253,"Confirmed",Capabilities!$K$4:$K$253,"OK — verify source"),IF(B102="AIR",COUNTIFS('System map'!$A$4:$A$203,C102,'System map'!$B$4:$B$203,"&lt;&gt;",'System map'!$C$4:$C$203,"&lt;&gt;",'System map'!$D$4:$D$203,"&lt;&gt;"),COUNTIFS(Components!$A$4:$A$253,C102,Components!$B$4:$B$253,B102,Components!$K$4:$K$253,"Confirmed",Components!$L$4:$L$253,"OK — verify source"))))&lt;&gt;1,IF(E102="UC",COUNTIFS('Use cases'!$A$4:$A$253,F102,'Use cases'!$I$4:$I$253,"Confirmed",'Use cases'!$J$4:$J$253,"OK — verify source"),IF(E102="CAP",COUNTIFS(Capabilities!$A$4:$A$253,F102,Capabilities!$J$4:$J$253,"Confirmed",Capabilities!$K$4:$K$253,"OK — verify source"),IF(E102="AIR",COUNTIFS('System map'!$A$4:$A$203,F102,'System map'!$B$4:$B$203,"&lt;&gt;",'System map'!$C$4:$C$203,"&lt;&gt;",'System map'!$D$4:$D$203,"&lt;&gt;"),COUNTIFS(Components!$A$4:$A$253,F102,Components!$B$4:$B$253,E102,Components!$K$4:$K$253,"Confirmed",Components!$L$4:$L$253,"OK — verify source"))))&lt;&gt;1)),"Endpoint not source-reconciled",IF(AND(M102="Confirmed",OR(L102="",K102="",K102="Unknown",K102="Low")),"Confirmed link lacks verification","OK — verify source"))))))))))))))</f>
        <v/>
      </c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8" t="n"/>
      <c r="M103" s="27" t="n"/>
      <c r="N103" s="27">
        <f>IF(COUNTA(A103:M103)=0,"",IF(OR(A103="",B103="",C103="",D103="",E103="",F103="",I103="",J103="",K103="",M103=""),"Required link detail missing",IF(COUNTIF($A$4:$A$1003,A103)&gt;1,"Duplicate Map Edge ID",IF(NOT(OR(AND(B103="UC",E103="CAP",D103="requires"),AND(B103="CAP",E103="AIR",D103="provided by"),AND(B103="AIR",OR(E103="MOD",E103="DATA",E103="IF",E103="AG",E103="TOOL"),D103="references"),AND(B103="AIR",E103="AIR",D103="depends on"))),"Invalid relationship",IF(AND(M103&lt;&gt;"Superseded",COUNTIFS($B$4:$B$1003,B103,$C$4:$C$1003,C103,$D$4:$D$1003,D103,$E$4:$E$1003,E103,$F$4:$F$1003,F103,$G$4:$G$1003,G103,$M$4:$M$1003,"&lt;&gt;Superseded")&gt;1),"Duplicate relationship",IF(OR(IF(B103="UC",COUNTIF('Use cases'!$A$4:$A$253,C103),IF(B103="CAP",COUNTIF(Capabilities!$A$4:$A$253,C103),IF(B103="AIR",COUNTIF('System map'!$A$4:$A$203,C103),COUNTIFS(Components!$A$4:$A$253,C103,Components!$B$4:$B$253,B103))))&lt;&gt;1,IF(E103="UC",COUNTIF('Use cases'!$A$4:$A$253,F103),IF(E103="CAP",COUNTIF(Capabilities!$A$4:$A$253,F103),IF(E103="AIR",COUNTIF('System map'!$A$4:$A$203,F103),COUNTIFS(Components!$A$4:$A$253,F103,Components!$B$4:$B$253,E103))))&lt;&gt;1),"Endpoint missing or duplicated",IF(AND(NOT(AND(B103="UC",E103="CAP")),OR(G103="",COUNTIF('System map'!$A$4:$A$203,G103)&lt;&gt;1)),"AIR context missing / unknown",IF(AND(B103="CAP",E103="AIR",G103&lt;&gt;F103),"AIR context mismatch",IF(AND(B103="AIR",G103&lt;&gt;C103),"AIR context mismatch",IF(AND(B103="AIR",E103="AIR",C103=F103),"Self-dependency",IF(AND(B103="AIR",E103="AIR",M103&lt;&gt;"Superseded",COUNTIFS($B$4:$B$1003,"AIR",$C$4:$C$1003,F103,$E$4:$E$1003,"AIR",$F$4:$F$1003,C103,$M$4:$M$1003,"&lt;&gt;Superseded")&gt;0),"Dependency cycle (A↔B) — review",IF(AND(B103="AIR",OR(E103="MOD",E103="DATA",E103="IF",E103="AG",E103="TOOL"),IFERROR(INDEX(Components!$G$4:$G$253,MATCH(F103,Components!$A$4:$A$253,0)),"")&lt;&gt;"",IFERROR(INDEX(Components!$G$4:$G$253,MATCH(F103,Components!$A$4:$A$253,0)),"")&lt;&gt;C103),"Component owned by another AIR-ID",IF(AND(M103="Confirmed",OR(IF(B103="UC",COUNTIFS('Use cases'!$A$4:$A$253,C103,'Use cases'!$I$4:$I$253,"Confirmed",'Use cases'!$J$4:$J$253,"OK — verify source"),IF(B103="CAP",COUNTIFS(Capabilities!$A$4:$A$253,C103,Capabilities!$J$4:$J$253,"Confirmed",Capabilities!$K$4:$K$253,"OK — verify source"),IF(B103="AIR",COUNTIFS('System map'!$A$4:$A$203,C103,'System map'!$B$4:$B$203,"&lt;&gt;",'System map'!$C$4:$C$203,"&lt;&gt;",'System map'!$D$4:$D$203,"&lt;&gt;"),COUNTIFS(Components!$A$4:$A$253,C103,Components!$B$4:$B$253,B103,Components!$K$4:$K$253,"Confirmed",Components!$L$4:$L$253,"OK — verify source"))))&lt;&gt;1,IF(E103="UC",COUNTIFS('Use cases'!$A$4:$A$253,F103,'Use cases'!$I$4:$I$253,"Confirmed",'Use cases'!$J$4:$J$253,"OK — verify source"),IF(E103="CAP",COUNTIFS(Capabilities!$A$4:$A$253,F103,Capabilities!$J$4:$J$253,"Confirmed",Capabilities!$K$4:$K$253,"OK — verify source"),IF(E103="AIR",COUNTIFS('System map'!$A$4:$A$203,F103,'System map'!$B$4:$B$203,"&lt;&gt;",'System map'!$C$4:$C$203,"&lt;&gt;",'System map'!$D$4:$D$203,"&lt;&gt;"),COUNTIFS(Components!$A$4:$A$253,F103,Components!$B$4:$B$253,E103,Components!$K$4:$K$253,"Confirmed",Components!$L$4:$L$253,"OK — verify source"))))&lt;&gt;1)),"Endpoint not source-reconciled",IF(AND(M103="Confirmed",OR(L103="",K103="",K103="Unknown",K103="Low")),"Confirmed link lacks verification","OK — verify source"))))))))))))))</f>
        <v/>
      </c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6" t="n"/>
      <c r="M104" s="25" t="n"/>
      <c r="N104" s="25">
        <f>IF(COUNTA(A104:M104)=0,"",IF(OR(A104="",B104="",C104="",D104="",E104="",F104="",I104="",J104="",K104="",M104=""),"Required link detail missing",IF(COUNTIF($A$4:$A$1003,A104)&gt;1,"Duplicate Map Edge ID",IF(NOT(OR(AND(B104="UC",E104="CAP",D104="requires"),AND(B104="CAP",E104="AIR",D104="provided by"),AND(B104="AIR",OR(E104="MOD",E104="DATA",E104="IF",E104="AG",E104="TOOL"),D104="references"),AND(B104="AIR",E104="AIR",D104="depends on"))),"Invalid relationship",IF(AND(M104&lt;&gt;"Superseded",COUNTIFS($B$4:$B$1003,B104,$C$4:$C$1003,C104,$D$4:$D$1003,D104,$E$4:$E$1003,E104,$F$4:$F$1003,F104,$G$4:$G$1003,G104,$M$4:$M$1003,"&lt;&gt;Superseded")&gt;1),"Duplicate relationship",IF(OR(IF(B104="UC",COUNTIF('Use cases'!$A$4:$A$253,C104),IF(B104="CAP",COUNTIF(Capabilities!$A$4:$A$253,C104),IF(B104="AIR",COUNTIF('System map'!$A$4:$A$203,C104),COUNTIFS(Components!$A$4:$A$253,C104,Components!$B$4:$B$253,B104))))&lt;&gt;1,IF(E104="UC",COUNTIF('Use cases'!$A$4:$A$253,F104),IF(E104="CAP",COUNTIF(Capabilities!$A$4:$A$253,F104),IF(E104="AIR",COUNTIF('System map'!$A$4:$A$203,F104),COUNTIFS(Components!$A$4:$A$253,F104,Components!$B$4:$B$253,E104))))&lt;&gt;1),"Endpoint missing or duplicated",IF(AND(NOT(AND(B104="UC",E104="CAP")),OR(G104="",COUNTIF('System map'!$A$4:$A$203,G104)&lt;&gt;1)),"AIR context missing / unknown",IF(AND(B104="CAP",E104="AIR",G104&lt;&gt;F104),"AIR context mismatch",IF(AND(B104="AIR",G104&lt;&gt;C104),"AIR context mismatch",IF(AND(B104="AIR",E104="AIR",C104=F104),"Self-dependency",IF(AND(B104="AIR",E104="AIR",M104&lt;&gt;"Superseded",COUNTIFS($B$4:$B$1003,"AIR",$C$4:$C$1003,F104,$E$4:$E$1003,"AIR",$F$4:$F$1003,C104,$M$4:$M$1003,"&lt;&gt;Superseded")&gt;0),"Dependency cycle (A↔B) — review",IF(AND(B104="AIR",OR(E104="MOD",E104="DATA",E104="IF",E104="AG",E104="TOOL"),IFERROR(INDEX(Components!$G$4:$G$253,MATCH(F104,Components!$A$4:$A$253,0)),"")&lt;&gt;"",IFERROR(INDEX(Components!$G$4:$G$253,MATCH(F104,Components!$A$4:$A$253,0)),"")&lt;&gt;C104),"Component owned by another AIR-ID",IF(AND(M104="Confirmed",OR(IF(B104="UC",COUNTIFS('Use cases'!$A$4:$A$253,C104,'Use cases'!$I$4:$I$253,"Confirmed",'Use cases'!$J$4:$J$253,"OK — verify source"),IF(B104="CAP",COUNTIFS(Capabilities!$A$4:$A$253,C104,Capabilities!$J$4:$J$253,"Confirmed",Capabilities!$K$4:$K$253,"OK — verify source"),IF(B104="AIR",COUNTIFS('System map'!$A$4:$A$203,C104,'System map'!$B$4:$B$203,"&lt;&gt;",'System map'!$C$4:$C$203,"&lt;&gt;",'System map'!$D$4:$D$203,"&lt;&gt;"),COUNTIFS(Components!$A$4:$A$253,C104,Components!$B$4:$B$253,B104,Components!$K$4:$K$253,"Confirmed",Components!$L$4:$L$253,"OK — verify source"))))&lt;&gt;1,IF(E104="UC",COUNTIFS('Use cases'!$A$4:$A$253,F104,'Use cases'!$I$4:$I$253,"Confirmed",'Use cases'!$J$4:$J$253,"OK — verify source"),IF(E104="CAP",COUNTIFS(Capabilities!$A$4:$A$253,F104,Capabilities!$J$4:$J$253,"Confirmed",Capabilities!$K$4:$K$253,"OK — verify source"),IF(E104="AIR",COUNTIFS('System map'!$A$4:$A$203,F104,'System map'!$B$4:$B$203,"&lt;&gt;",'System map'!$C$4:$C$203,"&lt;&gt;",'System map'!$D$4:$D$203,"&lt;&gt;"),COUNTIFS(Components!$A$4:$A$253,F104,Components!$B$4:$B$253,E104,Components!$K$4:$K$253,"Confirmed",Components!$L$4:$L$253,"OK — verify source"))))&lt;&gt;1)),"Endpoint not source-reconciled",IF(AND(M104="Confirmed",OR(L104="",K104="",K104="Unknown",K104="Low")),"Confirmed link lacks verification","OK — verify source"))))))))))))))</f>
        <v/>
      </c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8" t="n"/>
      <c r="M105" s="27" t="n"/>
      <c r="N105" s="27">
        <f>IF(COUNTA(A105:M105)=0,"",IF(OR(A105="",B105="",C105="",D105="",E105="",F105="",I105="",J105="",K105="",M105=""),"Required link detail missing",IF(COUNTIF($A$4:$A$1003,A105)&gt;1,"Duplicate Map Edge ID",IF(NOT(OR(AND(B105="UC",E105="CAP",D105="requires"),AND(B105="CAP",E105="AIR",D105="provided by"),AND(B105="AIR",OR(E105="MOD",E105="DATA",E105="IF",E105="AG",E105="TOOL"),D105="references"),AND(B105="AIR",E105="AIR",D105="depends on"))),"Invalid relationship",IF(AND(M105&lt;&gt;"Superseded",COUNTIFS($B$4:$B$1003,B105,$C$4:$C$1003,C105,$D$4:$D$1003,D105,$E$4:$E$1003,E105,$F$4:$F$1003,F105,$G$4:$G$1003,G105,$M$4:$M$1003,"&lt;&gt;Superseded")&gt;1),"Duplicate relationship",IF(OR(IF(B105="UC",COUNTIF('Use cases'!$A$4:$A$253,C105),IF(B105="CAP",COUNTIF(Capabilities!$A$4:$A$253,C105),IF(B105="AIR",COUNTIF('System map'!$A$4:$A$203,C105),COUNTIFS(Components!$A$4:$A$253,C105,Components!$B$4:$B$253,B105))))&lt;&gt;1,IF(E105="UC",COUNTIF('Use cases'!$A$4:$A$253,F105),IF(E105="CAP",COUNTIF(Capabilities!$A$4:$A$253,F105),IF(E105="AIR",COUNTIF('System map'!$A$4:$A$203,F105),COUNTIFS(Components!$A$4:$A$253,F105,Components!$B$4:$B$253,E105))))&lt;&gt;1),"Endpoint missing or duplicated",IF(AND(NOT(AND(B105="UC",E105="CAP")),OR(G105="",COUNTIF('System map'!$A$4:$A$203,G105)&lt;&gt;1)),"AIR context missing / unknown",IF(AND(B105="CAP",E105="AIR",G105&lt;&gt;F105),"AIR context mismatch",IF(AND(B105="AIR",G105&lt;&gt;C105),"AIR context mismatch",IF(AND(B105="AIR",E105="AIR",C105=F105),"Self-dependency",IF(AND(B105="AIR",E105="AIR",M105&lt;&gt;"Superseded",COUNTIFS($B$4:$B$1003,"AIR",$C$4:$C$1003,F105,$E$4:$E$1003,"AIR",$F$4:$F$1003,C105,$M$4:$M$1003,"&lt;&gt;Superseded")&gt;0),"Dependency cycle (A↔B) — review",IF(AND(B105="AIR",OR(E105="MOD",E105="DATA",E105="IF",E105="AG",E105="TOOL"),IFERROR(INDEX(Components!$G$4:$G$253,MATCH(F105,Components!$A$4:$A$253,0)),"")&lt;&gt;"",IFERROR(INDEX(Components!$G$4:$G$253,MATCH(F105,Components!$A$4:$A$253,0)),"")&lt;&gt;C105),"Component owned by another AIR-ID",IF(AND(M105="Confirmed",OR(IF(B105="UC",COUNTIFS('Use cases'!$A$4:$A$253,C105,'Use cases'!$I$4:$I$253,"Confirmed",'Use cases'!$J$4:$J$253,"OK — verify source"),IF(B105="CAP",COUNTIFS(Capabilities!$A$4:$A$253,C105,Capabilities!$J$4:$J$253,"Confirmed",Capabilities!$K$4:$K$253,"OK — verify source"),IF(B105="AIR",COUNTIFS('System map'!$A$4:$A$203,C105,'System map'!$B$4:$B$203,"&lt;&gt;",'System map'!$C$4:$C$203,"&lt;&gt;",'System map'!$D$4:$D$203,"&lt;&gt;"),COUNTIFS(Components!$A$4:$A$253,C105,Components!$B$4:$B$253,B105,Components!$K$4:$K$253,"Confirmed",Components!$L$4:$L$253,"OK — verify source"))))&lt;&gt;1,IF(E105="UC",COUNTIFS('Use cases'!$A$4:$A$253,F105,'Use cases'!$I$4:$I$253,"Confirmed",'Use cases'!$J$4:$J$253,"OK — verify source"),IF(E105="CAP",COUNTIFS(Capabilities!$A$4:$A$253,F105,Capabilities!$J$4:$J$253,"Confirmed",Capabilities!$K$4:$K$253,"OK — verify source"),IF(E105="AIR",COUNTIFS('System map'!$A$4:$A$203,F105,'System map'!$B$4:$B$203,"&lt;&gt;",'System map'!$C$4:$C$203,"&lt;&gt;",'System map'!$D$4:$D$203,"&lt;&gt;"),COUNTIFS(Components!$A$4:$A$253,F105,Components!$B$4:$B$253,E105,Components!$K$4:$K$253,"Confirmed",Components!$L$4:$L$253,"OK — verify source"))))&lt;&gt;1)),"Endpoint not source-reconciled",IF(AND(M105="Confirmed",OR(L105="",K105="",K105="Unknown",K105="Low")),"Confirmed link lacks verification","OK — verify source"))))))))))))))</f>
        <v/>
      </c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6" t="n"/>
      <c r="M106" s="25" t="n"/>
      <c r="N106" s="25">
        <f>IF(COUNTA(A106:M106)=0,"",IF(OR(A106="",B106="",C106="",D106="",E106="",F106="",I106="",J106="",K106="",M106=""),"Required link detail missing",IF(COUNTIF($A$4:$A$1003,A106)&gt;1,"Duplicate Map Edge ID",IF(NOT(OR(AND(B106="UC",E106="CAP",D106="requires"),AND(B106="CAP",E106="AIR",D106="provided by"),AND(B106="AIR",OR(E106="MOD",E106="DATA",E106="IF",E106="AG",E106="TOOL"),D106="references"),AND(B106="AIR",E106="AIR",D106="depends on"))),"Invalid relationship",IF(AND(M106&lt;&gt;"Superseded",COUNTIFS($B$4:$B$1003,B106,$C$4:$C$1003,C106,$D$4:$D$1003,D106,$E$4:$E$1003,E106,$F$4:$F$1003,F106,$G$4:$G$1003,G106,$M$4:$M$1003,"&lt;&gt;Superseded")&gt;1),"Duplicate relationship",IF(OR(IF(B106="UC",COUNTIF('Use cases'!$A$4:$A$253,C106),IF(B106="CAP",COUNTIF(Capabilities!$A$4:$A$253,C106),IF(B106="AIR",COUNTIF('System map'!$A$4:$A$203,C106),COUNTIFS(Components!$A$4:$A$253,C106,Components!$B$4:$B$253,B106))))&lt;&gt;1,IF(E106="UC",COUNTIF('Use cases'!$A$4:$A$253,F106),IF(E106="CAP",COUNTIF(Capabilities!$A$4:$A$253,F106),IF(E106="AIR",COUNTIF('System map'!$A$4:$A$203,F106),COUNTIFS(Components!$A$4:$A$253,F106,Components!$B$4:$B$253,E106))))&lt;&gt;1),"Endpoint missing or duplicated",IF(AND(NOT(AND(B106="UC",E106="CAP")),OR(G106="",COUNTIF('System map'!$A$4:$A$203,G106)&lt;&gt;1)),"AIR context missing / unknown",IF(AND(B106="CAP",E106="AIR",G106&lt;&gt;F106),"AIR context mismatch",IF(AND(B106="AIR",G106&lt;&gt;C106),"AIR context mismatch",IF(AND(B106="AIR",E106="AIR",C106=F106),"Self-dependency",IF(AND(B106="AIR",E106="AIR",M106&lt;&gt;"Superseded",COUNTIFS($B$4:$B$1003,"AIR",$C$4:$C$1003,F106,$E$4:$E$1003,"AIR",$F$4:$F$1003,C106,$M$4:$M$1003,"&lt;&gt;Superseded")&gt;0),"Dependency cycle (A↔B) — review",IF(AND(B106="AIR",OR(E106="MOD",E106="DATA",E106="IF",E106="AG",E106="TOOL"),IFERROR(INDEX(Components!$G$4:$G$253,MATCH(F106,Components!$A$4:$A$253,0)),"")&lt;&gt;"",IFERROR(INDEX(Components!$G$4:$G$253,MATCH(F106,Components!$A$4:$A$253,0)),"")&lt;&gt;C106),"Component owned by another AIR-ID",IF(AND(M106="Confirmed",OR(IF(B106="UC",COUNTIFS('Use cases'!$A$4:$A$253,C106,'Use cases'!$I$4:$I$253,"Confirmed",'Use cases'!$J$4:$J$253,"OK — verify source"),IF(B106="CAP",COUNTIFS(Capabilities!$A$4:$A$253,C106,Capabilities!$J$4:$J$253,"Confirmed",Capabilities!$K$4:$K$253,"OK — verify source"),IF(B106="AIR",COUNTIFS('System map'!$A$4:$A$203,C106,'System map'!$B$4:$B$203,"&lt;&gt;",'System map'!$C$4:$C$203,"&lt;&gt;",'System map'!$D$4:$D$203,"&lt;&gt;"),COUNTIFS(Components!$A$4:$A$253,C106,Components!$B$4:$B$253,B106,Components!$K$4:$K$253,"Confirmed",Components!$L$4:$L$253,"OK — verify source"))))&lt;&gt;1,IF(E106="UC",COUNTIFS('Use cases'!$A$4:$A$253,F106,'Use cases'!$I$4:$I$253,"Confirmed",'Use cases'!$J$4:$J$253,"OK — verify source"),IF(E106="CAP",COUNTIFS(Capabilities!$A$4:$A$253,F106,Capabilities!$J$4:$J$253,"Confirmed",Capabilities!$K$4:$K$253,"OK — verify source"),IF(E106="AIR",COUNTIFS('System map'!$A$4:$A$203,F106,'System map'!$B$4:$B$203,"&lt;&gt;",'System map'!$C$4:$C$203,"&lt;&gt;",'System map'!$D$4:$D$203,"&lt;&gt;"),COUNTIFS(Components!$A$4:$A$253,F106,Components!$B$4:$B$253,E106,Components!$K$4:$K$253,"Confirmed",Components!$L$4:$L$253,"OK — verify source"))))&lt;&gt;1)),"Endpoint not source-reconciled",IF(AND(M106="Confirmed",OR(L106="",K106="",K106="Unknown",K106="Low")),"Confirmed link lacks verification","OK — verify source"))))))))))))))</f>
        <v/>
      </c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8" t="n"/>
      <c r="M107" s="27" t="n"/>
      <c r="N107" s="27">
        <f>IF(COUNTA(A107:M107)=0,"",IF(OR(A107="",B107="",C107="",D107="",E107="",F107="",I107="",J107="",K107="",M107=""),"Required link detail missing",IF(COUNTIF($A$4:$A$1003,A107)&gt;1,"Duplicate Map Edge ID",IF(NOT(OR(AND(B107="UC",E107="CAP",D107="requires"),AND(B107="CAP",E107="AIR",D107="provided by"),AND(B107="AIR",OR(E107="MOD",E107="DATA",E107="IF",E107="AG",E107="TOOL"),D107="references"),AND(B107="AIR",E107="AIR",D107="depends on"))),"Invalid relationship",IF(AND(M107&lt;&gt;"Superseded",COUNTIFS($B$4:$B$1003,B107,$C$4:$C$1003,C107,$D$4:$D$1003,D107,$E$4:$E$1003,E107,$F$4:$F$1003,F107,$G$4:$G$1003,G107,$M$4:$M$1003,"&lt;&gt;Superseded")&gt;1),"Duplicate relationship",IF(OR(IF(B107="UC",COUNTIF('Use cases'!$A$4:$A$253,C107),IF(B107="CAP",COUNTIF(Capabilities!$A$4:$A$253,C107),IF(B107="AIR",COUNTIF('System map'!$A$4:$A$203,C107),COUNTIFS(Components!$A$4:$A$253,C107,Components!$B$4:$B$253,B107))))&lt;&gt;1,IF(E107="UC",COUNTIF('Use cases'!$A$4:$A$253,F107),IF(E107="CAP",COUNTIF(Capabilities!$A$4:$A$253,F107),IF(E107="AIR",COUNTIF('System map'!$A$4:$A$203,F107),COUNTIFS(Components!$A$4:$A$253,F107,Components!$B$4:$B$253,E107))))&lt;&gt;1),"Endpoint missing or duplicated",IF(AND(NOT(AND(B107="UC",E107="CAP")),OR(G107="",COUNTIF('System map'!$A$4:$A$203,G107)&lt;&gt;1)),"AIR context missing / unknown",IF(AND(B107="CAP",E107="AIR",G107&lt;&gt;F107),"AIR context mismatch",IF(AND(B107="AIR",G107&lt;&gt;C107),"AIR context mismatch",IF(AND(B107="AIR",E107="AIR",C107=F107),"Self-dependency",IF(AND(B107="AIR",E107="AIR",M107&lt;&gt;"Superseded",COUNTIFS($B$4:$B$1003,"AIR",$C$4:$C$1003,F107,$E$4:$E$1003,"AIR",$F$4:$F$1003,C107,$M$4:$M$1003,"&lt;&gt;Superseded")&gt;0),"Dependency cycle (A↔B) — review",IF(AND(B107="AIR",OR(E107="MOD",E107="DATA",E107="IF",E107="AG",E107="TOOL"),IFERROR(INDEX(Components!$G$4:$G$253,MATCH(F107,Components!$A$4:$A$253,0)),"")&lt;&gt;"",IFERROR(INDEX(Components!$G$4:$G$253,MATCH(F107,Components!$A$4:$A$253,0)),"")&lt;&gt;C107),"Component owned by another AIR-ID",IF(AND(M107="Confirmed",OR(IF(B107="UC",COUNTIFS('Use cases'!$A$4:$A$253,C107,'Use cases'!$I$4:$I$253,"Confirmed",'Use cases'!$J$4:$J$253,"OK — verify source"),IF(B107="CAP",COUNTIFS(Capabilities!$A$4:$A$253,C107,Capabilities!$J$4:$J$253,"Confirmed",Capabilities!$K$4:$K$253,"OK — verify source"),IF(B107="AIR",COUNTIFS('System map'!$A$4:$A$203,C107,'System map'!$B$4:$B$203,"&lt;&gt;",'System map'!$C$4:$C$203,"&lt;&gt;",'System map'!$D$4:$D$203,"&lt;&gt;"),COUNTIFS(Components!$A$4:$A$253,C107,Components!$B$4:$B$253,B107,Components!$K$4:$K$253,"Confirmed",Components!$L$4:$L$253,"OK — verify source"))))&lt;&gt;1,IF(E107="UC",COUNTIFS('Use cases'!$A$4:$A$253,F107,'Use cases'!$I$4:$I$253,"Confirmed",'Use cases'!$J$4:$J$253,"OK — verify source"),IF(E107="CAP",COUNTIFS(Capabilities!$A$4:$A$253,F107,Capabilities!$J$4:$J$253,"Confirmed",Capabilities!$K$4:$K$253,"OK — verify source"),IF(E107="AIR",COUNTIFS('System map'!$A$4:$A$203,F107,'System map'!$B$4:$B$203,"&lt;&gt;",'System map'!$C$4:$C$203,"&lt;&gt;",'System map'!$D$4:$D$203,"&lt;&gt;"),COUNTIFS(Components!$A$4:$A$253,F107,Components!$B$4:$B$253,E107,Components!$K$4:$K$253,"Confirmed",Components!$L$4:$L$253,"OK — verify source"))))&lt;&gt;1)),"Endpoint not source-reconciled",IF(AND(M107="Confirmed",OR(L107="",K107="",K107="Unknown",K107="Low")),"Confirmed link lacks verification","OK — verify source"))))))))))))))</f>
        <v/>
      </c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6" t="n"/>
      <c r="M108" s="25" t="n"/>
      <c r="N108" s="25">
        <f>IF(COUNTA(A108:M108)=0,"",IF(OR(A108="",B108="",C108="",D108="",E108="",F108="",I108="",J108="",K108="",M108=""),"Required link detail missing",IF(COUNTIF($A$4:$A$1003,A108)&gt;1,"Duplicate Map Edge ID",IF(NOT(OR(AND(B108="UC",E108="CAP",D108="requires"),AND(B108="CAP",E108="AIR",D108="provided by"),AND(B108="AIR",OR(E108="MOD",E108="DATA",E108="IF",E108="AG",E108="TOOL"),D108="references"),AND(B108="AIR",E108="AIR",D108="depends on"))),"Invalid relationship",IF(AND(M108&lt;&gt;"Superseded",COUNTIFS($B$4:$B$1003,B108,$C$4:$C$1003,C108,$D$4:$D$1003,D108,$E$4:$E$1003,E108,$F$4:$F$1003,F108,$G$4:$G$1003,G108,$M$4:$M$1003,"&lt;&gt;Superseded")&gt;1),"Duplicate relationship",IF(OR(IF(B108="UC",COUNTIF('Use cases'!$A$4:$A$253,C108),IF(B108="CAP",COUNTIF(Capabilities!$A$4:$A$253,C108),IF(B108="AIR",COUNTIF('System map'!$A$4:$A$203,C108),COUNTIFS(Components!$A$4:$A$253,C108,Components!$B$4:$B$253,B108))))&lt;&gt;1,IF(E108="UC",COUNTIF('Use cases'!$A$4:$A$253,F108),IF(E108="CAP",COUNTIF(Capabilities!$A$4:$A$253,F108),IF(E108="AIR",COUNTIF('System map'!$A$4:$A$203,F108),COUNTIFS(Components!$A$4:$A$253,F108,Components!$B$4:$B$253,E108))))&lt;&gt;1),"Endpoint missing or duplicated",IF(AND(NOT(AND(B108="UC",E108="CAP")),OR(G108="",COUNTIF('System map'!$A$4:$A$203,G108)&lt;&gt;1)),"AIR context missing / unknown",IF(AND(B108="CAP",E108="AIR",G108&lt;&gt;F108),"AIR context mismatch",IF(AND(B108="AIR",G108&lt;&gt;C108),"AIR context mismatch",IF(AND(B108="AIR",E108="AIR",C108=F108),"Self-dependency",IF(AND(B108="AIR",E108="AIR",M108&lt;&gt;"Superseded",COUNTIFS($B$4:$B$1003,"AIR",$C$4:$C$1003,F108,$E$4:$E$1003,"AIR",$F$4:$F$1003,C108,$M$4:$M$1003,"&lt;&gt;Superseded")&gt;0),"Dependency cycle (A↔B) — review",IF(AND(B108="AIR",OR(E108="MOD",E108="DATA",E108="IF",E108="AG",E108="TOOL"),IFERROR(INDEX(Components!$G$4:$G$253,MATCH(F108,Components!$A$4:$A$253,0)),"")&lt;&gt;"",IFERROR(INDEX(Components!$G$4:$G$253,MATCH(F108,Components!$A$4:$A$253,0)),"")&lt;&gt;C108),"Component owned by another AIR-ID",IF(AND(M108="Confirmed",OR(IF(B108="UC",COUNTIFS('Use cases'!$A$4:$A$253,C108,'Use cases'!$I$4:$I$253,"Confirmed",'Use cases'!$J$4:$J$253,"OK — verify source"),IF(B108="CAP",COUNTIFS(Capabilities!$A$4:$A$253,C108,Capabilities!$J$4:$J$253,"Confirmed",Capabilities!$K$4:$K$253,"OK — verify source"),IF(B108="AIR",COUNTIFS('System map'!$A$4:$A$203,C108,'System map'!$B$4:$B$203,"&lt;&gt;",'System map'!$C$4:$C$203,"&lt;&gt;",'System map'!$D$4:$D$203,"&lt;&gt;"),COUNTIFS(Components!$A$4:$A$253,C108,Components!$B$4:$B$253,B108,Components!$K$4:$K$253,"Confirmed",Components!$L$4:$L$253,"OK — verify source"))))&lt;&gt;1,IF(E108="UC",COUNTIFS('Use cases'!$A$4:$A$253,F108,'Use cases'!$I$4:$I$253,"Confirmed",'Use cases'!$J$4:$J$253,"OK — verify source"),IF(E108="CAP",COUNTIFS(Capabilities!$A$4:$A$253,F108,Capabilities!$J$4:$J$253,"Confirmed",Capabilities!$K$4:$K$253,"OK — verify source"),IF(E108="AIR",COUNTIFS('System map'!$A$4:$A$203,F108,'System map'!$B$4:$B$203,"&lt;&gt;",'System map'!$C$4:$C$203,"&lt;&gt;",'System map'!$D$4:$D$203,"&lt;&gt;"),COUNTIFS(Components!$A$4:$A$253,F108,Components!$B$4:$B$253,E108,Components!$K$4:$K$253,"Confirmed",Components!$L$4:$L$253,"OK — verify source"))))&lt;&gt;1)),"Endpoint not source-reconciled",IF(AND(M108="Confirmed",OR(L108="",K108="",K108="Unknown",K108="Low")),"Confirmed link lacks verification","OK — verify source"))))))))))))))</f>
        <v/>
      </c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8" t="n"/>
      <c r="M109" s="27" t="n"/>
      <c r="N109" s="27">
        <f>IF(COUNTA(A109:M109)=0,"",IF(OR(A109="",B109="",C109="",D109="",E109="",F109="",I109="",J109="",K109="",M109=""),"Required link detail missing",IF(COUNTIF($A$4:$A$1003,A109)&gt;1,"Duplicate Map Edge ID",IF(NOT(OR(AND(B109="UC",E109="CAP",D109="requires"),AND(B109="CAP",E109="AIR",D109="provided by"),AND(B109="AIR",OR(E109="MOD",E109="DATA",E109="IF",E109="AG",E109="TOOL"),D109="references"),AND(B109="AIR",E109="AIR",D109="depends on"))),"Invalid relationship",IF(AND(M109&lt;&gt;"Superseded",COUNTIFS($B$4:$B$1003,B109,$C$4:$C$1003,C109,$D$4:$D$1003,D109,$E$4:$E$1003,E109,$F$4:$F$1003,F109,$G$4:$G$1003,G109,$M$4:$M$1003,"&lt;&gt;Superseded")&gt;1),"Duplicate relationship",IF(OR(IF(B109="UC",COUNTIF('Use cases'!$A$4:$A$253,C109),IF(B109="CAP",COUNTIF(Capabilities!$A$4:$A$253,C109),IF(B109="AIR",COUNTIF('System map'!$A$4:$A$203,C109),COUNTIFS(Components!$A$4:$A$253,C109,Components!$B$4:$B$253,B109))))&lt;&gt;1,IF(E109="UC",COUNTIF('Use cases'!$A$4:$A$253,F109),IF(E109="CAP",COUNTIF(Capabilities!$A$4:$A$253,F109),IF(E109="AIR",COUNTIF('System map'!$A$4:$A$203,F109),COUNTIFS(Components!$A$4:$A$253,F109,Components!$B$4:$B$253,E109))))&lt;&gt;1),"Endpoint missing or duplicated",IF(AND(NOT(AND(B109="UC",E109="CAP")),OR(G109="",COUNTIF('System map'!$A$4:$A$203,G109)&lt;&gt;1)),"AIR context missing / unknown",IF(AND(B109="CAP",E109="AIR",G109&lt;&gt;F109),"AIR context mismatch",IF(AND(B109="AIR",G109&lt;&gt;C109),"AIR context mismatch",IF(AND(B109="AIR",E109="AIR",C109=F109),"Self-dependency",IF(AND(B109="AIR",E109="AIR",M109&lt;&gt;"Superseded",COUNTIFS($B$4:$B$1003,"AIR",$C$4:$C$1003,F109,$E$4:$E$1003,"AIR",$F$4:$F$1003,C109,$M$4:$M$1003,"&lt;&gt;Superseded")&gt;0),"Dependency cycle (A↔B) — review",IF(AND(B109="AIR",OR(E109="MOD",E109="DATA",E109="IF",E109="AG",E109="TOOL"),IFERROR(INDEX(Components!$G$4:$G$253,MATCH(F109,Components!$A$4:$A$253,0)),"")&lt;&gt;"",IFERROR(INDEX(Components!$G$4:$G$253,MATCH(F109,Components!$A$4:$A$253,0)),"")&lt;&gt;C109),"Component owned by another AIR-ID",IF(AND(M109="Confirmed",OR(IF(B109="UC",COUNTIFS('Use cases'!$A$4:$A$253,C109,'Use cases'!$I$4:$I$253,"Confirmed",'Use cases'!$J$4:$J$253,"OK — verify source"),IF(B109="CAP",COUNTIFS(Capabilities!$A$4:$A$253,C109,Capabilities!$J$4:$J$253,"Confirmed",Capabilities!$K$4:$K$253,"OK — verify source"),IF(B109="AIR",COUNTIFS('System map'!$A$4:$A$203,C109,'System map'!$B$4:$B$203,"&lt;&gt;",'System map'!$C$4:$C$203,"&lt;&gt;",'System map'!$D$4:$D$203,"&lt;&gt;"),COUNTIFS(Components!$A$4:$A$253,C109,Components!$B$4:$B$253,B109,Components!$K$4:$K$253,"Confirmed",Components!$L$4:$L$253,"OK — verify source"))))&lt;&gt;1,IF(E109="UC",COUNTIFS('Use cases'!$A$4:$A$253,F109,'Use cases'!$I$4:$I$253,"Confirmed",'Use cases'!$J$4:$J$253,"OK — verify source"),IF(E109="CAP",COUNTIFS(Capabilities!$A$4:$A$253,F109,Capabilities!$J$4:$J$253,"Confirmed",Capabilities!$K$4:$K$253,"OK — verify source"),IF(E109="AIR",COUNTIFS('System map'!$A$4:$A$203,F109,'System map'!$B$4:$B$203,"&lt;&gt;",'System map'!$C$4:$C$203,"&lt;&gt;",'System map'!$D$4:$D$203,"&lt;&gt;"),COUNTIFS(Components!$A$4:$A$253,F109,Components!$B$4:$B$253,E109,Components!$K$4:$K$253,"Confirmed",Components!$L$4:$L$253,"OK — verify source"))))&lt;&gt;1)),"Endpoint not source-reconciled",IF(AND(M109="Confirmed",OR(L109="",K109="",K109="Unknown",K109="Low")),"Confirmed link lacks verification","OK — verify source"))))))))))))))</f>
        <v/>
      </c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6" t="n"/>
      <c r="M110" s="25" t="n"/>
      <c r="N110" s="25">
        <f>IF(COUNTA(A110:M110)=0,"",IF(OR(A110="",B110="",C110="",D110="",E110="",F110="",I110="",J110="",K110="",M110=""),"Required link detail missing",IF(COUNTIF($A$4:$A$1003,A110)&gt;1,"Duplicate Map Edge ID",IF(NOT(OR(AND(B110="UC",E110="CAP",D110="requires"),AND(B110="CAP",E110="AIR",D110="provided by"),AND(B110="AIR",OR(E110="MOD",E110="DATA",E110="IF",E110="AG",E110="TOOL"),D110="references"),AND(B110="AIR",E110="AIR",D110="depends on"))),"Invalid relationship",IF(AND(M110&lt;&gt;"Superseded",COUNTIFS($B$4:$B$1003,B110,$C$4:$C$1003,C110,$D$4:$D$1003,D110,$E$4:$E$1003,E110,$F$4:$F$1003,F110,$G$4:$G$1003,G110,$M$4:$M$1003,"&lt;&gt;Superseded")&gt;1),"Duplicate relationship",IF(OR(IF(B110="UC",COUNTIF('Use cases'!$A$4:$A$253,C110),IF(B110="CAP",COUNTIF(Capabilities!$A$4:$A$253,C110),IF(B110="AIR",COUNTIF('System map'!$A$4:$A$203,C110),COUNTIFS(Components!$A$4:$A$253,C110,Components!$B$4:$B$253,B110))))&lt;&gt;1,IF(E110="UC",COUNTIF('Use cases'!$A$4:$A$253,F110),IF(E110="CAP",COUNTIF(Capabilities!$A$4:$A$253,F110),IF(E110="AIR",COUNTIF('System map'!$A$4:$A$203,F110),COUNTIFS(Components!$A$4:$A$253,F110,Components!$B$4:$B$253,E110))))&lt;&gt;1),"Endpoint missing or duplicated",IF(AND(NOT(AND(B110="UC",E110="CAP")),OR(G110="",COUNTIF('System map'!$A$4:$A$203,G110)&lt;&gt;1)),"AIR context missing / unknown",IF(AND(B110="CAP",E110="AIR",G110&lt;&gt;F110),"AIR context mismatch",IF(AND(B110="AIR",G110&lt;&gt;C110),"AIR context mismatch",IF(AND(B110="AIR",E110="AIR",C110=F110),"Self-dependency",IF(AND(B110="AIR",E110="AIR",M110&lt;&gt;"Superseded",COUNTIFS($B$4:$B$1003,"AIR",$C$4:$C$1003,F110,$E$4:$E$1003,"AIR",$F$4:$F$1003,C110,$M$4:$M$1003,"&lt;&gt;Superseded")&gt;0),"Dependency cycle (A↔B) — review",IF(AND(B110="AIR",OR(E110="MOD",E110="DATA",E110="IF",E110="AG",E110="TOOL"),IFERROR(INDEX(Components!$G$4:$G$253,MATCH(F110,Components!$A$4:$A$253,0)),"")&lt;&gt;"",IFERROR(INDEX(Components!$G$4:$G$253,MATCH(F110,Components!$A$4:$A$253,0)),"")&lt;&gt;C110),"Component owned by another AIR-ID",IF(AND(M110="Confirmed",OR(IF(B110="UC",COUNTIFS('Use cases'!$A$4:$A$253,C110,'Use cases'!$I$4:$I$253,"Confirmed",'Use cases'!$J$4:$J$253,"OK — verify source"),IF(B110="CAP",COUNTIFS(Capabilities!$A$4:$A$253,C110,Capabilities!$J$4:$J$253,"Confirmed",Capabilities!$K$4:$K$253,"OK — verify source"),IF(B110="AIR",COUNTIFS('System map'!$A$4:$A$203,C110,'System map'!$B$4:$B$203,"&lt;&gt;",'System map'!$C$4:$C$203,"&lt;&gt;",'System map'!$D$4:$D$203,"&lt;&gt;"),COUNTIFS(Components!$A$4:$A$253,C110,Components!$B$4:$B$253,B110,Components!$K$4:$K$253,"Confirmed",Components!$L$4:$L$253,"OK — verify source"))))&lt;&gt;1,IF(E110="UC",COUNTIFS('Use cases'!$A$4:$A$253,F110,'Use cases'!$I$4:$I$253,"Confirmed",'Use cases'!$J$4:$J$253,"OK — verify source"),IF(E110="CAP",COUNTIFS(Capabilities!$A$4:$A$253,F110,Capabilities!$J$4:$J$253,"Confirmed",Capabilities!$K$4:$K$253,"OK — verify source"),IF(E110="AIR",COUNTIFS('System map'!$A$4:$A$203,F110,'System map'!$B$4:$B$203,"&lt;&gt;",'System map'!$C$4:$C$203,"&lt;&gt;",'System map'!$D$4:$D$203,"&lt;&gt;"),COUNTIFS(Components!$A$4:$A$253,F110,Components!$B$4:$B$253,E110,Components!$K$4:$K$253,"Confirmed",Components!$L$4:$L$253,"OK — verify source"))))&lt;&gt;1)),"Endpoint not source-reconciled",IF(AND(M110="Confirmed",OR(L110="",K110="",K110="Unknown",K110="Low")),"Confirmed link lacks verification","OK — verify source"))))))))))))))</f>
        <v/>
      </c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8" t="n"/>
      <c r="M111" s="27" t="n"/>
      <c r="N111" s="27">
        <f>IF(COUNTA(A111:M111)=0,"",IF(OR(A111="",B111="",C111="",D111="",E111="",F111="",I111="",J111="",K111="",M111=""),"Required link detail missing",IF(COUNTIF($A$4:$A$1003,A111)&gt;1,"Duplicate Map Edge ID",IF(NOT(OR(AND(B111="UC",E111="CAP",D111="requires"),AND(B111="CAP",E111="AIR",D111="provided by"),AND(B111="AIR",OR(E111="MOD",E111="DATA",E111="IF",E111="AG",E111="TOOL"),D111="references"),AND(B111="AIR",E111="AIR",D111="depends on"))),"Invalid relationship",IF(AND(M111&lt;&gt;"Superseded",COUNTIFS($B$4:$B$1003,B111,$C$4:$C$1003,C111,$D$4:$D$1003,D111,$E$4:$E$1003,E111,$F$4:$F$1003,F111,$G$4:$G$1003,G111,$M$4:$M$1003,"&lt;&gt;Superseded")&gt;1),"Duplicate relationship",IF(OR(IF(B111="UC",COUNTIF('Use cases'!$A$4:$A$253,C111),IF(B111="CAP",COUNTIF(Capabilities!$A$4:$A$253,C111),IF(B111="AIR",COUNTIF('System map'!$A$4:$A$203,C111),COUNTIFS(Components!$A$4:$A$253,C111,Components!$B$4:$B$253,B111))))&lt;&gt;1,IF(E111="UC",COUNTIF('Use cases'!$A$4:$A$253,F111),IF(E111="CAP",COUNTIF(Capabilities!$A$4:$A$253,F111),IF(E111="AIR",COUNTIF('System map'!$A$4:$A$203,F111),COUNTIFS(Components!$A$4:$A$253,F111,Components!$B$4:$B$253,E111))))&lt;&gt;1),"Endpoint missing or duplicated",IF(AND(NOT(AND(B111="UC",E111="CAP")),OR(G111="",COUNTIF('System map'!$A$4:$A$203,G111)&lt;&gt;1)),"AIR context missing / unknown",IF(AND(B111="CAP",E111="AIR",G111&lt;&gt;F111),"AIR context mismatch",IF(AND(B111="AIR",G111&lt;&gt;C111),"AIR context mismatch",IF(AND(B111="AIR",E111="AIR",C111=F111),"Self-dependency",IF(AND(B111="AIR",E111="AIR",M111&lt;&gt;"Superseded",COUNTIFS($B$4:$B$1003,"AIR",$C$4:$C$1003,F111,$E$4:$E$1003,"AIR",$F$4:$F$1003,C111,$M$4:$M$1003,"&lt;&gt;Superseded")&gt;0),"Dependency cycle (A↔B) — review",IF(AND(B111="AIR",OR(E111="MOD",E111="DATA",E111="IF",E111="AG",E111="TOOL"),IFERROR(INDEX(Components!$G$4:$G$253,MATCH(F111,Components!$A$4:$A$253,0)),"")&lt;&gt;"",IFERROR(INDEX(Components!$G$4:$G$253,MATCH(F111,Components!$A$4:$A$253,0)),"")&lt;&gt;C111),"Component owned by another AIR-ID",IF(AND(M111="Confirmed",OR(IF(B111="UC",COUNTIFS('Use cases'!$A$4:$A$253,C111,'Use cases'!$I$4:$I$253,"Confirmed",'Use cases'!$J$4:$J$253,"OK — verify source"),IF(B111="CAP",COUNTIFS(Capabilities!$A$4:$A$253,C111,Capabilities!$J$4:$J$253,"Confirmed",Capabilities!$K$4:$K$253,"OK — verify source"),IF(B111="AIR",COUNTIFS('System map'!$A$4:$A$203,C111,'System map'!$B$4:$B$203,"&lt;&gt;",'System map'!$C$4:$C$203,"&lt;&gt;",'System map'!$D$4:$D$203,"&lt;&gt;"),COUNTIFS(Components!$A$4:$A$253,C111,Components!$B$4:$B$253,B111,Components!$K$4:$K$253,"Confirmed",Components!$L$4:$L$253,"OK — verify source"))))&lt;&gt;1,IF(E111="UC",COUNTIFS('Use cases'!$A$4:$A$253,F111,'Use cases'!$I$4:$I$253,"Confirmed",'Use cases'!$J$4:$J$253,"OK — verify source"),IF(E111="CAP",COUNTIFS(Capabilities!$A$4:$A$253,F111,Capabilities!$J$4:$J$253,"Confirmed",Capabilities!$K$4:$K$253,"OK — verify source"),IF(E111="AIR",COUNTIFS('System map'!$A$4:$A$203,F111,'System map'!$B$4:$B$203,"&lt;&gt;",'System map'!$C$4:$C$203,"&lt;&gt;",'System map'!$D$4:$D$203,"&lt;&gt;"),COUNTIFS(Components!$A$4:$A$253,F111,Components!$B$4:$B$253,E111,Components!$K$4:$K$253,"Confirmed",Components!$L$4:$L$253,"OK — verify source"))))&lt;&gt;1)),"Endpoint not source-reconciled",IF(AND(M111="Confirmed",OR(L111="",K111="",K111="Unknown",K111="Low")),"Confirmed link lacks verification","OK — verify source"))))))))))))))</f>
        <v/>
      </c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6" t="n"/>
      <c r="M112" s="25" t="n"/>
      <c r="N112" s="25">
        <f>IF(COUNTA(A112:M112)=0,"",IF(OR(A112="",B112="",C112="",D112="",E112="",F112="",I112="",J112="",K112="",M112=""),"Required link detail missing",IF(COUNTIF($A$4:$A$1003,A112)&gt;1,"Duplicate Map Edge ID",IF(NOT(OR(AND(B112="UC",E112="CAP",D112="requires"),AND(B112="CAP",E112="AIR",D112="provided by"),AND(B112="AIR",OR(E112="MOD",E112="DATA",E112="IF",E112="AG",E112="TOOL"),D112="references"),AND(B112="AIR",E112="AIR",D112="depends on"))),"Invalid relationship",IF(AND(M112&lt;&gt;"Superseded",COUNTIFS($B$4:$B$1003,B112,$C$4:$C$1003,C112,$D$4:$D$1003,D112,$E$4:$E$1003,E112,$F$4:$F$1003,F112,$G$4:$G$1003,G112,$M$4:$M$1003,"&lt;&gt;Superseded")&gt;1),"Duplicate relationship",IF(OR(IF(B112="UC",COUNTIF('Use cases'!$A$4:$A$253,C112),IF(B112="CAP",COUNTIF(Capabilities!$A$4:$A$253,C112),IF(B112="AIR",COUNTIF('System map'!$A$4:$A$203,C112),COUNTIFS(Components!$A$4:$A$253,C112,Components!$B$4:$B$253,B112))))&lt;&gt;1,IF(E112="UC",COUNTIF('Use cases'!$A$4:$A$253,F112),IF(E112="CAP",COUNTIF(Capabilities!$A$4:$A$253,F112),IF(E112="AIR",COUNTIF('System map'!$A$4:$A$203,F112),COUNTIFS(Components!$A$4:$A$253,F112,Components!$B$4:$B$253,E112))))&lt;&gt;1),"Endpoint missing or duplicated",IF(AND(NOT(AND(B112="UC",E112="CAP")),OR(G112="",COUNTIF('System map'!$A$4:$A$203,G112)&lt;&gt;1)),"AIR context missing / unknown",IF(AND(B112="CAP",E112="AIR",G112&lt;&gt;F112),"AIR context mismatch",IF(AND(B112="AIR",G112&lt;&gt;C112),"AIR context mismatch",IF(AND(B112="AIR",E112="AIR",C112=F112),"Self-dependency",IF(AND(B112="AIR",E112="AIR",M112&lt;&gt;"Superseded",COUNTIFS($B$4:$B$1003,"AIR",$C$4:$C$1003,F112,$E$4:$E$1003,"AIR",$F$4:$F$1003,C112,$M$4:$M$1003,"&lt;&gt;Superseded")&gt;0),"Dependency cycle (A↔B) — review",IF(AND(B112="AIR",OR(E112="MOD",E112="DATA",E112="IF",E112="AG",E112="TOOL"),IFERROR(INDEX(Components!$G$4:$G$253,MATCH(F112,Components!$A$4:$A$253,0)),"")&lt;&gt;"",IFERROR(INDEX(Components!$G$4:$G$253,MATCH(F112,Components!$A$4:$A$253,0)),"")&lt;&gt;C112),"Component owned by another AIR-ID",IF(AND(M112="Confirmed",OR(IF(B112="UC",COUNTIFS('Use cases'!$A$4:$A$253,C112,'Use cases'!$I$4:$I$253,"Confirmed",'Use cases'!$J$4:$J$253,"OK — verify source"),IF(B112="CAP",COUNTIFS(Capabilities!$A$4:$A$253,C112,Capabilities!$J$4:$J$253,"Confirmed",Capabilities!$K$4:$K$253,"OK — verify source"),IF(B112="AIR",COUNTIFS('System map'!$A$4:$A$203,C112,'System map'!$B$4:$B$203,"&lt;&gt;",'System map'!$C$4:$C$203,"&lt;&gt;",'System map'!$D$4:$D$203,"&lt;&gt;"),COUNTIFS(Components!$A$4:$A$253,C112,Components!$B$4:$B$253,B112,Components!$K$4:$K$253,"Confirmed",Components!$L$4:$L$253,"OK — verify source"))))&lt;&gt;1,IF(E112="UC",COUNTIFS('Use cases'!$A$4:$A$253,F112,'Use cases'!$I$4:$I$253,"Confirmed",'Use cases'!$J$4:$J$253,"OK — verify source"),IF(E112="CAP",COUNTIFS(Capabilities!$A$4:$A$253,F112,Capabilities!$J$4:$J$253,"Confirmed",Capabilities!$K$4:$K$253,"OK — verify source"),IF(E112="AIR",COUNTIFS('System map'!$A$4:$A$203,F112,'System map'!$B$4:$B$203,"&lt;&gt;",'System map'!$C$4:$C$203,"&lt;&gt;",'System map'!$D$4:$D$203,"&lt;&gt;"),COUNTIFS(Components!$A$4:$A$253,F112,Components!$B$4:$B$253,E112,Components!$K$4:$K$253,"Confirmed",Components!$L$4:$L$253,"OK — verify source"))))&lt;&gt;1)),"Endpoint not source-reconciled",IF(AND(M112="Confirmed",OR(L112="",K112="",K112="Unknown",K112="Low")),"Confirmed link lacks verification","OK — verify source"))))))))))))))</f>
        <v/>
      </c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8" t="n"/>
      <c r="M113" s="27" t="n"/>
      <c r="N113" s="27">
        <f>IF(COUNTA(A113:M113)=0,"",IF(OR(A113="",B113="",C113="",D113="",E113="",F113="",I113="",J113="",K113="",M113=""),"Required link detail missing",IF(COUNTIF($A$4:$A$1003,A113)&gt;1,"Duplicate Map Edge ID",IF(NOT(OR(AND(B113="UC",E113="CAP",D113="requires"),AND(B113="CAP",E113="AIR",D113="provided by"),AND(B113="AIR",OR(E113="MOD",E113="DATA",E113="IF",E113="AG",E113="TOOL"),D113="references"),AND(B113="AIR",E113="AIR",D113="depends on"))),"Invalid relationship",IF(AND(M113&lt;&gt;"Superseded",COUNTIFS($B$4:$B$1003,B113,$C$4:$C$1003,C113,$D$4:$D$1003,D113,$E$4:$E$1003,E113,$F$4:$F$1003,F113,$G$4:$G$1003,G113,$M$4:$M$1003,"&lt;&gt;Superseded")&gt;1),"Duplicate relationship",IF(OR(IF(B113="UC",COUNTIF('Use cases'!$A$4:$A$253,C113),IF(B113="CAP",COUNTIF(Capabilities!$A$4:$A$253,C113),IF(B113="AIR",COUNTIF('System map'!$A$4:$A$203,C113),COUNTIFS(Components!$A$4:$A$253,C113,Components!$B$4:$B$253,B113))))&lt;&gt;1,IF(E113="UC",COUNTIF('Use cases'!$A$4:$A$253,F113),IF(E113="CAP",COUNTIF(Capabilities!$A$4:$A$253,F113),IF(E113="AIR",COUNTIF('System map'!$A$4:$A$203,F113),COUNTIFS(Components!$A$4:$A$253,F113,Components!$B$4:$B$253,E113))))&lt;&gt;1),"Endpoint missing or duplicated",IF(AND(NOT(AND(B113="UC",E113="CAP")),OR(G113="",COUNTIF('System map'!$A$4:$A$203,G113)&lt;&gt;1)),"AIR context missing / unknown",IF(AND(B113="CAP",E113="AIR",G113&lt;&gt;F113),"AIR context mismatch",IF(AND(B113="AIR",G113&lt;&gt;C113),"AIR context mismatch",IF(AND(B113="AIR",E113="AIR",C113=F113),"Self-dependency",IF(AND(B113="AIR",E113="AIR",M113&lt;&gt;"Superseded",COUNTIFS($B$4:$B$1003,"AIR",$C$4:$C$1003,F113,$E$4:$E$1003,"AIR",$F$4:$F$1003,C113,$M$4:$M$1003,"&lt;&gt;Superseded")&gt;0),"Dependency cycle (A↔B) — review",IF(AND(B113="AIR",OR(E113="MOD",E113="DATA",E113="IF",E113="AG",E113="TOOL"),IFERROR(INDEX(Components!$G$4:$G$253,MATCH(F113,Components!$A$4:$A$253,0)),"")&lt;&gt;"",IFERROR(INDEX(Components!$G$4:$G$253,MATCH(F113,Components!$A$4:$A$253,0)),"")&lt;&gt;C113),"Component owned by another AIR-ID",IF(AND(M113="Confirmed",OR(IF(B113="UC",COUNTIFS('Use cases'!$A$4:$A$253,C113,'Use cases'!$I$4:$I$253,"Confirmed",'Use cases'!$J$4:$J$253,"OK — verify source"),IF(B113="CAP",COUNTIFS(Capabilities!$A$4:$A$253,C113,Capabilities!$J$4:$J$253,"Confirmed",Capabilities!$K$4:$K$253,"OK — verify source"),IF(B113="AIR",COUNTIFS('System map'!$A$4:$A$203,C113,'System map'!$B$4:$B$203,"&lt;&gt;",'System map'!$C$4:$C$203,"&lt;&gt;",'System map'!$D$4:$D$203,"&lt;&gt;"),COUNTIFS(Components!$A$4:$A$253,C113,Components!$B$4:$B$253,B113,Components!$K$4:$K$253,"Confirmed",Components!$L$4:$L$253,"OK — verify source"))))&lt;&gt;1,IF(E113="UC",COUNTIFS('Use cases'!$A$4:$A$253,F113,'Use cases'!$I$4:$I$253,"Confirmed",'Use cases'!$J$4:$J$253,"OK — verify source"),IF(E113="CAP",COUNTIFS(Capabilities!$A$4:$A$253,F113,Capabilities!$J$4:$J$253,"Confirmed",Capabilities!$K$4:$K$253,"OK — verify source"),IF(E113="AIR",COUNTIFS('System map'!$A$4:$A$203,F113,'System map'!$B$4:$B$203,"&lt;&gt;",'System map'!$C$4:$C$203,"&lt;&gt;",'System map'!$D$4:$D$203,"&lt;&gt;"),COUNTIFS(Components!$A$4:$A$253,F113,Components!$B$4:$B$253,E113,Components!$K$4:$K$253,"Confirmed",Components!$L$4:$L$253,"OK — verify source"))))&lt;&gt;1)),"Endpoint not source-reconciled",IF(AND(M113="Confirmed",OR(L113="",K113="",K113="Unknown",K113="Low")),"Confirmed link lacks verification","OK — verify source"))))))))))))))</f>
        <v/>
      </c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6" t="n"/>
      <c r="M114" s="25" t="n"/>
      <c r="N114" s="25">
        <f>IF(COUNTA(A114:M114)=0,"",IF(OR(A114="",B114="",C114="",D114="",E114="",F114="",I114="",J114="",K114="",M114=""),"Required link detail missing",IF(COUNTIF($A$4:$A$1003,A114)&gt;1,"Duplicate Map Edge ID",IF(NOT(OR(AND(B114="UC",E114="CAP",D114="requires"),AND(B114="CAP",E114="AIR",D114="provided by"),AND(B114="AIR",OR(E114="MOD",E114="DATA",E114="IF",E114="AG",E114="TOOL"),D114="references"),AND(B114="AIR",E114="AIR",D114="depends on"))),"Invalid relationship",IF(AND(M114&lt;&gt;"Superseded",COUNTIFS($B$4:$B$1003,B114,$C$4:$C$1003,C114,$D$4:$D$1003,D114,$E$4:$E$1003,E114,$F$4:$F$1003,F114,$G$4:$G$1003,G114,$M$4:$M$1003,"&lt;&gt;Superseded")&gt;1),"Duplicate relationship",IF(OR(IF(B114="UC",COUNTIF('Use cases'!$A$4:$A$253,C114),IF(B114="CAP",COUNTIF(Capabilities!$A$4:$A$253,C114),IF(B114="AIR",COUNTIF('System map'!$A$4:$A$203,C114),COUNTIFS(Components!$A$4:$A$253,C114,Components!$B$4:$B$253,B114))))&lt;&gt;1,IF(E114="UC",COUNTIF('Use cases'!$A$4:$A$253,F114),IF(E114="CAP",COUNTIF(Capabilities!$A$4:$A$253,F114),IF(E114="AIR",COUNTIF('System map'!$A$4:$A$203,F114),COUNTIFS(Components!$A$4:$A$253,F114,Components!$B$4:$B$253,E114))))&lt;&gt;1),"Endpoint missing or duplicated",IF(AND(NOT(AND(B114="UC",E114="CAP")),OR(G114="",COUNTIF('System map'!$A$4:$A$203,G114)&lt;&gt;1)),"AIR context missing / unknown",IF(AND(B114="CAP",E114="AIR",G114&lt;&gt;F114),"AIR context mismatch",IF(AND(B114="AIR",G114&lt;&gt;C114),"AIR context mismatch",IF(AND(B114="AIR",E114="AIR",C114=F114),"Self-dependency",IF(AND(B114="AIR",E114="AIR",M114&lt;&gt;"Superseded",COUNTIFS($B$4:$B$1003,"AIR",$C$4:$C$1003,F114,$E$4:$E$1003,"AIR",$F$4:$F$1003,C114,$M$4:$M$1003,"&lt;&gt;Superseded")&gt;0),"Dependency cycle (A↔B) — review",IF(AND(B114="AIR",OR(E114="MOD",E114="DATA",E114="IF",E114="AG",E114="TOOL"),IFERROR(INDEX(Components!$G$4:$G$253,MATCH(F114,Components!$A$4:$A$253,0)),"")&lt;&gt;"",IFERROR(INDEX(Components!$G$4:$G$253,MATCH(F114,Components!$A$4:$A$253,0)),"")&lt;&gt;C114),"Component owned by another AIR-ID",IF(AND(M114="Confirmed",OR(IF(B114="UC",COUNTIFS('Use cases'!$A$4:$A$253,C114,'Use cases'!$I$4:$I$253,"Confirmed",'Use cases'!$J$4:$J$253,"OK — verify source"),IF(B114="CAP",COUNTIFS(Capabilities!$A$4:$A$253,C114,Capabilities!$J$4:$J$253,"Confirmed",Capabilities!$K$4:$K$253,"OK — verify source"),IF(B114="AIR",COUNTIFS('System map'!$A$4:$A$203,C114,'System map'!$B$4:$B$203,"&lt;&gt;",'System map'!$C$4:$C$203,"&lt;&gt;",'System map'!$D$4:$D$203,"&lt;&gt;"),COUNTIFS(Components!$A$4:$A$253,C114,Components!$B$4:$B$253,B114,Components!$K$4:$K$253,"Confirmed",Components!$L$4:$L$253,"OK — verify source"))))&lt;&gt;1,IF(E114="UC",COUNTIFS('Use cases'!$A$4:$A$253,F114,'Use cases'!$I$4:$I$253,"Confirmed",'Use cases'!$J$4:$J$253,"OK — verify source"),IF(E114="CAP",COUNTIFS(Capabilities!$A$4:$A$253,F114,Capabilities!$J$4:$J$253,"Confirmed",Capabilities!$K$4:$K$253,"OK — verify source"),IF(E114="AIR",COUNTIFS('System map'!$A$4:$A$203,F114,'System map'!$B$4:$B$203,"&lt;&gt;",'System map'!$C$4:$C$203,"&lt;&gt;",'System map'!$D$4:$D$203,"&lt;&gt;"),COUNTIFS(Components!$A$4:$A$253,F114,Components!$B$4:$B$253,E114,Components!$K$4:$K$253,"Confirmed",Components!$L$4:$L$253,"OK — verify source"))))&lt;&gt;1)),"Endpoint not source-reconciled",IF(AND(M114="Confirmed",OR(L114="",K114="",K114="Unknown",K114="Low")),"Confirmed link lacks verification","OK — verify source"))))))))))))))</f>
        <v/>
      </c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8" t="n"/>
      <c r="M115" s="27" t="n"/>
      <c r="N115" s="27">
        <f>IF(COUNTA(A115:M115)=0,"",IF(OR(A115="",B115="",C115="",D115="",E115="",F115="",I115="",J115="",K115="",M115=""),"Required link detail missing",IF(COUNTIF($A$4:$A$1003,A115)&gt;1,"Duplicate Map Edge ID",IF(NOT(OR(AND(B115="UC",E115="CAP",D115="requires"),AND(B115="CAP",E115="AIR",D115="provided by"),AND(B115="AIR",OR(E115="MOD",E115="DATA",E115="IF",E115="AG",E115="TOOL"),D115="references"),AND(B115="AIR",E115="AIR",D115="depends on"))),"Invalid relationship",IF(AND(M115&lt;&gt;"Superseded",COUNTIFS($B$4:$B$1003,B115,$C$4:$C$1003,C115,$D$4:$D$1003,D115,$E$4:$E$1003,E115,$F$4:$F$1003,F115,$G$4:$G$1003,G115,$M$4:$M$1003,"&lt;&gt;Superseded")&gt;1),"Duplicate relationship",IF(OR(IF(B115="UC",COUNTIF('Use cases'!$A$4:$A$253,C115),IF(B115="CAP",COUNTIF(Capabilities!$A$4:$A$253,C115),IF(B115="AIR",COUNTIF('System map'!$A$4:$A$203,C115),COUNTIFS(Components!$A$4:$A$253,C115,Components!$B$4:$B$253,B115))))&lt;&gt;1,IF(E115="UC",COUNTIF('Use cases'!$A$4:$A$253,F115),IF(E115="CAP",COUNTIF(Capabilities!$A$4:$A$253,F115),IF(E115="AIR",COUNTIF('System map'!$A$4:$A$203,F115),COUNTIFS(Components!$A$4:$A$253,F115,Components!$B$4:$B$253,E115))))&lt;&gt;1),"Endpoint missing or duplicated",IF(AND(NOT(AND(B115="UC",E115="CAP")),OR(G115="",COUNTIF('System map'!$A$4:$A$203,G115)&lt;&gt;1)),"AIR context missing / unknown",IF(AND(B115="CAP",E115="AIR",G115&lt;&gt;F115),"AIR context mismatch",IF(AND(B115="AIR",G115&lt;&gt;C115),"AIR context mismatch",IF(AND(B115="AIR",E115="AIR",C115=F115),"Self-dependency",IF(AND(B115="AIR",E115="AIR",M115&lt;&gt;"Superseded",COUNTIFS($B$4:$B$1003,"AIR",$C$4:$C$1003,F115,$E$4:$E$1003,"AIR",$F$4:$F$1003,C115,$M$4:$M$1003,"&lt;&gt;Superseded")&gt;0),"Dependency cycle (A↔B) — review",IF(AND(B115="AIR",OR(E115="MOD",E115="DATA",E115="IF",E115="AG",E115="TOOL"),IFERROR(INDEX(Components!$G$4:$G$253,MATCH(F115,Components!$A$4:$A$253,0)),"")&lt;&gt;"",IFERROR(INDEX(Components!$G$4:$G$253,MATCH(F115,Components!$A$4:$A$253,0)),"")&lt;&gt;C115),"Component owned by another AIR-ID",IF(AND(M115="Confirmed",OR(IF(B115="UC",COUNTIFS('Use cases'!$A$4:$A$253,C115,'Use cases'!$I$4:$I$253,"Confirmed",'Use cases'!$J$4:$J$253,"OK — verify source"),IF(B115="CAP",COUNTIFS(Capabilities!$A$4:$A$253,C115,Capabilities!$J$4:$J$253,"Confirmed",Capabilities!$K$4:$K$253,"OK — verify source"),IF(B115="AIR",COUNTIFS('System map'!$A$4:$A$203,C115,'System map'!$B$4:$B$203,"&lt;&gt;",'System map'!$C$4:$C$203,"&lt;&gt;",'System map'!$D$4:$D$203,"&lt;&gt;"),COUNTIFS(Components!$A$4:$A$253,C115,Components!$B$4:$B$253,B115,Components!$K$4:$K$253,"Confirmed",Components!$L$4:$L$253,"OK — verify source"))))&lt;&gt;1,IF(E115="UC",COUNTIFS('Use cases'!$A$4:$A$253,F115,'Use cases'!$I$4:$I$253,"Confirmed",'Use cases'!$J$4:$J$253,"OK — verify source"),IF(E115="CAP",COUNTIFS(Capabilities!$A$4:$A$253,F115,Capabilities!$J$4:$J$253,"Confirmed",Capabilities!$K$4:$K$253,"OK — verify source"),IF(E115="AIR",COUNTIFS('System map'!$A$4:$A$203,F115,'System map'!$B$4:$B$203,"&lt;&gt;",'System map'!$C$4:$C$203,"&lt;&gt;",'System map'!$D$4:$D$203,"&lt;&gt;"),COUNTIFS(Components!$A$4:$A$253,F115,Components!$B$4:$B$253,E115,Components!$K$4:$K$253,"Confirmed",Components!$L$4:$L$253,"OK — verify source"))))&lt;&gt;1)),"Endpoint not source-reconciled",IF(AND(M115="Confirmed",OR(L115="",K115="",K115="Unknown",K115="Low")),"Confirmed link lacks verification","OK — verify source"))))))))))))))</f>
        <v/>
      </c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6" t="n"/>
      <c r="M116" s="25" t="n"/>
      <c r="N116" s="25">
        <f>IF(COUNTA(A116:M116)=0,"",IF(OR(A116="",B116="",C116="",D116="",E116="",F116="",I116="",J116="",K116="",M116=""),"Required link detail missing",IF(COUNTIF($A$4:$A$1003,A116)&gt;1,"Duplicate Map Edge ID",IF(NOT(OR(AND(B116="UC",E116="CAP",D116="requires"),AND(B116="CAP",E116="AIR",D116="provided by"),AND(B116="AIR",OR(E116="MOD",E116="DATA",E116="IF",E116="AG",E116="TOOL"),D116="references"),AND(B116="AIR",E116="AIR",D116="depends on"))),"Invalid relationship",IF(AND(M116&lt;&gt;"Superseded",COUNTIFS($B$4:$B$1003,B116,$C$4:$C$1003,C116,$D$4:$D$1003,D116,$E$4:$E$1003,E116,$F$4:$F$1003,F116,$G$4:$G$1003,G116,$M$4:$M$1003,"&lt;&gt;Superseded")&gt;1),"Duplicate relationship",IF(OR(IF(B116="UC",COUNTIF('Use cases'!$A$4:$A$253,C116),IF(B116="CAP",COUNTIF(Capabilities!$A$4:$A$253,C116),IF(B116="AIR",COUNTIF('System map'!$A$4:$A$203,C116),COUNTIFS(Components!$A$4:$A$253,C116,Components!$B$4:$B$253,B116))))&lt;&gt;1,IF(E116="UC",COUNTIF('Use cases'!$A$4:$A$253,F116),IF(E116="CAP",COUNTIF(Capabilities!$A$4:$A$253,F116),IF(E116="AIR",COUNTIF('System map'!$A$4:$A$203,F116),COUNTIFS(Components!$A$4:$A$253,F116,Components!$B$4:$B$253,E116))))&lt;&gt;1),"Endpoint missing or duplicated",IF(AND(NOT(AND(B116="UC",E116="CAP")),OR(G116="",COUNTIF('System map'!$A$4:$A$203,G116)&lt;&gt;1)),"AIR context missing / unknown",IF(AND(B116="CAP",E116="AIR",G116&lt;&gt;F116),"AIR context mismatch",IF(AND(B116="AIR",G116&lt;&gt;C116),"AIR context mismatch",IF(AND(B116="AIR",E116="AIR",C116=F116),"Self-dependency",IF(AND(B116="AIR",E116="AIR",M116&lt;&gt;"Superseded",COUNTIFS($B$4:$B$1003,"AIR",$C$4:$C$1003,F116,$E$4:$E$1003,"AIR",$F$4:$F$1003,C116,$M$4:$M$1003,"&lt;&gt;Superseded")&gt;0),"Dependency cycle (A↔B) — review",IF(AND(B116="AIR",OR(E116="MOD",E116="DATA",E116="IF",E116="AG",E116="TOOL"),IFERROR(INDEX(Components!$G$4:$G$253,MATCH(F116,Components!$A$4:$A$253,0)),"")&lt;&gt;"",IFERROR(INDEX(Components!$G$4:$G$253,MATCH(F116,Components!$A$4:$A$253,0)),"")&lt;&gt;C116),"Component owned by another AIR-ID",IF(AND(M116="Confirmed",OR(IF(B116="UC",COUNTIFS('Use cases'!$A$4:$A$253,C116,'Use cases'!$I$4:$I$253,"Confirmed",'Use cases'!$J$4:$J$253,"OK — verify source"),IF(B116="CAP",COUNTIFS(Capabilities!$A$4:$A$253,C116,Capabilities!$J$4:$J$253,"Confirmed",Capabilities!$K$4:$K$253,"OK — verify source"),IF(B116="AIR",COUNTIFS('System map'!$A$4:$A$203,C116,'System map'!$B$4:$B$203,"&lt;&gt;",'System map'!$C$4:$C$203,"&lt;&gt;",'System map'!$D$4:$D$203,"&lt;&gt;"),COUNTIFS(Components!$A$4:$A$253,C116,Components!$B$4:$B$253,B116,Components!$K$4:$K$253,"Confirmed",Components!$L$4:$L$253,"OK — verify source"))))&lt;&gt;1,IF(E116="UC",COUNTIFS('Use cases'!$A$4:$A$253,F116,'Use cases'!$I$4:$I$253,"Confirmed",'Use cases'!$J$4:$J$253,"OK — verify source"),IF(E116="CAP",COUNTIFS(Capabilities!$A$4:$A$253,F116,Capabilities!$J$4:$J$253,"Confirmed",Capabilities!$K$4:$K$253,"OK — verify source"),IF(E116="AIR",COUNTIFS('System map'!$A$4:$A$203,F116,'System map'!$B$4:$B$203,"&lt;&gt;",'System map'!$C$4:$C$203,"&lt;&gt;",'System map'!$D$4:$D$203,"&lt;&gt;"),COUNTIFS(Components!$A$4:$A$253,F116,Components!$B$4:$B$253,E116,Components!$K$4:$K$253,"Confirmed",Components!$L$4:$L$253,"OK — verify source"))))&lt;&gt;1)),"Endpoint not source-reconciled",IF(AND(M116="Confirmed",OR(L116="",K116="",K116="Unknown",K116="Low")),"Confirmed link lacks verification","OK — verify source"))))))))))))))</f>
        <v/>
      </c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8" t="n"/>
      <c r="M117" s="27" t="n"/>
      <c r="N117" s="27">
        <f>IF(COUNTA(A117:M117)=0,"",IF(OR(A117="",B117="",C117="",D117="",E117="",F117="",I117="",J117="",K117="",M117=""),"Required link detail missing",IF(COUNTIF($A$4:$A$1003,A117)&gt;1,"Duplicate Map Edge ID",IF(NOT(OR(AND(B117="UC",E117="CAP",D117="requires"),AND(B117="CAP",E117="AIR",D117="provided by"),AND(B117="AIR",OR(E117="MOD",E117="DATA",E117="IF",E117="AG",E117="TOOL"),D117="references"),AND(B117="AIR",E117="AIR",D117="depends on"))),"Invalid relationship",IF(AND(M117&lt;&gt;"Superseded",COUNTIFS($B$4:$B$1003,B117,$C$4:$C$1003,C117,$D$4:$D$1003,D117,$E$4:$E$1003,E117,$F$4:$F$1003,F117,$G$4:$G$1003,G117,$M$4:$M$1003,"&lt;&gt;Superseded")&gt;1),"Duplicate relationship",IF(OR(IF(B117="UC",COUNTIF('Use cases'!$A$4:$A$253,C117),IF(B117="CAP",COUNTIF(Capabilities!$A$4:$A$253,C117),IF(B117="AIR",COUNTIF('System map'!$A$4:$A$203,C117),COUNTIFS(Components!$A$4:$A$253,C117,Components!$B$4:$B$253,B117))))&lt;&gt;1,IF(E117="UC",COUNTIF('Use cases'!$A$4:$A$253,F117),IF(E117="CAP",COUNTIF(Capabilities!$A$4:$A$253,F117),IF(E117="AIR",COUNTIF('System map'!$A$4:$A$203,F117),COUNTIFS(Components!$A$4:$A$253,F117,Components!$B$4:$B$253,E117))))&lt;&gt;1),"Endpoint missing or duplicated",IF(AND(NOT(AND(B117="UC",E117="CAP")),OR(G117="",COUNTIF('System map'!$A$4:$A$203,G117)&lt;&gt;1)),"AIR context missing / unknown",IF(AND(B117="CAP",E117="AIR",G117&lt;&gt;F117),"AIR context mismatch",IF(AND(B117="AIR",G117&lt;&gt;C117),"AIR context mismatch",IF(AND(B117="AIR",E117="AIR",C117=F117),"Self-dependency",IF(AND(B117="AIR",E117="AIR",M117&lt;&gt;"Superseded",COUNTIFS($B$4:$B$1003,"AIR",$C$4:$C$1003,F117,$E$4:$E$1003,"AIR",$F$4:$F$1003,C117,$M$4:$M$1003,"&lt;&gt;Superseded")&gt;0),"Dependency cycle (A↔B) — review",IF(AND(B117="AIR",OR(E117="MOD",E117="DATA",E117="IF",E117="AG",E117="TOOL"),IFERROR(INDEX(Components!$G$4:$G$253,MATCH(F117,Components!$A$4:$A$253,0)),"")&lt;&gt;"",IFERROR(INDEX(Components!$G$4:$G$253,MATCH(F117,Components!$A$4:$A$253,0)),"")&lt;&gt;C117),"Component owned by another AIR-ID",IF(AND(M117="Confirmed",OR(IF(B117="UC",COUNTIFS('Use cases'!$A$4:$A$253,C117,'Use cases'!$I$4:$I$253,"Confirmed",'Use cases'!$J$4:$J$253,"OK — verify source"),IF(B117="CAP",COUNTIFS(Capabilities!$A$4:$A$253,C117,Capabilities!$J$4:$J$253,"Confirmed",Capabilities!$K$4:$K$253,"OK — verify source"),IF(B117="AIR",COUNTIFS('System map'!$A$4:$A$203,C117,'System map'!$B$4:$B$203,"&lt;&gt;",'System map'!$C$4:$C$203,"&lt;&gt;",'System map'!$D$4:$D$203,"&lt;&gt;"),COUNTIFS(Components!$A$4:$A$253,C117,Components!$B$4:$B$253,B117,Components!$K$4:$K$253,"Confirmed",Components!$L$4:$L$253,"OK — verify source"))))&lt;&gt;1,IF(E117="UC",COUNTIFS('Use cases'!$A$4:$A$253,F117,'Use cases'!$I$4:$I$253,"Confirmed",'Use cases'!$J$4:$J$253,"OK — verify source"),IF(E117="CAP",COUNTIFS(Capabilities!$A$4:$A$253,F117,Capabilities!$J$4:$J$253,"Confirmed",Capabilities!$K$4:$K$253,"OK — verify source"),IF(E117="AIR",COUNTIFS('System map'!$A$4:$A$203,F117,'System map'!$B$4:$B$203,"&lt;&gt;",'System map'!$C$4:$C$203,"&lt;&gt;",'System map'!$D$4:$D$203,"&lt;&gt;"),COUNTIFS(Components!$A$4:$A$253,F117,Components!$B$4:$B$253,E117,Components!$K$4:$K$253,"Confirmed",Components!$L$4:$L$253,"OK — verify source"))))&lt;&gt;1)),"Endpoint not source-reconciled",IF(AND(M117="Confirmed",OR(L117="",K117="",K117="Unknown",K117="Low")),"Confirmed link lacks verification","OK — verify source"))))))))))))))</f>
        <v/>
      </c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6" t="n"/>
      <c r="M118" s="25" t="n"/>
      <c r="N118" s="25">
        <f>IF(COUNTA(A118:M118)=0,"",IF(OR(A118="",B118="",C118="",D118="",E118="",F118="",I118="",J118="",K118="",M118=""),"Required link detail missing",IF(COUNTIF($A$4:$A$1003,A118)&gt;1,"Duplicate Map Edge ID",IF(NOT(OR(AND(B118="UC",E118="CAP",D118="requires"),AND(B118="CAP",E118="AIR",D118="provided by"),AND(B118="AIR",OR(E118="MOD",E118="DATA",E118="IF",E118="AG",E118="TOOL"),D118="references"),AND(B118="AIR",E118="AIR",D118="depends on"))),"Invalid relationship",IF(AND(M118&lt;&gt;"Superseded",COUNTIFS($B$4:$B$1003,B118,$C$4:$C$1003,C118,$D$4:$D$1003,D118,$E$4:$E$1003,E118,$F$4:$F$1003,F118,$G$4:$G$1003,G118,$M$4:$M$1003,"&lt;&gt;Superseded")&gt;1),"Duplicate relationship",IF(OR(IF(B118="UC",COUNTIF('Use cases'!$A$4:$A$253,C118),IF(B118="CAP",COUNTIF(Capabilities!$A$4:$A$253,C118),IF(B118="AIR",COUNTIF('System map'!$A$4:$A$203,C118),COUNTIFS(Components!$A$4:$A$253,C118,Components!$B$4:$B$253,B118))))&lt;&gt;1,IF(E118="UC",COUNTIF('Use cases'!$A$4:$A$253,F118),IF(E118="CAP",COUNTIF(Capabilities!$A$4:$A$253,F118),IF(E118="AIR",COUNTIF('System map'!$A$4:$A$203,F118),COUNTIFS(Components!$A$4:$A$253,F118,Components!$B$4:$B$253,E118))))&lt;&gt;1),"Endpoint missing or duplicated",IF(AND(NOT(AND(B118="UC",E118="CAP")),OR(G118="",COUNTIF('System map'!$A$4:$A$203,G118)&lt;&gt;1)),"AIR context missing / unknown",IF(AND(B118="CAP",E118="AIR",G118&lt;&gt;F118),"AIR context mismatch",IF(AND(B118="AIR",G118&lt;&gt;C118),"AIR context mismatch",IF(AND(B118="AIR",E118="AIR",C118=F118),"Self-dependency",IF(AND(B118="AIR",E118="AIR",M118&lt;&gt;"Superseded",COUNTIFS($B$4:$B$1003,"AIR",$C$4:$C$1003,F118,$E$4:$E$1003,"AIR",$F$4:$F$1003,C118,$M$4:$M$1003,"&lt;&gt;Superseded")&gt;0),"Dependency cycle (A↔B) — review",IF(AND(B118="AIR",OR(E118="MOD",E118="DATA",E118="IF",E118="AG",E118="TOOL"),IFERROR(INDEX(Components!$G$4:$G$253,MATCH(F118,Components!$A$4:$A$253,0)),"")&lt;&gt;"",IFERROR(INDEX(Components!$G$4:$G$253,MATCH(F118,Components!$A$4:$A$253,0)),"")&lt;&gt;C118),"Component owned by another AIR-ID",IF(AND(M118="Confirmed",OR(IF(B118="UC",COUNTIFS('Use cases'!$A$4:$A$253,C118,'Use cases'!$I$4:$I$253,"Confirmed",'Use cases'!$J$4:$J$253,"OK — verify source"),IF(B118="CAP",COUNTIFS(Capabilities!$A$4:$A$253,C118,Capabilities!$J$4:$J$253,"Confirmed",Capabilities!$K$4:$K$253,"OK — verify source"),IF(B118="AIR",COUNTIFS('System map'!$A$4:$A$203,C118,'System map'!$B$4:$B$203,"&lt;&gt;",'System map'!$C$4:$C$203,"&lt;&gt;",'System map'!$D$4:$D$203,"&lt;&gt;"),COUNTIFS(Components!$A$4:$A$253,C118,Components!$B$4:$B$253,B118,Components!$K$4:$K$253,"Confirmed",Components!$L$4:$L$253,"OK — verify source"))))&lt;&gt;1,IF(E118="UC",COUNTIFS('Use cases'!$A$4:$A$253,F118,'Use cases'!$I$4:$I$253,"Confirmed",'Use cases'!$J$4:$J$253,"OK — verify source"),IF(E118="CAP",COUNTIFS(Capabilities!$A$4:$A$253,F118,Capabilities!$J$4:$J$253,"Confirmed",Capabilities!$K$4:$K$253,"OK — verify source"),IF(E118="AIR",COUNTIFS('System map'!$A$4:$A$203,F118,'System map'!$B$4:$B$203,"&lt;&gt;",'System map'!$C$4:$C$203,"&lt;&gt;",'System map'!$D$4:$D$203,"&lt;&gt;"),COUNTIFS(Components!$A$4:$A$253,F118,Components!$B$4:$B$253,E118,Components!$K$4:$K$253,"Confirmed",Components!$L$4:$L$253,"OK — verify source"))))&lt;&gt;1)),"Endpoint not source-reconciled",IF(AND(M118="Confirmed",OR(L118="",K118="",K118="Unknown",K118="Low")),"Confirmed link lacks verification","OK — verify source"))))))))))))))</f>
        <v/>
      </c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8" t="n"/>
      <c r="M119" s="27" t="n"/>
      <c r="N119" s="27">
        <f>IF(COUNTA(A119:M119)=0,"",IF(OR(A119="",B119="",C119="",D119="",E119="",F119="",I119="",J119="",K119="",M119=""),"Required link detail missing",IF(COUNTIF($A$4:$A$1003,A119)&gt;1,"Duplicate Map Edge ID",IF(NOT(OR(AND(B119="UC",E119="CAP",D119="requires"),AND(B119="CAP",E119="AIR",D119="provided by"),AND(B119="AIR",OR(E119="MOD",E119="DATA",E119="IF",E119="AG",E119="TOOL"),D119="references"),AND(B119="AIR",E119="AIR",D119="depends on"))),"Invalid relationship",IF(AND(M119&lt;&gt;"Superseded",COUNTIFS($B$4:$B$1003,B119,$C$4:$C$1003,C119,$D$4:$D$1003,D119,$E$4:$E$1003,E119,$F$4:$F$1003,F119,$G$4:$G$1003,G119,$M$4:$M$1003,"&lt;&gt;Superseded")&gt;1),"Duplicate relationship",IF(OR(IF(B119="UC",COUNTIF('Use cases'!$A$4:$A$253,C119),IF(B119="CAP",COUNTIF(Capabilities!$A$4:$A$253,C119),IF(B119="AIR",COUNTIF('System map'!$A$4:$A$203,C119),COUNTIFS(Components!$A$4:$A$253,C119,Components!$B$4:$B$253,B119))))&lt;&gt;1,IF(E119="UC",COUNTIF('Use cases'!$A$4:$A$253,F119),IF(E119="CAP",COUNTIF(Capabilities!$A$4:$A$253,F119),IF(E119="AIR",COUNTIF('System map'!$A$4:$A$203,F119),COUNTIFS(Components!$A$4:$A$253,F119,Components!$B$4:$B$253,E119))))&lt;&gt;1),"Endpoint missing or duplicated",IF(AND(NOT(AND(B119="UC",E119="CAP")),OR(G119="",COUNTIF('System map'!$A$4:$A$203,G119)&lt;&gt;1)),"AIR context missing / unknown",IF(AND(B119="CAP",E119="AIR",G119&lt;&gt;F119),"AIR context mismatch",IF(AND(B119="AIR",G119&lt;&gt;C119),"AIR context mismatch",IF(AND(B119="AIR",E119="AIR",C119=F119),"Self-dependency",IF(AND(B119="AIR",E119="AIR",M119&lt;&gt;"Superseded",COUNTIFS($B$4:$B$1003,"AIR",$C$4:$C$1003,F119,$E$4:$E$1003,"AIR",$F$4:$F$1003,C119,$M$4:$M$1003,"&lt;&gt;Superseded")&gt;0),"Dependency cycle (A↔B) — review",IF(AND(B119="AIR",OR(E119="MOD",E119="DATA",E119="IF",E119="AG",E119="TOOL"),IFERROR(INDEX(Components!$G$4:$G$253,MATCH(F119,Components!$A$4:$A$253,0)),"")&lt;&gt;"",IFERROR(INDEX(Components!$G$4:$G$253,MATCH(F119,Components!$A$4:$A$253,0)),"")&lt;&gt;C119),"Component owned by another AIR-ID",IF(AND(M119="Confirmed",OR(IF(B119="UC",COUNTIFS('Use cases'!$A$4:$A$253,C119,'Use cases'!$I$4:$I$253,"Confirmed",'Use cases'!$J$4:$J$253,"OK — verify source"),IF(B119="CAP",COUNTIFS(Capabilities!$A$4:$A$253,C119,Capabilities!$J$4:$J$253,"Confirmed",Capabilities!$K$4:$K$253,"OK — verify source"),IF(B119="AIR",COUNTIFS('System map'!$A$4:$A$203,C119,'System map'!$B$4:$B$203,"&lt;&gt;",'System map'!$C$4:$C$203,"&lt;&gt;",'System map'!$D$4:$D$203,"&lt;&gt;"),COUNTIFS(Components!$A$4:$A$253,C119,Components!$B$4:$B$253,B119,Components!$K$4:$K$253,"Confirmed",Components!$L$4:$L$253,"OK — verify source"))))&lt;&gt;1,IF(E119="UC",COUNTIFS('Use cases'!$A$4:$A$253,F119,'Use cases'!$I$4:$I$253,"Confirmed",'Use cases'!$J$4:$J$253,"OK — verify source"),IF(E119="CAP",COUNTIFS(Capabilities!$A$4:$A$253,F119,Capabilities!$J$4:$J$253,"Confirmed",Capabilities!$K$4:$K$253,"OK — verify source"),IF(E119="AIR",COUNTIFS('System map'!$A$4:$A$203,F119,'System map'!$B$4:$B$203,"&lt;&gt;",'System map'!$C$4:$C$203,"&lt;&gt;",'System map'!$D$4:$D$203,"&lt;&gt;"),COUNTIFS(Components!$A$4:$A$253,F119,Components!$B$4:$B$253,E119,Components!$K$4:$K$253,"Confirmed",Components!$L$4:$L$253,"OK — verify source"))))&lt;&gt;1)),"Endpoint not source-reconciled",IF(AND(M119="Confirmed",OR(L119="",K119="",K119="Unknown",K119="Low")),"Confirmed link lacks verification","OK — verify source"))))))))))))))</f>
        <v/>
      </c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6" t="n"/>
      <c r="M120" s="25" t="n"/>
      <c r="N120" s="25">
        <f>IF(COUNTA(A120:M120)=0,"",IF(OR(A120="",B120="",C120="",D120="",E120="",F120="",I120="",J120="",K120="",M120=""),"Required link detail missing",IF(COUNTIF($A$4:$A$1003,A120)&gt;1,"Duplicate Map Edge ID",IF(NOT(OR(AND(B120="UC",E120="CAP",D120="requires"),AND(B120="CAP",E120="AIR",D120="provided by"),AND(B120="AIR",OR(E120="MOD",E120="DATA",E120="IF",E120="AG",E120="TOOL"),D120="references"),AND(B120="AIR",E120="AIR",D120="depends on"))),"Invalid relationship",IF(AND(M120&lt;&gt;"Superseded",COUNTIFS($B$4:$B$1003,B120,$C$4:$C$1003,C120,$D$4:$D$1003,D120,$E$4:$E$1003,E120,$F$4:$F$1003,F120,$G$4:$G$1003,G120,$M$4:$M$1003,"&lt;&gt;Superseded")&gt;1),"Duplicate relationship",IF(OR(IF(B120="UC",COUNTIF('Use cases'!$A$4:$A$253,C120),IF(B120="CAP",COUNTIF(Capabilities!$A$4:$A$253,C120),IF(B120="AIR",COUNTIF('System map'!$A$4:$A$203,C120),COUNTIFS(Components!$A$4:$A$253,C120,Components!$B$4:$B$253,B120))))&lt;&gt;1,IF(E120="UC",COUNTIF('Use cases'!$A$4:$A$253,F120),IF(E120="CAP",COUNTIF(Capabilities!$A$4:$A$253,F120),IF(E120="AIR",COUNTIF('System map'!$A$4:$A$203,F120),COUNTIFS(Components!$A$4:$A$253,F120,Components!$B$4:$B$253,E120))))&lt;&gt;1),"Endpoint missing or duplicated",IF(AND(NOT(AND(B120="UC",E120="CAP")),OR(G120="",COUNTIF('System map'!$A$4:$A$203,G120)&lt;&gt;1)),"AIR context missing / unknown",IF(AND(B120="CAP",E120="AIR",G120&lt;&gt;F120),"AIR context mismatch",IF(AND(B120="AIR",G120&lt;&gt;C120),"AIR context mismatch",IF(AND(B120="AIR",E120="AIR",C120=F120),"Self-dependency",IF(AND(B120="AIR",E120="AIR",M120&lt;&gt;"Superseded",COUNTIFS($B$4:$B$1003,"AIR",$C$4:$C$1003,F120,$E$4:$E$1003,"AIR",$F$4:$F$1003,C120,$M$4:$M$1003,"&lt;&gt;Superseded")&gt;0),"Dependency cycle (A↔B) — review",IF(AND(B120="AIR",OR(E120="MOD",E120="DATA",E120="IF",E120="AG",E120="TOOL"),IFERROR(INDEX(Components!$G$4:$G$253,MATCH(F120,Components!$A$4:$A$253,0)),"")&lt;&gt;"",IFERROR(INDEX(Components!$G$4:$G$253,MATCH(F120,Components!$A$4:$A$253,0)),"")&lt;&gt;C120),"Component owned by another AIR-ID",IF(AND(M120="Confirmed",OR(IF(B120="UC",COUNTIFS('Use cases'!$A$4:$A$253,C120,'Use cases'!$I$4:$I$253,"Confirmed",'Use cases'!$J$4:$J$253,"OK — verify source"),IF(B120="CAP",COUNTIFS(Capabilities!$A$4:$A$253,C120,Capabilities!$J$4:$J$253,"Confirmed",Capabilities!$K$4:$K$253,"OK — verify source"),IF(B120="AIR",COUNTIFS('System map'!$A$4:$A$203,C120,'System map'!$B$4:$B$203,"&lt;&gt;",'System map'!$C$4:$C$203,"&lt;&gt;",'System map'!$D$4:$D$203,"&lt;&gt;"),COUNTIFS(Components!$A$4:$A$253,C120,Components!$B$4:$B$253,B120,Components!$K$4:$K$253,"Confirmed",Components!$L$4:$L$253,"OK — verify source"))))&lt;&gt;1,IF(E120="UC",COUNTIFS('Use cases'!$A$4:$A$253,F120,'Use cases'!$I$4:$I$253,"Confirmed",'Use cases'!$J$4:$J$253,"OK — verify source"),IF(E120="CAP",COUNTIFS(Capabilities!$A$4:$A$253,F120,Capabilities!$J$4:$J$253,"Confirmed",Capabilities!$K$4:$K$253,"OK — verify source"),IF(E120="AIR",COUNTIFS('System map'!$A$4:$A$203,F120,'System map'!$B$4:$B$203,"&lt;&gt;",'System map'!$C$4:$C$203,"&lt;&gt;",'System map'!$D$4:$D$203,"&lt;&gt;"),COUNTIFS(Components!$A$4:$A$253,F120,Components!$B$4:$B$253,E120,Components!$K$4:$K$253,"Confirmed",Components!$L$4:$L$253,"OK — verify source"))))&lt;&gt;1)),"Endpoint not source-reconciled",IF(AND(M120="Confirmed",OR(L120="",K120="",K120="Unknown",K120="Low")),"Confirmed link lacks verification","OK — verify source"))))))))))))))</f>
        <v/>
      </c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8" t="n"/>
      <c r="M121" s="27" t="n"/>
      <c r="N121" s="27">
        <f>IF(COUNTA(A121:M121)=0,"",IF(OR(A121="",B121="",C121="",D121="",E121="",F121="",I121="",J121="",K121="",M121=""),"Required link detail missing",IF(COUNTIF($A$4:$A$1003,A121)&gt;1,"Duplicate Map Edge ID",IF(NOT(OR(AND(B121="UC",E121="CAP",D121="requires"),AND(B121="CAP",E121="AIR",D121="provided by"),AND(B121="AIR",OR(E121="MOD",E121="DATA",E121="IF",E121="AG",E121="TOOL"),D121="references"),AND(B121="AIR",E121="AIR",D121="depends on"))),"Invalid relationship",IF(AND(M121&lt;&gt;"Superseded",COUNTIFS($B$4:$B$1003,B121,$C$4:$C$1003,C121,$D$4:$D$1003,D121,$E$4:$E$1003,E121,$F$4:$F$1003,F121,$G$4:$G$1003,G121,$M$4:$M$1003,"&lt;&gt;Superseded")&gt;1),"Duplicate relationship",IF(OR(IF(B121="UC",COUNTIF('Use cases'!$A$4:$A$253,C121),IF(B121="CAP",COUNTIF(Capabilities!$A$4:$A$253,C121),IF(B121="AIR",COUNTIF('System map'!$A$4:$A$203,C121),COUNTIFS(Components!$A$4:$A$253,C121,Components!$B$4:$B$253,B121))))&lt;&gt;1,IF(E121="UC",COUNTIF('Use cases'!$A$4:$A$253,F121),IF(E121="CAP",COUNTIF(Capabilities!$A$4:$A$253,F121),IF(E121="AIR",COUNTIF('System map'!$A$4:$A$203,F121),COUNTIFS(Components!$A$4:$A$253,F121,Components!$B$4:$B$253,E121))))&lt;&gt;1),"Endpoint missing or duplicated",IF(AND(NOT(AND(B121="UC",E121="CAP")),OR(G121="",COUNTIF('System map'!$A$4:$A$203,G121)&lt;&gt;1)),"AIR context missing / unknown",IF(AND(B121="CAP",E121="AIR",G121&lt;&gt;F121),"AIR context mismatch",IF(AND(B121="AIR",G121&lt;&gt;C121),"AIR context mismatch",IF(AND(B121="AIR",E121="AIR",C121=F121),"Self-dependency",IF(AND(B121="AIR",E121="AIR",M121&lt;&gt;"Superseded",COUNTIFS($B$4:$B$1003,"AIR",$C$4:$C$1003,F121,$E$4:$E$1003,"AIR",$F$4:$F$1003,C121,$M$4:$M$1003,"&lt;&gt;Superseded")&gt;0),"Dependency cycle (A↔B) — review",IF(AND(B121="AIR",OR(E121="MOD",E121="DATA",E121="IF",E121="AG",E121="TOOL"),IFERROR(INDEX(Components!$G$4:$G$253,MATCH(F121,Components!$A$4:$A$253,0)),"")&lt;&gt;"",IFERROR(INDEX(Components!$G$4:$G$253,MATCH(F121,Components!$A$4:$A$253,0)),"")&lt;&gt;C121),"Component owned by another AIR-ID",IF(AND(M121="Confirmed",OR(IF(B121="UC",COUNTIFS('Use cases'!$A$4:$A$253,C121,'Use cases'!$I$4:$I$253,"Confirmed",'Use cases'!$J$4:$J$253,"OK — verify source"),IF(B121="CAP",COUNTIFS(Capabilities!$A$4:$A$253,C121,Capabilities!$J$4:$J$253,"Confirmed",Capabilities!$K$4:$K$253,"OK — verify source"),IF(B121="AIR",COUNTIFS('System map'!$A$4:$A$203,C121,'System map'!$B$4:$B$203,"&lt;&gt;",'System map'!$C$4:$C$203,"&lt;&gt;",'System map'!$D$4:$D$203,"&lt;&gt;"),COUNTIFS(Components!$A$4:$A$253,C121,Components!$B$4:$B$253,B121,Components!$K$4:$K$253,"Confirmed",Components!$L$4:$L$253,"OK — verify source"))))&lt;&gt;1,IF(E121="UC",COUNTIFS('Use cases'!$A$4:$A$253,F121,'Use cases'!$I$4:$I$253,"Confirmed",'Use cases'!$J$4:$J$253,"OK — verify source"),IF(E121="CAP",COUNTIFS(Capabilities!$A$4:$A$253,F121,Capabilities!$J$4:$J$253,"Confirmed",Capabilities!$K$4:$K$253,"OK — verify source"),IF(E121="AIR",COUNTIFS('System map'!$A$4:$A$203,F121,'System map'!$B$4:$B$203,"&lt;&gt;",'System map'!$C$4:$C$203,"&lt;&gt;",'System map'!$D$4:$D$203,"&lt;&gt;"),COUNTIFS(Components!$A$4:$A$253,F121,Components!$B$4:$B$253,E121,Components!$K$4:$K$253,"Confirmed",Components!$L$4:$L$253,"OK — verify source"))))&lt;&gt;1)),"Endpoint not source-reconciled",IF(AND(M121="Confirmed",OR(L121="",K121="",K121="Unknown",K121="Low")),"Confirmed link lacks verification","OK — verify source"))))))))))))))</f>
        <v/>
      </c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6" t="n"/>
      <c r="M122" s="25" t="n"/>
      <c r="N122" s="25">
        <f>IF(COUNTA(A122:M122)=0,"",IF(OR(A122="",B122="",C122="",D122="",E122="",F122="",I122="",J122="",K122="",M122=""),"Required link detail missing",IF(COUNTIF($A$4:$A$1003,A122)&gt;1,"Duplicate Map Edge ID",IF(NOT(OR(AND(B122="UC",E122="CAP",D122="requires"),AND(B122="CAP",E122="AIR",D122="provided by"),AND(B122="AIR",OR(E122="MOD",E122="DATA",E122="IF",E122="AG",E122="TOOL"),D122="references"),AND(B122="AIR",E122="AIR",D122="depends on"))),"Invalid relationship",IF(AND(M122&lt;&gt;"Superseded",COUNTIFS($B$4:$B$1003,B122,$C$4:$C$1003,C122,$D$4:$D$1003,D122,$E$4:$E$1003,E122,$F$4:$F$1003,F122,$G$4:$G$1003,G122,$M$4:$M$1003,"&lt;&gt;Superseded")&gt;1),"Duplicate relationship",IF(OR(IF(B122="UC",COUNTIF('Use cases'!$A$4:$A$253,C122),IF(B122="CAP",COUNTIF(Capabilities!$A$4:$A$253,C122),IF(B122="AIR",COUNTIF('System map'!$A$4:$A$203,C122),COUNTIFS(Components!$A$4:$A$253,C122,Components!$B$4:$B$253,B122))))&lt;&gt;1,IF(E122="UC",COUNTIF('Use cases'!$A$4:$A$253,F122),IF(E122="CAP",COUNTIF(Capabilities!$A$4:$A$253,F122),IF(E122="AIR",COUNTIF('System map'!$A$4:$A$203,F122),COUNTIFS(Components!$A$4:$A$253,F122,Components!$B$4:$B$253,E122))))&lt;&gt;1),"Endpoint missing or duplicated",IF(AND(NOT(AND(B122="UC",E122="CAP")),OR(G122="",COUNTIF('System map'!$A$4:$A$203,G122)&lt;&gt;1)),"AIR context missing / unknown",IF(AND(B122="CAP",E122="AIR",G122&lt;&gt;F122),"AIR context mismatch",IF(AND(B122="AIR",G122&lt;&gt;C122),"AIR context mismatch",IF(AND(B122="AIR",E122="AIR",C122=F122),"Self-dependency",IF(AND(B122="AIR",E122="AIR",M122&lt;&gt;"Superseded",COUNTIFS($B$4:$B$1003,"AIR",$C$4:$C$1003,F122,$E$4:$E$1003,"AIR",$F$4:$F$1003,C122,$M$4:$M$1003,"&lt;&gt;Superseded")&gt;0),"Dependency cycle (A↔B) — review",IF(AND(B122="AIR",OR(E122="MOD",E122="DATA",E122="IF",E122="AG",E122="TOOL"),IFERROR(INDEX(Components!$G$4:$G$253,MATCH(F122,Components!$A$4:$A$253,0)),"")&lt;&gt;"",IFERROR(INDEX(Components!$G$4:$G$253,MATCH(F122,Components!$A$4:$A$253,0)),"")&lt;&gt;C122),"Component owned by another AIR-ID",IF(AND(M122="Confirmed",OR(IF(B122="UC",COUNTIFS('Use cases'!$A$4:$A$253,C122,'Use cases'!$I$4:$I$253,"Confirmed",'Use cases'!$J$4:$J$253,"OK — verify source"),IF(B122="CAP",COUNTIFS(Capabilities!$A$4:$A$253,C122,Capabilities!$J$4:$J$253,"Confirmed",Capabilities!$K$4:$K$253,"OK — verify source"),IF(B122="AIR",COUNTIFS('System map'!$A$4:$A$203,C122,'System map'!$B$4:$B$203,"&lt;&gt;",'System map'!$C$4:$C$203,"&lt;&gt;",'System map'!$D$4:$D$203,"&lt;&gt;"),COUNTIFS(Components!$A$4:$A$253,C122,Components!$B$4:$B$253,B122,Components!$K$4:$K$253,"Confirmed",Components!$L$4:$L$253,"OK — verify source"))))&lt;&gt;1,IF(E122="UC",COUNTIFS('Use cases'!$A$4:$A$253,F122,'Use cases'!$I$4:$I$253,"Confirmed",'Use cases'!$J$4:$J$253,"OK — verify source"),IF(E122="CAP",COUNTIFS(Capabilities!$A$4:$A$253,F122,Capabilities!$J$4:$J$253,"Confirmed",Capabilities!$K$4:$K$253,"OK — verify source"),IF(E122="AIR",COUNTIFS('System map'!$A$4:$A$203,F122,'System map'!$B$4:$B$203,"&lt;&gt;",'System map'!$C$4:$C$203,"&lt;&gt;",'System map'!$D$4:$D$203,"&lt;&gt;"),COUNTIFS(Components!$A$4:$A$253,F122,Components!$B$4:$B$253,E122,Components!$K$4:$K$253,"Confirmed",Components!$L$4:$L$253,"OK — verify source"))))&lt;&gt;1)),"Endpoint not source-reconciled",IF(AND(M122="Confirmed",OR(L122="",K122="",K122="Unknown",K122="Low")),"Confirmed link lacks verification","OK — verify source"))))))))))))))</f>
        <v/>
      </c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8" t="n"/>
      <c r="M123" s="27" t="n"/>
      <c r="N123" s="27">
        <f>IF(COUNTA(A123:M123)=0,"",IF(OR(A123="",B123="",C123="",D123="",E123="",F123="",I123="",J123="",K123="",M123=""),"Required link detail missing",IF(COUNTIF($A$4:$A$1003,A123)&gt;1,"Duplicate Map Edge ID",IF(NOT(OR(AND(B123="UC",E123="CAP",D123="requires"),AND(B123="CAP",E123="AIR",D123="provided by"),AND(B123="AIR",OR(E123="MOD",E123="DATA",E123="IF",E123="AG",E123="TOOL"),D123="references"),AND(B123="AIR",E123="AIR",D123="depends on"))),"Invalid relationship",IF(AND(M123&lt;&gt;"Superseded",COUNTIFS($B$4:$B$1003,B123,$C$4:$C$1003,C123,$D$4:$D$1003,D123,$E$4:$E$1003,E123,$F$4:$F$1003,F123,$G$4:$G$1003,G123,$M$4:$M$1003,"&lt;&gt;Superseded")&gt;1),"Duplicate relationship",IF(OR(IF(B123="UC",COUNTIF('Use cases'!$A$4:$A$253,C123),IF(B123="CAP",COUNTIF(Capabilities!$A$4:$A$253,C123),IF(B123="AIR",COUNTIF('System map'!$A$4:$A$203,C123),COUNTIFS(Components!$A$4:$A$253,C123,Components!$B$4:$B$253,B123))))&lt;&gt;1,IF(E123="UC",COUNTIF('Use cases'!$A$4:$A$253,F123),IF(E123="CAP",COUNTIF(Capabilities!$A$4:$A$253,F123),IF(E123="AIR",COUNTIF('System map'!$A$4:$A$203,F123),COUNTIFS(Components!$A$4:$A$253,F123,Components!$B$4:$B$253,E123))))&lt;&gt;1),"Endpoint missing or duplicated",IF(AND(NOT(AND(B123="UC",E123="CAP")),OR(G123="",COUNTIF('System map'!$A$4:$A$203,G123)&lt;&gt;1)),"AIR context missing / unknown",IF(AND(B123="CAP",E123="AIR",G123&lt;&gt;F123),"AIR context mismatch",IF(AND(B123="AIR",G123&lt;&gt;C123),"AIR context mismatch",IF(AND(B123="AIR",E123="AIR",C123=F123),"Self-dependency",IF(AND(B123="AIR",E123="AIR",M123&lt;&gt;"Superseded",COUNTIFS($B$4:$B$1003,"AIR",$C$4:$C$1003,F123,$E$4:$E$1003,"AIR",$F$4:$F$1003,C123,$M$4:$M$1003,"&lt;&gt;Superseded")&gt;0),"Dependency cycle (A↔B) — review",IF(AND(B123="AIR",OR(E123="MOD",E123="DATA",E123="IF",E123="AG",E123="TOOL"),IFERROR(INDEX(Components!$G$4:$G$253,MATCH(F123,Components!$A$4:$A$253,0)),"")&lt;&gt;"",IFERROR(INDEX(Components!$G$4:$G$253,MATCH(F123,Components!$A$4:$A$253,0)),"")&lt;&gt;C123),"Component owned by another AIR-ID",IF(AND(M123="Confirmed",OR(IF(B123="UC",COUNTIFS('Use cases'!$A$4:$A$253,C123,'Use cases'!$I$4:$I$253,"Confirmed",'Use cases'!$J$4:$J$253,"OK — verify source"),IF(B123="CAP",COUNTIFS(Capabilities!$A$4:$A$253,C123,Capabilities!$J$4:$J$253,"Confirmed",Capabilities!$K$4:$K$253,"OK — verify source"),IF(B123="AIR",COUNTIFS('System map'!$A$4:$A$203,C123,'System map'!$B$4:$B$203,"&lt;&gt;",'System map'!$C$4:$C$203,"&lt;&gt;",'System map'!$D$4:$D$203,"&lt;&gt;"),COUNTIFS(Components!$A$4:$A$253,C123,Components!$B$4:$B$253,B123,Components!$K$4:$K$253,"Confirmed",Components!$L$4:$L$253,"OK — verify source"))))&lt;&gt;1,IF(E123="UC",COUNTIFS('Use cases'!$A$4:$A$253,F123,'Use cases'!$I$4:$I$253,"Confirmed",'Use cases'!$J$4:$J$253,"OK — verify source"),IF(E123="CAP",COUNTIFS(Capabilities!$A$4:$A$253,F123,Capabilities!$J$4:$J$253,"Confirmed",Capabilities!$K$4:$K$253,"OK — verify source"),IF(E123="AIR",COUNTIFS('System map'!$A$4:$A$203,F123,'System map'!$B$4:$B$203,"&lt;&gt;",'System map'!$C$4:$C$203,"&lt;&gt;",'System map'!$D$4:$D$203,"&lt;&gt;"),COUNTIFS(Components!$A$4:$A$253,F123,Components!$B$4:$B$253,E123,Components!$K$4:$K$253,"Confirmed",Components!$L$4:$L$253,"OK — verify source"))))&lt;&gt;1)),"Endpoint not source-reconciled",IF(AND(M123="Confirmed",OR(L123="",K123="",K123="Unknown",K123="Low")),"Confirmed link lacks verification","OK — verify source"))))))))))))))</f>
        <v/>
      </c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6" t="n"/>
      <c r="M124" s="25" t="n"/>
      <c r="N124" s="25">
        <f>IF(COUNTA(A124:M124)=0,"",IF(OR(A124="",B124="",C124="",D124="",E124="",F124="",I124="",J124="",K124="",M124=""),"Required link detail missing",IF(COUNTIF($A$4:$A$1003,A124)&gt;1,"Duplicate Map Edge ID",IF(NOT(OR(AND(B124="UC",E124="CAP",D124="requires"),AND(B124="CAP",E124="AIR",D124="provided by"),AND(B124="AIR",OR(E124="MOD",E124="DATA",E124="IF",E124="AG",E124="TOOL"),D124="references"),AND(B124="AIR",E124="AIR",D124="depends on"))),"Invalid relationship",IF(AND(M124&lt;&gt;"Superseded",COUNTIFS($B$4:$B$1003,B124,$C$4:$C$1003,C124,$D$4:$D$1003,D124,$E$4:$E$1003,E124,$F$4:$F$1003,F124,$G$4:$G$1003,G124,$M$4:$M$1003,"&lt;&gt;Superseded")&gt;1),"Duplicate relationship",IF(OR(IF(B124="UC",COUNTIF('Use cases'!$A$4:$A$253,C124),IF(B124="CAP",COUNTIF(Capabilities!$A$4:$A$253,C124),IF(B124="AIR",COUNTIF('System map'!$A$4:$A$203,C124),COUNTIFS(Components!$A$4:$A$253,C124,Components!$B$4:$B$253,B124))))&lt;&gt;1,IF(E124="UC",COUNTIF('Use cases'!$A$4:$A$253,F124),IF(E124="CAP",COUNTIF(Capabilities!$A$4:$A$253,F124),IF(E124="AIR",COUNTIF('System map'!$A$4:$A$203,F124),COUNTIFS(Components!$A$4:$A$253,F124,Components!$B$4:$B$253,E124))))&lt;&gt;1),"Endpoint missing or duplicated",IF(AND(NOT(AND(B124="UC",E124="CAP")),OR(G124="",COUNTIF('System map'!$A$4:$A$203,G124)&lt;&gt;1)),"AIR context missing / unknown",IF(AND(B124="CAP",E124="AIR",G124&lt;&gt;F124),"AIR context mismatch",IF(AND(B124="AIR",G124&lt;&gt;C124),"AIR context mismatch",IF(AND(B124="AIR",E124="AIR",C124=F124),"Self-dependency",IF(AND(B124="AIR",E124="AIR",M124&lt;&gt;"Superseded",COUNTIFS($B$4:$B$1003,"AIR",$C$4:$C$1003,F124,$E$4:$E$1003,"AIR",$F$4:$F$1003,C124,$M$4:$M$1003,"&lt;&gt;Superseded")&gt;0),"Dependency cycle (A↔B) — review",IF(AND(B124="AIR",OR(E124="MOD",E124="DATA",E124="IF",E124="AG",E124="TOOL"),IFERROR(INDEX(Components!$G$4:$G$253,MATCH(F124,Components!$A$4:$A$253,0)),"")&lt;&gt;"",IFERROR(INDEX(Components!$G$4:$G$253,MATCH(F124,Components!$A$4:$A$253,0)),"")&lt;&gt;C124),"Component owned by another AIR-ID",IF(AND(M124="Confirmed",OR(IF(B124="UC",COUNTIFS('Use cases'!$A$4:$A$253,C124,'Use cases'!$I$4:$I$253,"Confirmed",'Use cases'!$J$4:$J$253,"OK — verify source"),IF(B124="CAP",COUNTIFS(Capabilities!$A$4:$A$253,C124,Capabilities!$J$4:$J$253,"Confirmed",Capabilities!$K$4:$K$253,"OK — verify source"),IF(B124="AIR",COUNTIFS('System map'!$A$4:$A$203,C124,'System map'!$B$4:$B$203,"&lt;&gt;",'System map'!$C$4:$C$203,"&lt;&gt;",'System map'!$D$4:$D$203,"&lt;&gt;"),COUNTIFS(Components!$A$4:$A$253,C124,Components!$B$4:$B$253,B124,Components!$K$4:$K$253,"Confirmed",Components!$L$4:$L$253,"OK — verify source"))))&lt;&gt;1,IF(E124="UC",COUNTIFS('Use cases'!$A$4:$A$253,F124,'Use cases'!$I$4:$I$253,"Confirmed",'Use cases'!$J$4:$J$253,"OK — verify source"),IF(E124="CAP",COUNTIFS(Capabilities!$A$4:$A$253,F124,Capabilities!$J$4:$J$253,"Confirmed",Capabilities!$K$4:$K$253,"OK — verify source"),IF(E124="AIR",COUNTIFS('System map'!$A$4:$A$203,F124,'System map'!$B$4:$B$203,"&lt;&gt;",'System map'!$C$4:$C$203,"&lt;&gt;",'System map'!$D$4:$D$203,"&lt;&gt;"),COUNTIFS(Components!$A$4:$A$253,F124,Components!$B$4:$B$253,E124,Components!$K$4:$K$253,"Confirmed",Components!$L$4:$L$253,"OK — verify source"))))&lt;&gt;1)),"Endpoint not source-reconciled",IF(AND(M124="Confirmed",OR(L124="",K124="",K124="Unknown",K124="Low")),"Confirmed link lacks verification","OK — verify source"))))))))))))))</f>
        <v/>
      </c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8" t="n"/>
      <c r="M125" s="27" t="n"/>
      <c r="N125" s="27">
        <f>IF(COUNTA(A125:M125)=0,"",IF(OR(A125="",B125="",C125="",D125="",E125="",F125="",I125="",J125="",K125="",M125=""),"Required link detail missing",IF(COUNTIF($A$4:$A$1003,A125)&gt;1,"Duplicate Map Edge ID",IF(NOT(OR(AND(B125="UC",E125="CAP",D125="requires"),AND(B125="CAP",E125="AIR",D125="provided by"),AND(B125="AIR",OR(E125="MOD",E125="DATA",E125="IF",E125="AG",E125="TOOL"),D125="references"),AND(B125="AIR",E125="AIR",D125="depends on"))),"Invalid relationship",IF(AND(M125&lt;&gt;"Superseded",COUNTIFS($B$4:$B$1003,B125,$C$4:$C$1003,C125,$D$4:$D$1003,D125,$E$4:$E$1003,E125,$F$4:$F$1003,F125,$G$4:$G$1003,G125,$M$4:$M$1003,"&lt;&gt;Superseded")&gt;1),"Duplicate relationship",IF(OR(IF(B125="UC",COUNTIF('Use cases'!$A$4:$A$253,C125),IF(B125="CAP",COUNTIF(Capabilities!$A$4:$A$253,C125),IF(B125="AIR",COUNTIF('System map'!$A$4:$A$203,C125),COUNTIFS(Components!$A$4:$A$253,C125,Components!$B$4:$B$253,B125))))&lt;&gt;1,IF(E125="UC",COUNTIF('Use cases'!$A$4:$A$253,F125),IF(E125="CAP",COUNTIF(Capabilities!$A$4:$A$253,F125),IF(E125="AIR",COUNTIF('System map'!$A$4:$A$203,F125),COUNTIFS(Components!$A$4:$A$253,F125,Components!$B$4:$B$253,E125))))&lt;&gt;1),"Endpoint missing or duplicated",IF(AND(NOT(AND(B125="UC",E125="CAP")),OR(G125="",COUNTIF('System map'!$A$4:$A$203,G125)&lt;&gt;1)),"AIR context missing / unknown",IF(AND(B125="CAP",E125="AIR",G125&lt;&gt;F125),"AIR context mismatch",IF(AND(B125="AIR",G125&lt;&gt;C125),"AIR context mismatch",IF(AND(B125="AIR",E125="AIR",C125=F125),"Self-dependency",IF(AND(B125="AIR",E125="AIR",M125&lt;&gt;"Superseded",COUNTIFS($B$4:$B$1003,"AIR",$C$4:$C$1003,F125,$E$4:$E$1003,"AIR",$F$4:$F$1003,C125,$M$4:$M$1003,"&lt;&gt;Superseded")&gt;0),"Dependency cycle (A↔B) — review",IF(AND(B125="AIR",OR(E125="MOD",E125="DATA",E125="IF",E125="AG",E125="TOOL"),IFERROR(INDEX(Components!$G$4:$G$253,MATCH(F125,Components!$A$4:$A$253,0)),"")&lt;&gt;"",IFERROR(INDEX(Components!$G$4:$G$253,MATCH(F125,Components!$A$4:$A$253,0)),"")&lt;&gt;C125),"Component owned by another AIR-ID",IF(AND(M125="Confirmed",OR(IF(B125="UC",COUNTIFS('Use cases'!$A$4:$A$253,C125,'Use cases'!$I$4:$I$253,"Confirmed",'Use cases'!$J$4:$J$253,"OK — verify source"),IF(B125="CAP",COUNTIFS(Capabilities!$A$4:$A$253,C125,Capabilities!$J$4:$J$253,"Confirmed",Capabilities!$K$4:$K$253,"OK — verify source"),IF(B125="AIR",COUNTIFS('System map'!$A$4:$A$203,C125,'System map'!$B$4:$B$203,"&lt;&gt;",'System map'!$C$4:$C$203,"&lt;&gt;",'System map'!$D$4:$D$203,"&lt;&gt;"),COUNTIFS(Components!$A$4:$A$253,C125,Components!$B$4:$B$253,B125,Components!$K$4:$K$253,"Confirmed",Components!$L$4:$L$253,"OK — verify source"))))&lt;&gt;1,IF(E125="UC",COUNTIFS('Use cases'!$A$4:$A$253,F125,'Use cases'!$I$4:$I$253,"Confirmed",'Use cases'!$J$4:$J$253,"OK — verify source"),IF(E125="CAP",COUNTIFS(Capabilities!$A$4:$A$253,F125,Capabilities!$J$4:$J$253,"Confirmed",Capabilities!$K$4:$K$253,"OK — verify source"),IF(E125="AIR",COUNTIFS('System map'!$A$4:$A$203,F125,'System map'!$B$4:$B$203,"&lt;&gt;",'System map'!$C$4:$C$203,"&lt;&gt;",'System map'!$D$4:$D$203,"&lt;&gt;"),COUNTIFS(Components!$A$4:$A$253,F125,Components!$B$4:$B$253,E125,Components!$K$4:$K$253,"Confirmed",Components!$L$4:$L$253,"OK — verify source"))))&lt;&gt;1)),"Endpoint not source-reconciled",IF(AND(M125="Confirmed",OR(L125="",K125="",K125="Unknown",K125="Low")),"Confirmed link lacks verification","OK — verify source"))))))))))))))</f>
        <v/>
      </c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6" t="n"/>
      <c r="M126" s="25" t="n"/>
      <c r="N126" s="25">
        <f>IF(COUNTA(A126:M126)=0,"",IF(OR(A126="",B126="",C126="",D126="",E126="",F126="",I126="",J126="",K126="",M126=""),"Required link detail missing",IF(COUNTIF($A$4:$A$1003,A126)&gt;1,"Duplicate Map Edge ID",IF(NOT(OR(AND(B126="UC",E126="CAP",D126="requires"),AND(B126="CAP",E126="AIR",D126="provided by"),AND(B126="AIR",OR(E126="MOD",E126="DATA",E126="IF",E126="AG",E126="TOOL"),D126="references"),AND(B126="AIR",E126="AIR",D126="depends on"))),"Invalid relationship",IF(AND(M126&lt;&gt;"Superseded",COUNTIFS($B$4:$B$1003,B126,$C$4:$C$1003,C126,$D$4:$D$1003,D126,$E$4:$E$1003,E126,$F$4:$F$1003,F126,$G$4:$G$1003,G126,$M$4:$M$1003,"&lt;&gt;Superseded")&gt;1),"Duplicate relationship",IF(OR(IF(B126="UC",COUNTIF('Use cases'!$A$4:$A$253,C126),IF(B126="CAP",COUNTIF(Capabilities!$A$4:$A$253,C126),IF(B126="AIR",COUNTIF('System map'!$A$4:$A$203,C126),COUNTIFS(Components!$A$4:$A$253,C126,Components!$B$4:$B$253,B126))))&lt;&gt;1,IF(E126="UC",COUNTIF('Use cases'!$A$4:$A$253,F126),IF(E126="CAP",COUNTIF(Capabilities!$A$4:$A$253,F126),IF(E126="AIR",COUNTIF('System map'!$A$4:$A$203,F126),COUNTIFS(Components!$A$4:$A$253,F126,Components!$B$4:$B$253,E126))))&lt;&gt;1),"Endpoint missing or duplicated",IF(AND(NOT(AND(B126="UC",E126="CAP")),OR(G126="",COUNTIF('System map'!$A$4:$A$203,G126)&lt;&gt;1)),"AIR context missing / unknown",IF(AND(B126="CAP",E126="AIR",G126&lt;&gt;F126),"AIR context mismatch",IF(AND(B126="AIR",G126&lt;&gt;C126),"AIR context mismatch",IF(AND(B126="AIR",E126="AIR",C126=F126),"Self-dependency",IF(AND(B126="AIR",E126="AIR",M126&lt;&gt;"Superseded",COUNTIFS($B$4:$B$1003,"AIR",$C$4:$C$1003,F126,$E$4:$E$1003,"AIR",$F$4:$F$1003,C126,$M$4:$M$1003,"&lt;&gt;Superseded")&gt;0),"Dependency cycle (A↔B) — review",IF(AND(B126="AIR",OR(E126="MOD",E126="DATA",E126="IF",E126="AG",E126="TOOL"),IFERROR(INDEX(Components!$G$4:$G$253,MATCH(F126,Components!$A$4:$A$253,0)),"")&lt;&gt;"",IFERROR(INDEX(Components!$G$4:$G$253,MATCH(F126,Components!$A$4:$A$253,0)),"")&lt;&gt;C126),"Component owned by another AIR-ID",IF(AND(M126="Confirmed",OR(IF(B126="UC",COUNTIFS('Use cases'!$A$4:$A$253,C126,'Use cases'!$I$4:$I$253,"Confirmed",'Use cases'!$J$4:$J$253,"OK — verify source"),IF(B126="CAP",COUNTIFS(Capabilities!$A$4:$A$253,C126,Capabilities!$J$4:$J$253,"Confirmed",Capabilities!$K$4:$K$253,"OK — verify source"),IF(B126="AIR",COUNTIFS('System map'!$A$4:$A$203,C126,'System map'!$B$4:$B$203,"&lt;&gt;",'System map'!$C$4:$C$203,"&lt;&gt;",'System map'!$D$4:$D$203,"&lt;&gt;"),COUNTIFS(Components!$A$4:$A$253,C126,Components!$B$4:$B$253,B126,Components!$K$4:$K$253,"Confirmed",Components!$L$4:$L$253,"OK — verify source"))))&lt;&gt;1,IF(E126="UC",COUNTIFS('Use cases'!$A$4:$A$253,F126,'Use cases'!$I$4:$I$253,"Confirmed",'Use cases'!$J$4:$J$253,"OK — verify source"),IF(E126="CAP",COUNTIFS(Capabilities!$A$4:$A$253,F126,Capabilities!$J$4:$J$253,"Confirmed",Capabilities!$K$4:$K$253,"OK — verify source"),IF(E126="AIR",COUNTIFS('System map'!$A$4:$A$203,F126,'System map'!$B$4:$B$203,"&lt;&gt;",'System map'!$C$4:$C$203,"&lt;&gt;",'System map'!$D$4:$D$203,"&lt;&gt;"),COUNTIFS(Components!$A$4:$A$253,F126,Components!$B$4:$B$253,E126,Components!$K$4:$K$253,"Confirmed",Components!$L$4:$L$253,"OK — verify source"))))&lt;&gt;1)),"Endpoint not source-reconciled",IF(AND(M126="Confirmed",OR(L126="",K126="",K126="Unknown",K126="Low")),"Confirmed link lacks verification","OK — verify source"))))))))))))))</f>
        <v/>
      </c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8" t="n"/>
      <c r="M127" s="27" t="n"/>
      <c r="N127" s="27">
        <f>IF(COUNTA(A127:M127)=0,"",IF(OR(A127="",B127="",C127="",D127="",E127="",F127="",I127="",J127="",K127="",M127=""),"Required link detail missing",IF(COUNTIF($A$4:$A$1003,A127)&gt;1,"Duplicate Map Edge ID",IF(NOT(OR(AND(B127="UC",E127="CAP",D127="requires"),AND(B127="CAP",E127="AIR",D127="provided by"),AND(B127="AIR",OR(E127="MOD",E127="DATA",E127="IF",E127="AG",E127="TOOL"),D127="references"),AND(B127="AIR",E127="AIR",D127="depends on"))),"Invalid relationship",IF(AND(M127&lt;&gt;"Superseded",COUNTIFS($B$4:$B$1003,B127,$C$4:$C$1003,C127,$D$4:$D$1003,D127,$E$4:$E$1003,E127,$F$4:$F$1003,F127,$G$4:$G$1003,G127,$M$4:$M$1003,"&lt;&gt;Superseded")&gt;1),"Duplicate relationship",IF(OR(IF(B127="UC",COUNTIF('Use cases'!$A$4:$A$253,C127),IF(B127="CAP",COUNTIF(Capabilities!$A$4:$A$253,C127),IF(B127="AIR",COUNTIF('System map'!$A$4:$A$203,C127),COUNTIFS(Components!$A$4:$A$253,C127,Components!$B$4:$B$253,B127))))&lt;&gt;1,IF(E127="UC",COUNTIF('Use cases'!$A$4:$A$253,F127),IF(E127="CAP",COUNTIF(Capabilities!$A$4:$A$253,F127),IF(E127="AIR",COUNTIF('System map'!$A$4:$A$203,F127),COUNTIFS(Components!$A$4:$A$253,F127,Components!$B$4:$B$253,E127))))&lt;&gt;1),"Endpoint missing or duplicated",IF(AND(NOT(AND(B127="UC",E127="CAP")),OR(G127="",COUNTIF('System map'!$A$4:$A$203,G127)&lt;&gt;1)),"AIR context missing / unknown",IF(AND(B127="CAP",E127="AIR",G127&lt;&gt;F127),"AIR context mismatch",IF(AND(B127="AIR",G127&lt;&gt;C127),"AIR context mismatch",IF(AND(B127="AIR",E127="AIR",C127=F127),"Self-dependency",IF(AND(B127="AIR",E127="AIR",M127&lt;&gt;"Superseded",COUNTIFS($B$4:$B$1003,"AIR",$C$4:$C$1003,F127,$E$4:$E$1003,"AIR",$F$4:$F$1003,C127,$M$4:$M$1003,"&lt;&gt;Superseded")&gt;0),"Dependency cycle (A↔B) — review",IF(AND(B127="AIR",OR(E127="MOD",E127="DATA",E127="IF",E127="AG",E127="TOOL"),IFERROR(INDEX(Components!$G$4:$G$253,MATCH(F127,Components!$A$4:$A$253,0)),"")&lt;&gt;"",IFERROR(INDEX(Components!$G$4:$G$253,MATCH(F127,Components!$A$4:$A$253,0)),"")&lt;&gt;C127),"Component owned by another AIR-ID",IF(AND(M127="Confirmed",OR(IF(B127="UC",COUNTIFS('Use cases'!$A$4:$A$253,C127,'Use cases'!$I$4:$I$253,"Confirmed",'Use cases'!$J$4:$J$253,"OK — verify source"),IF(B127="CAP",COUNTIFS(Capabilities!$A$4:$A$253,C127,Capabilities!$J$4:$J$253,"Confirmed",Capabilities!$K$4:$K$253,"OK — verify source"),IF(B127="AIR",COUNTIFS('System map'!$A$4:$A$203,C127,'System map'!$B$4:$B$203,"&lt;&gt;",'System map'!$C$4:$C$203,"&lt;&gt;",'System map'!$D$4:$D$203,"&lt;&gt;"),COUNTIFS(Components!$A$4:$A$253,C127,Components!$B$4:$B$253,B127,Components!$K$4:$K$253,"Confirmed",Components!$L$4:$L$253,"OK — verify source"))))&lt;&gt;1,IF(E127="UC",COUNTIFS('Use cases'!$A$4:$A$253,F127,'Use cases'!$I$4:$I$253,"Confirmed",'Use cases'!$J$4:$J$253,"OK — verify source"),IF(E127="CAP",COUNTIFS(Capabilities!$A$4:$A$253,F127,Capabilities!$J$4:$J$253,"Confirmed",Capabilities!$K$4:$K$253,"OK — verify source"),IF(E127="AIR",COUNTIFS('System map'!$A$4:$A$203,F127,'System map'!$B$4:$B$203,"&lt;&gt;",'System map'!$C$4:$C$203,"&lt;&gt;",'System map'!$D$4:$D$203,"&lt;&gt;"),COUNTIFS(Components!$A$4:$A$253,F127,Components!$B$4:$B$253,E127,Components!$K$4:$K$253,"Confirmed",Components!$L$4:$L$253,"OK — verify source"))))&lt;&gt;1)),"Endpoint not source-reconciled",IF(AND(M127="Confirmed",OR(L127="",K127="",K127="Unknown",K127="Low")),"Confirmed link lacks verification","OK — verify source"))))))))))))))</f>
        <v/>
      </c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6" t="n"/>
      <c r="M128" s="25" t="n"/>
      <c r="N128" s="25">
        <f>IF(COUNTA(A128:M128)=0,"",IF(OR(A128="",B128="",C128="",D128="",E128="",F128="",I128="",J128="",K128="",M128=""),"Required link detail missing",IF(COUNTIF($A$4:$A$1003,A128)&gt;1,"Duplicate Map Edge ID",IF(NOT(OR(AND(B128="UC",E128="CAP",D128="requires"),AND(B128="CAP",E128="AIR",D128="provided by"),AND(B128="AIR",OR(E128="MOD",E128="DATA",E128="IF",E128="AG",E128="TOOL"),D128="references"),AND(B128="AIR",E128="AIR",D128="depends on"))),"Invalid relationship",IF(AND(M128&lt;&gt;"Superseded",COUNTIFS($B$4:$B$1003,B128,$C$4:$C$1003,C128,$D$4:$D$1003,D128,$E$4:$E$1003,E128,$F$4:$F$1003,F128,$G$4:$G$1003,G128,$M$4:$M$1003,"&lt;&gt;Superseded")&gt;1),"Duplicate relationship",IF(OR(IF(B128="UC",COUNTIF('Use cases'!$A$4:$A$253,C128),IF(B128="CAP",COUNTIF(Capabilities!$A$4:$A$253,C128),IF(B128="AIR",COUNTIF('System map'!$A$4:$A$203,C128),COUNTIFS(Components!$A$4:$A$253,C128,Components!$B$4:$B$253,B128))))&lt;&gt;1,IF(E128="UC",COUNTIF('Use cases'!$A$4:$A$253,F128),IF(E128="CAP",COUNTIF(Capabilities!$A$4:$A$253,F128),IF(E128="AIR",COUNTIF('System map'!$A$4:$A$203,F128),COUNTIFS(Components!$A$4:$A$253,F128,Components!$B$4:$B$253,E128))))&lt;&gt;1),"Endpoint missing or duplicated",IF(AND(NOT(AND(B128="UC",E128="CAP")),OR(G128="",COUNTIF('System map'!$A$4:$A$203,G128)&lt;&gt;1)),"AIR context missing / unknown",IF(AND(B128="CAP",E128="AIR",G128&lt;&gt;F128),"AIR context mismatch",IF(AND(B128="AIR",G128&lt;&gt;C128),"AIR context mismatch",IF(AND(B128="AIR",E128="AIR",C128=F128),"Self-dependency",IF(AND(B128="AIR",E128="AIR",M128&lt;&gt;"Superseded",COUNTIFS($B$4:$B$1003,"AIR",$C$4:$C$1003,F128,$E$4:$E$1003,"AIR",$F$4:$F$1003,C128,$M$4:$M$1003,"&lt;&gt;Superseded")&gt;0),"Dependency cycle (A↔B) — review",IF(AND(B128="AIR",OR(E128="MOD",E128="DATA",E128="IF",E128="AG",E128="TOOL"),IFERROR(INDEX(Components!$G$4:$G$253,MATCH(F128,Components!$A$4:$A$253,0)),"")&lt;&gt;"",IFERROR(INDEX(Components!$G$4:$G$253,MATCH(F128,Components!$A$4:$A$253,0)),"")&lt;&gt;C128),"Component owned by another AIR-ID",IF(AND(M128="Confirmed",OR(IF(B128="UC",COUNTIFS('Use cases'!$A$4:$A$253,C128,'Use cases'!$I$4:$I$253,"Confirmed",'Use cases'!$J$4:$J$253,"OK — verify source"),IF(B128="CAP",COUNTIFS(Capabilities!$A$4:$A$253,C128,Capabilities!$J$4:$J$253,"Confirmed",Capabilities!$K$4:$K$253,"OK — verify source"),IF(B128="AIR",COUNTIFS('System map'!$A$4:$A$203,C128,'System map'!$B$4:$B$203,"&lt;&gt;",'System map'!$C$4:$C$203,"&lt;&gt;",'System map'!$D$4:$D$203,"&lt;&gt;"),COUNTIFS(Components!$A$4:$A$253,C128,Components!$B$4:$B$253,B128,Components!$K$4:$K$253,"Confirmed",Components!$L$4:$L$253,"OK — verify source"))))&lt;&gt;1,IF(E128="UC",COUNTIFS('Use cases'!$A$4:$A$253,F128,'Use cases'!$I$4:$I$253,"Confirmed",'Use cases'!$J$4:$J$253,"OK — verify source"),IF(E128="CAP",COUNTIFS(Capabilities!$A$4:$A$253,F128,Capabilities!$J$4:$J$253,"Confirmed",Capabilities!$K$4:$K$253,"OK — verify source"),IF(E128="AIR",COUNTIFS('System map'!$A$4:$A$203,F128,'System map'!$B$4:$B$203,"&lt;&gt;",'System map'!$C$4:$C$203,"&lt;&gt;",'System map'!$D$4:$D$203,"&lt;&gt;"),COUNTIFS(Components!$A$4:$A$253,F128,Components!$B$4:$B$253,E128,Components!$K$4:$K$253,"Confirmed",Components!$L$4:$L$253,"OK — verify source"))))&lt;&gt;1)),"Endpoint not source-reconciled",IF(AND(M128="Confirmed",OR(L128="",K128="",K128="Unknown",K128="Low")),"Confirmed link lacks verification","OK — verify source"))))))))))))))</f>
        <v/>
      </c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8" t="n"/>
      <c r="M129" s="27" t="n"/>
      <c r="N129" s="27">
        <f>IF(COUNTA(A129:M129)=0,"",IF(OR(A129="",B129="",C129="",D129="",E129="",F129="",I129="",J129="",K129="",M129=""),"Required link detail missing",IF(COUNTIF($A$4:$A$1003,A129)&gt;1,"Duplicate Map Edge ID",IF(NOT(OR(AND(B129="UC",E129="CAP",D129="requires"),AND(B129="CAP",E129="AIR",D129="provided by"),AND(B129="AIR",OR(E129="MOD",E129="DATA",E129="IF",E129="AG",E129="TOOL"),D129="references"),AND(B129="AIR",E129="AIR",D129="depends on"))),"Invalid relationship",IF(AND(M129&lt;&gt;"Superseded",COUNTIFS($B$4:$B$1003,B129,$C$4:$C$1003,C129,$D$4:$D$1003,D129,$E$4:$E$1003,E129,$F$4:$F$1003,F129,$G$4:$G$1003,G129,$M$4:$M$1003,"&lt;&gt;Superseded")&gt;1),"Duplicate relationship",IF(OR(IF(B129="UC",COUNTIF('Use cases'!$A$4:$A$253,C129),IF(B129="CAP",COUNTIF(Capabilities!$A$4:$A$253,C129),IF(B129="AIR",COUNTIF('System map'!$A$4:$A$203,C129),COUNTIFS(Components!$A$4:$A$253,C129,Components!$B$4:$B$253,B129))))&lt;&gt;1,IF(E129="UC",COUNTIF('Use cases'!$A$4:$A$253,F129),IF(E129="CAP",COUNTIF(Capabilities!$A$4:$A$253,F129),IF(E129="AIR",COUNTIF('System map'!$A$4:$A$203,F129),COUNTIFS(Components!$A$4:$A$253,F129,Components!$B$4:$B$253,E129))))&lt;&gt;1),"Endpoint missing or duplicated",IF(AND(NOT(AND(B129="UC",E129="CAP")),OR(G129="",COUNTIF('System map'!$A$4:$A$203,G129)&lt;&gt;1)),"AIR context missing / unknown",IF(AND(B129="CAP",E129="AIR",G129&lt;&gt;F129),"AIR context mismatch",IF(AND(B129="AIR",G129&lt;&gt;C129),"AIR context mismatch",IF(AND(B129="AIR",E129="AIR",C129=F129),"Self-dependency",IF(AND(B129="AIR",E129="AIR",M129&lt;&gt;"Superseded",COUNTIFS($B$4:$B$1003,"AIR",$C$4:$C$1003,F129,$E$4:$E$1003,"AIR",$F$4:$F$1003,C129,$M$4:$M$1003,"&lt;&gt;Superseded")&gt;0),"Dependency cycle (A↔B) — review",IF(AND(B129="AIR",OR(E129="MOD",E129="DATA",E129="IF",E129="AG",E129="TOOL"),IFERROR(INDEX(Components!$G$4:$G$253,MATCH(F129,Components!$A$4:$A$253,0)),"")&lt;&gt;"",IFERROR(INDEX(Components!$G$4:$G$253,MATCH(F129,Components!$A$4:$A$253,0)),"")&lt;&gt;C129),"Component owned by another AIR-ID",IF(AND(M129="Confirmed",OR(IF(B129="UC",COUNTIFS('Use cases'!$A$4:$A$253,C129,'Use cases'!$I$4:$I$253,"Confirmed",'Use cases'!$J$4:$J$253,"OK — verify source"),IF(B129="CAP",COUNTIFS(Capabilities!$A$4:$A$253,C129,Capabilities!$J$4:$J$253,"Confirmed",Capabilities!$K$4:$K$253,"OK — verify source"),IF(B129="AIR",COUNTIFS('System map'!$A$4:$A$203,C129,'System map'!$B$4:$B$203,"&lt;&gt;",'System map'!$C$4:$C$203,"&lt;&gt;",'System map'!$D$4:$D$203,"&lt;&gt;"),COUNTIFS(Components!$A$4:$A$253,C129,Components!$B$4:$B$253,B129,Components!$K$4:$K$253,"Confirmed",Components!$L$4:$L$253,"OK — verify source"))))&lt;&gt;1,IF(E129="UC",COUNTIFS('Use cases'!$A$4:$A$253,F129,'Use cases'!$I$4:$I$253,"Confirmed",'Use cases'!$J$4:$J$253,"OK — verify source"),IF(E129="CAP",COUNTIFS(Capabilities!$A$4:$A$253,F129,Capabilities!$J$4:$J$253,"Confirmed",Capabilities!$K$4:$K$253,"OK — verify source"),IF(E129="AIR",COUNTIFS('System map'!$A$4:$A$203,F129,'System map'!$B$4:$B$203,"&lt;&gt;",'System map'!$C$4:$C$203,"&lt;&gt;",'System map'!$D$4:$D$203,"&lt;&gt;"),COUNTIFS(Components!$A$4:$A$253,F129,Components!$B$4:$B$253,E129,Components!$K$4:$K$253,"Confirmed",Components!$L$4:$L$253,"OK — verify source"))))&lt;&gt;1)),"Endpoint not source-reconciled",IF(AND(M129="Confirmed",OR(L129="",K129="",K129="Unknown",K129="Low")),"Confirmed link lacks verification","OK — verify source"))))))))))))))</f>
        <v/>
      </c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6" t="n"/>
      <c r="M130" s="25" t="n"/>
      <c r="N130" s="25">
        <f>IF(COUNTA(A130:M130)=0,"",IF(OR(A130="",B130="",C130="",D130="",E130="",F130="",I130="",J130="",K130="",M130=""),"Required link detail missing",IF(COUNTIF($A$4:$A$1003,A130)&gt;1,"Duplicate Map Edge ID",IF(NOT(OR(AND(B130="UC",E130="CAP",D130="requires"),AND(B130="CAP",E130="AIR",D130="provided by"),AND(B130="AIR",OR(E130="MOD",E130="DATA",E130="IF",E130="AG",E130="TOOL"),D130="references"),AND(B130="AIR",E130="AIR",D130="depends on"))),"Invalid relationship",IF(AND(M130&lt;&gt;"Superseded",COUNTIFS($B$4:$B$1003,B130,$C$4:$C$1003,C130,$D$4:$D$1003,D130,$E$4:$E$1003,E130,$F$4:$F$1003,F130,$G$4:$G$1003,G130,$M$4:$M$1003,"&lt;&gt;Superseded")&gt;1),"Duplicate relationship",IF(OR(IF(B130="UC",COUNTIF('Use cases'!$A$4:$A$253,C130),IF(B130="CAP",COUNTIF(Capabilities!$A$4:$A$253,C130),IF(B130="AIR",COUNTIF('System map'!$A$4:$A$203,C130),COUNTIFS(Components!$A$4:$A$253,C130,Components!$B$4:$B$253,B130))))&lt;&gt;1,IF(E130="UC",COUNTIF('Use cases'!$A$4:$A$253,F130),IF(E130="CAP",COUNTIF(Capabilities!$A$4:$A$253,F130),IF(E130="AIR",COUNTIF('System map'!$A$4:$A$203,F130),COUNTIFS(Components!$A$4:$A$253,F130,Components!$B$4:$B$253,E130))))&lt;&gt;1),"Endpoint missing or duplicated",IF(AND(NOT(AND(B130="UC",E130="CAP")),OR(G130="",COUNTIF('System map'!$A$4:$A$203,G130)&lt;&gt;1)),"AIR context missing / unknown",IF(AND(B130="CAP",E130="AIR",G130&lt;&gt;F130),"AIR context mismatch",IF(AND(B130="AIR",G130&lt;&gt;C130),"AIR context mismatch",IF(AND(B130="AIR",E130="AIR",C130=F130),"Self-dependency",IF(AND(B130="AIR",E130="AIR",M130&lt;&gt;"Superseded",COUNTIFS($B$4:$B$1003,"AIR",$C$4:$C$1003,F130,$E$4:$E$1003,"AIR",$F$4:$F$1003,C130,$M$4:$M$1003,"&lt;&gt;Superseded")&gt;0),"Dependency cycle (A↔B) — review",IF(AND(B130="AIR",OR(E130="MOD",E130="DATA",E130="IF",E130="AG",E130="TOOL"),IFERROR(INDEX(Components!$G$4:$G$253,MATCH(F130,Components!$A$4:$A$253,0)),"")&lt;&gt;"",IFERROR(INDEX(Components!$G$4:$G$253,MATCH(F130,Components!$A$4:$A$253,0)),"")&lt;&gt;C130),"Component owned by another AIR-ID",IF(AND(M130="Confirmed",OR(IF(B130="UC",COUNTIFS('Use cases'!$A$4:$A$253,C130,'Use cases'!$I$4:$I$253,"Confirmed",'Use cases'!$J$4:$J$253,"OK — verify source"),IF(B130="CAP",COUNTIFS(Capabilities!$A$4:$A$253,C130,Capabilities!$J$4:$J$253,"Confirmed",Capabilities!$K$4:$K$253,"OK — verify source"),IF(B130="AIR",COUNTIFS('System map'!$A$4:$A$203,C130,'System map'!$B$4:$B$203,"&lt;&gt;",'System map'!$C$4:$C$203,"&lt;&gt;",'System map'!$D$4:$D$203,"&lt;&gt;"),COUNTIFS(Components!$A$4:$A$253,C130,Components!$B$4:$B$253,B130,Components!$K$4:$K$253,"Confirmed",Components!$L$4:$L$253,"OK — verify source"))))&lt;&gt;1,IF(E130="UC",COUNTIFS('Use cases'!$A$4:$A$253,F130,'Use cases'!$I$4:$I$253,"Confirmed",'Use cases'!$J$4:$J$253,"OK — verify source"),IF(E130="CAP",COUNTIFS(Capabilities!$A$4:$A$253,F130,Capabilities!$J$4:$J$253,"Confirmed",Capabilities!$K$4:$K$253,"OK — verify source"),IF(E130="AIR",COUNTIFS('System map'!$A$4:$A$203,F130,'System map'!$B$4:$B$203,"&lt;&gt;",'System map'!$C$4:$C$203,"&lt;&gt;",'System map'!$D$4:$D$203,"&lt;&gt;"),COUNTIFS(Components!$A$4:$A$253,F130,Components!$B$4:$B$253,E130,Components!$K$4:$K$253,"Confirmed",Components!$L$4:$L$253,"OK — verify source"))))&lt;&gt;1)),"Endpoint not source-reconciled",IF(AND(M130="Confirmed",OR(L130="",K130="",K130="Unknown",K130="Low")),"Confirmed link lacks verification","OK — verify source"))))))))))))))</f>
        <v/>
      </c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8" t="n"/>
      <c r="M131" s="27" t="n"/>
      <c r="N131" s="27">
        <f>IF(COUNTA(A131:M131)=0,"",IF(OR(A131="",B131="",C131="",D131="",E131="",F131="",I131="",J131="",K131="",M131=""),"Required link detail missing",IF(COUNTIF($A$4:$A$1003,A131)&gt;1,"Duplicate Map Edge ID",IF(NOT(OR(AND(B131="UC",E131="CAP",D131="requires"),AND(B131="CAP",E131="AIR",D131="provided by"),AND(B131="AIR",OR(E131="MOD",E131="DATA",E131="IF",E131="AG",E131="TOOL"),D131="references"),AND(B131="AIR",E131="AIR",D131="depends on"))),"Invalid relationship",IF(AND(M131&lt;&gt;"Superseded",COUNTIFS($B$4:$B$1003,B131,$C$4:$C$1003,C131,$D$4:$D$1003,D131,$E$4:$E$1003,E131,$F$4:$F$1003,F131,$G$4:$G$1003,G131,$M$4:$M$1003,"&lt;&gt;Superseded")&gt;1),"Duplicate relationship",IF(OR(IF(B131="UC",COUNTIF('Use cases'!$A$4:$A$253,C131),IF(B131="CAP",COUNTIF(Capabilities!$A$4:$A$253,C131),IF(B131="AIR",COUNTIF('System map'!$A$4:$A$203,C131),COUNTIFS(Components!$A$4:$A$253,C131,Components!$B$4:$B$253,B131))))&lt;&gt;1,IF(E131="UC",COUNTIF('Use cases'!$A$4:$A$253,F131),IF(E131="CAP",COUNTIF(Capabilities!$A$4:$A$253,F131),IF(E131="AIR",COUNTIF('System map'!$A$4:$A$203,F131),COUNTIFS(Components!$A$4:$A$253,F131,Components!$B$4:$B$253,E131))))&lt;&gt;1),"Endpoint missing or duplicated",IF(AND(NOT(AND(B131="UC",E131="CAP")),OR(G131="",COUNTIF('System map'!$A$4:$A$203,G131)&lt;&gt;1)),"AIR context missing / unknown",IF(AND(B131="CAP",E131="AIR",G131&lt;&gt;F131),"AIR context mismatch",IF(AND(B131="AIR",G131&lt;&gt;C131),"AIR context mismatch",IF(AND(B131="AIR",E131="AIR",C131=F131),"Self-dependency",IF(AND(B131="AIR",E131="AIR",M131&lt;&gt;"Superseded",COUNTIFS($B$4:$B$1003,"AIR",$C$4:$C$1003,F131,$E$4:$E$1003,"AIR",$F$4:$F$1003,C131,$M$4:$M$1003,"&lt;&gt;Superseded")&gt;0),"Dependency cycle (A↔B) — review",IF(AND(B131="AIR",OR(E131="MOD",E131="DATA",E131="IF",E131="AG",E131="TOOL"),IFERROR(INDEX(Components!$G$4:$G$253,MATCH(F131,Components!$A$4:$A$253,0)),"")&lt;&gt;"",IFERROR(INDEX(Components!$G$4:$G$253,MATCH(F131,Components!$A$4:$A$253,0)),"")&lt;&gt;C131),"Component owned by another AIR-ID",IF(AND(M131="Confirmed",OR(IF(B131="UC",COUNTIFS('Use cases'!$A$4:$A$253,C131,'Use cases'!$I$4:$I$253,"Confirmed",'Use cases'!$J$4:$J$253,"OK — verify source"),IF(B131="CAP",COUNTIFS(Capabilities!$A$4:$A$253,C131,Capabilities!$J$4:$J$253,"Confirmed",Capabilities!$K$4:$K$253,"OK — verify source"),IF(B131="AIR",COUNTIFS('System map'!$A$4:$A$203,C131,'System map'!$B$4:$B$203,"&lt;&gt;",'System map'!$C$4:$C$203,"&lt;&gt;",'System map'!$D$4:$D$203,"&lt;&gt;"),COUNTIFS(Components!$A$4:$A$253,C131,Components!$B$4:$B$253,B131,Components!$K$4:$K$253,"Confirmed",Components!$L$4:$L$253,"OK — verify source"))))&lt;&gt;1,IF(E131="UC",COUNTIFS('Use cases'!$A$4:$A$253,F131,'Use cases'!$I$4:$I$253,"Confirmed",'Use cases'!$J$4:$J$253,"OK — verify source"),IF(E131="CAP",COUNTIFS(Capabilities!$A$4:$A$253,F131,Capabilities!$J$4:$J$253,"Confirmed",Capabilities!$K$4:$K$253,"OK — verify source"),IF(E131="AIR",COUNTIFS('System map'!$A$4:$A$203,F131,'System map'!$B$4:$B$203,"&lt;&gt;",'System map'!$C$4:$C$203,"&lt;&gt;",'System map'!$D$4:$D$203,"&lt;&gt;"),COUNTIFS(Components!$A$4:$A$253,F131,Components!$B$4:$B$253,E131,Components!$K$4:$K$253,"Confirmed",Components!$L$4:$L$253,"OK — verify source"))))&lt;&gt;1)),"Endpoint not source-reconciled",IF(AND(M131="Confirmed",OR(L131="",K131="",K131="Unknown",K131="Low")),"Confirmed link lacks verification","OK — verify source"))))))))))))))</f>
        <v/>
      </c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6" t="n"/>
      <c r="M132" s="25" t="n"/>
      <c r="N132" s="25">
        <f>IF(COUNTA(A132:M132)=0,"",IF(OR(A132="",B132="",C132="",D132="",E132="",F132="",I132="",J132="",K132="",M132=""),"Required link detail missing",IF(COUNTIF($A$4:$A$1003,A132)&gt;1,"Duplicate Map Edge ID",IF(NOT(OR(AND(B132="UC",E132="CAP",D132="requires"),AND(B132="CAP",E132="AIR",D132="provided by"),AND(B132="AIR",OR(E132="MOD",E132="DATA",E132="IF",E132="AG",E132="TOOL"),D132="references"),AND(B132="AIR",E132="AIR",D132="depends on"))),"Invalid relationship",IF(AND(M132&lt;&gt;"Superseded",COUNTIFS($B$4:$B$1003,B132,$C$4:$C$1003,C132,$D$4:$D$1003,D132,$E$4:$E$1003,E132,$F$4:$F$1003,F132,$G$4:$G$1003,G132,$M$4:$M$1003,"&lt;&gt;Superseded")&gt;1),"Duplicate relationship",IF(OR(IF(B132="UC",COUNTIF('Use cases'!$A$4:$A$253,C132),IF(B132="CAP",COUNTIF(Capabilities!$A$4:$A$253,C132),IF(B132="AIR",COUNTIF('System map'!$A$4:$A$203,C132),COUNTIFS(Components!$A$4:$A$253,C132,Components!$B$4:$B$253,B132))))&lt;&gt;1,IF(E132="UC",COUNTIF('Use cases'!$A$4:$A$253,F132),IF(E132="CAP",COUNTIF(Capabilities!$A$4:$A$253,F132),IF(E132="AIR",COUNTIF('System map'!$A$4:$A$203,F132),COUNTIFS(Components!$A$4:$A$253,F132,Components!$B$4:$B$253,E132))))&lt;&gt;1),"Endpoint missing or duplicated",IF(AND(NOT(AND(B132="UC",E132="CAP")),OR(G132="",COUNTIF('System map'!$A$4:$A$203,G132)&lt;&gt;1)),"AIR context missing / unknown",IF(AND(B132="CAP",E132="AIR",G132&lt;&gt;F132),"AIR context mismatch",IF(AND(B132="AIR",G132&lt;&gt;C132),"AIR context mismatch",IF(AND(B132="AIR",E132="AIR",C132=F132),"Self-dependency",IF(AND(B132="AIR",E132="AIR",M132&lt;&gt;"Superseded",COUNTIFS($B$4:$B$1003,"AIR",$C$4:$C$1003,F132,$E$4:$E$1003,"AIR",$F$4:$F$1003,C132,$M$4:$M$1003,"&lt;&gt;Superseded")&gt;0),"Dependency cycle (A↔B) — review",IF(AND(B132="AIR",OR(E132="MOD",E132="DATA",E132="IF",E132="AG",E132="TOOL"),IFERROR(INDEX(Components!$G$4:$G$253,MATCH(F132,Components!$A$4:$A$253,0)),"")&lt;&gt;"",IFERROR(INDEX(Components!$G$4:$G$253,MATCH(F132,Components!$A$4:$A$253,0)),"")&lt;&gt;C132),"Component owned by another AIR-ID",IF(AND(M132="Confirmed",OR(IF(B132="UC",COUNTIFS('Use cases'!$A$4:$A$253,C132,'Use cases'!$I$4:$I$253,"Confirmed",'Use cases'!$J$4:$J$253,"OK — verify source"),IF(B132="CAP",COUNTIFS(Capabilities!$A$4:$A$253,C132,Capabilities!$J$4:$J$253,"Confirmed",Capabilities!$K$4:$K$253,"OK — verify source"),IF(B132="AIR",COUNTIFS('System map'!$A$4:$A$203,C132,'System map'!$B$4:$B$203,"&lt;&gt;",'System map'!$C$4:$C$203,"&lt;&gt;",'System map'!$D$4:$D$203,"&lt;&gt;"),COUNTIFS(Components!$A$4:$A$253,C132,Components!$B$4:$B$253,B132,Components!$K$4:$K$253,"Confirmed",Components!$L$4:$L$253,"OK — verify source"))))&lt;&gt;1,IF(E132="UC",COUNTIFS('Use cases'!$A$4:$A$253,F132,'Use cases'!$I$4:$I$253,"Confirmed",'Use cases'!$J$4:$J$253,"OK — verify source"),IF(E132="CAP",COUNTIFS(Capabilities!$A$4:$A$253,F132,Capabilities!$J$4:$J$253,"Confirmed",Capabilities!$K$4:$K$253,"OK — verify source"),IF(E132="AIR",COUNTIFS('System map'!$A$4:$A$203,F132,'System map'!$B$4:$B$203,"&lt;&gt;",'System map'!$C$4:$C$203,"&lt;&gt;",'System map'!$D$4:$D$203,"&lt;&gt;"),COUNTIFS(Components!$A$4:$A$253,F132,Components!$B$4:$B$253,E132,Components!$K$4:$K$253,"Confirmed",Components!$L$4:$L$253,"OK — verify source"))))&lt;&gt;1)),"Endpoint not source-reconciled",IF(AND(M132="Confirmed",OR(L132="",K132="",K132="Unknown",K132="Low")),"Confirmed link lacks verification","OK — verify source"))))))))))))))</f>
        <v/>
      </c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8" t="n"/>
      <c r="M133" s="27" t="n"/>
      <c r="N133" s="27">
        <f>IF(COUNTA(A133:M133)=0,"",IF(OR(A133="",B133="",C133="",D133="",E133="",F133="",I133="",J133="",K133="",M133=""),"Required link detail missing",IF(COUNTIF($A$4:$A$1003,A133)&gt;1,"Duplicate Map Edge ID",IF(NOT(OR(AND(B133="UC",E133="CAP",D133="requires"),AND(B133="CAP",E133="AIR",D133="provided by"),AND(B133="AIR",OR(E133="MOD",E133="DATA",E133="IF",E133="AG",E133="TOOL"),D133="references"),AND(B133="AIR",E133="AIR",D133="depends on"))),"Invalid relationship",IF(AND(M133&lt;&gt;"Superseded",COUNTIFS($B$4:$B$1003,B133,$C$4:$C$1003,C133,$D$4:$D$1003,D133,$E$4:$E$1003,E133,$F$4:$F$1003,F133,$G$4:$G$1003,G133,$M$4:$M$1003,"&lt;&gt;Superseded")&gt;1),"Duplicate relationship",IF(OR(IF(B133="UC",COUNTIF('Use cases'!$A$4:$A$253,C133),IF(B133="CAP",COUNTIF(Capabilities!$A$4:$A$253,C133),IF(B133="AIR",COUNTIF('System map'!$A$4:$A$203,C133),COUNTIFS(Components!$A$4:$A$253,C133,Components!$B$4:$B$253,B133))))&lt;&gt;1,IF(E133="UC",COUNTIF('Use cases'!$A$4:$A$253,F133),IF(E133="CAP",COUNTIF(Capabilities!$A$4:$A$253,F133),IF(E133="AIR",COUNTIF('System map'!$A$4:$A$203,F133),COUNTIFS(Components!$A$4:$A$253,F133,Components!$B$4:$B$253,E133))))&lt;&gt;1),"Endpoint missing or duplicated",IF(AND(NOT(AND(B133="UC",E133="CAP")),OR(G133="",COUNTIF('System map'!$A$4:$A$203,G133)&lt;&gt;1)),"AIR context missing / unknown",IF(AND(B133="CAP",E133="AIR",G133&lt;&gt;F133),"AIR context mismatch",IF(AND(B133="AIR",G133&lt;&gt;C133),"AIR context mismatch",IF(AND(B133="AIR",E133="AIR",C133=F133),"Self-dependency",IF(AND(B133="AIR",E133="AIR",M133&lt;&gt;"Superseded",COUNTIFS($B$4:$B$1003,"AIR",$C$4:$C$1003,F133,$E$4:$E$1003,"AIR",$F$4:$F$1003,C133,$M$4:$M$1003,"&lt;&gt;Superseded")&gt;0),"Dependency cycle (A↔B) — review",IF(AND(B133="AIR",OR(E133="MOD",E133="DATA",E133="IF",E133="AG",E133="TOOL"),IFERROR(INDEX(Components!$G$4:$G$253,MATCH(F133,Components!$A$4:$A$253,0)),"")&lt;&gt;"",IFERROR(INDEX(Components!$G$4:$G$253,MATCH(F133,Components!$A$4:$A$253,0)),"")&lt;&gt;C133),"Component owned by another AIR-ID",IF(AND(M133="Confirmed",OR(IF(B133="UC",COUNTIFS('Use cases'!$A$4:$A$253,C133,'Use cases'!$I$4:$I$253,"Confirmed",'Use cases'!$J$4:$J$253,"OK — verify source"),IF(B133="CAP",COUNTIFS(Capabilities!$A$4:$A$253,C133,Capabilities!$J$4:$J$253,"Confirmed",Capabilities!$K$4:$K$253,"OK — verify source"),IF(B133="AIR",COUNTIFS('System map'!$A$4:$A$203,C133,'System map'!$B$4:$B$203,"&lt;&gt;",'System map'!$C$4:$C$203,"&lt;&gt;",'System map'!$D$4:$D$203,"&lt;&gt;"),COUNTIFS(Components!$A$4:$A$253,C133,Components!$B$4:$B$253,B133,Components!$K$4:$K$253,"Confirmed",Components!$L$4:$L$253,"OK — verify source"))))&lt;&gt;1,IF(E133="UC",COUNTIFS('Use cases'!$A$4:$A$253,F133,'Use cases'!$I$4:$I$253,"Confirmed",'Use cases'!$J$4:$J$253,"OK — verify source"),IF(E133="CAP",COUNTIFS(Capabilities!$A$4:$A$253,F133,Capabilities!$J$4:$J$253,"Confirmed",Capabilities!$K$4:$K$253,"OK — verify source"),IF(E133="AIR",COUNTIFS('System map'!$A$4:$A$203,F133,'System map'!$B$4:$B$203,"&lt;&gt;",'System map'!$C$4:$C$203,"&lt;&gt;",'System map'!$D$4:$D$203,"&lt;&gt;"),COUNTIFS(Components!$A$4:$A$253,F133,Components!$B$4:$B$253,E133,Components!$K$4:$K$253,"Confirmed",Components!$L$4:$L$253,"OK — verify source"))))&lt;&gt;1)),"Endpoint not source-reconciled",IF(AND(M133="Confirmed",OR(L133="",K133="",K133="Unknown",K133="Low")),"Confirmed link lacks verification","OK — verify source"))))))))))))))</f>
        <v/>
      </c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6" t="n"/>
      <c r="M134" s="25" t="n"/>
      <c r="N134" s="25">
        <f>IF(COUNTA(A134:M134)=0,"",IF(OR(A134="",B134="",C134="",D134="",E134="",F134="",I134="",J134="",K134="",M134=""),"Required link detail missing",IF(COUNTIF($A$4:$A$1003,A134)&gt;1,"Duplicate Map Edge ID",IF(NOT(OR(AND(B134="UC",E134="CAP",D134="requires"),AND(B134="CAP",E134="AIR",D134="provided by"),AND(B134="AIR",OR(E134="MOD",E134="DATA",E134="IF",E134="AG",E134="TOOL"),D134="references"),AND(B134="AIR",E134="AIR",D134="depends on"))),"Invalid relationship",IF(AND(M134&lt;&gt;"Superseded",COUNTIFS($B$4:$B$1003,B134,$C$4:$C$1003,C134,$D$4:$D$1003,D134,$E$4:$E$1003,E134,$F$4:$F$1003,F134,$G$4:$G$1003,G134,$M$4:$M$1003,"&lt;&gt;Superseded")&gt;1),"Duplicate relationship",IF(OR(IF(B134="UC",COUNTIF('Use cases'!$A$4:$A$253,C134),IF(B134="CAP",COUNTIF(Capabilities!$A$4:$A$253,C134),IF(B134="AIR",COUNTIF('System map'!$A$4:$A$203,C134),COUNTIFS(Components!$A$4:$A$253,C134,Components!$B$4:$B$253,B134))))&lt;&gt;1,IF(E134="UC",COUNTIF('Use cases'!$A$4:$A$253,F134),IF(E134="CAP",COUNTIF(Capabilities!$A$4:$A$253,F134),IF(E134="AIR",COUNTIF('System map'!$A$4:$A$203,F134),COUNTIFS(Components!$A$4:$A$253,F134,Components!$B$4:$B$253,E134))))&lt;&gt;1),"Endpoint missing or duplicated",IF(AND(NOT(AND(B134="UC",E134="CAP")),OR(G134="",COUNTIF('System map'!$A$4:$A$203,G134)&lt;&gt;1)),"AIR context missing / unknown",IF(AND(B134="CAP",E134="AIR",G134&lt;&gt;F134),"AIR context mismatch",IF(AND(B134="AIR",G134&lt;&gt;C134),"AIR context mismatch",IF(AND(B134="AIR",E134="AIR",C134=F134),"Self-dependency",IF(AND(B134="AIR",E134="AIR",M134&lt;&gt;"Superseded",COUNTIFS($B$4:$B$1003,"AIR",$C$4:$C$1003,F134,$E$4:$E$1003,"AIR",$F$4:$F$1003,C134,$M$4:$M$1003,"&lt;&gt;Superseded")&gt;0),"Dependency cycle (A↔B) — review",IF(AND(B134="AIR",OR(E134="MOD",E134="DATA",E134="IF",E134="AG",E134="TOOL"),IFERROR(INDEX(Components!$G$4:$G$253,MATCH(F134,Components!$A$4:$A$253,0)),"")&lt;&gt;"",IFERROR(INDEX(Components!$G$4:$G$253,MATCH(F134,Components!$A$4:$A$253,0)),"")&lt;&gt;C134),"Component owned by another AIR-ID",IF(AND(M134="Confirmed",OR(IF(B134="UC",COUNTIFS('Use cases'!$A$4:$A$253,C134,'Use cases'!$I$4:$I$253,"Confirmed",'Use cases'!$J$4:$J$253,"OK — verify source"),IF(B134="CAP",COUNTIFS(Capabilities!$A$4:$A$253,C134,Capabilities!$J$4:$J$253,"Confirmed",Capabilities!$K$4:$K$253,"OK — verify source"),IF(B134="AIR",COUNTIFS('System map'!$A$4:$A$203,C134,'System map'!$B$4:$B$203,"&lt;&gt;",'System map'!$C$4:$C$203,"&lt;&gt;",'System map'!$D$4:$D$203,"&lt;&gt;"),COUNTIFS(Components!$A$4:$A$253,C134,Components!$B$4:$B$253,B134,Components!$K$4:$K$253,"Confirmed",Components!$L$4:$L$253,"OK — verify source"))))&lt;&gt;1,IF(E134="UC",COUNTIFS('Use cases'!$A$4:$A$253,F134,'Use cases'!$I$4:$I$253,"Confirmed",'Use cases'!$J$4:$J$253,"OK — verify source"),IF(E134="CAP",COUNTIFS(Capabilities!$A$4:$A$253,F134,Capabilities!$J$4:$J$253,"Confirmed",Capabilities!$K$4:$K$253,"OK — verify source"),IF(E134="AIR",COUNTIFS('System map'!$A$4:$A$203,F134,'System map'!$B$4:$B$203,"&lt;&gt;",'System map'!$C$4:$C$203,"&lt;&gt;",'System map'!$D$4:$D$203,"&lt;&gt;"),COUNTIFS(Components!$A$4:$A$253,F134,Components!$B$4:$B$253,E134,Components!$K$4:$K$253,"Confirmed",Components!$L$4:$L$253,"OK — verify source"))))&lt;&gt;1)),"Endpoint not source-reconciled",IF(AND(M134="Confirmed",OR(L134="",K134="",K134="Unknown",K134="Low")),"Confirmed link lacks verification","OK — verify source"))))))))))))))</f>
        <v/>
      </c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8" t="n"/>
      <c r="M135" s="27" t="n"/>
      <c r="N135" s="27">
        <f>IF(COUNTA(A135:M135)=0,"",IF(OR(A135="",B135="",C135="",D135="",E135="",F135="",I135="",J135="",K135="",M135=""),"Required link detail missing",IF(COUNTIF($A$4:$A$1003,A135)&gt;1,"Duplicate Map Edge ID",IF(NOT(OR(AND(B135="UC",E135="CAP",D135="requires"),AND(B135="CAP",E135="AIR",D135="provided by"),AND(B135="AIR",OR(E135="MOD",E135="DATA",E135="IF",E135="AG",E135="TOOL"),D135="references"),AND(B135="AIR",E135="AIR",D135="depends on"))),"Invalid relationship",IF(AND(M135&lt;&gt;"Superseded",COUNTIFS($B$4:$B$1003,B135,$C$4:$C$1003,C135,$D$4:$D$1003,D135,$E$4:$E$1003,E135,$F$4:$F$1003,F135,$G$4:$G$1003,G135,$M$4:$M$1003,"&lt;&gt;Superseded")&gt;1),"Duplicate relationship",IF(OR(IF(B135="UC",COUNTIF('Use cases'!$A$4:$A$253,C135),IF(B135="CAP",COUNTIF(Capabilities!$A$4:$A$253,C135),IF(B135="AIR",COUNTIF('System map'!$A$4:$A$203,C135),COUNTIFS(Components!$A$4:$A$253,C135,Components!$B$4:$B$253,B135))))&lt;&gt;1,IF(E135="UC",COUNTIF('Use cases'!$A$4:$A$253,F135),IF(E135="CAP",COUNTIF(Capabilities!$A$4:$A$253,F135),IF(E135="AIR",COUNTIF('System map'!$A$4:$A$203,F135),COUNTIFS(Components!$A$4:$A$253,F135,Components!$B$4:$B$253,E135))))&lt;&gt;1),"Endpoint missing or duplicated",IF(AND(NOT(AND(B135="UC",E135="CAP")),OR(G135="",COUNTIF('System map'!$A$4:$A$203,G135)&lt;&gt;1)),"AIR context missing / unknown",IF(AND(B135="CAP",E135="AIR",G135&lt;&gt;F135),"AIR context mismatch",IF(AND(B135="AIR",G135&lt;&gt;C135),"AIR context mismatch",IF(AND(B135="AIR",E135="AIR",C135=F135),"Self-dependency",IF(AND(B135="AIR",E135="AIR",M135&lt;&gt;"Superseded",COUNTIFS($B$4:$B$1003,"AIR",$C$4:$C$1003,F135,$E$4:$E$1003,"AIR",$F$4:$F$1003,C135,$M$4:$M$1003,"&lt;&gt;Superseded")&gt;0),"Dependency cycle (A↔B) — review",IF(AND(B135="AIR",OR(E135="MOD",E135="DATA",E135="IF",E135="AG",E135="TOOL"),IFERROR(INDEX(Components!$G$4:$G$253,MATCH(F135,Components!$A$4:$A$253,0)),"")&lt;&gt;"",IFERROR(INDEX(Components!$G$4:$G$253,MATCH(F135,Components!$A$4:$A$253,0)),"")&lt;&gt;C135),"Component owned by another AIR-ID",IF(AND(M135="Confirmed",OR(IF(B135="UC",COUNTIFS('Use cases'!$A$4:$A$253,C135,'Use cases'!$I$4:$I$253,"Confirmed",'Use cases'!$J$4:$J$253,"OK — verify source"),IF(B135="CAP",COUNTIFS(Capabilities!$A$4:$A$253,C135,Capabilities!$J$4:$J$253,"Confirmed",Capabilities!$K$4:$K$253,"OK — verify source"),IF(B135="AIR",COUNTIFS('System map'!$A$4:$A$203,C135,'System map'!$B$4:$B$203,"&lt;&gt;",'System map'!$C$4:$C$203,"&lt;&gt;",'System map'!$D$4:$D$203,"&lt;&gt;"),COUNTIFS(Components!$A$4:$A$253,C135,Components!$B$4:$B$253,B135,Components!$K$4:$K$253,"Confirmed",Components!$L$4:$L$253,"OK — verify source"))))&lt;&gt;1,IF(E135="UC",COUNTIFS('Use cases'!$A$4:$A$253,F135,'Use cases'!$I$4:$I$253,"Confirmed",'Use cases'!$J$4:$J$253,"OK — verify source"),IF(E135="CAP",COUNTIFS(Capabilities!$A$4:$A$253,F135,Capabilities!$J$4:$J$253,"Confirmed",Capabilities!$K$4:$K$253,"OK — verify source"),IF(E135="AIR",COUNTIFS('System map'!$A$4:$A$203,F135,'System map'!$B$4:$B$203,"&lt;&gt;",'System map'!$C$4:$C$203,"&lt;&gt;",'System map'!$D$4:$D$203,"&lt;&gt;"),COUNTIFS(Components!$A$4:$A$253,F135,Components!$B$4:$B$253,E135,Components!$K$4:$K$253,"Confirmed",Components!$L$4:$L$253,"OK — verify source"))))&lt;&gt;1)),"Endpoint not source-reconciled",IF(AND(M135="Confirmed",OR(L135="",K135="",K135="Unknown",K135="Low")),"Confirmed link lacks verification","OK — verify source"))))))))))))))</f>
        <v/>
      </c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6" t="n"/>
      <c r="M136" s="25" t="n"/>
      <c r="N136" s="25">
        <f>IF(COUNTA(A136:M136)=0,"",IF(OR(A136="",B136="",C136="",D136="",E136="",F136="",I136="",J136="",K136="",M136=""),"Required link detail missing",IF(COUNTIF($A$4:$A$1003,A136)&gt;1,"Duplicate Map Edge ID",IF(NOT(OR(AND(B136="UC",E136="CAP",D136="requires"),AND(B136="CAP",E136="AIR",D136="provided by"),AND(B136="AIR",OR(E136="MOD",E136="DATA",E136="IF",E136="AG",E136="TOOL"),D136="references"),AND(B136="AIR",E136="AIR",D136="depends on"))),"Invalid relationship",IF(AND(M136&lt;&gt;"Superseded",COUNTIFS($B$4:$B$1003,B136,$C$4:$C$1003,C136,$D$4:$D$1003,D136,$E$4:$E$1003,E136,$F$4:$F$1003,F136,$G$4:$G$1003,G136,$M$4:$M$1003,"&lt;&gt;Superseded")&gt;1),"Duplicate relationship",IF(OR(IF(B136="UC",COUNTIF('Use cases'!$A$4:$A$253,C136),IF(B136="CAP",COUNTIF(Capabilities!$A$4:$A$253,C136),IF(B136="AIR",COUNTIF('System map'!$A$4:$A$203,C136),COUNTIFS(Components!$A$4:$A$253,C136,Components!$B$4:$B$253,B136))))&lt;&gt;1,IF(E136="UC",COUNTIF('Use cases'!$A$4:$A$253,F136),IF(E136="CAP",COUNTIF(Capabilities!$A$4:$A$253,F136),IF(E136="AIR",COUNTIF('System map'!$A$4:$A$203,F136),COUNTIFS(Components!$A$4:$A$253,F136,Components!$B$4:$B$253,E136))))&lt;&gt;1),"Endpoint missing or duplicated",IF(AND(NOT(AND(B136="UC",E136="CAP")),OR(G136="",COUNTIF('System map'!$A$4:$A$203,G136)&lt;&gt;1)),"AIR context missing / unknown",IF(AND(B136="CAP",E136="AIR",G136&lt;&gt;F136),"AIR context mismatch",IF(AND(B136="AIR",G136&lt;&gt;C136),"AIR context mismatch",IF(AND(B136="AIR",E136="AIR",C136=F136),"Self-dependency",IF(AND(B136="AIR",E136="AIR",M136&lt;&gt;"Superseded",COUNTIFS($B$4:$B$1003,"AIR",$C$4:$C$1003,F136,$E$4:$E$1003,"AIR",$F$4:$F$1003,C136,$M$4:$M$1003,"&lt;&gt;Superseded")&gt;0),"Dependency cycle (A↔B) — review",IF(AND(B136="AIR",OR(E136="MOD",E136="DATA",E136="IF",E136="AG",E136="TOOL"),IFERROR(INDEX(Components!$G$4:$G$253,MATCH(F136,Components!$A$4:$A$253,0)),"")&lt;&gt;"",IFERROR(INDEX(Components!$G$4:$G$253,MATCH(F136,Components!$A$4:$A$253,0)),"")&lt;&gt;C136),"Component owned by another AIR-ID",IF(AND(M136="Confirmed",OR(IF(B136="UC",COUNTIFS('Use cases'!$A$4:$A$253,C136,'Use cases'!$I$4:$I$253,"Confirmed",'Use cases'!$J$4:$J$253,"OK — verify source"),IF(B136="CAP",COUNTIFS(Capabilities!$A$4:$A$253,C136,Capabilities!$J$4:$J$253,"Confirmed",Capabilities!$K$4:$K$253,"OK — verify source"),IF(B136="AIR",COUNTIFS('System map'!$A$4:$A$203,C136,'System map'!$B$4:$B$203,"&lt;&gt;",'System map'!$C$4:$C$203,"&lt;&gt;",'System map'!$D$4:$D$203,"&lt;&gt;"),COUNTIFS(Components!$A$4:$A$253,C136,Components!$B$4:$B$253,B136,Components!$K$4:$K$253,"Confirmed",Components!$L$4:$L$253,"OK — verify source"))))&lt;&gt;1,IF(E136="UC",COUNTIFS('Use cases'!$A$4:$A$253,F136,'Use cases'!$I$4:$I$253,"Confirmed",'Use cases'!$J$4:$J$253,"OK — verify source"),IF(E136="CAP",COUNTIFS(Capabilities!$A$4:$A$253,F136,Capabilities!$J$4:$J$253,"Confirmed",Capabilities!$K$4:$K$253,"OK — verify source"),IF(E136="AIR",COUNTIFS('System map'!$A$4:$A$203,F136,'System map'!$B$4:$B$203,"&lt;&gt;",'System map'!$C$4:$C$203,"&lt;&gt;",'System map'!$D$4:$D$203,"&lt;&gt;"),COUNTIFS(Components!$A$4:$A$253,F136,Components!$B$4:$B$253,E136,Components!$K$4:$K$253,"Confirmed",Components!$L$4:$L$253,"OK — verify source"))))&lt;&gt;1)),"Endpoint not source-reconciled",IF(AND(M136="Confirmed",OR(L136="",K136="",K136="Unknown",K136="Low")),"Confirmed link lacks verification","OK — verify source"))))))))))))))</f>
        <v/>
      </c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8" t="n"/>
      <c r="M137" s="27" t="n"/>
      <c r="N137" s="27">
        <f>IF(COUNTA(A137:M137)=0,"",IF(OR(A137="",B137="",C137="",D137="",E137="",F137="",I137="",J137="",K137="",M137=""),"Required link detail missing",IF(COUNTIF($A$4:$A$1003,A137)&gt;1,"Duplicate Map Edge ID",IF(NOT(OR(AND(B137="UC",E137="CAP",D137="requires"),AND(B137="CAP",E137="AIR",D137="provided by"),AND(B137="AIR",OR(E137="MOD",E137="DATA",E137="IF",E137="AG",E137="TOOL"),D137="references"),AND(B137="AIR",E137="AIR",D137="depends on"))),"Invalid relationship",IF(AND(M137&lt;&gt;"Superseded",COUNTIFS($B$4:$B$1003,B137,$C$4:$C$1003,C137,$D$4:$D$1003,D137,$E$4:$E$1003,E137,$F$4:$F$1003,F137,$G$4:$G$1003,G137,$M$4:$M$1003,"&lt;&gt;Superseded")&gt;1),"Duplicate relationship",IF(OR(IF(B137="UC",COUNTIF('Use cases'!$A$4:$A$253,C137),IF(B137="CAP",COUNTIF(Capabilities!$A$4:$A$253,C137),IF(B137="AIR",COUNTIF('System map'!$A$4:$A$203,C137),COUNTIFS(Components!$A$4:$A$253,C137,Components!$B$4:$B$253,B137))))&lt;&gt;1,IF(E137="UC",COUNTIF('Use cases'!$A$4:$A$253,F137),IF(E137="CAP",COUNTIF(Capabilities!$A$4:$A$253,F137),IF(E137="AIR",COUNTIF('System map'!$A$4:$A$203,F137),COUNTIFS(Components!$A$4:$A$253,F137,Components!$B$4:$B$253,E137))))&lt;&gt;1),"Endpoint missing or duplicated",IF(AND(NOT(AND(B137="UC",E137="CAP")),OR(G137="",COUNTIF('System map'!$A$4:$A$203,G137)&lt;&gt;1)),"AIR context missing / unknown",IF(AND(B137="CAP",E137="AIR",G137&lt;&gt;F137),"AIR context mismatch",IF(AND(B137="AIR",G137&lt;&gt;C137),"AIR context mismatch",IF(AND(B137="AIR",E137="AIR",C137=F137),"Self-dependency",IF(AND(B137="AIR",E137="AIR",M137&lt;&gt;"Superseded",COUNTIFS($B$4:$B$1003,"AIR",$C$4:$C$1003,F137,$E$4:$E$1003,"AIR",$F$4:$F$1003,C137,$M$4:$M$1003,"&lt;&gt;Superseded")&gt;0),"Dependency cycle (A↔B) — review",IF(AND(B137="AIR",OR(E137="MOD",E137="DATA",E137="IF",E137="AG",E137="TOOL"),IFERROR(INDEX(Components!$G$4:$G$253,MATCH(F137,Components!$A$4:$A$253,0)),"")&lt;&gt;"",IFERROR(INDEX(Components!$G$4:$G$253,MATCH(F137,Components!$A$4:$A$253,0)),"")&lt;&gt;C137),"Component owned by another AIR-ID",IF(AND(M137="Confirmed",OR(IF(B137="UC",COUNTIFS('Use cases'!$A$4:$A$253,C137,'Use cases'!$I$4:$I$253,"Confirmed",'Use cases'!$J$4:$J$253,"OK — verify source"),IF(B137="CAP",COUNTIFS(Capabilities!$A$4:$A$253,C137,Capabilities!$J$4:$J$253,"Confirmed",Capabilities!$K$4:$K$253,"OK — verify source"),IF(B137="AIR",COUNTIFS('System map'!$A$4:$A$203,C137,'System map'!$B$4:$B$203,"&lt;&gt;",'System map'!$C$4:$C$203,"&lt;&gt;",'System map'!$D$4:$D$203,"&lt;&gt;"),COUNTIFS(Components!$A$4:$A$253,C137,Components!$B$4:$B$253,B137,Components!$K$4:$K$253,"Confirmed",Components!$L$4:$L$253,"OK — verify source"))))&lt;&gt;1,IF(E137="UC",COUNTIFS('Use cases'!$A$4:$A$253,F137,'Use cases'!$I$4:$I$253,"Confirmed",'Use cases'!$J$4:$J$253,"OK — verify source"),IF(E137="CAP",COUNTIFS(Capabilities!$A$4:$A$253,F137,Capabilities!$J$4:$J$253,"Confirmed",Capabilities!$K$4:$K$253,"OK — verify source"),IF(E137="AIR",COUNTIFS('System map'!$A$4:$A$203,F137,'System map'!$B$4:$B$203,"&lt;&gt;",'System map'!$C$4:$C$203,"&lt;&gt;",'System map'!$D$4:$D$203,"&lt;&gt;"),COUNTIFS(Components!$A$4:$A$253,F137,Components!$B$4:$B$253,E137,Components!$K$4:$K$253,"Confirmed",Components!$L$4:$L$253,"OK — verify source"))))&lt;&gt;1)),"Endpoint not source-reconciled",IF(AND(M137="Confirmed",OR(L137="",K137="",K137="Unknown",K137="Low")),"Confirmed link lacks verification","OK — verify source"))))))))))))))</f>
        <v/>
      </c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6" t="n"/>
      <c r="M138" s="25" t="n"/>
      <c r="N138" s="25">
        <f>IF(COUNTA(A138:M138)=0,"",IF(OR(A138="",B138="",C138="",D138="",E138="",F138="",I138="",J138="",K138="",M138=""),"Required link detail missing",IF(COUNTIF($A$4:$A$1003,A138)&gt;1,"Duplicate Map Edge ID",IF(NOT(OR(AND(B138="UC",E138="CAP",D138="requires"),AND(B138="CAP",E138="AIR",D138="provided by"),AND(B138="AIR",OR(E138="MOD",E138="DATA",E138="IF",E138="AG",E138="TOOL"),D138="references"),AND(B138="AIR",E138="AIR",D138="depends on"))),"Invalid relationship",IF(AND(M138&lt;&gt;"Superseded",COUNTIFS($B$4:$B$1003,B138,$C$4:$C$1003,C138,$D$4:$D$1003,D138,$E$4:$E$1003,E138,$F$4:$F$1003,F138,$G$4:$G$1003,G138,$M$4:$M$1003,"&lt;&gt;Superseded")&gt;1),"Duplicate relationship",IF(OR(IF(B138="UC",COUNTIF('Use cases'!$A$4:$A$253,C138),IF(B138="CAP",COUNTIF(Capabilities!$A$4:$A$253,C138),IF(B138="AIR",COUNTIF('System map'!$A$4:$A$203,C138),COUNTIFS(Components!$A$4:$A$253,C138,Components!$B$4:$B$253,B138))))&lt;&gt;1,IF(E138="UC",COUNTIF('Use cases'!$A$4:$A$253,F138),IF(E138="CAP",COUNTIF(Capabilities!$A$4:$A$253,F138),IF(E138="AIR",COUNTIF('System map'!$A$4:$A$203,F138),COUNTIFS(Components!$A$4:$A$253,F138,Components!$B$4:$B$253,E138))))&lt;&gt;1),"Endpoint missing or duplicated",IF(AND(NOT(AND(B138="UC",E138="CAP")),OR(G138="",COUNTIF('System map'!$A$4:$A$203,G138)&lt;&gt;1)),"AIR context missing / unknown",IF(AND(B138="CAP",E138="AIR",G138&lt;&gt;F138),"AIR context mismatch",IF(AND(B138="AIR",G138&lt;&gt;C138),"AIR context mismatch",IF(AND(B138="AIR",E138="AIR",C138=F138),"Self-dependency",IF(AND(B138="AIR",E138="AIR",M138&lt;&gt;"Superseded",COUNTIFS($B$4:$B$1003,"AIR",$C$4:$C$1003,F138,$E$4:$E$1003,"AIR",$F$4:$F$1003,C138,$M$4:$M$1003,"&lt;&gt;Superseded")&gt;0),"Dependency cycle (A↔B) — review",IF(AND(B138="AIR",OR(E138="MOD",E138="DATA",E138="IF",E138="AG",E138="TOOL"),IFERROR(INDEX(Components!$G$4:$G$253,MATCH(F138,Components!$A$4:$A$253,0)),"")&lt;&gt;"",IFERROR(INDEX(Components!$G$4:$G$253,MATCH(F138,Components!$A$4:$A$253,0)),"")&lt;&gt;C138),"Component owned by another AIR-ID",IF(AND(M138="Confirmed",OR(IF(B138="UC",COUNTIFS('Use cases'!$A$4:$A$253,C138,'Use cases'!$I$4:$I$253,"Confirmed",'Use cases'!$J$4:$J$253,"OK — verify source"),IF(B138="CAP",COUNTIFS(Capabilities!$A$4:$A$253,C138,Capabilities!$J$4:$J$253,"Confirmed",Capabilities!$K$4:$K$253,"OK — verify source"),IF(B138="AIR",COUNTIFS('System map'!$A$4:$A$203,C138,'System map'!$B$4:$B$203,"&lt;&gt;",'System map'!$C$4:$C$203,"&lt;&gt;",'System map'!$D$4:$D$203,"&lt;&gt;"),COUNTIFS(Components!$A$4:$A$253,C138,Components!$B$4:$B$253,B138,Components!$K$4:$K$253,"Confirmed",Components!$L$4:$L$253,"OK — verify source"))))&lt;&gt;1,IF(E138="UC",COUNTIFS('Use cases'!$A$4:$A$253,F138,'Use cases'!$I$4:$I$253,"Confirmed",'Use cases'!$J$4:$J$253,"OK — verify source"),IF(E138="CAP",COUNTIFS(Capabilities!$A$4:$A$253,F138,Capabilities!$J$4:$J$253,"Confirmed",Capabilities!$K$4:$K$253,"OK — verify source"),IF(E138="AIR",COUNTIFS('System map'!$A$4:$A$203,F138,'System map'!$B$4:$B$203,"&lt;&gt;",'System map'!$C$4:$C$203,"&lt;&gt;",'System map'!$D$4:$D$203,"&lt;&gt;"),COUNTIFS(Components!$A$4:$A$253,F138,Components!$B$4:$B$253,E138,Components!$K$4:$K$253,"Confirmed",Components!$L$4:$L$253,"OK — verify source"))))&lt;&gt;1)),"Endpoint not source-reconciled",IF(AND(M138="Confirmed",OR(L138="",K138="",K138="Unknown",K138="Low")),"Confirmed link lacks verification","OK — verify source"))))))))))))))</f>
        <v/>
      </c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8" t="n"/>
      <c r="M139" s="27" t="n"/>
      <c r="N139" s="27">
        <f>IF(COUNTA(A139:M139)=0,"",IF(OR(A139="",B139="",C139="",D139="",E139="",F139="",I139="",J139="",K139="",M139=""),"Required link detail missing",IF(COUNTIF($A$4:$A$1003,A139)&gt;1,"Duplicate Map Edge ID",IF(NOT(OR(AND(B139="UC",E139="CAP",D139="requires"),AND(B139="CAP",E139="AIR",D139="provided by"),AND(B139="AIR",OR(E139="MOD",E139="DATA",E139="IF",E139="AG",E139="TOOL"),D139="references"),AND(B139="AIR",E139="AIR",D139="depends on"))),"Invalid relationship",IF(AND(M139&lt;&gt;"Superseded",COUNTIFS($B$4:$B$1003,B139,$C$4:$C$1003,C139,$D$4:$D$1003,D139,$E$4:$E$1003,E139,$F$4:$F$1003,F139,$G$4:$G$1003,G139,$M$4:$M$1003,"&lt;&gt;Superseded")&gt;1),"Duplicate relationship",IF(OR(IF(B139="UC",COUNTIF('Use cases'!$A$4:$A$253,C139),IF(B139="CAP",COUNTIF(Capabilities!$A$4:$A$253,C139),IF(B139="AIR",COUNTIF('System map'!$A$4:$A$203,C139),COUNTIFS(Components!$A$4:$A$253,C139,Components!$B$4:$B$253,B139))))&lt;&gt;1,IF(E139="UC",COUNTIF('Use cases'!$A$4:$A$253,F139),IF(E139="CAP",COUNTIF(Capabilities!$A$4:$A$253,F139),IF(E139="AIR",COUNTIF('System map'!$A$4:$A$203,F139),COUNTIFS(Components!$A$4:$A$253,F139,Components!$B$4:$B$253,E139))))&lt;&gt;1),"Endpoint missing or duplicated",IF(AND(NOT(AND(B139="UC",E139="CAP")),OR(G139="",COUNTIF('System map'!$A$4:$A$203,G139)&lt;&gt;1)),"AIR context missing / unknown",IF(AND(B139="CAP",E139="AIR",G139&lt;&gt;F139),"AIR context mismatch",IF(AND(B139="AIR",G139&lt;&gt;C139),"AIR context mismatch",IF(AND(B139="AIR",E139="AIR",C139=F139),"Self-dependency",IF(AND(B139="AIR",E139="AIR",M139&lt;&gt;"Superseded",COUNTIFS($B$4:$B$1003,"AIR",$C$4:$C$1003,F139,$E$4:$E$1003,"AIR",$F$4:$F$1003,C139,$M$4:$M$1003,"&lt;&gt;Superseded")&gt;0),"Dependency cycle (A↔B) — review",IF(AND(B139="AIR",OR(E139="MOD",E139="DATA",E139="IF",E139="AG",E139="TOOL"),IFERROR(INDEX(Components!$G$4:$G$253,MATCH(F139,Components!$A$4:$A$253,0)),"")&lt;&gt;"",IFERROR(INDEX(Components!$G$4:$G$253,MATCH(F139,Components!$A$4:$A$253,0)),"")&lt;&gt;C139),"Component owned by another AIR-ID",IF(AND(M139="Confirmed",OR(IF(B139="UC",COUNTIFS('Use cases'!$A$4:$A$253,C139,'Use cases'!$I$4:$I$253,"Confirmed",'Use cases'!$J$4:$J$253,"OK — verify source"),IF(B139="CAP",COUNTIFS(Capabilities!$A$4:$A$253,C139,Capabilities!$J$4:$J$253,"Confirmed",Capabilities!$K$4:$K$253,"OK — verify source"),IF(B139="AIR",COUNTIFS('System map'!$A$4:$A$203,C139,'System map'!$B$4:$B$203,"&lt;&gt;",'System map'!$C$4:$C$203,"&lt;&gt;",'System map'!$D$4:$D$203,"&lt;&gt;"),COUNTIFS(Components!$A$4:$A$253,C139,Components!$B$4:$B$253,B139,Components!$K$4:$K$253,"Confirmed",Components!$L$4:$L$253,"OK — verify source"))))&lt;&gt;1,IF(E139="UC",COUNTIFS('Use cases'!$A$4:$A$253,F139,'Use cases'!$I$4:$I$253,"Confirmed",'Use cases'!$J$4:$J$253,"OK — verify source"),IF(E139="CAP",COUNTIFS(Capabilities!$A$4:$A$253,F139,Capabilities!$J$4:$J$253,"Confirmed",Capabilities!$K$4:$K$253,"OK — verify source"),IF(E139="AIR",COUNTIFS('System map'!$A$4:$A$203,F139,'System map'!$B$4:$B$203,"&lt;&gt;",'System map'!$C$4:$C$203,"&lt;&gt;",'System map'!$D$4:$D$203,"&lt;&gt;"),COUNTIFS(Components!$A$4:$A$253,F139,Components!$B$4:$B$253,E139,Components!$K$4:$K$253,"Confirmed",Components!$L$4:$L$253,"OK — verify source"))))&lt;&gt;1)),"Endpoint not source-reconciled",IF(AND(M139="Confirmed",OR(L139="",K139="",K139="Unknown",K139="Low")),"Confirmed link lacks verification","OK — verify source"))))))))))))))</f>
        <v/>
      </c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6" t="n"/>
      <c r="M140" s="25" t="n"/>
      <c r="N140" s="25">
        <f>IF(COUNTA(A140:M140)=0,"",IF(OR(A140="",B140="",C140="",D140="",E140="",F140="",I140="",J140="",K140="",M140=""),"Required link detail missing",IF(COUNTIF($A$4:$A$1003,A140)&gt;1,"Duplicate Map Edge ID",IF(NOT(OR(AND(B140="UC",E140="CAP",D140="requires"),AND(B140="CAP",E140="AIR",D140="provided by"),AND(B140="AIR",OR(E140="MOD",E140="DATA",E140="IF",E140="AG",E140="TOOL"),D140="references"),AND(B140="AIR",E140="AIR",D140="depends on"))),"Invalid relationship",IF(AND(M140&lt;&gt;"Superseded",COUNTIFS($B$4:$B$1003,B140,$C$4:$C$1003,C140,$D$4:$D$1003,D140,$E$4:$E$1003,E140,$F$4:$F$1003,F140,$G$4:$G$1003,G140,$M$4:$M$1003,"&lt;&gt;Superseded")&gt;1),"Duplicate relationship",IF(OR(IF(B140="UC",COUNTIF('Use cases'!$A$4:$A$253,C140),IF(B140="CAP",COUNTIF(Capabilities!$A$4:$A$253,C140),IF(B140="AIR",COUNTIF('System map'!$A$4:$A$203,C140),COUNTIFS(Components!$A$4:$A$253,C140,Components!$B$4:$B$253,B140))))&lt;&gt;1,IF(E140="UC",COUNTIF('Use cases'!$A$4:$A$253,F140),IF(E140="CAP",COUNTIF(Capabilities!$A$4:$A$253,F140),IF(E140="AIR",COUNTIF('System map'!$A$4:$A$203,F140),COUNTIFS(Components!$A$4:$A$253,F140,Components!$B$4:$B$253,E140))))&lt;&gt;1),"Endpoint missing or duplicated",IF(AND(NOT(AND(B140="UC",E140="CAP")),OR(G140="",COUNTIF('System map'!$A$4:$A$203,G140)&lt;&gt;1)),"AIR context missing / unknown",IF(AND(B140="CAP",E140="AIR",G140&lt;&gt;F140),"AIR context mismatch",IF(AND(B140="AIR",G140&lt;&gt;C140),"AIR context mismatch",IF(AND(B140="AIR",E140="AIR",C140=F140),"Self-dependency",IF(AND(B140="AIR",E140="AIR",M140&lt;&gt;"Superseded",COUNTIFS($B$4:$B$1003,"AIR",$C$4:$C$1003,F140,$E$4:$E$1003,"AIR",$F$4:$F$1003,C140,$M$4:$M$1003,"&lt;&gt;Superseded")&gt;0),"Dependency cycle (A↔B) — review",IF(AND(B140="AIR",OR(E140="MOD",E140="DATA",E140="IF",E140="AG",E140="TOOL"),IFERROR(INDEX(Components!$G$4:$G$253,MATCH(F140,Components!$A$4:$A$253,0)),"")&lt;&gt;"",IFERROR(INDEX(Components!$G$4:$G$253,MATCH(F140,Components!$A$4:$A$253,0)),"")&lt;&gt;C140),"Component owned by another AIR-ID",IF(AND(M140="Confirmed",OR(IF(B140="UC",COUNTIFS('Use cases'!$A$4:$A$253,C140,'Use cases'!$I$4:$I$253,"Confirmed",'Use cases'!$J$4:$J$253,"OK — verify source"),IF(B140="CAP",COUNTIFS(Capabilities!$A$4:$A$253,C140,Capabilities!$J$4:$J$253,"Confirmed",Capabilities!$K$4:$K$253,"OK — verify source"),IF(B140="AIR",COUNTIFS('System map'!$A$4:$A$203,C140,'System map'!$B$4:$B$203,"&lt;&gt;",'System map'!$C$4:$C$203,"&lt;&gt;",'System map'!$D$4:$D$203,"&lt;&gt;"),COUNTIFS(Components!$A$4:$A$253,C140,Components!$B$4:$B$253,B140,Components!$K$4:$K$253,"Confirmed",Components!$L$4:$L$253,"OK — verify source"))))&lt;&gt;1,IF(E140="UC",COUNTIFS('Use cases'!$A$4:$A$253,F140,'Use cases'!$I$4:$I$253,"Confirmed",'Use cases'!$J$4:$J$253,"OK — verify source"),IF(E140="CAP",COUNTIFS(Capabilities!$A$4:$A$253,F140,Capabilities!$J$4:$J$253,"Confirmed",Capabilities!$K$4:$K$253,"OK — verify source"),IF(E140="AIR",COUNTIFS('System map'!$A$4:$A$203,F140,'System map'!$B$4:$B$203,"&lt;&gt;",'System map'!$C$4:$C$203,"&lt;&gt;",'System map'!$D$4:$D$203,"&lt;&gt;"),COUNTIFS(Components!$A$4:$A$253,F140,Components!$B$4:$B$253,E140,Components!$K$4:$K$253,"Confirmed",Components!$L$4:$L$253,"OK — verify source"))))&lt;&gt;1)),"Endpoint not source-reconciled",IF(AND(M140="Confirmed",OR(L140="",K140="",K140="Unknown",K140="Low")),"Confirmed link lacks verification","OK — verify source"))))))))))))))</f>
        <v/>
      </c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8" t="n"/>
      <c r="M141" s="27" t="n"/>
      <c r="N141" s="27">
        <f>IF(COUNTA(A141:M141)=0,"",IF(OR(A141="",B141="",C141="",D141="",E141="",F141="",I141="",J141="",K141="",M141=""),"Required link detail missing",IF(COUNTIF($A$4:$A$1003,A141)&gt;1,"Duplicate Map Edge ID",IF(NOT(OR(AND(B141="UC",E141="CAP",D141="requires"),AND(B141="CAP",E141="AIR",D141="provided by"),AND(B141="AIR",OR(E141="MOD",E141="DATA",E141="IF",E141="AG",E141="TOOL"),D141="references"),AND(B141="AIR",E141="AIR",D141="depends on"))),"Invalid relationship",IF(AND(M141&lt;&gt;"Superseded",COUNTIFS($B$4:$B$1003,B141,$C$4:$C$1003,C141,$D$4:$D$1003,D141,$E$4:$E$1003,E141,$F$4:$F$1003,F141,$G$4:$G$1003,G141,$M$4:$M$1003,"&lt;&gt;Superseded")&gt;1),"Duplicate relationship",IF(OR(IF(B141="UC",COUNTIF('Use cases'!$A$4:$A$253,C141),IF(B141="CAP",COUNTIF(Capabilities!$A$4:$A$253,C141),IF(B141="AIR",COUNTIF('System map'!$A$4:$A$203,C141),COUNTIFS(Components!$A$4:$A$253,C141,Components!$B$4:$B$253,B141))))&lt;&gt;1,IF(E141="UC",COUNTIF('Use cases'!$A$4:$A$253,F141),IF(E141="CAP",COUNTIF(Capabilities!$A$4:$A$253,F141),IF(E141="AIR",COUNTIF('System map'!$A$4:$A$203,F141),COUNTIFS(Components!$A$4:$A$253,F141,Components!$B$4:$B$253,E141))))&lt;&gt;1),"Endpoint missing or duplicated",IF(AND(NOT(AND(B141="UC",E141="CAP")),OR(G141="",COUNTIF('System map'!$A$4:$A$203,G141)&lt;&gt;1)),"AIR context missing / unknown",IF(AND(B141="CAP",E141="AIR",G141&lt;&gt;F141),"AIR context mismatch",IF(AND(B141="AIR",G141&lt;&gt;C141),"AIR context mismatch",IF(AND(B141="AIR",E141="AIR",C141=F141),"Self-dependency",IF(AND(B141="AIR",E141="AIR",M141&lt;&gt;"Superseded",COUNTIFS($B$4:$B$1003,"AIR",$C$4:$C$1003,F141,$E$4:$E$1003,"AIR",$F$4:$F$1003,C141,$M$4:$M$1003,"&lt;&gt;Superseded")&gt;0),"Dependency cycle (A↔B) — review",IF(AND(B141="AIR",OR(E141="MOD",E141="DATA",E141="IF",E141="AG",E141="TOOL"),IFERROR(INDEX(Components!$G$4:$G$253,MATCH(F141,Components!$A$4:$A$253,0)),"")&lt;&gt;"",IFERROR(INDEX(Components!$G$4:$G$253,MATCH(F141,Components!$A$4:$A$253,0)),"")&lt;&gt;C141),"Component owned by another AIR-ID",IF(AND(M141="Confirmed",OR(IF(B141="UC",COUNTIFS('Use cases'!$A$4:$A$253,C141,'Use cases'!$I$4:$I$253,"Confirmed",'Use cases'!$J$4:$J$253,"OK — verify source"),IF(B141="CAP",COUNTIFS(Capabilities!$A$4:$A$253,C141,Capabilities!$J$4:$J$253,"Confirmed",Capabilities!$K$4:$K$253,"OK — verify source"),IF(B141="AIR",COUNTIFS('System map'!$A$4:$A$203,C141,'System map'!$B$4:$B$203,"&lt;&gt;",'System map'!$C$4:$C$203,"&lt;&gt;",'System map'!$D$4:$D$203,"&lt;&gt;"),COUNTIFS(Components!$A$4:$A$253,C141,Components!$B$4:$B$253,B141,Components!$K$4:$K$253,"Confirmed",Components!$L$4:$L$253,"OK — verify source"))))&lt;&gt;1,IF(E141="UC",COUNTIFS('Use cases'!$A$4:$A$253,F141,'Use cases'!$I$4:$I$253,"Confirmed",'Use cases'!$J$4:$J$253,"OK — verify source"),IF(E141="CAP",COUNTIFS(Capabilities!$A$4:$A$253,F141,Capabilities!$J$4:$J$253,"Confirmed",Capabilities!$K$4:$K$253,"OK — verify source"),IF(E141="AIR",COUNTIFS('System map'!$A$4:$A$203,F141,'System map'!$B$4:$B$203,"&lt;&gt;",'System map'!$C$4:$C$203,"&lt;&gt;",'System map'!$D$4:$D$203,"&lt;&gt;"),COUNTIFS(Components!$A$4:$A$253,F141,Components!$B$4:$B$253,E141,Components!$K$4:$K$253,"Confirmed",Components!$L$4:$L$253,"OK — verify source"))))&lt;&gt;1)),"Endpoint not source-reconciled",IF(AND(M141="Confirmed",OR(L141="",K141="",K141="Unknown",K141="Low")),"Confirmed link lacks verification","OK — verify source"))))))))))))))</f>
        <v/>
      </c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6" t="n"/>
      <c r="M142" s="25" t="n"/>
      <c r="N142" s="25">
        <f>IF(COUNTA(A142:M142)=0,"",IF(OR(A142="",B142="",C142="",D142="",E142="",F142="",I142="",J142="",K142="",M142=""),"Required link detail missing",IF(COUNTIF($A$4:$A$1003,A142)&gt;1,"Duplicate Map Edge ID",IF(NOT(OR(AND(B142="UC",E142="CAP",D142="requires"),AND(B142="CAP",E142="AIR",D142="provided by"),AND(B142="AIR",OR(E142="MOD",E142="DATA",E142="IF",E142="AG",E142="TOOL"),D142="references"),AND(B142="AIR",E142="AIR",D142="depends on"))),"Invalid relationship",IF(AND(M142&lt;&gt;"Superseded",COUNTIFS($B$4:$B$1003,B142,$C$4:$C$1003,C142,$D$4:$D$1003,D142,$E$4:$E$1003,E142,$F$4:$F$1003,F142,$G$4:$G$1003,G142,$M$4:$M$1003,"&lt;&gt;Superseded")&gt;1),"Duplicate relationship",IF(OR(IF(B142="UC",COUNTIF('Use cases'!$A$4:$A$253,C142),IF(B142="CAP",COUNTIF(Capabilities!$A$4:$A$253,C142),IF(B142="AIR",COUNTIF('System map'!$A$4:$A$203,C142),COUNTIFS(Components!$A$4:$A$253,C142,Components!$B$4:$B$253,B142))))&lt;&gt;1,IF(E142="UC",COUNTIF('Use cases'!$A$4:$A$253,F142),IF(E142="CAP",COUNTIF(Capabilities!$A$4:$A$253,F142),IF(E142="AIR",COUNTIF('System map'!$A$4:$A$203,F142),COUNTIFS(Components!$A$4:$A$253,F142,Components!$B$4:$B$253,E142))))&lt;&gt;1),"Endpoint missing or duplicated",IF(AND(NOT(AND(B142="UC",E142="CAP")),OR(G142="",COUNTIF('System map'!$A$4:$A$203,G142)&lt;&gt;1)),"AIR context missing / unknown",IF(AND(B142="CAP",E142="AIR",G142&lt;&gt;F142),"AIR context mismatch",IF(AND(B142="AIR",G142&lt;&gt;C142),"AIR context mismatch",IF(AND(B142="AIR",E142="AIR",C142=F142),"Self-dependency",IF(AND(B142="AIR",E142="AIR",M142&lt;&gt;"Superseded",COUNTIFS($B$4:$B$1003,"AIR",$C$4:$C$1003,F142,$E$4:$E$1003,"AIR",$F$4:$F$1003,C142,$M$4:$M$1003,"&lt;&gt;Superseded")&gt;0),"Dependency cycle (A↔B) — review",IF(AND(B142="AIR",OR(E142="MOD",E142="DATA",E142="IF",E142="AG",E142="TOOL"),IFERROR(INDEX(Components!$G$4:$G$253,MATCH(F142,Components!$A$4:$A$253,0)),"")&lt;&gt;"",IFERROR(INDEX(Components!$G$4:$G$253,MATCH(F142,Components!$A$4:$A$253,0)),"")&lt;&gt;C142),"Component owned by another AIR-ID",IF(AND(M142="Confirmed",OR(IF(B142="UC",COUNTIFS('Use cases'!$A$4:$A$253,C142,'Use cases'!$I$4:$I$253,"Confirmed",'Use cases'!$J$4:$J$253,"OK — verify source"),IF(B142="CAP",COUNTIFS(Capabilities!$A$4:$A$253,C142,Capabilities!$J$4:$J$253,"Confirmed",Capabilities!$K$4:$K$253,"OK — verify source"),IF(B142="AIR",COUNTIFS('System map'!$A$4:$A$203,C142,'System map'!$B$4:$B$203,"&lt;&gt;",'System map'!$C$4:$C$203,"&lt;&gt;",'System map'!$D$4:$D$203,"&lt;&gt;"),COUNTIFS(Components!$A$4:$A$253,C142,Components!$B$4:$B$253,B142,Components!$K$4:$K$253,"Confirmed",Components!$L$4:$L$253,"OK — verify source"))))&lt;&gt;1,IF(E142="UC",COUNTIFS('Use cases'!$A$4:$A$253,F142,'Use cases'!$I$4:$I$253,"Confirmed",'Use cases'!$J$4:$J$253,"OK — verify source"),IF(E142="CAP",COUNTIFS(Capabilities!$A$4:$A$253,F142,Capabilities!$J$4:$J$253,"Confirmed",Capabilities!$K$4:$K$253,"OK — verify source"),IF(E142="AIR",COUNTIFS('System map'!$A$4:$A$203,F142,'System map'!$B$4:$B$203,"&lt;&gt;",'System map'!$C$4:$C$203,"&lt;&gt;",'System map'!$D$4:$D$203,"&lt;&gt;"),COUNTIFS(Components!$A$4:$A$253,F142,Components!$B$4:$B$253,E142,Components!$K$4:$K$253,"Confirmed",Components!$L$4:$L$253,"OK — verify source"))))&lt;&gt;1)),"Endpoint not source-reconciled",IF(AND(M142="Confirmed",OR(L142="",K142="",K142="Unknown",K142="Low")),"Confirmed link lacks verification","OK — verify source"))))))))))))))</f>
        <v/>
      </c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8" t="n"/>
      <c r="M143" s="27" t="n"/>
      <c r="N143" s="27">
        <f>IF(COUNTA(A143:M143)=0,"",IF(OR(A143="",B143="",C143="",D143="",E143="",F143="",I143="",J143="",K143="",M143=""),"Required link detail missing",IF(COUNTIF($A$4:$A$1003,A143)&gt;1,"Duplicate Map Edge ID",IF(NOT(OR(AND(B143="UC",E143="CAP",D143="requires"),AND(B143="CAP",E143="AIR",D143="provided by"),AND(B143="AIR",OR(E143="MOD",E143="DATA",E143="IF",E143="AG",E143="TOOL"),D143="references"),AND(B143="AIR",E143="AIR",D143="depends on"))),"Invalid relationship",IF(AND(M143&lt;&gt;"Superseded",COUNTIFS($B$4:$B$1003,B143,$C$4:$C$1003,C143,$D$4:$D$1003,D143,$E$4:$E$1003,E143,$F$4:$F$1003,F143,$G$4:$G$1003,G143,$M$4:$M$1003,"&lt;&gt;Superseded")&gt;1),"Duplicate relationship",IF(OR(IF(B143="UC",COUNTIF('Use cases'!$A$4:$A$253,C143),IF(B143="CAP",COUNTIF(Capabilities!$A$4:$A$253,C143),IF(B143="AIR",COUNTIF('System map'!$A$4:$A$203,C143),COUNTIFS(Components!$A$4:$A$253,C143,Components!$B$4:$B$253,B143))))&lt;&gt;1,IF(E143="UC",COUNTIF('Use cases'!$A$4:$A$253,F143),IF(E143="CAP",COUNTIF(Capabilities!$A$4:$A$253,F143),IF(E143="AIR",COUNTIF('System map'!$A$4:$A$203,F143),COUNTIFS(Components!$A$4:$A$253,F143,Components!$B$4:$B$253,E143))))&lt;&gt;1),"Endpoint missing or duplicated",IF(AND(NOT(AND(B143="UC",E143="CAP")),OR(G143="",COUNTIF('System map'!$A$4:$A$203,G143)&lt;&gt;1)),"AIR context missing / unknown",IF(AND(B143="CAP",E143="AIR",G143&lt;&gt;F143),"AIR context mismatch",IF(AND(B143="AIR",G143&lt;&gt;C143),"AIR context mismatch",IF(AND(B143="AIR",E143="AIR",C143=F143),"Self-dependency",IF(AND(B143="AIR",E143="AIR",M143&lt;&gt;"Superseded",COUNTIFS($B$4:$B$1003,"AIR",$C$4:$C$1003,F143,$E$4:$E$1003,"AIR",$F$4:$F$1003,C143,$M$4:$M$1003,"&lt;&gt;Superseded")&gt;0),"Dependency cycle (A↔B) — review",IF(AND(B143="AIR",OR(E143="MOD",E143="DATA",E143="IF",E143="AG",E143="TOOL"),IFERROR(INDEX(Components!$G$4:$G$253,MATCH(F143,Components!$A$4:$A$253,0)),"")&lt;&gt;"",IFERROR(INDEX(Components!$G$4:$G$253,MATCH(F143,Components!$A$4:$A$253,0)),"")&lt;&gt;C143),"Component owned by another AIR-ID",IF(AND(M143="Confirmed",OR(IF(B143="UC",COUNTIFS('Use cases'!$A$4:$A$253,C143,'Use cases'!$I$4:$I$253,"Confirmed",'Use cases'!$J$4:$J$253,"OK — verify source"),IF(B143="CAP",COUNTIFS(Capabilities!$A$4:$A$253,C143,Capabilities!$J$4:$J$253,"Confirmed",Capabilities!$K$4:$K$253,"OK — verify source"),IF(B143="AIR",COUNTIFS('System map'!$A$4:$A$203,C143,'System map'!$B$4:$B$203,"&lt;&gt;",'System map'!$C$4:$C$203,"&lt;&gt;",'System map'!$D$4:$D$203,"&lt;&gt;"),COUNTIFS(Components!$A$4:$A$253,C143,Components!$B$4:$B$253,B143,Components!$K$4:$K$253,"Confirmed",Components!$L$4:$L$253,"OK — verify source"))))&lt;&gt;1,IF(E143="UC",COUNTIFS('Use cases'!$A$4:$A$253,F143,'Use cases'!$I$4:$I$253,"Confirmed",'Use cases'!$J$4:$J$253,"OK — verify source"),IF(E143="CAP",COUNTIFS(Capabilities!$A$4:$A$253,F143,Capabilities!$J$4:$J$253,"Confirmed",Capabilities!$K$4:$K$253,"OK — verify source"),IF(E143="AIR",COUNTIFS('System map'!$A$4:$A$203,F143,'System map'!$B$4:$B$203,"&lt;&gt;",'System map'!$C$4:$C$203,"&lt;&gt;",'System map'!$D$4:$D$203,"&lt;&gt;"),COUNTIFS(Components!$A$4:$A$253,F143,Components!$B$4:$B$253,E143,Components!$K$4:$K$253,"Confirmed",Components!$L$4:$L$253,"OK — verify source"))))&lt;&gt;1)),"Endpoint not source-reconciled",IF(AND(M143="Confirmed",OR(L143="",K143="",K143="Unknown",K143="Low")),"Confirmed link lacks verification","OK — verify source"))))))))))))))</f>
        <v/>
      </c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6" t="n"/>
      <c r="M144" s="25" t="n"/>
      <c r="N144" s="25">
        <f>IF(COUNTA(A144:M144)=0,"",IF(OR(A144="",B144="",C144="",D144="",E144="",F144="",I144="",J144="",K144="",M144=""),"Required link detail missing",IF(COUNTIF($A$4:$A$1003,A144)&gt;1,"Duplicate Map Edge ID",IF(NOT(OR(AND(B144="UC",E144="CAP",D144="requires"),AND(B144="CAP",E144="AIR",D144="provided by"),AND(B144="AIR",OR(E144="MOD",E144="DATA",E144="IF",E144="AG",E144="TOOL"),D144="references"),AND(B144="AIR",E144="AIR",D144="depends on"))),"Invalid relationship",IF(AND(M144&lt;&gt;"Superseded",COUNTIFS($B$4:$B$1003,B144,$C$4:$C$1003,C144,$D$4:$D$1003,D144,$E$4:$E$1003,E144,$F$4:$F$1003,F144,$G$4:$G$1003,G144,$M$4:$M$1003,"&lt;&gt;Superseded")&gt;1),"Duplicate relationship",IF(OR(IF(B144="UC",COUNTIF('Use cases'!$A$4:$A$253,C144),IF(B144="CAP",COUNTIF(Capabilities!$A$4:$A$253,C144),IF(B144="AIR",COUNTIF('System map'!$A$4:$A$203,C144),COUNTIFS(Components!$A$4:$A$253,C144,Components!$B$4:$B$253,B144))))&lt;&gt;1,IF(E144="UC",COUNTIF('Use cases'!$A$4:$A$253,F144),IF(E144="CAP",COUNTIF(Capabilities!$A$4:$A$253,F144),IF(E144="AIR",COUNTIF('System map'!$A$4:$A$203,F144),COUNTIFS(Components!$A$4:$A$253,F144,Components!$B$4:$B$253,E144))))&lt;&gt;1),"Endpoint missing or duplicated",IF(AND(NOT(AND(B144="UC",E144="CAP")),OR(G144="",COUNTIF('System map'!$A$4:$A$203,G144)&lt;&gt;1)),"AIR context missing / unknown",IF(AND(B144="CAP",E144="AIR",G144&lt;&gt;F144),"AIR context mismatch",IF(AND(B144="AIR",G144&lt;&gt;C144),"AIR context mismatch",IF(AND(B144="AIR",E144="AIR",C144=F144),"Self-dependency",IF(AND(B144="AIR",E144="AIR",M144&lt;&gt;"Superseded",COUNTIFS($B$4:$B$1003,"AIR",$C$4:$C$1003,F144,$E$4:$E$1003,"AIR",$F$4:$F$1003,C144,$M$4:$M$1003,"&lt;&gt;Superseded")&gt;0),"Dependency cycle (A↔B) — review",IF(AND(B144="AIR",OR(E144="MOD",E144="DATA",E144="IF",E144="AG",E144="TOOL"),IFERROR(INDEX(Components!$G$4:$G$253,MATCH(F144,Components!$A$4:$A$253,0)),"")&lt;&gt;"",IFERROR(INDEX(Components!$G$4:$G$253,MATCH(F144,Components!$A$4:$A$253,0)),"")&lt;&gt;C144),"Component owned by another AIR-ID",IF(AND(M144="Confirmed",OR(IF(B144="UC",COUNTIFS('Use cases'!$A$4:$A$253,C144,'Use cases'!$I$4:$I$253,"Confirmed",'Use cases'!$J$4:$J$253,"OK — verify source"),IF(B144="CAP",COUNTIFS(Capabilities!$A$4:$A$253,C144,Capabilities!$J$4:$J$253,"Confirmed",Capabilities!$K$4:$K$253,"OK — verify source"),IF(B144="AIR",COUNTIFS('System map'!$A$4:$A$203,C144,'System map'!$B$4:$B$203,"&lt;&gt;",'System map'!$C$4:$C$203,"&lt;&gt;",'System map'!$D$4:$D$203,"&lt;&gt;"),COUNTIFS(Components!$A$4:$A$253,C144,Components!$B$4:$B$253,B144,Components!$K$4:$K$253,"Confirmed",Components!$L$4:$L$253,"OK — verify source"))))&lt;&gt;1,IF(E144="UC",COUNTIFS('Use cases'!$A$4:$A$253,F144,'Use cases'!$I$4:$I$253,"Confirmed",'Use cases'!$J$4:$J$253,"OK — verify source"),IF(E144="CAP",COUNTIFS(Capabilities!$A$4:$A$253,F144,Capabilities!$J$4:$J$253,"Confirmed",Capabilities!$K$4:$K$253,"OK — verify source"),IF(E144="AIR",COUNTIFS('System map'!$A$4:$A$203,F144,'System map'!$B$4:$B$203,"&lt;&gt;",'System map'!$C$4:$C$203,"&lt;&gt;",'System map'!$D$4:$D$203,"&lt;&gt;"),COUNTIFS(Components!$A$4:$A$253,F144,Components!$B$4:$B$253,E144,Components!$K$4:$K$253,"Confirmed",Components!$L$4:$L$253,"OK — verify source"))))&lt;&gt;1)),"Endpoint not source-reconciled",IF(AND(M144="Confirmed",OR(L144="",K144="",K144="Unknown",K144="Low")),"Confirmed link lacks verification","OK — verify source"))))))))))))))</f>
        <v/>
      </c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8" t="n"/>
      <c r="M145" s="27" t="n"/>
      <c r="N145" s="27">
        <f>IF(COUNTA(A145:M145)=0,"",IF(OR(A145="",B145="",C145="",D145="",E145="",F145="",I145="",J145="",K145="",M145=""),"Required link detail missing",IF(COUNTIF($A$4:$A$1003,A145)&gt;1,"Duplicate Map Edge ID",IF(NOT(OR(AND(B145="UC",E145="CAP",D145="requires"),AND(B145="CAP",E145="AIR",D145="provided by"),AND(B145="AIR",OR(E145="MOD",E145="DATA",E145="IF",E145="AG",E145="TOOL"),D145="references"),AND(B145="AIR",E145="AIR",D145="depends on"))),"Invalid relationship",IF(AND(M145&lt;&gt;"Superseded",COUNTIFS($B$4:$B$1003,B145,$C$4:$C$1003,C145,$D$4:$D$1003,D145,$E$4:$E$1003,E145,$F$4:$F$1003,F145,$G$4:$G$1003,G145,$M$4:$M$1003,"&lt;&gt;Superseded")&gt;1),"Duplicate relationship",IF(OR(IF(B145="UC",COUNTIF('Use cases'!$A$4:$A$253,C145),IF(B145="CAP",COUNTIF(Capabilities!$A$4:$A$253,C145),IF(B145="AIR",COUNTIF('System map'!$A$4:$A$203,C145),COUNTIFS(Components!$A$4:$A$253,C145,Components!$B$4:$B$253,B145))))&lt;&gt;1,IF(E145="UC",COUNTIF('Use cases'!$A$4:$A$253,F145),IF(E145="CAP",COUNTIF(Capabilities!$A$4:$A$253,F145),IF(E145="AIR",COUNTIF('System map'!$A$4:$A$203,F145),COUNTIFS(Components!$A$4:$A$253,F145,Components!$B$4:$B$253,E145))))&lt;&gt;1),"Endpoint missing or duplicated",IF(AND(NOT(AND(B145="UC",E145="CAP")),OR(G145="",COUNTIF('System map'!$A$4:$A$203,G145)&lt;&gt;1)),"AIR context missing / unknown",IF(AND(B145="CAP",E145="AIR",G145&lt;&gt;F145),"AIR context mismatch",IF(AND(B145="AIR",G145&lt;&gt;C145),"AIR context mismatch",IF(AND(B145="AIR",E145="AIR",C145=F145),"Self-dependency",IF(AND(B145="AIR",E145="AIR",M145&lt;&gt;"Superseded",COUNTIFS($B$4:$B$1003,"AIR",$C$4:$C$1003,F145,$E$4:$E$1003,"AIR",$F$4:$F$1003,C145,$M$4:$M$1003,"&lt;&gt;Superseded")&gt;0),"Dependency cycle (A↔B) — review",IF(AND(B145="AIR",OR(E145="MOD",E145="DATA",E145="IF",E145="AG",E145="TOOL"),IFERROR(INDEX(Components!$G$4:$G$253,MATCH(F145,Components!$A$4:$A$253,0)),"")&lt;&gt;"",IFERROR(INDEX(Components!$G$4:$G$253,MATCH(F145,Components!$A$4:$A$253,0)),"")&lt;&gt;C145),"Component owned by another AIR-ID",IF(AND(M145="Confirmed",OR(IF(B145="UC",COUNTIFS('Use cases'!$A$4:$A$253,C145,'Use cases'!$I$4:$I$253,"Confirmed",'Use cases'!$J$4:$J$253,"OK — verify source"),IF(B145="CAP",COUNTIFS(Capabilities!$A$4:$A$253,C145,Capabilities!$J$4:$J$253,"Confirmed",Capabilities!$K$4:$K$253,"OK — verify source"),IF(B145="AIR",COUNTIFS('System map'!$A$4:$A$203,C145,'System map'!$B$4:$B$203,"&lt;&gt;",'System map'!$C$4:$C$203,"&lt;&gt;",'System map'!$D$4:$D$203,"&lt;&gt;"),COUNTIFS(Components!$A$4:$A$253,C145,Components!$B$4:$B$253,B145,Components!$K$4:$K$253,"Confirmed",Components!$L$4:$L$253,"OK — verify source"))))&lt;&gt;1,IF(E145="UC",COUNTIFS('Use cases'!$A$4:$A$253,F145,'Use cases'!$I$4:$I$253,"Confirmed",'Use cases'!$J$4:$J$253,"OK — verify source"),IF(E145="CAP",COUNTIFS(Capabilities!$A$4:$A$253,F145,Capabilities!$J$4:$J$253,"Confirmed",Capabilities!$K$4:$K$253,"OK — verify source"),IF(E145="AIR",COUNTIFS('System map'!$A$4:$A$203,F145,'System map'!$B$4:$B$203,"&lt;&gt;",'System map'!$C$4:$C$203,"&lt;&gt;",'System map'!$D$4:$D$203,"&lt;&gt;"),COUNTIFS(Components!$A$4:$A$253,F145,Components!$B$4:$B$253,E145,Components!$K$4:$K$253,"Confirmed",Components!$L$4:$L$253,"OK — verify source"))))&lt;&gt;1)),"Endpoint not source-reconciled",IF(AND(M145="Confirmed",OR(L145="",K145="",K145="Unknown",K145="Low")),"Confirmed link lacks verification","OK — verify source"))))))))))))))</f>
        <v/>
      </c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6" t="n"/>
      <c r="M146" s="25" t="n"/>
      <c r="N146" s="25">
        <f>IF(COUNTA(A146:M146)=0,"",IF(OR(A146="",B146="",C146="",D146="",E146="",F146="",I146="",J146="",K146="",M146=""),"Required link detail missing",IF(COUNTIF($A$4:$A$1003,A146)&gt;1,"Duplicate Map Edge ID",IF(NOT(OR(AND(B146="UC",E146="CAP",D146="requires"),AND(B146="CAP",E146="AIR",D146="provided by"),AND(B146="AIR",OR(E146="MOD",E146="DATA",E146="IF",E146="AG",E146="TOOL"),D146="references"),AND(B146="AIR",E146="AIR",D146="depends on"))),"Invalid relationship",IF(AND(M146&lt;&gt;"Superseded",COUNTIFS($B$4:$B$1003,B146,$C$4:$C$1003,C146,$D$4:$D$1003,D146,$E$4:$E$1003,E146,$F$4:$F$1003,F146,$G$4:$G$1003,G146,$M$4:$M$1003,"&lt;&gt;Superseded")&gt;1),"Duplicate relationship",IF(OR(IF(B146="UC",COUNTIF('Use cases'!$A$4:$A$253,C146),IF(B146="CAP",COUNTIF(Capabilities!$A$4:$A$253,C146),IF(B146="AIR",COUNTIF('System map'!$A$4:$A$203,C146),COUNTIFS(Components!$A$4:$A$253,C146,Components!$B$4:$B$253,B146))))&lt;&gt;1,IF(E146="UC",COUNTIF('Use cases'!$A$4:$A$253,F146),IF(E146="CAP",COUNTIF(Capabilities!$A$4:$A$253,F146),IF(E146="AIR",COUNTIF('System map'!$A$4:$A$203,F146),COUNTIFS(Components!$A$4:$A$253,F146,Components!$B$4:$B$253,E146))))&lt;&gt;1),"Endpoint missing or duplicated",IF(AND(NOT(AND(B146="UC",E146="CAP")),OR(G146="",COUNTIF('System map'!$A$4:$A$203,G146)&lt;&gt;1)),"AIR context missing / unknown",IF(AND(B146="CAP",E146="AIR",G146&lt;&gt;F146),"AIR context mismatch",IF(AND(B146="AIR",G146&lt;&gt;C146),"AIR context mismatch",IF(AND(B146="AIR",E146="AIR",C146=F146),"Self-dependency",IF(AND(B146="AIR",E146="AIR",M146&lt;&gt;"Superseded",COUNTIFS($B$4:$B$1003,"AIR",$C$4:$C$1003,F146,$E$4:$E$1003,"AIR",$F$4:$F$1003,C146,$M$4:$M$1003,"&lt;&gt;Superseded")&gt;0),"Dependency cycle (A↔B) — review",IF(AND(B146="AIR",OR(E146="MOD",E146="DATA",E146="IF",E146="AG",E146="TOOL"),IFERROR(INDEX(Components!$G$4:$G$253,MATCH(F146,Components!$A$4:$A$253,0)),"")&lt;&gt;"",IFERROR(INDEX(Components!$G$4:$G$253,MATCH(F146,Components!$A$4:$A$253,0)),"")&lt;&gt;C146),"Component owned by another AIR-ID",IF(AND(M146="Confirmed",OR(IF(B146="UC",COUNTIFS('Use cases'!$A$4:$A$253,C146,'Use cases'!$I$4:$I$253,"Confirmed",'Use cases'!$J$4:$J$253,"OK — verify source"),IF(B146="CAP",COUNTIFS(Capabilities!$A$4:$A$253,C146,Capabilities!$J$4:$J$253,"Confirmed",Capabilities!$K$4:$K$253,"OK — verify source"),IF(B146="AIR",COUNTIFS('System map'!$A$4:$A$203,C146,'System map'!$B$4:$B$203,"&lt;&gt;",'System map'!$C$4:$C$203,"&lt;&gt;",'System map'!$D$4:$D$203,"&lt;&gt;"),COUNTIFS(Components!$A$4:$A$253,C146,Components!$B$4:$B$253,B146,Components!$K$4:$K$253,"Confirmed",Components!$L$4:$L$253,"OK — verify source"))))&lt;&gt;1,IF(E146="UC",COUNTIFS('Use cases'!$A$4:$A$253,F146,'Use cases'!$I$4:$I$253,"Confirmed",'Use cases'!$J$4:$J$253,"OK — verify source"),IF(E146="CAP",COUNTIFS(Capabilities!$A$4:$A$253,F146,Capabilities!$J$4:$J$253,"Confirmed",Capabilities!$K$4:$K$253,"OK — verify source"),IF(E146="AIR",COUNTIFS('System map'!$A$4:$A$203,F146,'System map'!$B$4:$B$203,"&lt;&gt;",'System map'!$C$4:$C$203,"&lt;&gt;",'System map'!$D$4:$D$203,"&lt;&gt;"),COUNTIFS(Components!$A$4:$A$253,F146,Components!$B$4:$B$253,E146,Components!$K$4:$K$253,"Confirmed",Components!$L$4:$L$253,"OK — verify source"))))&lt;&gt;1)),"Endpoint not source-reconciled",IF(AND(M146="Confirmed",OR(L146="",K146="",K146="Unknown",K146="Low")),"Confirmed link lacks verification","OK — verify source"))))))))))))))</f>
        <v/>
      </c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8" t="n"/>
      <c r="M147" s="27" t="n"/>
      <c r="N147" s="27">
        <f>IF(COUNTA(A147:M147)=0,"",IF(OR(A147="",B147="",C147="",D147="",E147="",F147="",I147="",J147="",K147="",M147=""),"Required link detail missing",IF(COUNTIF($A$4:$A$1003,A147)&gt;1,"Duplicate Map Edge ID",IF(NOT(OR(AND(B147="UC",E147="CAP",D147="requires"),AND(B147="CAP",E147="AIR",D147="provided by"),AND(B147="AIR",OR(E147="MOD",E147="DATA",E147="IF",E147="AG",E147="TOOL"),D147="references"),AND(B147="AIR",E147="AIR",D147="depends on"))),"Invalid relationship",IF(AND(M147&lt;&gt;"Superseded",COUNTIFS($B$4:$B$1003,B147,$C$4:$C$1003,C147,$D$4:$D$1003,D147,$E$4:$E$1003,E147,$F$4:$F$1003,F147,$G$4:$G$1003,G147,$M$4:$M$1003,"&lt;&gt;Superseded")&gt;1),"Duplicate relationship",IF(OR(IF(B147="UC",COUNTIF('Use cases'!$A$4:$A$253,C147),IF(B147="CAP",COUNTIF(Capabilities!$A$4:$A$253,C147),IF(B147="AIR",COUNTIF('System map'!$A$4:$A$203,C147),COUNTIFS(Components!$A$4:$A$253,C147,Components!$B$4:$B$253,B147))))&lt;&gt;1,IF(E147="UC",COUNTIF('Use cases'!$A$4:$A$253,F147),IF(E147="CAP",COUNTIF(Capabilities!$A$4:$A$253,F147),IF(E147="AIR",COUNTIF('System map'!$A$4:$A$203,F147),COUNTIFS(Components!$A$4:$A$253,F147,Components!$B$4:$B$253,E147))))&lt;&gt;1),"Endpoint missing or duplicated",IF(AND(NOT(AND(B147="UC",E147="CAP")),OR(G147="",COUNTIF('System map'!$A$4:$A$203,G147)&lt;&gt;1)),"AIR context missing / unknown",IF(AND(B147="CAP",E147="AIR",G147&lt;&gt;F147),"AIR context mismatch",IF(AND(B147="AIR",G147&lt;&gt;C147),"AIR context mismatch",IF(AND(B147="AIR",E147="AIR",C147=F147),"Self-dependency",IF(AND(B147="AIR",E147="AIR",M147&lt;&gt;"Superseded",COUNTIFS($B$4:$B$1003,"AIR",$C$4:$C$1003,F147,$E$4:$E$1003,"AIR",$F$4:$F$1003,C147,$M$4:$M$1003,"&lt;&gt;Superseded")&gt;0),"Dependency cycle (A↔B) — review",IF(AND(B147="AIR",OR(E147="MOD",E147="DATA",E147="IF",E147="AG",E147="TOOL"),IFERROR(INDEX(Components!$G$4:$G$253,MATCH(F147,Components!$A$4:$A$253,0)),"")&lt;&gt;"",IFERROR(INDEX(Components!$G$4:$G$253,MATCH(F147,Components!$A$4:$A$253,0)),"")&lt;&gt;C147),"Component owned by another AIR-ID",IF(AND(M147="Confirmed",OR(IF(B147="UC",COUNTIFS('Use cases'!$A$4:$A$253,C147,'Use cases'!$I$4:$I$253,"Confirmed",'Use cases'!$J$4:$J$253,"OK — verify source"),IF(B147="CAP",COUNTIFS(Capabilities!$A$4:$A$253,C147,Capabilities!$J$4:$J$253,"Confirmed",Capabilities!$K$4:$K$253,"OK — verify source"),IF(B147="AIR",COUNTIFS('System map'!$A$4:$A$203,C147,'System map'!$B$4:$B$203,"&lt;&gt;",'System map'!$C$4:$C$203,"&lt;&gt;",'System map'!$D$4:$D$203,"&lt;&gt;"),COUNTIFS(Components!$A$4:$A$253,C147,Components!$B$4:$B$253,B147,Components!$K$4:$K$253,"Confirmed",Components!$L$4:$L$253,"OK — verify source"))))&lt;&gt;1,IF(E147="UC",COUNTIFS('Use cases'!$A$4:$A$253,F147,'Use cases'!$I$4:$I$253,"Confirmed",'Use cases'!$J$4:$J$253,"OK — verify source"),IF(E147="CAP",COUNTIFS(Capabilities!$A$4:$A$253,F147,Capabilities!$J$4:$J$253,"Confirmed",Capabilities!$K$4:$K$253,"OK — verify source"),IF(E147="AIR",COUNTIFS('System map'!$A$4:$A$203,F147,'System map'!$B$4:$B$203,"&lt;&gt;",'System map'!$C$4:$C$203,"&lt;&gt;",'System map'!$D$4:$D$203,"&lt;&gt;"),COUNTIFS(Components!$A$4:$A$253,F147,Components!$B$4:$B$253,E147,Components!$K$4:$K$253,"Confirmed",Components!$L$4:$L$253,"OK — verify source"))))&lt;&gt;1)),"Endpoint not source-reconciled",IF(AND(M147="Confirmed",OR(L147="",K147="",K147="Unknown",K147="Low")),"Confirmed link lacks verification","OK — verify source"))))))))))))))</f>
        <v/>
      </c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6" t="n"/>
      <c r="M148" s="25" t="n"/>
      <c r="N148" s="25">
        <f>IF(COUNTA(A148:M148)=0,"",IF(OR(A148="",B148="",C148="",D148="",E148="",F148="",I148="",J148="",K148="",M148=""),"Required link detail missing",IF(COUNTIF($A$4:$A$1003,A148)&gt;1,"Duplicate Map Edge ID",IF(NOT(OR(AND(B148="UC",E148="CAP",D148="requires"),AND(B148="CAP",E148="AIR",D148="provided by"),AND(B148="AIR",OR(E148="MOD",E148="DATA",E148="IF",E148="AG",E148="TOOL"),D148="references"),AND(B148="AIR",E148="AIR",D148="depends on"))),"Invalid relationship",IF(AND(M148&lt;&gt;"Superseded",COUNTIFS($B$4:$B$1003,B148,$C$4:$C$1003,C148,$D$4:$D$1003,D148,$E$4:$E$1003,E148,$F$4:$F$1003,F148,$G$4:$G$1003,G148,$M$4:$M$1003,"&lt;&gt;Superseded")&gt;1),"Duplicate relationship",IF(OR(IF(B148="UC",COUNTIF('Use cases'!$A$4:$A$253,C148),IF(B148="CAP",COUNTIF(Capabilities!$A$4:$A$253,C148),IF(B148="AIR",COUNTIF('System map'!$A$4:$A$203,C148),COUNTIFS(Components!$A$4:$A$253,C148,Components!$B$4:$B$253,B148))))&lt;&gt;1,IF(E148="UC",COUNTIF('Use cases'!$A$4:$A$253,F148),IF(E148="CAP",COUNTIF(Capabilities!$A$4:$A$253,F148),IF(E148="AIR",COUNTIF('System map'!$A$4:$A$203,F148),COUNTIFS(Components!$A$4:$A$253,F148,Components!$B$4:$B$253,E148))))&lt;&gt;1),"Endpoint missing or duplicated",IF(AND(NOT(AND(B148="UC",E148="CAP")),OR(G148="",COUNTIF('System map'!$A$4:$A$203,G148)&lt;&gt;1)),"AIR context missing / unknown",IF(AND(B148="CAP",E148="AIR",G148&lt;&gt;F148),"AIR context mismatch",IF(AND(B148="AIR",G148&lt;&gt;C148),"AIR context mismatch",IF(AND(B148="AIR",E148="AIR",C148=F148),"Self-dependency",IF(AND(B148="AIR",E148="AIR",M148&lt;&gt;"Superseded",COUNTIFS($B$4:$B$1003,"AIR",$C$4:$C$1003,F148,$E$4:$E$1003,"AIR",$F$4:$F$1003,C148,$M$4:$M$1003,"&lt;&gt;Superseded")&gt;0),"Dependency cycle (A↔B) — review",IF(AND(B148="AIR",OR(E148="MOD",E148="DATA",E148="IF",E148="AG",E148="TOOL"),IFERROR(INDEX(Components!$G$4:$G$253,MATCH(F148,Components!$A$4:$A$253,0)),"")&lt;&gt;"",IFERROR(INDEX(Components!$G$4:$G$253,MATCH(F148,Components!$A$4:$A$253,0)),"")&lt;&gt;C148),"Component owned by another AIR-ID",IF(AND(M148="Confirmed",OR(IF(B148="UC",COUNTIFS('Use cases'!$A$4:$A$253,C148,'Use cases'!$I$4:$I$253,"Confirmed",'Use cases'!$J$4:$J$253,"OK — verify source"),IF(B148="CAP",COUNTIFS(Capabilities!$A$4:$A$253,C148,Capabilities!$J$4:$J$253,"Confirmed",Capabilities!$K$4:$K$253,"OK — verify source"),IF(B148="AIR",COUNTIFS('System map'!$A$4:$A$203,C148,'System map'!$B$4:$B$203,"&lt;&gt;",'System map'!$C$4:$C$203,"&lt;&gt;",'System map'!$D$4:$D$203,"&lt;&gt;"),COUNTIFS(Components!$A$4:$A$253,C148,Components!$B$4:$B$253,B148,Components!$K$4:$K$253,"Confirmed",Components!$L$4:$L$253,"OK — verify source"))))&lt;&gt;1,IF(E148="UC",COUNTIFS('Use cases'!$A$4:$A$253,F148,'Use cases'!$I$4:$I$253,"Confirmed",'Use cases'!$J$4:$J$253,"OK — verify source"),IF(E148="CAP",COUNTIFS(Capabilities!$A$4:$A$253,F148,Capabilities!$J$4:$J$253,"Confirmed",Capabilities!$K$4:$K$253,"OK — verify source"),IF(E148="AIR",COUNTIFS('System map'!$A$4:$A$203,F148,'System map'!$B$4:$B$203,"&lt;&gt;",'System map'!$C$4:$C$203,"&lt;&gt;",'System map'!$D$4:$D$203,"&lt;&gt;"),COUNTIFS(Components!$A$4:$A$253,F148,Components!$B$4:$B$253,E148,Components!$K$4:$K$253,"Confirmed",Components!$L$4:$L$253,"OK — verify source"))))&lt;&gt;1)),"Endpoint not source-reconciled",IF(AND(M148="Confirmed",OR(L148="",K148="",K148="Unknown",K148="Low")),"Confirmed link lacks verification","OK — verify source"))))))))))))))</f>
        <v/>
      </c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8" t="n"/>
      <c r="M149" s="27" t="n"/>
      <c r="N149" s="27">
        <f>IF(COUNTA(A149:M149)=0,"",IF(OR(A149="",B149="",C149="",D149="",E149="",F149="",I149="",J149="",K149="",M149=""),"Required link detail missing",IF(COUNTIF($A$4:$A$1003,A149)&gt;1,"Duplicate Map Edge ID",IF(NOT(OR(AND(B149="UC",E149="CAP",D149="requires"),AND(B149="CAP",E149="AIR",D149="provided by"),AND(B149="AIR",OR(E149="MOD",E149="DATA",E149="IF",E149="AG",E149="TOOL"),D149="references"),AND(B149="AIR",E149="AIR",D149="depends on"))),"Invalid relationship",IF(AND(M149&lt;&gt;"Superseded",COUNTIFS($B$4:$B$1003,B149,$C$4:$C$1003,C149,$D$4:$D$1003,D149,$E$4:$E$1003,E149,$F$4:$F$1003,F149,$G$4:$G$1003,G149,$M$4:$M$1003,"&lt;&gt;Superseded")&gt;1),"Duplicate relationship",IF(OR(IF(B149="UC",COUNTIF('Use cases'!$A$4:$A$253,C149),IF(B149="CAP",COUNTIF(Capabilities!$A$4:$A$253,C149),IF(B149="AIR",COUNTIF('System map'!$A$4:$A$203,C149),COUNTIFS(Components!$A$4:$A$253,C149,Components!$B$4:$B$253,B149))))&lt;&gt;1,IF(E149="UC",COUNTIF('Use cases'!$A$4:$A$253,F149),IF(E149="CAP",COUNTIF(Capabilities!$A$4:$A$253,F149),IF(E149="AIR",COUNTIF('System map'!$A$4:$A$203,F149),COUNTIFS(Components!$A$4:$A$253,F149,Components!$B$4:$B$253,E149))))&lt;&gt;1),"Endpoint missing or duplicated",IF(AND(NOT(AND(B149="UC",E149="CAP")),OR(G149="",COUNTIF('System map'!$A$4:$A$203,G149)&lt;&gt;1)),"AIR context missing / unknown",IF(AND(B149="CAP",E149="AIR",G149&lt;&gt;F149),"AIR context mismatch",IF(AND(B149="AIR",G149&lt;&gt;C149),"AIR context mismatch",IF(AND(B149="AIR",E149="AIR",C149=F149),"Self-dependency",IF(AND(B149="AIR",E149="AIR",M149&lt;&gt;"Superseded",COUNTIFS($B$4:$B$1003,"AIR",$C$4:$C$1003,F149,$E$4:$E$1003,"AIR",$F$4:$F$1003,C149,$M$4:$M$1003,"&lt;&gt;Superseded")&gt;0),"Dependency cycle (A↔B) — review",IF(AND(B149="AIR",OR(E149="MOD",E149="DATA",E149="IF",E149="AG",E149="TOOL"),IFERROR(INDEX(Components!$G$4:$G$253,MATCH(F149,Components!$A$4:$A$253,0)),"")&lt;&gt;"",IFERROR(INDEX(Components!$G$4:$G$253,MATCH(F149,Components!$A$4:$A$253,0)),"")&lt;&gt;C149),"Component owned by another AIR-ID",IF(AND(M149="Confirmed",OR(IF(B149="UC",COUNTIFS('Use cases'!$A$4:$A$253,C149,'Use cases'!$I$4:$I$253,"Confirmed",'Use cases'!$J$4:$J$253,"OK — verify source"),IF(B149="CAP",COUNTIFS(Capabilities!$A$4:$A$253,C149,Capabilities!$J$4:$J$253,"Confirmed",Capabilities!$K$4:$K$253,"OK — verify source"),IF(B149="AIR",COUNTIFS('System map'!$A$4:$A$203,C149,'System map'!$B$4:$B$203,"&lt;&gt;",'System map'!$C$4:$C$203,"&lt;&gt;",'System map'!$D$4:$D$203,"&lt;&gt;"),COUNTIFS(Components!$A$4:$A$253,C149,Components!$B$4:$B$253,B149,Components!$K$4:$K$253,"Confirmed",Components!$L$4:$L$253,"OK — verify source"))))&lt;&gt;1,IF(E149="UC",COUNTIFS('Use cases'!$A$4:$A$253,F149,'Use cases'!$I$4:$I$253,"Confirmed",'Use cases'!$J$4:$J$253,"OK — verify source"),IF(E149="CAP",COUNTIFS(Capabilities!$A$4:$A$253,F149,Capabilities!$J$4:$J$253,"Confirmed",Capabilities!$K$4:$K$253,"OK — verify source"),IF(E149="AIR",COUNTIFS('System map'!$A$4:$A$203,F149,'System map'!$B$4:$B$203,"&lt;&gt;",'System map'!$C$4:$C$203,"&lt;&gt;",'System map'!$D$4:$D$203,"&lt;&gt;"),COUNTIFS(Components!$A$4:$A$253,F149,Components!$B$4:$B$253,E149,Components!$K$4:$K$253,"Confirmed",Components!$L$4:$L$253,"OK — verify source"))))&lt;&gt;1)),"Endpoint not source-reconciled",IF(AND(M149="Confirmed",OR(L149="",K149="",K149="Unknown",K149="Low")),"Confirmed link lacks verification","OK — verify source"))))))))))))))</f>
        <v/>
      </c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6" t="n"/>
      <c r="M150" s="25" t="n"/>
      <c r="N150" s="25">
        <f>IF(COUNTA(A150:M150)=0,"",IF(OR(A150="",B150="",C150="",D150="",E150="",F150="",I150="",J150="",K150="",M150=""),"Required link detail missing",IF(COUNTIF($A$4:$A$1003,A150)&gt;1,"Duplicate Map Edge ID",IF(NOT(OR(AND(B150="UC",E150="CAP",D150="requires"),AND(B150="CAP",E150="AIR",D150="provided by"),AND(B150="AIR",OR(E150="MOD",E150="DATA",E150="IF",E150="AG",E150="TOOL"),D150="references"),AND(B150="AIR",E150="AIR",D150="depends on"))),"Invalid relationship",IF(AND(M150&lt;&gt;"Superseded",COUNTIFS($B$4:$B$1003,B150,$C$4:$C$1003,C150,$D$4:$D$1003,D150,$E$4:$E$1003,E150,$F$4:$F$1003,F150,$G$4:$G$1003,G150,$M$4:$M$1003,"&lt;&gt;Superseded")&gt;1),"Duplicate relationship",IF(OR(IF(B150="UC",COUNTIF('Use cases'!$A$4:$A$253,C150),IF(B150="CAP",COUNTIF(Capabilities!$A$4:$A$253,C150),IF(B150="AIR",COUNTIF('System map'!$A$4:$A$203,C150),COUNTIFS(Components!$A$4:$A$253,C150,Components!$B$4:$B$253,B150))))&lt;&gt;1,IF(E150="UC",COUNTIF('Use cases'!$A$4:$A$253,F150),IF(E150="CAP",COUNTIF(Capabilities!$A$4:$A$253,F150),IF(E150="AIR",COUNTIF('System map'!$A$4:$A$203,F150),COUNTIFS(Components!$A$4:$A$253,F150,Components!$B$4:$B$253,E150))))&lt;&gt;1),"Endpoint missing or duplicated",IF(AND(NOT(AND(B150="UC",E150="CAP")),OR(G150="",COUNTIF('System map'!$A$4:$A$203,G150)&lt;&gt;1)),"AIR context missing / unknown",IF(AND(B150="CAP",E150="AIR",G150&lt;&gt;F150),"AIR context mismatch",IF(AND(B150="AIR",G150&lt;&gt;C150),"AIR context mismatch",IF(AND(B150="AIR",E150="AIR",C150=F150),"Self-dependency",IF(AND(B150="AIR",E150="AIR",M150&lt;&gt;"Superseded",COUNTIFS($B$4:$B$1003,"AIR",$C$4:$C$1003,F150,$E$4:$E$1003,"AIR",$F$4:$F$1003,C150,$M$4:$M$1003,"&lt;&gt;Superseded")&gt;0),"Dependency cycle (A↔B) — review",IF(AND(B150="AIR",OR(E150="MOD",E150="DATA",E150="IF",E150="AG",E150="TOOL"),IFERROR(INDEX(Components!$G$4:$G$253,MATCH(F150,Components!$A$4:$A$253,0)),"")&lt;&gt;"",IFERROR(INDEX(Components!$G$4:$G$253,MATCH(F150,Components!$A$4:$A$253,0)),"")&lt;&gt;C150),"Component owned by another AIR-ID",IF(AND(M150="Confirmed",OR(IF(B150="UC",COUNTIFS('Use cases'!$A$4:$A$253,C150,'Use cases'!$I$4:$I$253,"Confirmed",'Use cases'!$J$4:$J$253,"OK — verify source"),IF(B150="CAP",COUNTIFS(Capabilities!$A$4:$A$253,C150,Capabilities!$J$4:$J$253,"Confirmed",Capabilities!$K$4:$K$253,"OK — verify source"),IF(B150="AIR",COUNTIFS('System map'!$A$4:$A$203,C150,'System map'!$B$4:$B$203,"&lt;&gt;",'System map'!$C$4:$C$203,"&lt;&gt;",'System map'!$D$4:$D$203,"&lt;&gt;"),COUNTIFS(Components!$A$4:$A$253,C150,Components!$B$4:$B$253,B150,Components!$K$4:$K$253,"Confirmed",Components!$L$4:$L$253,"OK — verify source"))))&lt;&gt;1,IF(E150="UC",COUNTIFS('Use cases'!$A$4:$A$253,F150,'Use cases'!$I$4:$I$253,"Confirmed",'Use cases'!$J$4:$J$253,"OK — verify source"),IF(E150="CAP",COUNTIFS(Capabilities!$A$4:$A$253,F150,Capabilities!$J$4:$J$253,"Confirmed",Capabilities!$K$4:$K$253,"OK — verify source"),IF(E150="AIR",COUNTIFS('System map'!$A$4:$A$203,F150,'System map'!$B$4:$B$203,"&lt;&gt;",'System map'!$C$4:$C$203,"&lt;&gt;",'System map'!$D$4:$D$203,"&lt;&gt;"),COUNTIFS(Components!$A$4:$A$253,F150,Components!$B$4:$B$253,E150,Components!$K$4:$K$253,"Confirmed",Components!$L$4:$L$253,"OK — verify source"))))&lt;&gt;1)),"Endpoint not source-reconciled",IF(AND(M150="Confirmed",OR(L150="",K150="",K150="Unknown",K150="Low")),"Confirmed link lacks verification","OK — verify source"))))))))))))))</f>
        <v/>
      </c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8" t="n"/>
      <c r="M151" s="27" t="n"/>
      <c r="N151" s="27">
        <f>IF(COUNTA(A151:M151)=0,"",IF(OR(A151="",B151="",C151="",D151="",E151="",F151="",I151="",J151="",K151="",M151=""),"Required link detail missing",IF(COUNTIF($A$4:$A$1003,A151)&gt;1,"Duplicate Map Edge ID",IF(NOT(OR(AND(B151="UC",E151="CAP",D151="requires"),AND(B151="CAP",E151="AIR",D151="provided by"),AND(B151="AIR",OR(E151="MOD",E151="DATA",E151="IF",E151="AG",E151="TOOL"),D151="references"),AND(B151="AIR",E151="AIR",D151="depends on"))),"Invalid relationship",IF(AND(M151&lt;&gt;"Superseded",COUNTIFS($B$4:$B$1003,B151,$C$4:$C$1003,C151,$D$4:$D$1003,D151,$E$4:$E$1003,E151,$F$4:$F$1003,F151,$G$4:$G$1003,G151,$M$4:$M$1003,"&lt;&gt;Superseded")&gt;1),"Duplicate relationship",IF(OR(IF(B151="UC",COUNTIF('Use cases'!$A$4:$A$253,C151),IF(B151="CAP",COUNTIF(Capabilities!$A$4:$A$253,C151),IF(B151="AIR",COUNTIF('System map'!$A$4:$A$203,C151),COUNTIFS(Components!$A$4:$A$253,C151,Components!$B$4:$B$253,B151))))&lt;&gt;1,IF(E151="UC",COUNTIF('Use cases'!$A$4:$A$253,F151),IF(E151="CAP",COUNTIF(Capabilities!$A$4:$A$253,F151),IF(E151="AIR",COUNTIF('System map'!$A$4:$A$203,F151),COUNTIFS(Components!$A$4:$A$253,F151,Components!$B$4:$B$253,E151))))&lt;&gt;1),"Endpoint missing or duplicated",IF(AND(NOT(AND(B151="UC",E151="CAP")),OR(G151="",COUNTIF('System map'!$A$4:$A$203,G151)&lt;&gt;1)),"AIR context missing / unknown",IF(AND(B151="CAP",E151="AIR",G151&lt;&gt;F151),"AIR context mismatch",IF(AND(B151="AIR",G151&lt;&gt;C151),"AIR context mismatch",IF(AND(B151="AIR",E151="AIR",C151=F151),"Self-dependency",IF(AND(B151="AIR",E151="AIR",M151&lt;&gt;"Superseded",COUNTIFS($B$4:$B$1003,"AIR",$C$4:$C$1003,F151,$E$4:$E$1003,"AIR",$F$4:$F$1003,C151,$M$4:$M$1003,"&lt;&gt;Superseded")&gt;0),"Dependency cycle (A↔B) — review",IF(AND(B151="AIR",OR(E151="MOD",E151="DATA",E151="IF",E151="AG",E151="TOOL"),IFERROR(INDEX(Components!$G$4:$G$253,MATCH(F151,Components!$A$4:$A$253,0)),"")&lt;&gt;"",IFERROR(INDEX(Components!$G$4:$G$253,MATCH(F151,Components!$A$4:$A$253,0)),"")&lt;&gt;C151),"Component owned by another AIR-ID",IF(AND(M151="Confirmed",OR(IF(B151="UC",COUNTIFS('Use cases'!$A$4:$A$253,C151,'Use cases'!$I$4:$I$253,"Confirmed",'Use cases'!$J$4:$J$253,"OK — verify source"),IF(B151="CAP",COUNTIFS(Capabilities!$A$4:$A$253,C151,Capabilities!$J$4:$J$253,"Confirmed",Capabilities!$K$4:$K$253,"OK — verify source"),IF(B151="AIR",COUNTIFS('System map'!$A$4:$A$203,C151,'System map'!$B$4:$B$203,"&lt;&gt;",'System map'!$C$4:$C$203,"&lt;&gt;",'System map'!$D$4:$D$203,"&lt;&gt;"),COUNTIFS(Components!$A$4:$A$253,C151,Components!$B$4:$B$253,B151,Components!$K$4:$K$253,"Confirmed",Components!$L$4:$L$253,"OK — verify source"))))&lt;&gt;1,IF(E151="UC",COUNTIFS('Use cases'!$A$4:$A$253,F151,'Use cases'!$I$4:$I$253,"Confirmed",'Use cases'!$J$4:$J$253,"OK — verify source"),IF(E151="CAP",COUNTIFS(Capabilities!$A$4:$A$253,F151,Capabilities!$J$4:$J$253,"Confirmed",Capabilities!$K$4:$K$253,"OK — verify source"),IF(E151="AIR",COUNTIFS('System map'!$A$4:$A$203,F151,'System map'!$B$4:$B$203,"&lt;&gt;",'System map'!$C$4:$C$203,"&lt;&gt;",'System map'!$D$4:$D$203,"&lt;&gt;"),COUNTIFS(Components!$A$4:$A$253,F151,Components!$B$4:$B$253,E151,Components!$K$4:$K$253,"Confirmed",Components!$L$4:$L$253,"OK — verify source"))))&lt;&gt;1)),"Endpoint not source-reconciled",IF(AND(M151="Confirmed",OR(L151="",K151="",K151="Unknown",K151="Low")),"Confirmed link lacks verification","OK — verify source"))))))))))))))</f>
        <v/>
      </c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6" t="n"/>
      <c r="M152" s="25" t="n"/>
      <c r="N152" s="25">
        <f>IF(COUNTA(A152:M152)=0,"",IF(OR(A152="",B152="",C152="",D152="",E152="",F152="",I152="",J152="",K152="",M152=""),"Required link detail missing",IF(COUNTIF($A$4:$A$1003,A152)&gt;1,"Duplicate Map Edge ID",IF(NOT(OR(AND(B152="UC",E152="CAP",D152="requires"),AND(B152="CAP",E152="AIR",D152="provided by"),AND(B152="AIR",OR(E152="MOD",E152="DATA",E152="IF",E152="AG",E152="TOOL"),D152="references"),AND(B152="AIR",E152="AIR",D152="depends on"))),"Invalid relationship",IF(AND(M152&lt;&gt;"Superseded",COUNTIFS($B$4:$B$1003,B152,$C$4:$C$1003,C152,$D$4:$D$1003,D152,$E$4:$E$1003,E152,$F$4:$F$1003,F152,$G$4:$G$1003,G152,$M$4:$M$1003,"&lt;&gt;Superseded")&gt;1),"Duplicate relationship",IF(OR(IF(B152="UC",COUNTIF('Use cases'!$A$4:$A$253,C152),IF(B152="CAP",COUNTIF(Capabilities!$A$4:$A$253,C152),IF(B152="AIR",COUNTIF('System map'!$A$4:$A$203,C152),COUNTIFS(Components!$A$4:$A$253,C152,Components!$B$4:$B$253,B152))))&lt;&gt;1,IF(E152="UC",COUNTIF('Use cases'!$A$4:$A$253,F152),IF(E152="CAP",COUNTIF(Capabilities!$A$4:$A$253,F152),IF(E152="AIR",COUNTIF('System map'!$A$4:$A$203,F152),COUNTIFS(Components!$A$4:$A$253,F152,Components!$B$4:$B$253,E152))))&lt;&gt;1),"Endpoint missing or duplicated",IF(AND(NOT(AND(B152="UC",E152="CAP")),OR(G152="",COUNTIF('System map'!$A$4:$A$203,G152)&lt;&gt;1)),"AIR context missing / unknown",IF(AND(B152="CAP",E152="AIR",G152&lt;&gt;F152),"AIR context mismatch",IF(AND(B152="AIR",G152&lt;&gt;C152),"AIR context mismatch",IF(AND(B152="AIR",E152="AIR",C152=F152),"Self-dependency",IF(AND(B152="AIR",E152="AIR",M152&lt;&gt;"Superseded",COUNTIFS($B$4:$B$1003,"AIR",$C$4:$C$1003,F152,$E$4:$E$1003,"AIR",$F$4:$F$1003,C152,$M$4:$M$1003,"&lt;&gt;Superseded")&gt;0),"Dependency cycle (A↔B) — review",IF(AND(B152="AIR",OR(E152="MOD",E152="DATA",E152="IF",E152="AG",E152="TOOL"),IFERROR(INDEX(Components!$G$4:$G$253,MATCH(F152,Components!$A$4:$A$253,0)),"")&lt;&gt;"",IFERROR(INDEX(Components!$G$4:$G$253,MATCH(F152,Components!$A$4:$A$253,0)),"")&lt;&gt;C152),"Component owned by another AIR-ID",IF(AND(M152="Confirmed",OR(IF(B152="UC",COUNTIFS('Use cases'!$A$4:$A$253,C152,'Use cases'!$I$4:$I$253,"Confirmed",'Use cases'!$J$4:$J$253,"OK — verify source"),IF(B152="CAP",COUNTIFS(Capabilities!$A$4:$A$253,C152,Capabilities!$J$4:$J$253,"Confirmed",Capabilities!$K$4:$K$253,"OK — verify source"),IF(B152="AIR",COUNTIFS('System map'!$A$4:$A$203,C152,'System map'!$B$4:$B$203,"&lt;&gt;",'System map'!$C$4:$C$203,"&lt;&gt;",'System map'!$D$4:$D$203,"&lt;&gt;"),COUNTIFS(Components!$A$4:$A$253,C152,Components!$B$4:$B$253,B152,Components!$K$4:$K$253,"Confirmed",Components!$L$4:$L$253,"OK — verify source"))))&lt;&gt;1,IF(E152="UC",COUNTIFS('Use cases'!$A$4:$A$253,F152,'Use cases'!$I$4:$I$253,"Confirmed",'Use cases'!$J$4:$J$253,"OK — verify source"),IF(E152="CAP",COUNTIFS(Capabilities!$A$4:$A$253,F152,Capabilities!$J$4:$J$253,"Confirmed",Capabilities!$K$4:$K$253,"OK — verify source"),IF(E152="AIR",COUNTIFS('System map'!$A$4:$A$203,F152,'System map'!$B$4:$B$203,"&lt;&gt;",'System map'!$C$4:$C$203,"&lt;&gt;",'System map'!$D$4:$D$203,"&lt;&gt;"),COUNTIFS(Components!$A$4:$A$253,F152,Components!$B$4:$B$253,E152,Components!$K$4:$K$253,"Confirmed",Components!$L$4:$L$253,"OK — verify source"))))&lt;&gt;1)),"Endpoint not source-reconciled",IF(AND(M152="Confirmed",OR(L152="",K152="",K152="Unknown",K152="Low")),"Confirmed link lacks verification","OK — verify source"))))))))))))))</f>
        <v/>
      </c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8" t="n"/>
      <c r="M153" s="27" t="n"/>
      <c r="N153" s="27">
        <f>IF(COUNTA(A153:M153)=0,"",IF(OR(A153="",B153="",C153="",D153="",E153="",F153="",I153="",J153="",K153="",M153=""),"Required link detail missing",IF(COUNTIF($A$4:$A$1003,A153)&gt;1,"Duplicate Map Edge ID",IF(NOT(OR(AND(B153="UC",E153="CAP",D153="requires"),AND(B153="CAP",E153="AIR",D153="provided by"),AND(B153="AIR",OR(E153="MOD",E153="DATA",E153="IF",E153="AG",E153="TOOL"),D153="references"),AND(B153="AIR",E153="AIR",D153="depends on"))),"Invalid relationship",IF(AND(M153&lt;&gt;"Superseded",COUNTIFS($B$4:$B$1003,B153,$C$4:$C$1003,C153,$D$4:$D$1003,D153,$E$4:$E$1003,E153,$F$4:$F$1003,F153,$G$4:$G$1003,G153,$M$4:$M$1003,"&lt;&gt;Superseded")&gt;1),"Duplicate relationship",IF(OR(IF(B153="UC",COUNTIF('Use cases'!$A$4:$A$253,C153),IF(B153="CAP",COUNTIF(Capabilities!$A$4:$A$253,C153),IF(B153="AIR",COUNTIF('System map'!$A$4:$A$203,C153),COUNTIFS(Components!$A$4:$A$253,C153,Components!$B$4:$B$253,B153))))&lt;&gt;1,IF(E153="UC",COUNTIF('Use cases'!$A$4:$A$253,F153),IF(E153="CAP",COUNTIF(Capabilities!$A$4:$A$253,F153),IF(E153="AIR",COUNTIF('System map'!$A$4:$A$203,F153),COUNTIFS(Components!$A$4:$A$253,F153,Components!$B$4:$B$253,E153))))&lt;&gt;1),"Endpoint missing or duplicated",IF(AND(NOT(AND(B153="UC",E153="CAP")),OR(G153="",COUNTIF('System map'!$A$4:$A$203,G153)&lt;&gt;1)),"AIR context missing / unknown",IF(AND(B153="CAP",E153="AIR",G153&lt;&gt;F153),"AIR context mismatch",IF(AND(B153="AIR",G153&lt;&gt;C153),"AIR context mismatch",IF(AND(B153="AIR",E153="AIR",C153=F153),"Self-dependency",IF(AND(B153="AIR",E153="AIR",M153&lt;&gt;"Superseded",COUNTIFS($B$4:$B$1003,"AIR",$C$4:$C$1003,F153,$E$4:$E$1003,"AIR",$F$4:$F$1003,C153,$M$4:$M$1003,"&lt;&gt;Superseded")&gt;0),"Dependency cycle (A↔B) — review",IF(AND(B153="AIR",OR(E153="MOD",E153="DATA",E153="IF",E153="AG",E153="TOOL"),IFERROR(INDEX(Components!$G$4:$G$253,MATCH(F153,Components!$A$4:$A$253,0)),"")&lt;&gt;"",IFERROR(INDEX(Components!$G$4:$G$253,MATCH(F153,Components!$A$4:$A$253,0)),"")&lt;&gt;C153),"Component owned by another AIR-ID",IF(AND(M153="Confirmed",OR(IF(B153="UC",COUNTIFS('Use cases'!$A$4:$A$253,C153,'Use cases'!$I$4:$I$253,"Confirmed",'Use cases'!$J$4:$J$253,"OK — verify source"),IF(B153="CAP",COUNTIFS(Capabilities!$A$4:$A$253,C153,Capabilities!$J$4:$J$253,"Confirmed",Capabilities!$K$4:$K$253,"OK — verify source"),IF(B153="AIR",COUNTIFS('System map'!$A$4:$A$203,C153,'System map'!$B$4:$B$203,"&lt;&gt;",'System map'!$C$4:$C$203,"&lt;&gt;",'System map'!$D$4:$D$203,"&lt;&gt;"),COUNTIFS(Components!$A$4:$A$253,C153,Components!$B$4:$B$253,B153,Components!$K$4:$K$253,"Confirmed",Components!$L$4:$L$253,"OK — verify source"))))&lt;&gt;1,IF(E153="UC",COUNTIFS('Use cases'!$A$4:$A$253,F153,'Use cases'!$I$4:$I$253,"Confirmed",'Use cases'!$J$4:$J$253,"OK — verify source"),IF(E153="CAP",COUNTIFS(Capabilities!$A$4:$A$253,F153,Capabilities!$J$4:$J$253,"Confirmed",Capabilities!$K$4:$K$253,"OK — verify source"),IF(E153="AIR",COUNTIFS('System map'!$A$4:$A$203,F153,'System map'!$B$4:$B$203,"&lt;&gt;",'System map'!$C$4:$C$203,"&lt;&gt;",'System map'!$D$4:$D$203,"&lt;&gt;"),COUNTIFS(Components!$A$4:$A$253,F153,Components!$B$4:$B$253,E153,Components!$K$4:$K$253,"Confirmed",Components!$L$4:$L$253,"OK — verify source"))))&lt;&gt;1)),"Endpoint not source-reconciled",IF(AND(M153="Confirmed",OR(L153="",K153="",K153="Unknown",K153="Low")),"Confirmed link lacks verification","OK — verify source"))))))))))))))</f>
        <v/>
      </c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6" t="n"/>
      <c r="M154" s="25" t="n"/>
      <c r="N154" s="25">
        <f>IF(COUNTA(A154:M154)=0,"",IF(OR(A154="",B154="",C154="",D154="",E154="",F154="",I154="",J154="",K154="",M154=""),"Required link detail missing",IF(COUNTIF($A$4:$A$1003,A154)&gt;1,"Duplicate Map Edge ID",IF(NOT(OR(AND(B154="UC",E154="CAP",D154="requires"),AND(B154="CAP",E154="AIR",D154="provided by"),AND(B154="AIR",OR(E154="MOD",E154="DATA",E154="IF",E154="AG",E154="TOOL"),D154="references"),AND(B154="AIR",E154="AIR",D154="depends on"))),"Invalid relationship",IF(AND(M154&lt;&gt;"Superseded",COUNTIFS($B$4:$B$1003,B154,$C$4:$C$1003,C154,$D$4:$D$1003,D154,$E$4:$E$1003,E154,$F$4:$F$1003,F154,$G$4:$G$1003,G154,$M$4:$M$1003,"&lt;&gt;Superseded")&gt;1),"Duplicate relationship",IF(OR(IF(B154="UC",COUNTIF('Use cases'!$A$4:$A$253,C154),IF(B154="CAP",COUNTIF(Capabilities!$A$4:$A$253,C154),IF(B154="AIR",COUNTIF('System map'!$A$4:$A$203,C154),COUNTIFS(Components!$A$4:$A$253,C154,Components!$B$4:$B$253,B154))))&lt;&gt;1,IF(E154="UC",COUNTIF('Use cases'!$A$4:$A$253,F154),IF(E154="CAP",COUNTIF(Capabilities!$A$4:$A$253,F154),IF(E154="AIR",COUNTIF('System map'!$A$4:$A$203,F154),COUNTIFS(Components!$A$4:$A$253,F154,Components!$B$4:$B$253,E154))))&lt;&gt;1),"Endpoint missing or duplicated",IF(AND(NOT(AND(B154="UC",E154="CAP")),OR(G154="",COUNTIF('System map'!$A$4:$A$203,G154)&lt;&gt;1)),"AIR context missing / unknown",IF(AND(B154="CAP",E154="AIR",G154&lt;&gt;F154),"AIR context mismatch",IF(AND(B154="AIR",G154&lt;&gt;C154),"AIR context mismatch",IF(AND(B154="AIR",E154="AIR",C154=F154),"Self-dependency",IF(AND(B154="AIR",E154="AIR",M154&lt;&gt;"Superseded",COUNTIFS($B$4:$B$1003,"AIR",$C$4:$C$1003,F154,$E$4:$E$1003,"AIR",$F$4:$F$1003,C154,$M$4:$M$1003,"&lt;&gt;Superseded")&gt;0),"Dependency cycle (A↔B) — review",IF(AND(B154="AIR",OR(E154="MOD",E154="DATA",E154="IF",E154="AG",E154="TOOL"),IFERROR(INDEX(Components!$G$4:$G$253,MATCH(F154,Components!$A$4:$A$253,0)),"")&lt;&gt;"",IFERROR(INDEX(Components!$G$4:$G$253,MATCH(F154,Components!$A$4:$A$253,0)),"")&lt;&gt;C154),"Component owned by another AIR-ID",IF(AND(M154="Confirmed",OR(IF(B154="UC",COUNTIFS('Use cases'!$A$4:$A$253,C154,'Use cases'!$I$4:$I$253,"Confirmed",'Use cases'!$J$4:$J$253,"OK — verify source"),IF(B154="CAP",COUNTIFS(Capabilities!$A$4:$A$253,C154,Capabilities!$J$4:$J$253,"Confirmed",Capabilities!$K$4:$K$253,"OK — verify source"),IF(B154="AIR",COUNTIFS('System map'!$A$4:$A$203,C154,'System map'!$B$4:$B$203,"&lt;&gt;",'System map'!$C$4:$C$203,"&lt;&gt;",'System map'!$D$4:$D$203,"&lt;&gt;"),COUNTIFS(Components!$A$4:$A$253,C154,Components!$B$4:$B$253,B154,Components!$K$4:$K$253,"Confirmed",Components!$L$4:$L$253,"OK — verify source"))))&lt;&gt;1,IF(E154="UC",COUNTIFS('Use cases'!$A$4:$A$253,F154,'Use cases'!$I$4:$I$253,"Confirmed",'Use cases'!$J$4:$J$253,"OK — verify source"),IF(E154="CAP",COUNTIFS(Capabilities!$A$4:$A$253,F154,Capabilities!$J$4:$J$253,"Confirmed",Capabilities!$K$4:$K$253,"OK — verify source"),IF(E154="AIR",COUNTIFS('System map'!$A$4:$A$203,F154,'System map'!$B$4:$B$203,"&lt;&gt;",'System map'!$C$4:$C$203,"&lt;&gt;",'System map'!$D$4:$D$203,"&lt;&gt;"),COUNTIFS(Components!$A$4:$A$253,F154,Components!$B$4:$B$253,E154,Components!$K$4:$K$253,"Confirmed",Components!$L$4:$L$253,"OK — verify source"))))&lt;&gt;1)),"Endpoint not source-reconciled",IF(AND(M154="Confirmed",OR(L154="",K154="",K154="Unknown",K154="Low")),"Confirmed link lacks verification","OK — verify source"))))))))))))))</f>
        <v/>
      </c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8" t="n"/>
      <c r="M155" s="27" t="n"/>
      <c r="N155" s="27">
        <f>IF(COUNTA(A155:M155)=0,"",IF(OR(A155="",B155="",C155="",D155="",E155="",F155="",I155="",J155="",K155="",M155=""),"Required link detail missing",IF(COUNTIF($A$4:$A$1003,A155)&gt;1,"Duplicate Map Edge ID",IF(NOT(OR(AND(B155="UC",E155="CAP",D155="requires"),AND(B155="CAP",E155="AIR",D155="provided by"),AND(B155="AIR",OR(E155="MOD",E155="DATA",E155="IF",E155="AG",E155="TOOL"),D155="references"),AND(B155="AIR",E155="AIR",D155="depends on"))),"Invalid relationship",IF(AND(M155&lt;&gt;"Superseded",COUNTIFS($B$4:$B$1003,B155,$C$4:$C$1003,C155,$D$4:$D$1003,D155,$E$4:$E$1003,E155,$F$4:$F$1003,F155,$G$4:$G$1003,G155,$M$4:$M$1003,"&lt;&gt;Superseded")&gt;1),"Duplicate relationship",IF(OR(IF(B155="UC",COUNTIF('Use cases'!$A$4:$A$253,C155),IF(B155="CAP",COUNTIF(Capabilities!$A$4:$A$253,C155),IF(B155="AIR",COUNTIF('System map'!$A$4:$A$203,C155),COUNTIFS(Components!$A$4:$A$253,C155,Components!$B$4:$B$253,B155))))&lt;&gt;1,IF(E155="UC",COUNTIF('Use cases'!$A$4:$A$253,F155),IF(E155="CAP",COUNTIF(Capabilities!$A$4:$A$253,F155),IF(E155="AIR",COUNTIF('System map'!$A$4:$A$203,F155),COUNTIFS(Components!$A$4:$A$253,F155,Components!$B$4:$B$253,E155))))&lt;&gt;1),"Endpoint missing or duplicated",IF(AND(NOT(AND(B155="UC",E155="CAP")),OR(G155="",COUNTIF('System map'!$A$4:$A$203,G155)&lt;&gt;1)),"AIR context missing / unknown",IF(AND(B155="CAP",E155="AIR",G155&lt;&gt;F155),"AIR context mismatch",IF(AND(B155="AIR",G155&lt;&gt;C155),"AIR context mismatch",IF(AND(B155="AIR",E155="AIR",C155=F155),"Self-dependency",IF(AND(B155="AIR",E155="AIR",M155&lt;&gt;"Superseded",COUNTIFS($B$4:$B$1003,"AIR",$C$4:$C$1003,F155,$E$4:$E$1003,"AIR",$F$4:$F$1003,C155,$M$4:$M$1003,"&lt;&gt;Superseded")&gt;0),"Dependency cycle (A↔B) — review",IF(AND(B155="AIR",OR(E155="MOD",E155="DATA",E155="IF",E155="AG",E155="TOOL"),IFERROR(INDEX(Components!$G$4:$G$253,MATCH(F155,Components!$A$4:$A$253,0)),"")&lt;&gt;"",IFERROR(INDEX(Components!$G$4:$G$253,MATCH(F155,Components!$A$4:$A$253,0)),"")&lt;&gt;C155),"Component owned by another AIR-ID",IF(AND(M155="Confirmed",OR(IF(B155="UC",COUNTIFS('Use cases'!$A$4:$A$253,C155,'Use cases'!$I$4:$I$253,"Confirmed",'Use cases'!$J$4:$J$253,"OK — verify source"),IF(B155="CAP",COUNTIFS(Capabilities!$A$4:$A$253,C155,Capabilities!$J$4:$J$253,"Confirmed",Capabilities!$K$4:$K$253,"OK — verify source"),IF(B155="AIR",COUNTIFS('System map'!$A$4:$A$203,C155,'System map'!$B$4:$B$203,"&lt;&gt;",'System map'!$C$4:$C$203,"&lt;&gt;",'System map'!$D$4:$D$203,"&lt;&gt;"),COUNTIFS(Components!$A$4:$A$253,C155,Components!$B$4:$B$253,B155,Components!$K$4:$K$253,"Confirmed",Components!$L$4:$L$253,"OK — verify source"))))&lt;&gt;1,IF(E155="UC",COUNTIFS('Use cases'!$A$4:$A$253,F155,'Use cases'!$I$4:$I$253,"Confirmed",'Use cases'!$J$4:$J$253,"OK — verify source"),IF(E155="CAP",COUNTIFS(Capabilities!$A$4:$A$253,F155,Capabilities!$J$4:$J$253,"Confirmed",Capabilities!$K$4:$K$253,"OK — verify source"),IF(E155="AIR",COUNTIFS('System map'!$A$4:$A$203,F155,'System map'!$B$4:$B$203,"&lt;&gt;",'System map'!$C$4:$C$203,"&lt;&gt;",'System map'!$D$4:$D$203,"&lt;&gt;"),COUNTIFS(Components!$A$4:$A$253,F155,Components!$B$4:$B$253,E155,Components!$K$4:$K$253,"Confirmed",Components!$L$4:$L$253,"OK — verify source"))))&lt;&gt;1)),"Endpoint not source-reconciled",IF(AND(M155="Confirmed",OR(L155="",K155="",K155="Unknown",K155="Low")),"Confirmed link lacks verification","OK — verify source"))))))))))))))</f>
        <v/>
      </c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6" t="n"/>
      <c r="M156" s="25" t="n"/>
      <c r="N156" s="25">
        <f>IF(COUNTA(A156:M156)=0,"",IF(OR(A156="",B156="",C156="",D156="",E156="",F156="",I156="",J156="",K156="",M156=""),"Required link detail missing",IF(COUNTIF($A$4:$A$1003,A156)&gt;1,"Duplicate Map Edge ID",IF(NOT(OR(AND(B156="UC",E156="CAP",D156="requires"),AND(B156="CAP",E156="AIR",D156="provided by"),AND(B156="AIR",OR(E156="MOD",E156="DATA",E156="IF",E156="AG",E156="TOOL"),D156="references"),AND(B156="AIR",E156="AIR",D156="depends on"))),"Invalid relationship",IF(AND(M156&lt;&gt;"Superseded",COUNTIFS($B$4:$B$1003,B156,$C$4:$C$1003,C156,$D$4:$D$1003,D156,$E$4:$E$1003,E156,$F$4:$F$1003,F156,$G$4:$G$1003,G156,$M$4:$M$1003,"&lt;&gt;Superseded")&gt;1),"Duplicate relationship",IF(OR(IF(B156="UC",COUNTIF('Use cases'!$A$4:$A$253,C156),IF(B156="CAP",COUNTIF(Capabilities!$A$4:$A$253,C156),IF(B156="AIR",COUNTIF('System map'!$A$4:$A$203,C156),COUNTIFS(Components!$A$4:$A$253,C156,Components!$B$4:$B$253,B156))))&lt;&gt;1,IF(E156="UC",COUNTIF('Use cases'!$A$4:$A$253,F156),IF(E156="CAP",COUNTIF(Capabilities!$A$4:$A$253,F156),IF(E156="AIR",COUNTIF('System map'!$A$4:$A$203,F156),COUNTIFS(Components!$A$4:$A$253,F156,Components!$B$4:$B$253,E156))))&lt;&gt;1),"Endpoint missing or duplicated",IF(AND(NOT(AND(B156="UC",E156="CAP")),OR(G156="",COUNTIF('System map'!$A$4:$A$203,G156)&lt;&gt;1)),"AIR context missing / unknown",IF(AND(B156="CAP",E156="AIR",G156&lt;&gt;F156),"AIR context mismatch",IF(AND(B156="AIR",G156&lt;&gt;C156),"AIR context mismatch",IF(AND(B156="AIR",E156="AIR",C156=F156),"Self-dependency",IF(AND(B156="AIR",E156="AIR",M156&lt;&gt;"Superseded",COUNTIFS($B$4:$B$1003,"AIR",$C$4:$C$1003,F156,$E$4:$E$1003,"AIR",$F$4:$F$1003,C156,$M$4:$M$1003,"&lt;&gt;Superseded")&gt;0),"Dependency cycle (A↔B) — review",IF(AND(B156="AIR",OR(E156="MOD",E156="DATA",E156="IF",E156="AG",E156="TOOL"),IFERROR(INDEX(Components!$G$4:$G$253,MATCH(F156,Components!$A$4:$A$253,0)),"")&lt;&gt;"",IFERROR(INDEX(Components!$G$4:$G$253,MATCH(F156,Components!$A$4:$A$253,0)),"")&lt;&gt;C156),"Component owned by another AIR-ID",IF(AND(M156="Confirmed",OR(IF(B156="UC",COUNTIFS('Use cases'!$A$4:$A$253,C156,'Use cases'!$I$4:$I$253,"Confirmed",'Use cases'!$J$4:$J$253,"OK — verify source"),IF(B156="CAP",COUNTIFS(Capabilities!$A$4:$A$253,C156,Capabilities!$J$4:$J$253,"Confirmed",Capabilities!$K$4:$K$253,"OK — verify source"),IF(B156="AIR",COUNTIFS('System map'!$A$4:$A$203,C156,'System map'!$B$4:$B$203,"&lt;&gt;",'System map'!$C$4:$C$203,"&lt;&gt;",'System map'!$D$4:$D$203,"&lt;&gt;"),COUNTIFS(Components!$A$4:$A$253,C156,Components!$B$4:$B$253,B156,Components!$K$4:$K$253,"Confirmed",Components!$L$4:$L$253,"OK — verify source"))))&lt;&gt;1,IF(E156="UC",COUNTIFS('Use cases'!$A$4:$A$253,F156,'Use cases'!$I$4:$I$253,"Confirmed",'Use cases'!$J$4:$J$253,"OK — verify source"),IF(E156="CAP",COUNTIFS(Capabilities!$A$4:$A$253,F156,Capabilities!$J$4:$J$253,"Confirmed",Capabilities!$K$4:$K$253,"OK — verify source"),IF(E156="AIR",COUNTIFS('System map'!$A$4:$A$203,F156,'System map'!$B$4:$B$203,"&lt;&gt;",'System map'!$C$4:$C$203,"&lt;&gt;",'System map'!$D$4:$D$203,"&lt;&gt;"),COUNTIFS(Components!$A$4:$A$253,F156,Components!$B$4:$B$253,E156,Components!$K$4:$K$253,"Confirmed",Components!$L$4:$L$253,"OK — verify source"))))&lt;&gt;1)),"Endpoint not source-reconciled",IF(AND(M156="Confirmed",OR(L156="",K156="",K156="Unknown",K156="Low")),"Confirmed link lacks verification","OK — verify source"))))))))))))))</f>
        <v/>
      </c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8" t="n"/>
      <c r="M157" s="27" t="n"/>
      <c r="N157" s="27">
        <f>IF(COUNTA(A157:M157)=0,"",IF(OR(A157="",B157="",C157="",D157="",E157="",F157="",I157="",J157="",K157="",M157=""),"Required link detail missing",IF(COUNTIF($A$4:$A$1003,A157)&gt;1,"Duplicate Map Edge ID",IF(NOT(OR(AND(B157="UC",E157="CAP",D157="requires"),AND(B157="CAP",E157="AIR",D157="provided by"),AND(B157="AIR",OR(E157="MOD",E157="DATA",E157="IF",E157="AG",E157="TOOL"),D157="references"),AND(B157="AIR",E157="AIR",D157="depends on"))),"Invalid relationship",IF(AND(M157&lt;&gt;"Superseded",COUNTIFS($B$4:$B$1003,B157,$C$4:$C$1003,C157,$D$4:$D$1003,D157,$E$4:$E$1003,E157,$F$4:$F$1003,F157,$G$4:$G$1003,G157,$M$4:$M$1003,"&lt;&gt;Superseded")&gt;1),"Duplicate relationship",IF(OR(IF(B157="UC",COUNTIF('Use cases'!$A$4:$A$253,C157),IF(B157="CAP",COUNTIF(Capabilities!$A$4:$A$253,C157),IF(B157="AIR",COUNTIF('System map'!$A$4:$A$203,C157),COUNTIFS(Components!$A$4:$A$253,C157,Components!$B$4:$B$253,B157))))&lt;&gt;1,IF(E157="UC",COUNTIF('Use cases'!$A$4:$A$253,F157),IF(E157="CAP",COUNTIF(Capabilities!$A$4:$A$253,F157),IF(E157="AIR",COUNTIF('System map'!$A$4:$A$203,F157),COUNTIFS(Components!$A$4:$A$253,F157,Components!$B$4:$B$253,E157))))&lt;&gt;1),"Endpoint missing or duplicated",IF(AND(NOT(AND(B157="UC",E157="CAP")),OR(G157="",COUNTIF('System map'!$A$4:$A$203,G157)&lt;&gt;1)),"AIR context missing / unknown",IF(AND(B157="CAP",E157="AIR",G157&lt;&gt;F157),"AIR context mismatch",IF(AND(B157="AIR",G157&lt;&gt;C157),"AIR context mismatch",IF(AND(B157="AIR",E157="AIR",C157=F157),"Self-dependency",IF(AND(B157="AIR",E157="AIR",M157&lt;&gt;"Superseded",COUNTIFS($B$4:$B$1003,"AIR",$C$4:$C$1003,F157,$E$4:$E$1003,"AIR",$F$4:$F$1003,C157,$M$4:$M$1003,"&lt;&gt;Superseded")&gt;0),"Dependency cycle (A↔B) — review",IF(AND(B157="AIR",OR(E157="MOD",E157="DATA",E157="IF",E157="AG",E157="TOOL"),IFERROR(INDEX(Components!$G$4:$G$253,MATCH(F157,Components!$A$4:$A$253,0)),"")&lt;&gt;"",IFERROR(INDEX(Components!$G$4:$G$253,MATCH(F157,Components!$A$4:$A$253,0)),"")&lt;&gt;C157),"Component owned by another AIR-ID",IF(AND(M157="Confirmed",OR(IF(B157="UC",COUNTIFS('Use cases'!$A$4:$A$253,C157,'Use cases'!$I$4:$I$253,"Confirmed",'Use cases'!$J$4:$J$253,"OK — verify source"),IF(B157="CAP",COUNTIFS(Capabilities!$A$4:$A$253,C157,Capabilities!$J$4:$J$253,"Confirmed",Capabilities!$K$4:$K$253,"OK — verify source"),IF(B157="AIR",COUNTIFS('System map'!$A$4:$A$203,C157,'System map'!$B$4:$B$203,"&lt;&gt;",'System map'!$C$4:$C$203,"&lt;&gt;",'System map'!$D$4:$D$203,"&lt;&gt;"),COUNTIFS(Components!$A$4:$A$253,C157,Components!$B$4:$B$253,B157,Components!$K$4:$K$253,"Confirmed",Components!$L$4:$L$253,"OK — verify source"))))&lt;&gt;1,IF(E157="UC",COUNTIFS('Use cases'!$A$4:$A$253,F157,'Use cases'!$I$4:$I$253,"Confirmed",'Use cases'!$J$4:$J$253,"OK — verify source"),IF(E157="CAP",COUNTIFS(Capabilities!$A$4:$A$253,F157,Capabilities!$J$4:$J$253,"Confirmed",Capabilities!$K$4:$K$253,"OK — verify source"),IF(E157="AIR",COUNTIFS('System map'!$A$4:$A$203,F157,'System map'!$B$4:$B$203,"&lt;&gt;",'System map'!$C$4:$C$203,"&lt;&gt;",'System map'!$D$4:$D$203,"&lt;&gt;"),COUNTIFS(Components!$A$4:$A$253,F157,Components!$B$4:$B$253,E157,Components!$K$4:$K$253,"Confirmed",Components!$L$4:$L$253,"OK — verify source"))))&lt;&gt;1)),"Endpoint not source-reconciled",IF(AND(M157="Confirmed",OR(L157="",K157="",K157="Unknown",K157="Low")),"Confirmed link lacks verification","OK — verify source"))))))))))))))</f>
        <v/>
      </c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6" t="n"/>
      <c r="M158" s="25" t="n"/>
      <c r="N158" s="25">
        <f>IF(COUNTA(A158:M158)=0,"",IF(OR(A158="",B158="",C158="",D158="",E158="",F158="",I158="",J158="",K158="",M158=""),"Required link detail missing",IF(COUNTIF($A$4:$A$1003,A158)&gt;1,"Duplicate Map Edge ID",IF(NOT(OR(AND(B158="UC",E158="CAP",D158="requires"),AND(B158="CAP",E158="AIR",D158="provided by"),AND(B158="AIR",OR(E158="MOD",E158="DATA",E158="IF",E158="AG",E158="TOOL"),D158="references"),AND(B158="AIR",E158="AIR",D158="depends on"))),"Invalid relationship",IF(AND(M158&lt;&gt;"Superseded",COUNTIFS($B$4:$B$1003,B158,$C$4:$C$1003,C158,$D$4:$D$1003,D158,$E$4:$E$1003,E158,$F$4:$F$1003,F158,$G$4:$G$1003,G158,$M$4:$M$1003,"&lt;&gt;Superseded")&gt;1),"Duplicate relationship",IF(OR(IF(B158="UC",COUNTIF('Use cases'!$A$4:$A$253,C158),IF(B158="CAP",COUNTIF(Capabilities!$A$4:$A$253,C158),IF(B158="AIR",COUNTIF('System map'!$A$4:$A$203,C158),COUNTIFS(Components!$A$4:$A$253,C158,Components!$B$4:$B$253,B158))))&lt;&gt;1,IF(E158="UC",COUNTIF('Use cases'!$A$4:$A$253,F158),IF(E158="CAP",COUNTIF(Capabilities!$A$4:$A$253,F158),IF(E158="AIR",COUNTIF('System map'!$A$4:$A$203,F158),COUNTIFS(Components!$A$4:$A$253,F158,Components!$B$4:$B$253,E158))))&lt;&gt;1),"Endpoint missing or duplicated",IF(AND(NOT(AND(B158="UC",E158="CAP")),OR(G158="",COUNTIF('System map'!$A$4:$A$203,G158)&lt;&gt;1)),"AIR context missing / unknown",IF(AND(B158="CAP",E158="AIR",G158&lt;&gt;F158),"AIR context mismatch",IF(AND(B158="AIR",G158&lt;&gt;C158),"AIR context mismatch",IF(AND(B158="AIR",E158="AIR",C158=F158),"Self-dependency",IF(AND(B158="AIR",E158="AIR",M158&lt;&gt;"Superseded",COUNTIFS($B$4:$B$1003,"AIR",$C$4:$C$1003,F158,$E$4:$E$1003,"AIR",$F$4:$F$1003,C158,$M$4:$M$1003,"&lt;&gt;Superseded")&gt;0),"Dependency cycle (A↔B) — review",IF(AND(B158="AIR",OR(E158="MOD",E158="DATA",E158="IF",E158="AG",E158="TOOL"),IFERROR(INDEX(Components!$G$4:$G$253,MATCH(F158,Components!$A$4:$A$253,0)),"")&lt;&gt;"",IFERROR(INDEX(Components!$G$4:$G$253,MATCH(F158,Components!$A$4:$A$253,0)),"")&lt;&gt;C158),"Component owned by another AIR-ID",IF(AND(M158="Confirmed",OR(IF(B158="UC",COUNTIFS('Use cases'!$A$4:$A$253,C158,'Use cases'!$I$4:$I$253,"Confirmed",'Use cases'!$J$4:$J$253,"OK — verify source"),IF(B158="CAP",COUNTIFS(Capabilities!$A$4:$A$253,C158,Capabilities!$J$4:$J$253,"Confirmed",Capabilities!$K$4:$K$253,"OK — verify source"),IF(B158="AIR",COUNTIFS('System map'!$A$4:$A$203,C158,'System map'!$B$4:$B$203,"&lt;&gt;",'System map'!$C$4:$C$203,"&lt;&gt;",'System map'!$D$4:$D$203,"&lt;&gt;"),COUNTIFS(Components!$A$4:$A$253,C158,Components!$B$4:$B$253,B158,Components!$K$4:$K$253,"Confirmed",Components!$L$4:$L$253,"OK — verify source"))))&lt;&gt;1,IF(E158="UC",COUNTIFS('Use cases'!$A$4:$A$253,F158,'Use cases'!$I$4:$I$253,"Confirmed",'Use cases'!$J$4:$J$253,"OK — verify source"),IF(E158="CAP",COUNTIFS(Capabilities!$A$4:$A$253,F158,Capabilities!$J$4:$J$253,"Confirmed",Capabilities!$K$4:$K$253,"OK — verify source"),IF(E158="AIR",COUNTIFS('System map'!$A$4:$A$203,F158,'System map'!$B$4:$B$203,"&lt;&gt;",'System map'!$C$4:$C$203,"&lt;&gt;",'System map'!$D$4:$D$203,"&lt;&gt;"),COUNTIFS(Components!$A$4:$A$253,F158,Components!$B$4:$B$253,E158,Components!$K$4:$K$253,"Confirmed",Components!$L$4:$L$253,"OK — verify source"))))&lt;&gt;1)),"Endpoint not source-reconciled",IF(AND(M158="Confirmed",OR(L158="",K158="",K158="Unknown",K158="Low")),"Confirmed link lacks verification","OK — verify source"))))))))))))))</f>
        <v/>
      </c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8" t="n"/>
      <c r="M159" s="27" t="n"/>
      <c r="N159" s="27">
        <f>IF(COUNTA(A159:M159)=0,"",IF(OR(A159="",B159="",C159="",D159="",E159="",F159="",I159="",J159="",K159="",M159=""),"Required link detail missing",IF(COUNTIF($A$4:$A$1003,A159)&gt;1,"Duplicate Map Edge ID",IF(NOT(OR(AND(B159="UC",E159="CAP",D159="requires"),AND(B159="CAP",E159="AIR",D159="provided by"),AND(B159="AIR",OR(E159="MOD",E159="DATA",E159="IF",E159="AG",E159="TOOL"),D159="references"),AND(B159="AIR",E159="AIR",D159="depends on"))),"Invalid relationship",IF(AND(M159&lt;&gt;"Superseded",COUNTIFS($B$4:$B$1003,B159,$C$4:$C$1003,C159,$D$4:$D$1003,D159,$E$4:$E$1003,E159,$F$4:$F$1003,F159,$G$4:$G$1003,G159,$M$4:$M$1003,"&lt;&gt;Superseded")&gt;1),"Duplicate relationship",IF(OR(IF(B159="UC",COUNTIF('Use cases'!$A$4:$A$253,C159),IF(B159="CAP",COUNTIF(Capabilities!$A$4:$A$253,C159),IF(B159="AIR",COUNTIF('System map'!$A$4:$A$203,C159),COUNTIFS(Components!$A$4:$A$253,C159,Components!$B$4:$B$253,B159))))&lt;&gt;1,IF(E159="UC",COUNTIF('Use cases'!$A$4:$A$253,F159),IF(E159="CAP",COUNTIF(Capabilities!$A$4:$A$253,F159),IF(E159="AIR",COUNTIF('System map'!$A$4:$A$203,F159),COUNTIFS(Components!$A$4:$A$253,F159,Components!$B$4:$B$253,E159))))&lt;&gt;1),"Endpoint missing or duplicated",IF(AND(NOT(AND(B159="UC",E159="CAP")),OR(G159="",COUNTIF('System map'!$A$4:$A$203,G159)&lt;&gt;1)),"AIR context missing / unknown",IF(AND(B159="CAP",E159="AIR",G159&lt;&gt;F159),"AIR context mismatch",IF(AND(B159="AIR",G159&lt;&gt;C159),"AIR context mismatch",IF(AND(B159="AIR",E159="AIR",C159=F159),"Self-dependency",IF(AND(B159="AIR",E159="AIR",M159&lt;&gt;"Superseded",COUNTIFS($B$4:$B$1003,"AIR",$C$4:$C$1003,F159,$E$4:$E$1003,"AIR",$F$4:$F$1003,C159,$M$4:$M$1003,"&lt;&gt;Superseded")&gt;0),"Dependency cycle (A↔B) — review",IF(AND(B159="AIR",OR(E159="MOD",E159="DATA",E159="IF",E159="AG",E159="TOOL"),IFERROR(INDEX(Components!$G$4:$G$253,MATCH(F159,Components!$A$4:$A$253,0)),"")&lt;&gt;"",IFERROR(INDEX(Components!$G$4:$G$253,MATCH(F159,Components!$A$4:$A$253,0)),"")&lt;&gt;C159),"Component owned by another AIR-ID",IF(AND(M159="Confirmed",OR(IF(B159="UC",COUNTIFS('Use cases'!$A$4:$A$253,C159,'Use cases'!$I$4:$I$253,"Confirmed",'Use cases'!$J$4:$J$253,"OK — verify source"),IF(B159="CAP",COUNTIFS(Capabilities!$A$4:$A$253,C159,Capabilities!$J$4:$J$253,"Confirmed",Capabilities!$K$4:$K$253,"OK — verify source"),IF(B159="AIR",COUNTIFS('System map'!$A$4:$A$203,C159,'System map'!$B$4:$B$203,"&lt;&gt;",'System map'!$C$4:$C$203,"&lt;&gt;",'System map'!$D$4:$D$203,"&lt;&gt;"),COUNTIFS(Components!$A$4:$A$253,C159,Components!$B$4:$B$253,B159,Components!$K$4:$K$253,"Confirmed",Components!$L$4:$L$253,"OK — verify source"))))&lt;&gt;1,IF(E159="UC",COUNTIFS('Use cases'!$A$4:$A$253,F159,'Use cases'!$I$4:$I$253,"Confirmed",'Use cases'!$J$4:$J$253,"OK — verify source"),IF(E159="CAP",COUNTIFS(Capabilities!$A$4:$A$253,F159,Capabilities!$J$4:$J$253,"Confirmed",Capabilities!$K$4:$K$253,"OK — verify source"),IF(E159="AIR",COUNTIFS('System map'!$A$4:$A$203,F159,'System map'!$B$4:$B$203,"&lt;&gt;",'System map'!$C$4:$C$203,"&lt;&gt;",'System map'!$D$4:$D$203,"&lt;&gt;"),COUNTIFS(Components!$A$4:$A$253,F159,Components!$B$4:$B$253,E159,Components!$K$4:$K$253,"Confirmed",Components!$L$4:$L$253,"OK — verify source"))))&lt;&gt;1)),"Endpoint not source-reconciled",IF(AND(M159="Confirmed",OR(L159="",K159="",K159="Unknown",K159="Low")),"Confirmed link lacks verification","OK — verify source"))))))))))))))</f>
        <v/>
      </c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6" t="n"/>
      <c r="M160" s="25" t="n"/>
      <c r="N160" s="25">
        <f>IF(COUNTA(A160:M160)=0,"",IF(OR(A160="",B160="",C160="",D160="",E160="",F160="",I160="",J160="",K160="",M160=""),"Required link detail missing",IF(COUNTIF($A$4:$A$1003,A160)&gt;1,"Duplicate Map Edge ID",IF(NOT(OR(AND(B160="UC",E160="CAP",D160="requires"),AND(B160="CAP",E160="AIR",D160="provided by"),AND(B160="AIR",OR(E160="MOD",E160="DATA",E160="IF",E160="AG",E160="TOOL"),D160="references"),AND(B160="AIR",E160="AIR",D160="depends on"))),"Invalid relationship",IF(AND(M160&lt;&gt;"Superseded",COUNTIFS($B$4:$B$1003,B160,$C$4:$C$1003,C160,$D$4:$D$1003,D160,$E$4:$E$1003,E160,$F$4:$F$1003,F160,$G$4:$G$1003,G160,$M$4:$M$1003,"&lt;&gt;Superseded")&gt;1),"Duplicate relationship",IF(OR(IF(B160="UC",COUNTIF('Use cases'!$A$4:$A$253,C160),IF(B160="CAP",COUNTIF(Capabilities!$A$4:$A$253,C160),IF(B160="AIR",COUNTIF('System map'!$A$4:$A$203,C160),COUNTIFS(Components!$A$4:$A$253,C160,Components!$B$4:$B$253,B160))))&lt;&gt;1,IF(E160="UC",COUNTIF('Use cases'!$A$4:$A$253,F160),IF(E160="CAP",COUNTIF(Capabilities!$A$4:$A$253,F160),IF(E160="AIR",COUNTIF('System map'!$A$4:$A$203,F160),COUNTIFS(Components!$A$4:$A$253,F160,Components!$B$4:$B$253,E160))))&lt;&gt;1),"Endpoint missing or duplicated",IF(AND(NOT(AND(B160="UC",E160="CAP")),OR(G160="",COUNTIF('System map'!$A$4:$A$203,G160)&lt;&gt;1)),"AIR context missing / unknown",IF(AND(B160="CAP",E160="AIR",G160&lt;&gt;F160),"AIR context mismatch",IF(AND(B160="AIR",G160&lt;&gt;C160),"AIR context mismatch",IF(AND(B160="AIR",E160="AIR",C160=F160),"Self-dependency",IF(AND(B160="AIR",E160="AIR",M160&lt;&gt;"Superseded",COUNTIFS($B$4:$B$1003,"AIR",$C$4:$C$1003,F160,$E$4:$E$1003,"AIR",$F$4:$F$1003,C160,$M$4:$M$1003,"&lt;&gt;Superseded")&gt;0),"Dependency cycle (A↔B) — review",IF(AND(B160="AIR",OR(E160="MOD",E160="DATA",E160="IF",E160="AG",E160="TOOL"),IFERROR(INDEX(Components!$G$4:$G$253,MATCH(F160,Components!$A$4:$A$253,0)),"")&lt;&gt;"",IFERROR(INDEX(Components!$G$4:$G$253,MATCH(F160,Components!$A$4:$A$253,0)),"")&lt;&gt;C160),"Component owned by another AIR-ID",IF(AND(M160="Confirmed",OR(IF(B160="UC",COUNTIFS('Use cases'!$A$4:$A$253,C160,'Use cases'!$I$4:$I$253,"Confirmed",'Use cases'!$J$4:$J$253,"OK — verify source"),IF(B160="CAP",COUNTIFS(Capabilities!$A$4:$A$253,C160,Capabilities!$J$4:$J$253,"Confirmed",Capabilities!$K$4:$K$253,"OK — verify source"),IF(B160="AIR",COUNTIFS('System map'!$A$4:$A$203,C160,'System map'!$B$4:$B$203,"&lt;&gt;",'System map'!$C$4:$C$203,"&lt;&gt;",'System map'!$D$4:$D$203,"&lt;&gt;"),COUNTIFS(Components!$A$4:$A$253,C160,Components!$B$4:$B$253,B160,Components!$K$4:$K$253,"Confirmed",Components!$L$4:$L$253,"OK — verify source"))))&lt;&gt;1,IF(E160="UC",COUNTIFS('Use cases'!$A$4:$A$253,F160,'Use cases'!$I$4:$I$253,"Confirmed",'Use cases'!$J$4:$J$253,"OK — verify source"),IF(E160="CAP",COUNTIFS(Capabilities!$A$4:$A$253,F160,Capabilities!$J$4:$J$253,"Confirmed",Capabilities!$K$4:$K$253,"OK — verify source"),IF(E160="AIR",COUNTIFS('System map'!$A$4:$A$203,F160,'System map'!$B$4:$B$203,"&lt;&gt;",'System map'!$C$4:$C$203,"&lt;&gt;",'System map'!$D$4:$D$203,"&lt;&gt;"),COUNTIFS(Components!$A$4:$A$253,F160,Components!$B$4:$B$253,E160,Components!$K$4:$K$253,"Confirmed",Components!$L$4:$L$253,"OK — verify source"))))&lt;&gt;1)),"Endpoint not source-reconciled",IF(AND(M160="Confirmed",OR(L160="",K160="",K160="Unknown",K160="Low")),"Confirmed link lacks verification","OK — verify source"))))))))))))))</f>
        <v/>
      </c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8" t="n"/>
      <c r="M161" s="27" t="n"/>
      <c r="N161" s="27">
        <f>IF(COUNTA(A161:M161)=0,"",IF(OR(A161="",B161="",C161="",D161="",E161="",F161="",I161="",J161="",K161="",M161=""),"Required link detail missing",IF(COUNTIF($A$4:$A$1003,A161)&gt;1,"Duplicate Map Edge ID",IF(NOT(OR(AND(B161="UC",E161="CAP",D161="requires"),AND(B161="CAP",E161="AIR",D161="provided by"),AND(B161="AIR",OR(E161="MOD",E161="DATA",E161="IF",E161="AG",E161="TOOL"),D161="references"),AND(B161="AIR",E161="AIR",D161="depends on"))),"Invalid relationship",IF(AND(M161&lt;&gt;"Superseded",COUNTIFS($B$4:$B$1003,B161,$C$4:$C$1003,C161,$D$4:$D$1003,D161,$E$4:$E$1003,E161,$F$4:$F$1003,F161,$G$4:$G$1003,G161,$M$4:$M$1003,"&lt;&gt;Superseded")&gt;1),"Duplicate relationship",IF(OR(IF(B161="UC",COUNTIF('Use cases'!$A$4:$A$253,C161),IF(B161="CAP",COUNTIF(Capabilities!$A$4:$A$253,C161),IF(B161="AIR",COUNTIF('System map'!$A$4:$A$203,C161),COUNTIFS(Components!$A$4:$A$253,C161,Components!$B$4:$B$253,B161))))&lt;&gt;1,IF(E161="UC",COUNTIF('Use cases'!$A$4:$A$253,F161),IF(E161="CAP",COUNTIF(Capabilities!$A$4:$A$253,F161),IF(E161="AIR",COUNTIF('System map'!$A$4:$A$203,F161),COUNTIFS(Components!$A$4:$A$253,F161,Components!$B$4:$B$253,E161))))&lt;&gt;1),"Endpoint missing or duplicated",IF(AND(NOT(AND(B161="UC",E161="CAP")),OR(G161="",COUNTIF('System map'!$A$4:$A$203,G161)&lt;&gt;1)),"AIR context missing / unknown",IF(AND(B161="CAP",E161="AIR",G161&lt;&gt;F161),"AIR context mismatch",IF(AND(B161="AIR",G161&lt;&gt;C161),"AIR context mismatch",IF(AND(B161="AIR",E161="AIR",C161=F161),"Self-dependency",IF(AND(B161="AIR",E161="AIR",M161&lt;&gt;"Superseded",COUNTIFS($B$4:$B$1003,"AIR",$C$4:$C$1003,F161,$E$4:$E$1003,"AIR",$F$4:$F$1003,C161,$M$4:$M$1003,"&lt;&gt;Superseded")&gt;0),"Dependency cycle (A↔B) — review",IF(AND(B161="AIR",OR(E161="MOD",E161="DATA",E161="IF",E161="AG",E161="TOOL"),IFERROR(INDEX(Components!$G$4:$G$253,MATCH(F161,Components!$A$4:$A$253,0)),"")&lt;&gt;"",IFERROR(INDEX(Components!$G$4:$G$253,MATCH(F161,Components!$A$4:$A$253,0)),"")&lt;&gt;C161),"Component owned by another AIR-ID",IF(AND(M161="Confirmed",OR(IF(B161="UC",COUNTIFS('Use cases'!$A$4:$A$253,C161,'Use cases'!$I$4:$I$253,"Confirmed",'Use cases'!$J$4:$J$253,"OK — verify source"),IF(B161="CAP",COUNTIFS(Capabilities!$A$4:$A$253,C161,Capabilities!$J$4:$J$253,"Confirmed",Capabilities!$K$4:$K$253,"OK — verify source"),IF(B161="AIR",COUNTIFS('System map'!$A$4:$A$203,C161,'System map'!$B$4:$B$203,"&lt;&gt;",'System map'!$C$4:$C$203,"&lt;&gt;",'System map'!$D$4:$D$203,"&lt;&gt;"),COUNTIFS(Components!$A$4:$A$253,C161,Components!$B$4:$B$253,B161,Components!$K$4:$K$253,"Confirmed",Components!$L$4:$L$253,"OK — verify source"))))&lt;&gt;1,IF(E161="UC",COUNTIFS('Use cases'!$A$4:$A$253,F161,'Use cases'!$I$4:$I$253,"Confirmed",'Use cases'!$J$4:$J$253,"OK — verify source"),IF(E161="CAP",COUNTIFS(Capabilities!$A$4:$A$253,F161,Capabilities!$J$4:$J$253,"Confirmed",Capabilities!$K$4:$K$253,"OK — verify source"),IF(E161="AIR",COUNTIFS('System map'!$A$4:$A$203,F161,'System map'!$B$4:$B$203,"&lt;&gt;",'System map'!$C$4:$C$203,"&lt;&gt;",'System map'!$D$4:$D$203,"&lt;&gt;"),COUNTIFS(Components!$A$4:$A$253,F161,Components!$B$4:$B$253,E161,Components!$K$4:$K$253,"Confirmed",Components!$L$4:$L$253,"OK — verify source"))))&lt;&gt;1)),"Endpoint not source-reconciled",IF(AND(M161="Confirmed",OR(L161="",K161="",K161="Unknown",K161="Low")),"Confirmed link lacks verification","OK — verify source"))))))))))))))</f>
        <v/>
      </c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6" t="n"/>
      <c r="M162" s="25" t="n"/>
      <c r="N162" s="25">
        <f>IF(COUNTA(A162:M162)=0,"",IF(OR(A162="",B162="",C162="",D162="",E162="",F162="",I162="",J162="",K162="",M162=""),"Required link detail missing",IF(COUNTIF($A$4:$A$1003,A162)&gt;1,"Duplicate Map Edge ID",IF(NOT(OR(AND(B162="UC",E162="CAP",D162="requires"),AND(B162="CAP",E162="AIR",D162="provided by"),AND(B162="AIR",OR(E162="MOD",E162="DATA",E162="IF",E162="AG",E162="TOOL"),D162="references"),AND(B162="AIR",E162="AIR",D162="depends on"))),"Invalid relationship",IF(AND(M162&lt;&gt;"Superseded",COUNTIFS($B$4:$B$1003,B162,$C$4:$C$1003,C162,$D$4:$D$1003,D162,$E$4:$E$1003,E162,$F$4:$F$1003,F162,$G$4:$G$1003,G162,$M$4:$M$1003,"&lt;&gt;Superseded")&gt;1),"Duplicate relationship",IF(OR(IF(B162="UC",COUNTIF('Use cases'!$A$4:$A$253,C162),IF(B162="CAP",COUNTIF(Capabilities!$A$4:$A$253,C162),IF(B162="AIR",COUNTIF('System map'!$A$4:$A$203,C162),COUNTIFS(Components!$A$4:$A$253,C162,Components!$B$4:$B$253,B162))))&lt;&gt;1,IF(E162="UC",COUNTIF('Use cases'!$A$4:$A$253,F162),IF(E162="CAP",COUNTIF(Capabilities!$A$4:$A$253,F162),IF(E162="AIR",COUNTIF('System map'!$A$4:$A$203,F162),COUNTIFS(Components!$A$4:$A$253,F162,Components!$B$4:$B$253,E162))))&lt;&gt;1),"Endpoint missing or duplicated",IF(AND(NOT(AND(B162="UC",E162="CAP")),OR(G162="",COUNTIF('System map'!$A$4:$A$203,G162)&lt;&gt;1)),"AIR context missing / unknown",IF(AND(B162="CAP",E162="AIR",G162&lt;&gt;F162),"AIR context mismatch",IF(AND(B162="AIR",G162&lt;&gt;C162),"AIR context mismatch",IF(AND(B162="AIR",E162="AIR",C162=F162),"Self-dependency",IF(AND(B162="AIR",E162="AIR",M162&lt;&gt;"Superseded",COUNTIFS($B$4:$B$1003,"AIR",$C$4:$C$1003,F162,$E$4:$E$1003,"AIR",$F$4:$F$1003,C162,$M$4:$M$1003,"&lt;&gt;Superseded")&gt;0),"Dependency cycle (A↔B) — review",IF(AND(B162="AIR",OR(E162="MOD",E162="DATA",E162="IF",E162="AG",E162="TOOL"),IFERROR(INDEX(Components!$G$4:$G$253,MATCH(F162,Components!$A$4:$A$253,0)),"")&lt;&gt;"",IFERROR(INDEX(Components!$G$4:$G$253,MATCH(F162,Components!$A$4:$A$253,0)),"")&lt;&gt;C162),"Component owned by another AIR-ID",IF(AND(M162="Confirmed",OR(IF(B162="UC",COUNTIFS('Use cases'!$A$4:$A$253,C162,'Use cases'!$I$4:$I$253,"Confirmed",'Use cases'!$J$4:$J$253,"OK — verify source"),IF(B162="CAP",COUNTIFS(Capabilities!$A$4:$A$253,C162,Capabilities!$J$4:$J$253,"Confirmed",Capabilities!$K$4:$K$253,"OK — verify source"),IF(B162="AIR",COUNTIFS('System map'!$A$4:$A$203,C162,'System map'!$B$4:$B$203,"&lt;&gt;",'System map'!$C$4:$C$203,"&lt;&gt;",'System map'!$D$4:$D$203,"&lt;&gt;"),COUNTIFS(Components!$A$4:$A$253,C162,Components!$B$4:$B$253,B162,Components!$K$4:$K$253,"Confirmed",Components!$L$4:$L$253,"OK — verify source"))))&lt;&gt;1,IF(E162="UC",COUNTIFS('Use cases'!$A$4:$A$253,F162,'Use cases'!$I$4:$I$253,"Confirmed",'Use cases'!$J$4:$J$253,"OK — verify source"),IF(E162="CAP",COUNTIFS(Capabilities!$A$4:$A$253,F162,Capabilities!$J$4:$J$253,"Confirmed",Capabilities!$K$4:$K$253,"OK — verify source"),IF(E162="AIR",COUNTIFS('System map'!$A$4:$A$203,F162,'System map'!$B$4:$B$203,"&lt;&gt;",'System map'!$C$4:$C$203,"&lt;&gt;",'System map'!$D$4:$D$203,"&lt;&gt;"),COUNTIFS(Components!$A$4:$A$253,F162,Components!$B$4:$B$253,E162,Components!$K$4:$K$253,"Confirmed",Components!$L$4:$L$253,"OK — verify source"))))&lt;&gt;1)),"Endpoint not source-reconciled",IF(AND(M162="Confirmed",OR(L162="",K162="",K162="Unknown",K162="Low")),"Confirmed link lacks verification","OK — verify source"))))))))))))))</f>
        <v/>
      </c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8" t="n"/>
      <c r="M163" s="27" t="n"/>
      <c r="N163" s="27">
        <f>IF(COUNTA(A163:M163)=0,"",IF(OR(A163="",B163="",C163="",D163="",E163="",F163="",I163="",J163="",K163="",M163=""),"Required link detail missing",IF(COUNTIF($A$4:$A$1003,A163)&gt;1,"Duplicate Map Edge ID",IF(NOT(OR(AND(B163="UC",E163="CAP",D163="requires"),AND(B163="CAP",E163="AIR",D163="provided by"),AND(B163="AIR",OR(E163="MOD",E163="DATA",E163="IF",E163="AG",E163="TOOL"),D163="references"),AND(B163="AIR",E163="AIR",D163="depends on"))),"Invalid relationship",IF(AND(M163&lt;&gt;"Superseded",COUNTIFS($B$4:$B$1003,B163,$C$4:$C$1003,C163,$D$4:$D$1003,D163,$E$4:$E$1003,E163,$F$4:$F$1003,F163,$G$4:$G$1003,G163,$M$4:$M$1003,"&lt;&gt;Superseded")&gt;1),"Duplicate relationship",IF(OR(IF(B163="UC",COUNTIF('Use cases'!$A$4:$A$253,C163),IF(B163="CAP",COUNTIF(Capabilities!$A$4:$A$253,C163),IF(B163="AIR",COUNTIF('System map'!$A$4:$A$203,C163),COUNTIFS(Components!$A$4:$A$253,C163,Components!$B$4:$B$253,B163))))&lt;&gt;1,IF(E163="UC",COUNTIF('Use cases'!$A$4:$A$253,F163),IF(E163="CAP",COUNTIF(Capabilities!$A$4:$A$253,F163),IF(E163="AIR",COUNTIF('System map'!$A$4:$A$203,F163),COUNTIFS(Components!$A$4:$A$253,F163,Components!$B$4:$B$253,E163))))&lt;&gt;1),"Endpoint missing or duplicated",IF(AND(NOT(AND(B163="UC",E163="CAP")),OR(G163="",COUNTIF('System map'!$A$4:$A$203,G163)&lt;&gt;1)),"AIR context missing / unknown",IF(AND(B163="CAP",E163="AIR",G163&lt;&gt;F163),"AIR context mismatch",IF(AND(B163="AIR",G163&lt;&gt;C163),"AIR context mismatch",IF(AND(B163="AIR",E163="AIR",C163=F163),"Self-dependency",IF(AND(B163="AIR",E163="AIR",M163&lt;&gt;"Superseded",COUNTIFS($B$4:$B$1003,"AIR",$C$4:$C$1003,F163,$E$4:$E$1003,"AIR",$F$4:$F$1003,C163,$M$4:$M$1003,"&lt;&gt;Superseded")&gt;0),"Dependency cycle (A↔B) — review",IF(AND(B163="AIR",OR(E163="MOD",E163="DATA",E163="IF",E163="AG",E163="TOOL"),IFERROR(INDEX(Components!$G$4:$G$253,MATCH(F163,Components!$A$4:$A$253,0)),"")&lt;&gt;"",IFERROR(INDEX(Components!$G$4:$G$253,MATCH(F163,Components!$A$4:$A$253,0)),"")&lt;&gt;C163),"Component owned by another AIR-ID",IF(AND(M163="Confirmed",OR(IF(B163="UC",COUNTIFS('Use cases'!$A$4:$A$253,C163,'Use cases'!$I$4:$I$253,"Confirmed",'Use cases'!$J$4:$J$253,"OK — verify source"),IF(B163="CAP",COUNTIFS(Capabilities!$A$4:$A$253,C163,Capabilities!$J$4:$J$253,"Confirmed",Capabilities!$K$4:$K$253,"OK — verify source"),IF(B163="AIR",COUNTIFS('System map'!$A$4:$A$203,C163,'System map'!$B$4:$B$203,"&lt;&gt;",'System map'!$C$4:$C$203,"&lt;&gt;",'System map'!$D$4:$D$203,"&lt;&gt;"),COUNTIFS(Components!$A$4:$A$253,C163,Components!$B$4:$B$253,B163,Components!$K$4:$K$253,"Confirmed",Components!$L$4:$L$253,"OK — verify source"))))&lt;&gt;1,IF(E163="UC",COUNTIFS('Use cases'!$A$4:$A$253,F163,'Use cases'!$I$4:$I$253,"Confirmed",'Use cases'!$J$4:$J$253,"OK — verify source"),IF(E163="CAP",COUNTIFS(Capabilities!$A$4:$A$253,F163,Capabilities!$J$4:$J$253,"Confirmed",Capabilities!$K$4:$K$253,"OK — verify source"),IF(E163="AIR",COUNTIFS('System map'!$A$4:$A$203,F163,'System map'!$B$4:$B$203,"&lt;&gt;",'System map'!$C$4:$C$203,"&lt;&gt;",'System map'!$D$4:$D$203,"&lt;&gt;"),COUNTIFS(Components!$A$4:$A$253,F163,Components!$B$4:$B$253,E163,Components!$K$4:$K$253,"Confirmed",Components!$L$4:$L$253,"OK — verify source"))))&lt;&gt;1)),"Endpoint not source-reconciled",IF(AND(M163="Confirmed",OR(L163="",K163="",K163="Unknown",K163="Low")),"Confirmed link lacks verification","OK — verify source"))))))))))))))</f>
        <v/>
      </c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6" t="n"/>
      <c r="M164" s="25" t="n"/>
      <c r="N164" s="25">
        <f>IF(COUNTA(A164:M164)=0,"",IF(OR(A164="",B164="",C164="",D164="",E164="",F164="",I164="",J164="",K164="",M164=""),"Required link detail missing",IF(COUNTIF($A$4:$A$1003,A164)&gt;1,"Duplicate Map Edge ID",IF(NOT(OR(AND(B164="UC",E164="CAP",D164="requires"),AND(B164="CAP",E164="AIR",D164="provided by"),AND(B164="AIR",OR(E164="MOD",E164="DATA",E164="IF",E164="AG",E164="TOOL"),D164="references"),AND(B164="AIR",E164="AIR",D164="depends on"))),"Invalid relationship",IF(AND(M164&lt;&gt;"Superseded",COUNTIFS($B$4:$B$1003,B164,$C$4:$C$1003,C164,$D$4:$D$1003,D164,$E$4:$E$1003,E164,$F$4:$F$1003,F164,$G$4:$G$1003,G164,$M$4:$M$1003,"&lt;&gt;Superseded")&gt;1),"Duplicate relationship",IF(OR(IF(B164="UC",COUNTIF('Use cases'!$A$4:$A$253,C164),IF(B164="CAP",COUNTIF(Capabilities!$A$4:$A$253,C164),IF(B164="AIR",COUNTIF('System map'!$A$4:$A$203,C164),COUNTIFS(Components!$A$4:$A$253,C164,Components!$B$4:$B$253,B164))))&lt;&gt;1,IF(E164="UC",COUNTIF('Use cases'!$A$4:$A$253,F164),IF(E164="CAP",COUNTIF(Capabilities!$A$4:$A$253,F164),IF(E164="AIR",COUNTIF('System map'!$A$4:$A$203,F164),COUNTIFS(Components!$A$4:$A$253,F164,Components!$B$4:$B$253,E164))))&lt;&gt;1),"Endpoint missing or duplicated",IF(AND(NOT(AND(B164="UC",E164="CAP")),OR(G164="",COUNTIF('System map'!$A$4:$A$203,G164)&lt;&gt;1)),"AIR context missing / unknown",IF(AND(B164="CAP",E164="AIR",G164&lt;&gt;F164),"AIR context mismatch",IF(AND(B164="AIR",G164&lt;&gt;C164),"AIR context mismatch",IF(AND(B164="AIR",E164="AIR",C164=F164),"Self-dependency",IF(AND(B164="AIR",E164="AIR",M164&lt;&gt;"Superseded",COUNTIFS($B$4:$B$1003,"AIR",$C$4:$C$1003,F164,$E$4:$E$1003,"AIR",$F$4:$F$1003,C164,$M$4:$M$1003,"&lt;&gt;Superseded")&gt;0),"Dependency cycle (A↔B) — review",IF(AND(B164="AIR",OR(E164="MOD",E164="DATA",E164="IF",E164="AG",E164="TOOL"),IFERROR(INDEX(Components!$G$4:$G$253,MATCH(F164,Components!$A$4:$A$253,0)),"")&lt;&gt;"",IFERROR(INDEX(Components!$G$4:$G$253,MATCH(F164,Components!$A$4:$A$253,0)),"")&lt;&gt;C164),"Component owned by another AIR-ID",IF(AND(M164="Confirmed",OR(IF(B164="UC",COUNTIFS('Use cases'!$A$4:$A$253,C164,'Use cases'!$I$4:$I$253,"Confirmed",'Use cases'!$J$4:$J$253,"OK — verify source"),IF(B164="CAP",COUNTIFS(Capabilities!$A$4:$A$253,C164,Capabilities!$J$4:$J$253,"Confirmed",Capabilities!$K$4:$K$253,"OK — verify source"),IF(B164="AIR",COUNTIFS('System map'!$A$4:$A$203,C164,'System map'!$B$4:$B$203,"&lt;&gt;",'System map'!$C$4:$C$203,"&lt;&gt;",'System map'!$D$4:$D$203,"&lt;&gt;"),COUNTIFS(Components!$A$4:$A$253,C164,Components!$B$4:$B$253,B164,Components!$K$4:$K$253,"Confirmed",Components!$L$4:$L$253,"OK — verify source"))))&lt;&gt;1,IF(E164="UC",COUNTIFS('Use cases'!$A$4:$A$253,F164,'Use cases'!$I$4:$I$253,"Confirmed",'Use cases'!$J$4:$J$253,"OK — verify source"),IF(E164="CAP",COUNTIFS(Capabilities!$A$4:$A$253,F164,Capabilities!$J$4:$J$253,"Confirmed",Capabilities!$K$4:$K$253,"OK — verify source"),IF(E164="AIR",COUNTIFS('System map'!$A$4:$A$203,F164,'System map'!$B$4:$B$203,"&lt;&gt;",'System map'!$C$4:$C$203,"&lt;&gt;",'System map'!$D$4:$D$203,"&lt;&gt;"),COUNTIFS(Components!$A$4:$A$253,F164,Components!$B$4:$B$253,E164,Components!$K$4:$K$253,"Confirmed",Components!$L$4:$L$253,"OK — verify source"))))&lt;&gt;1)),"Endpoint not source-reconciled",IF(AND(M164="Confirmed",OR(L164="",K164="",K164="Unknown",K164="Low")),"Confirmed link lacks verification","OK — verify source"))))))))))))))</f>
        <v/>
      </c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8" t="n"/>
      <c r="M165" s="27" t="n"/>
      <c r="N165" s="27">
        <f>IF(COUNTA(A165:M165)=0,"",IF(OR(A165="",B165="",C165="",D165="",E165="",F165="",I165="",J165="",K165="",M165=""),"Required link detail missing",IF(COUNTIF($A$4:$A$1003,A165)&gt;1,"Duplicate Map Edge ID",IF(NOT(OR(AND(B165="UC",E165="CAP",D165="requires"),AND(B165="CAP",E165="AIR",D165="provided by"),AND(B165="AIR",OR(E165="MOD",E165="DATA",E165="IF",E165="AG",E165="TOOL"),D165="references"),AND(B165="AIR",E165="AIR",D165="depends on"))),"Invalid relationship",IF(AND(M165&lt;&gt;"Superseded",COUNTIFS($B$4:$B$1003,B165,$C$4:$C$1003,C165,$D$4:$D$1003,D165,$E$4:$E$1003,E165,$F$4:$F$1003,F165,$G$4:$G$1003,G165,$M$4:$M$1003,"&lt;&gt;Superseded")&gt;1),"Duplicate relationship",IF(OR(IF(B165="UC",COUNTIF('Use cases'!$A$4:$A$253,C165),IF(B165="CAP",COUNTIF(Capabilities!$A$4:$A$253,C165),IF(B165="AIR",COUNTIF('System map'!$A$4:$A$203,C165),COUNTIFS(Components!$A$4:$A$253,C165,Components!$B$4:$B$253,B165))))&lt;&gt;1,IF(E165="UC",COUNTIF('Use cases'!$A$4:$A$253,F165),IF(E165="CAP",COUNTIF(Capabilities!$A$4:$A$253,F165),IF(E165="AIR",COUNTIF('System map'!$A$4:$A$203,F165),COUNTIFS(Components!$A$4:$A$253,F165,Components!$B$4:$B$253,E165))))&lt;&gt;1),"Endpoint missing or duplicated",IF(AND(NOT(AND(B165="UC",E165="CAP")),OR(G165="",COUNTIF('System map'!$A$4:$A$203,G165)&lt;&gt;1)),"AIR context missing / unknown",IF(AND(B165="CAP",E165="AIR",G165&lt;&gt;F165),"AIR context mismatch",IF(AND(B165="AIR",G165&lt;&gt;C165),"AIR context mismatch",IF(AND(B165="AIR",E165="AIR",C165=F165),"Self-dependency",IF(AND(B165="AIR",E165="AIR",M165&lt;&gt;"Superseded",COUNTIFS($B$4:$B$1003,"AIR",$C$4:$C$1003,F165,$E$4:$E$1003,"AIR",$F$4:$F$1003,C165,$M$4:$M$1003,"&lt;&gt;Superseded")&gt;0),"Dependency cycle (A↔B) — review",IF(AND(B165="AIR",OR(E165="MOD",E165="DATA",E165="IF",E165="AG",E165="TOOL"),IFERROR(INDEX(Components!$G$4:$G$253,MATCH(F165,Components!$A$4:$A$253,0)),"")&lt;&gt;"",IFERROR(INDEX(Components!$G$4:$G$253,MATCH(F165,Components!$A$4:$A$253,0)),"")&lt;&gt;C165),"Component owned by another AIR-ID",IF(AND(M165="Confirmed",OR(IF(B165="UC",COUNTIFS('Use cases'!$A$4:$A$253,C165,'Use cases'!$I$4:$I$253,"Confirmed",'Use cases'!$J$4:$J$253,"OK — verify source"),IF(B165="CAP",COUNTIFS(Capabilities!$A$4:$A$253,C165,Capabilities!$J$4:$J$253,"Confirmed",Capabilities!$K$4:$K$253,"OK — verify source"),IF(B165="AIR",COUNTIFS('System map'!$A$4:$A$203,C165,'System map'!$B$4:$B$203,"&lt;&gt;",'System map'!$C$4:$C$203,"&lt;&gt;",'System map'!$D$4:$D$203,"&lt;&gt;"),COUNTIFS(Components!$A$4:$A$253,C165,Components!$B$4:$B$253,B165,Components!$K$4:$K$253,"Confirmed",Components!$L$4:$L$253,"OK — verify source"))))&lt;&gt;1,IF(E165="UC",COUNTIFS('Use cases'!$A$4:$A$253,F165,'Use cases'!$I$4:$I$253,"Confirmed",'Use cases'!$J$4:$J$253,"OK — verify source"),IF(E165="CAP",COUNTIFS(Capabilities!$A$4:$A$253,F165,Capabilities!$J$4:$J$253,"Confirmed",Capabilities!$K$4:$K$253,"OK — verify source"),IF(E165="AIR",COUNTIFS('System map'!$A$4:$A$203,F165,'System map'!$B$4:$B$203,"&lt;&gt;",'System map'!$C$4:$C$203,"&lt;&gt;",'System map'!$D$4:$D$203,"&lt;&gt;"),COUNTIFS(Components!$A$4:$A$253,F165,Components!$B$4:$B$253,E165,Components!$K$4:$K$253,"Confirmed",Components!$L$4:$L$253,"OK — verify source"))))&lt;&gt;1)),"Endpoint not source-reconciled",IF(AND(M165="Confirmed",OR(L165="",K165="",K165="Unknown",K165="Low")),"Confirmed link lacks verification","OK — verify source"))))))))))))))</f>
        <v/>
      </c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6" t="n"/>
      <c r="M166" s="25" t="n"/>
      <c r="N166" s="25">
        <f>IF(COUNTA(A166:M166)=0,"",IF(OR(A166="",B166="",C166="",D166="",E166="",F166="",I166="",J166="",K166="",M166=""),"Required link detail missing",IF(COUNTIF($A$4:$A$1003,A166)&gt;1,"Duplicate Map Edge ID",IF(NOT(OR(AND(B166="UC",E166="CAP",D166="requires"),AND(B166="CAP",E166="AIR",D166="provided by"),AND(B166="AIR",OR(E166="MOD",E166="DATA",E166="IF",E166="AG",E166="TOOL"),D166="references"),AND(B166="AIR",E166="AIR",D166="depends on"))),"Invalid relationship",IF(AND(M166&lt;&gt;"Superseded",COUNTIFS($B$4:$B$1003,B166,$C$4:$C$1003,C166,$D$4:$D$1003,D166,$E$4:$E$1003,E166,$F$4:$F$1003,F166,$G$4:$G$1003,G166,$M$4:$M$1003,"&lt;&gt;Superseded")&gt;1),"Duplicate relationship",IF(OR(IF(B166="UC",COUNTIF('Use cases'!$A$4:$A$253,C166),IF(B166="CAP",COUNTIF(Capabilities!$A$4:$A$253,C166),IF(B166="AIR",COUNTIF('System map'!$A$4:$A$203,C166),COUNTIFS(Components!$A$4:$A$253,C166,Components!$B$4:$B$253,B166))))&lt;&gt;1,IF(E166="UC",COUNTIF('Use cases'!$A$4:$A$253,F166),IF(E166="CAP",COUNTIF(Capabilities!$A$4:$A$253,F166),IF(E166="AIR",COUNTIF('System map'!$A$4:$A$203,F166),COUNTIFS(Components!$A$4:$A$253,F166,Components!$B$4:$B$253,E166))))&lt;&gt;1),"Endpoint missing or duplicated",IF(AND(NOT(AND(B166="UC",E166="CAP")),OR(G166="",COUNTIF('System map'!$A$4:$A$203,G166)&lt;&gt;1)),"AIR context missing / unknown",IF(AND(B166="CAP",E166="AIR",G166&lt;&gt;F166),"AIR context mismatch",IF(AND(B166="AIR",G166&lt;&gt;C166),"AIR context mismatch",IF(AND(B166="AIR",E166="AIR",C166=F166),"Self-dependency",IF(AND(B166="AIR",E166="AIR",M166&lt;&gt;"Superseded",COUNTIFS($B$4:$B$1003,"AIR",$C$4:$C$1003,F166,$E$4:$E$1003,"AIR",$F$4:$F$1003,C166,$M$4:$M$1003,"&lt;&gt;Superseded")&gt;0),"Dependency cycle (A↔B) — review",IF(AND(B166="AIR",OR(E166="MOD",E166="DATA",E166="IF",E166="AG",E166="TOOL"),IFERROR(INDEX(Components!$G$4:$G$253,MATCH(F166,Components!$A$4:$A$253,0)),"")&lt;&gt;"",IFERROR(INDEX(Components!$G$4:$G$253,MATCH(F166,Components!$A$4:$A$253,0)),"")&lt;&gt;C166),"Component owned by another AIR-ID",IF(AND(M166="Confirmed",OR(IF(B166="UC",COUNTIFS('Use cases'!$A$4:$A$253,C166,'Use cases'!$I$4:$I$253,"Confirmed",'Use cases'!$J$4:$J$253,"OK — verify source"),IF(B166="CAP",COUNTIFS(Capabilities!$A$4:$A$253,C166,Capabilities!$J$4:$J$253,"Confirmed",Capabilities!$K$4:$K$253,"OK — verify source"),IF(B166="AIR",COUNTIFS('System map'!$A$4:$A$203,C166,'System map'!$B$4:$B$203,"&lt;&gt;",'System map'!$C$4:$C$203,"&lt;&gt;",'System map'!$D$4:$D$203,"&lt;&gt;"),COUNTIFS(Components!$A$4:$A$253,C166,Components!$B$4:$B$253,B166,Components!$K$4:$K$253,"Confirmed",Components!$L$4:$L$253,"OK — verify source"))))&lt;&gt;1,IF(E166="UC",COUNTIFS('Use cases'!$A$4:$A$253,F166,'Use cases'!$I$4:$I$253,"Confirmed",'Use cases'!$J$4:$J$253,"OK — verify source"),IF(E166="CAP",COUNTIFS(Capabilities!$A$4:$A$253,F166,Capabilities!$J$4:$J$253,"Confirmed",Capabilities!$K$4:$K$253,"OK — verify source"),IF(E166="AIR",COUNTIFS('System map'!$A$4:$A$203,F166,'System map'!$B$4:$B$203,"&lt;&gt;",'System map'!$C$4:$C$203,"&lt;&gt;",'System map'!$D$4:$D$203,"&lt;&gt;"),COUNTIFS(Components!$A$4:$A$253,F166,Components!$B$4:$B$253,E166,Components!$K$4:$K$253,"Confirmed",Components!$L$4:$L$253,"OK — verify source"))))&lt;&gt;1)),"Endpoint not source-reconciled",IF(AND(M166="Confirmed",OR(L166="",K166="",K166="Unknown",K166="Low")),"Confirmed link lacks verification","OK — verify source"))))))))))))))</f>
        <v/>
      </c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8" t="n"/>
      <c r="M167" s="27" t="n"/>
      <c r="N167" s="27">
        <f>IF(COUNTA(A167:M167)=0,"",IF(OR(A167="",B167="",C167="",D167="",E167="",F167="",I167="",J167="",K167="",M167=""),"Required link detail missing",IF(COUNTIF($A$4:$A$1003,A167)&gt;1,"Duplicate Map Edge ID",IF(NOT(OR(AND(B167="UC",E167="CAP",D167="requires"),AND(B167="CAP",E167="AIR",D167="provided by"),AND(B167="AIR",OR(E167="MOD",E167="DATA",E167="IF",E167="AG",E167="TOOL"),D167="references"),AND(B167="AIR",E167="AIR",D167="depends on"))),"Invalid relationship",IF(AND(M167&lt;&gt;"Superseded",COUNTIFS($B$4:$B$1003,B167,$C$4:$C$1003,C167,$D$4:$D$1003,D167,$E$4:$E$1003,E167,$F$4:$F$1003,F167,$G$4:$G$1003,G167,$M$4:$M$1003,"&lt;&gt;Superseded")&gt;1),"Duplicate relationship",IF(OR(IF(B167="UC",COUNTIF('Use cases'!$A$4:$A$253,C167),IF(B167="CAP",COUNTIF(Capabilities!$A$4:$A$253,C167),IF(B167="AIR",COUNTIF('System map'!$A$4:$A$203,C167),COUNTIFS(Components!$A$4:$A$253,C167,Components!$B$4:$B$253,B167))))&lt;&gt;1,IF(E167="UC",COUNTIF('Use cases'!$A$4:$A$253,F167),IF(E167="CAP",COUNTIF(Capabilities!$A$4:$A$253,F167),IF(E167="AIR",COUNTIF('System map'!$A$4:$A$203,F167),COUNTIFS(Components!$A$4:$A$253,F167,Components!$B$4:$B$253,E167))))&lt;&gt;1),"Endpoint missing or duplicated",IF(AND(NOT(AND(B167="UC",E167="CAP")),OR(G167="",COUNTIF('System map'!$A$4:$A$203,G167)&lt;&gt;1)),"AIR context missing / unknown",IF(AND(B167="CAP",E167="AIR",G167&lt;&gt;F167),"AIR context mismatch",IF(AND(B167="AIR",G167&lt;&gt;C167),"AIR context mismatch",IF(AND(B167="AIR",E167="AIR",C167=F167),"Self-dependency",IF(AND(B167="AIR",E167="AIR",M167&lt;&gt;"Superseded",COUNTIFS($B$4:$B$1003,"AIR",$C$4:$C$1003,F167,$E$4:$E$1003,"AIR",$F$4:$F$1003,C167,$M$4:$M$1003,"&lt;&gt;Superseded")&gt;0),"Dependency cycle (A↔B) — review",IF(AND(B167="AIR",OR(E167="MOD",E167="DATA",E167="IF",E167="AG",E167="TOOL"),IFERROR(INDEX(Components!$G$4:$G$253,MATCH(F167,Components!$A$4:$A$253,0)),"")&lt;&gt;"",IFERROR(INDEX(Components!$G$4:$G$253,MATCH(F167,Components!$A$4:$A$253,0)),"")&lt;&gt;C167),"Component owned by another AIR-ID",IF(AND(M167="Confirmed",OR(IF(B167="UC",COUNTIFS('Use cases'!$A$4:$A$253,C167,'Use cases'!$I$4:$I$253,"Confirmed",'Use cases'!$J$4:$J$253,"OK — verify source"),IF(B167="CAP",COUNTIFS(Capabilities!$A$4:$A$253,C167,Capabilities!$J$4:$J$253,"Confirmed",Capabilities!$K$4:$K$253,"OK — verify source"),IF(B167="AIR",COUNTIFS('System map'!$A$4:$A$203,C167,'System map'!$B$4:$B$203,"&lt;&gt;",'System map'!$C$4:$C$203,"&lt;&gt;",'System map'!$D$4:$D$203,"&lt;&gt;"),COUNTIFS(Components!$A$4:$A$253,C167,Components!$B$4:$B$253,B167,Components!$K$4:$K$253,"Confirmed",Components!$L$4:$L$253,"OK — verify source"))))&lt;&gt;1,IF(E167="UC",COUNTIFS('Use cases'!$A$4:$A$253,F167,'Use cases'!$I$4:$I$253,"Confirmed",'Use cases'!$J$4:$J$253,"OK — verify source"),IF(E167="CAP",COUNTIFS(Capabilities!$A$4:$A$253,F167,Capabilities!$J$4:$J$253,"Confirmed",Capabilities!$K$4:$K$253,"OK — verify source"),IF(E167="AIR",COUNTIFS('System map'!$A$4:$A$203,F167,'System map'!$B$4:$B$203,"&lt;&gt;",'System map'!$C$4:$C$203,"&lt;&gt;",'System map'!$D$4:$D$203,"&lt;&gt;"),COUNTIFS(Components!$A$4:$A$253,F167,Components!$B$4:$B$253,E167,Components!$K$4:$K$253,"Confirmed",Components!$L$4:$L$253,"OK — verify source"))))&lt;&gt;1)),"Endpoint not source-reconciled",IF(AND(M167="Confirmed",OR(L167="",K167="",K167="Unknown",K167="Low")),"Confirmed link lacks verification","OK — verify source"))))))))))))))</f>
        <v/>
      </c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6" t="n"/>
      <c r="M168" s="25" t="n"/>
      <c r="N168" s="25">
        <f>IF(COUNTA(A168:M168)=0,"",IF(OR(A168="",B168="",C168="",D168="",E168="",F168="",I168="",J168="",K168="",M168=""),"Required link detail missing",IF(COUNTIF($A$4:$A$1003,A168)&gt;1,"Duplicate Map Edge ID",IF(NOT(OR(AND(B168="UC",E168="CAP",D168="requires"),AND(B168="CAP",E168="AIR",D168="provided by"),AND(B168="AIR",OR(E168="MOD",E168="DATA",E168="IF",E168="AG",E168="TOOL"),D168="references"),AND(B168="AIR",E168="AIR",D168="depends on"))),"Invalid relationship",IF(AND(M168&lt;&gt;"Superseded",COUNTIFS($B$4:$B$1003,B168,$C$4:$C$1003,C168,$D$4:$D$1003,D168,$E$4:$E$1003,E168,$F$4:$F$1003,F168,$G$4:$G$1003,G168,$M$4:$M$1003,"&lt;&gt;Superseded")&gt;1),"Duplicate relationship",IF(OR(IF(B168="UC",COUNTIF('Use cases'!$A$4:$A$253,C168),IF(B168="CAP",COUNTIF(Capabilities!$A$4:$A$253,C168),IF(B168="AIR",COUNTIF('System map'!$A$4:$A$203,C168),COUNTIFS(Components!$A$4:$A$253,C168,Components!$B$4:$B$253,B168))))&lt;&gt;1,IF(E168="UC",COUNTIF('Use cases'!$A$4:$A$253,F168),IF(E168="CAP",COUNTIF(Capabilities!$A$4:$A$253,F168),IF(E168="AIR",COUNTIF('System map'!$A$4:$A$203,F168),COUNTIFS(Components!$A$4:$A$253,F168,Components!$B$4:$B$253,E168))))&lt;&gt;1),"Endpoint missing or duplicated",IF(AND(NOT(AND(B168="UC",E168="CAP")),OR(G168="",COUNTIF('System map'!$A$4:$A$203,G168)&lt;&gt;1)),"AIR context missing / unknown",IF(AND(B168="CAP",E168="AIR",G168&lt;&gt;F168),"AIR context mismatch",IF(AND(B168="AIR",G168&lt;&gt;C168),"AIR context mismatch",IF(AND(B168="AIR",E168="AIR",C168=F168),"Self-dependency",IF(AND(B168="AIR",E168="AIR",M168&lt;&gt;"Superseded",COUNTIFS($B$4:$B$1003,"AIR",$C$4:$C$1003,F168,$E$4:$E$1003,"AIR",$F$4:$F$1003,C168,$M$4:$M$1003,"&lt;&gt;Superseded")&gt;0),"Dependency cycle (A↔B) — review",IF(AND(B168="AIR",OR(E168="MOD",E168="DATA",E168="IF",E168="AG",E168="TOOL"),IFERROR(INDEX(Components!$G$4:$G$253,MATCH(F168,Components!$A$4:$A$253,0)),"")&lt;&gt;"",IFERROR(INDEX(Components!$G$4:$G$253,MATCH(F168,Components!$A$4:$A$253,0)),"")&lt;&gt;C168),"Component owned by another AIR-ID",IF(AND(M168="Confirmed",OR(IF(B168="UC",COUNTIFS('Use cases'!$A$4:$A$253,C168,'Use cases'!$I$4:$I$253,"Confirmed",'Use cases'!$J$4:$J$253,"OK — verify source"),IF(B168="CAP",COUNTIFS(Capabilities!$A$4:$A$253,C168,Capabilities!$J$4:$J$253,"Confirmed",Capabilities!$K$4:$K$253,"OK — verify source"),IF(B168="AIR",COUNTIFS('System map'!$A$4:$A$203,C168,'System map'!$B$4:$B$203,"&lt;&gt;",'System map'!$C$4:$C$203,"&lt;&gt;",'System map'!$D$4:$D$203,"&lt;&gt;"),COUNTIFS(Components!$A$4:$A$253,C168,Components!$B$4:$B$253,B168,Components!$K$4:$K$253,"Confirmed",Components!$L$4:$L$253,"OK — verify source"))))&lt;&gt;1,IF(E168="UC",COUNTIFS('Use cases'!$A$4:$A$253,F168,'Use cases'!$I$4:$I$253,"Confirmed",'Use cases'!$J$4:$J$253,"OK — verify source"),IF(E168="CAP",COUNTIFS(Capabilities!$A$4:$A$253,F168,Capabilities!$J$4:$J$253,"Confirmed",Capabilities!$K$4:$K$253,"OK — verify source"),IF(E168="AIR",COUNTIFS('System map'!$A$4:$A$203,F168,'System map'!$B$4:$B$203,"&lt;&gt;",'System map'!$C$4:$C$203,"&lt;&gt;",'System map'!$D$4:$D$203,"&lt;&gt;"),COUNTIFS(Components!$A$4:$A$253,F168,Components!$B$4:$B$253,E168,Components!$K$4:$K$253,"Confirmed",Components!$L$4:$L$253,"OK — verify source"))))&lt;&gt;1)),"Endpoint not source-reconciled",IF(AND(M168="Confirmed",OR(L168="",K168="",K168="Unknown",K168="Low")),"Confirmed link lacks verification","OK — verify source"))))))))))))))</f>
        <v/>
      </c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8" t="n"/>
      <c r="M169" s="27" t="n"/>
      <c r="N169" s="27">
        <f>IF(COUNTA(A169:M169)=0,"",IF(OR(A169="",B169="",C169="",D169="",E169="",F169="",I169="",J169="",K169="",M169=""),"Required link detail missing",IF(COUNTIF($A$4:$A$1003,A169)&gt;1,"Duplicate Map Edge ID",IF(NOT(OR(AND(B169="UC",E169="CAP",D169="requires"),AND(B169="CAP",E169="AIR",D169="provided by"),AND(B169="AIR",OR(E169="MOD",E169="DATA",E169="IF",E169="AG",E169="TOOL"),D169="references"),AND(B169="AIR",E169="AIR",D169="depends on"))),"Invalid relationship",IF(AND(M169&lt;&gt;"Superseded",COUNTIFS($B$4:$B$1003,B169,$C$4:$C$1003,C169,$D$4:$D$1003,D169,$E$4:$E$1003,E169,$F$4:$F$1003,F169,$G$4:$G$1003,G169,$M$4:$M$1003,"&lt;&gt;Superseded")&gt;1),"Duplicate relationship",IF(OR(IF(B169="UC",COUNTIF('Use cases'!$A$4:$A$253,C169),IF(B169="CAP",COUNTIF(Capabilities!$A$4:$A$253,C169),IF(B169="AIR",COUNTIF('System map'!$A$4:$A$203,C169),COUNTIFS(Components!$A$4:$A$253,C169,Components!$B$4:$B$253,B169))))&lt;&gt;1,IF(E169="UC",COUNTIF('Use cases'!$A$4:$A$253,F169),IF(E169="CAP",COUNTIF(Capabilities!$A$4:$A$253,F169),IF(E169="AIR",COUNTIF('System map'!$A$4:$A$203,F169),COUNTIFS(Components!$A$4:$A$253,F169,Components!$B$4:$B$253,E169))))&lt;&gt;1),"Endpoint missing or duplicated",IF(AND(NOT(AND(B169="UC",E169="CAP")),OR(G169="",COUNTIF('System map'!$A$4:$A$203,G169)&lt;&gt;1)),"AIR context missing / unknown",IF(AND(B169="CAP",E169="AIR",G169&lt;&gt;F169),"AIR context mismatch",IF(AND(B169="AIR",G169&lt;&gt;C169),"AIR context mismatch",IF(AND(B169="AIR",E169="AIR",C169=F169),"Self-dependency",IF(AND(B169="AIR",E169="AIR",M169&lt;&gt;"Superseded",COUNTIFS($B$4:$B$1003,"AIR",$C$4:$C$1003,F169,$E$4:$E$1003,"AIR",$F$4:$F$1003,C169,$M$4:$M$1003,"&lt;&gt;Superseded")&gt;0),"Dependency cycle (A↔B) — review",IF(AND(B169="AIR",OR(E169="MOD",E169="DATA",E169="IF",E169="AG",E169="TOOL"),IFERROR(INDEX(Components!$G$4:$G$253,MATCH(F169,Components!$A$4:$A$253,0)),"")&lt;&gt;"",IFERROR(INDEX(Components!$G$4:$G$253,MATCH(F169,Components!$A$4:$A$253,0)),"")&lt;&gt;C169),"Component owned by another AIR-ID",IF(AND(M169="Confirmed",OR(IF(B169="UC",COUNTIFS('Use cases'!$A$4:$A$253,C169,'Use cases'!$I$4:$I$253,"Confirmed",'Use cases'!$J$4:$J$253,"OK — verify source"),IF(B169="CAP",COUNTIFS(Capabilities!$A$4:$A$253,C169,Capabilities!$J$4:$J$253,"Confirmed",Capabilities!$K$4:$K$253,"OK — verify source"),IF(B169="AIR",COUNTIFS('System map'!$A$4:$A$203,C169,'System map'!$B$4:$B$203,"&lt;&gt;",'System map'!$C$4:$C$203,"&lt;&gt;",'System map'!$D$4:$D$203,"&lt;&gt;"),COUNTIFS(Components!$A$4:$A$253,C169,Components!$B$4:$B$253,B169,Components!$K$4:$K$253,"Confirmed",Components!$L$4:$L$253,"OK — verify source"))))&lt;&gt;1,IF(E169="UC",COUNTIFS('Use cases'!$A$4:$A$253,F169,'Use cases'!$I$4:$I$253,"Confirmed",'Use cases'!$J$4:$J$253,"OK — verify source"),IF(E169="CAP",COUNTIFS(Capabilities!$A$4:$A$253,F169,Capabilities!$J$4:$J$253,"Confirmed",Capabilities!$K$4:$K$253,"OK — verify source"),IF(E169="AIR",COUNTIFS('System map'!$A$4:$A$203,F169,'System map'!$B$4:$B$203,"&lt;&gt;",'System map'!$C$4:$C$203,"&lt;&gt;",'System map'!$D$4:$D$203,"&lt;&gt;"),COUNTIFS(Components!$A$4:$A$253,F169,Components!$B$4:$B$253,E169,Components!$K$4:$K$253,"Confirmed",Components!$L$4:$L$253,"OK — verify source"))))&lt;&gt;1)),"Endpoint not source-reconciled",IF(AND(M169="Confirmed",OR(L169="",K169="",K169="Unknown",K169="Low")),"Confirmed link lacks verification","OK — verify source"))))))))))))))</f>
        <v/>
      </c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6" t="n"/>
      <c r="M170" s="25" t="n"/>
      <c r="N170" s="25">
        <f>IF(COUNTA(A170:M170)=0,"",IF(OR(A170="",B170="",C170="",D170="",E170="",F170="",I170="",J170="",K170="",M170=""),"Required link detail missing",IF(COUNTIF($A$4:$A$1003,A170)&gt;1,"Duplicate Map Edge ID",IF(NOT(OR(AND(B170="UC",E170="CAP",D170="requires"),AND(B170="CAP",E170="AIR",D170="provided by"),AND(B170="AIR",OR(E170="MOD",E170="DATA",E170="IF",E170="AG",E170="TOOL"),D170="references"),AND(B170="AIR",E170="AIR",D170="depends on"))),"Invalid relationship",IF(AND(M170&lt;&gt;"Superseded",COUNTIFS($B$4:$B$1003,B170,$C$4:$C$1003,C170,$D$4:$D$1003,D170,$E$4:$E$1003,E170,$F$4:$F$1003,F170,$G$4:$G$1003,G170,$M$4:$M$1003,"&lt;&gt;Superseded")&gt;1),"Duplicate relationship",IF(OR(IF(B170="UC",COUNTIF('Use cases'!$A$4:$A$253,C170),IF(B170="CAP",COUNTIF(Capabilities!$A$4:$A$253,C170),IF(B170="AIR",COUNTIF('System map'!$A$4:$A$203,C170),COUNTIFS(Components!$A$4:$A$253,C170,Components!$B$4:$B$253,B170))))&lt;&gt;1,IF(E170="UC",COUNTIF('Use cases'!$A$4:$A$253,F170),IF(E170="CAP",COUNTIF(Capabilities!$A$4:$A$253,F170),IF(E170="AIR",COUNTIF('System map'!$A$4:$A$203,F170),COUNTIFS(Components!$A$4:$A$253,F170,Components!$B$4:$B$253,E170))))&lt;&gt;1),"Endpoint missing or duplicated",IF(AND(NOT(AND(B170="UC",E170="CAP")),OR(G170="",COUNTIF('System map'!$A$4:$A$203,G170)&lt;&gt;1)),"AIR context missing / unknown",IF(AND(B170="CAP",E170="AIR",G170&lt;&gt;F170),"AIR context mismatch",IF(AND(B170="AIR",G170&lt;&gt;C170),"AIR context mismatch",IF(AND(B170="AIR",E170="AIR",C170=F170),"Self-dependency",IF(AND(B170="AIR",E170="AIR",M170&lt;&gt;"Superseded",COUNTIFS($B$4:$B$1003,"AIR",$C$4:$C$1003,F170,$E$4:$E$1003,"AIR",$F$4:$F$1003,C170,$M$4:$M$1003,"&lt;&gt;Superseded")&gt;0),"Dependency cycle (A↔B) — review",IF(AND(B170="AIR",OR(E170="MOD",E170="DATA",E170="IF",E170="AG",E170="TOOL"),IFERROR(INDEX(Components!$G$4:$G$253,MATCH(F170,Components!$A$4:$A$253,0)),"")&lt;&gt;"",IFERROR(INDEX(Components!$G$4:$G$253,MATCH(F170,Components!$A$4:$A$253,0)),"")&lt;&gt;C170),"Component owned by another AIR-ID",IF(AND(M170="Confirmed",OR(IF(B170="UC",COUNTIFS('Use cases'!$A$4:$A$253,C170,'Use cases'!$I$4:$I$253,"Confirmed",'Use cases'!$J$4:$J$253,"OK — verify source"),IF(B170="CAP",COUNTIFS(Capabilities!$A$4:$A$253,C170,Capabilities!$J$4:$J$253,"Confirmed",Capabilities!$K$4:$K$253,"OK — verify source"),IF(B170="AIR",COUNTIFS('System map'!$A$4:$A$203,C170,'System map'!$B$4:$B$203,"&lt;&gt;",'System map'!$C$4:$C$203,"&lt;&gt;",'System map'!$D$4:$D$203,"&lt;&gt;"),COUNTIFS(Components!$A$4:$A$253,C170,Components!$B$4:$B$253,B170,Components!$K$4:$K$253,"Confirmed",Components!$L$4:$L$253,"OK — verify source"))))&lt;&gt;1,IF(E170="UC",COUNTIFS('Use cases'!$A$4:$A$253,F170,'Use cases'!$I$4:$I$253,"Confirmed",'Use cases'!$J$4:$J$253,"OK — verify source"),IF(E170="CAP",COUNTIFS(Capabilities!$A$4:$A$253,F170,Capabilities!$J$4:$J$253,"Confirmed",Capabilities!$K$4:$K$253,"OK — verify source"),IF(E170="AIR",COUNTIFS('System map'!$A$4:$A$203,F170,'System map'!$B$4:$B$203,"&lt;&gt;",'System map'!$C$4:$C$203,"&lt;&gt;",'System map'!$D$4:$D$203,"&lt;&gt;"),COUNTIFS(Components!$A$4:$A$253,F170,Components!$B$4:$B$253,E170,Components!$K$4:$K$253,"Confirmed",Components!$L$4:$L$253,"OK — verify source"))))&lt;&gt;1)),"Endpoint not source-reconciled",IF(AND(M170="Confirmed",OR(L170="",K170="",K170="Unknown",K170="Low")),"Confirmed link lacks verification","OK — verify source"))))))))))))))</f>
        <v/>
      </c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8" t="n"/>
      <c r="M171" s="27" t="n"/>
      <c r="N171" s="27">
        <f>IF(COUNTA(A171:M171)=0,"",IF(OR(A171="",B171="",C171="",D171="",E171="",F171="",I171="",J171="",K171="",M171=""),"Required link detail missing",IF(COUNTIF($A$4:$A$1003,A171)&gt;1,"Duplicate Map Edge ID",IF(NOT(OR(AND(B171="UC",E171="CAP",D171="requires"),AND(B171="CAP",E171="AIR",D171="provided by"),AND(B171="AIR",OR(E171="MOD",E171="DATA",E171="IF",E171="AG",E171="TOOL"),D171="references"),AND(B171="AIR",E171="AIR",D171="depends on"))),"Invalid relationship",IF(AND(M171&lt;&gt;"Superseded",COUNTIFS($B$4:$B$1003,B171,$C$4:$C$1003,C171,$D$4:$D$1003,D171,$E$4:$E$1003,E171,$F$4:$F$1003,F171,$G$4:$G$1003,G171,$M$4:$M$1003,"&lt;&gt;Superseded")&gt;1),"Duplicate relationship",IF(OR(IF(B171="UC",COUNTIF('Use cases'!$A$4:$A$253,C171),IF(B171="CAP",COUNTIF(Capabilities!$A$4:$A$253,C171),IF(B171="AIR",COUNTIF('System map'!$A$4:$A$203,C171),COUNTIFS(Components!$A$4:$A$253,C171,Components!$B$4:$B$253,B171))))&lt;&gt;1,IF(E171="UC",COUNTIF('Use cases'!$A$4:$A$253,F171),IF(E171="CAP",COUNTIF(Capabilities!$A$4:$A$253,F171),IF(E171="AIR",COUNTIF('System map'!$A$4:$A$203,F171),COUNTIFS(Components!$A$4:$A$253,F171,Components!$B$4:$B$253,E171))))&lt;&gt;1),"Endpoint missing or duplicated",IF(AND(NOT(AND(B171="UC",E171="CAP")),OR(G171="",COUNTIF('System map'!$A$4:$A$203,G171)&lt;&gt;1)),"AIR context missing / unknown",IF(AND(B171="CAP",E171="AIR",G171&lt;&gt;F171),"AIR context mismatch",IF(AND(B171="AIR",G171&lt;&gt;C171),"AIR context mismatch",IF(AND(B171="AIR",E171="AIR",C171=F171),"Self-dependency",IF(AND(B171="AIR",E171="AIR",M171&lt;&gt;"Superseded",COUNTIFS($B$4:$B$1003,"AIR",$C$4:$C$1003,F171,$E$4:$E$1003,"AIR",$F$4:$F$1003,C171,$M$4:$M$1003,"&lt;&gt;Superseded")&gt;0),"Dependency cycle (A↔B) — review",IF(AND(B171="AIR",OR(E171="MOD",E171="DATA",E171="IF",E171="AG",E171="TOOL"),IFERROR(INDEX(Components!$G$4:$G$253,MATCH(F171,Components!$A$4:$A$253,0)),"")&lt;&gt;"",IFERROR(INDEX(Components!$G$4:$G$253,MATCH(F171,Components!$A$4:$A$253,0)),"")&lt;&gt;C171),"Component owned by another AIR-ID",IF(AND(M171="Confirmed",OR(IF(B171="UC",COUNTIFS('Use cases'!$A$4:$A$253,C171,'Use cases'!$I$4:$I$253,"Confirmed",'Use cases'!$J$4:$J$253,"OK — verify source"),IF(B171="CAP",COUNTIFS(Capabilities!$A$4:$A$253,C171,Capabilities!$J$4:$J$253,"Confirmed",Capabilities!$K$4:$K$253,"OK — verify source"),IF(B171="AIR",COUNTIFS('System map'!$A$4:$A$203,C171,'System map'!$B$4:$B$203,"&lt;&gt;",'System map'!$C$4:$C$203,"&lt;&gt;",'System map'!$D$4:$D$203,"&lt;&gt;"),COUNTIFS(Components!$A$4:$A$253,C171,Components!$B$4:$B$253,B171,Components!$K$4:$K$253,"Confirmed",Components!$L$4:$L$253,"OK — verify source"))))&lt;&gt;1,IF(E171="UC",COUNTIFS('Use cases'!$A$4:$A$253,F171,'Use cases'!$I$4:$I$253,"Confirmed",'Use cases'!$J$4:$J$253,"OK — verify source"),IF(E171="CAP",COUNTIFS(Capabilities!$A$4:$A$253,F171,Capabilities!$J$4:$J$253,"Confirmed",Capabilities!$K$4:$K$253,"OK — verify source"),IF(E171="AIR",COUNTIFS('System map'!$A$4:$A$203,F171,'System map'!$B$4:$B$203,"&lt;&gt;",'System map'!$C$4:$C$203,"&lt;&gt;",'System map'!$D$4:$D$203,"&lt;&gt;"),COUNTIFS(Components!$A$4:$A$253,F171,Components!$B$4:$B$253,E171,Components!$K$4:$K$253,"Confirmed",Components!$L$4:$L$253,"OK — verify source"))))&lt;&gt;1)),"Endpoint not source-reconciled",IF(AND(M171="Confirmed",OR(L171="",K171="",K171="Unknown",K171="Low")),"Confirmed link lacks verification","OK — verify source"))))))))))))))</f>
        <v/>
      </c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6" t="n"/>
      <c r="M172" s="25" t="n"/>
      <c r="N172" s="25">
        <f>IF(COUNTA(A172:M172)=0,"",IF(OR(A172="",B172="",C172="",D172="",E172="",F172="",I172="",J172="",K172="",M172=""),"Required link detail missing",IF(COUNTIF($A$4:$A$1003,A172)&gt;1,"Duplicate Map Edge ID",IF(NOT(OR(AND(B172="UC",E172="CAP",D172="requires"),AND(B172="CAP",E172="AIR",D172="provided by"),AND(B172="AIR",OR(E172="MOD",E172="DATA",E172="IF",E172="AG",E172="TOOL"),D172="references"),AND(B172="AIR",E172="AIR",D172="depends on"))),"Invalid relationship",IF(AND(M172&lt;&gt;"Superseded",COUNTIFS($B$4:$B$1003,B172,$C$4:$C$1003,C172,$D$4:$D$1003,D172,$E$4:$E$1003,E172,$F$4:$F$1003,F172,$G$4:$G$1003,G172,$M$4:$M$1003,"&lt;&gt;Superseded")&gt;1),"Duplicate relationship",IF(OR(IF(B172="UC",COUNTIF('Use cases'!$A$4:$A$253,C172),IF(B172="CAP",COUNTIF(Capabilities!$A$4:$A$253,C172),IF(B172="AIR",COUNTIF('System map'!$A$4:$A$203,C172),COUNTIFS(Components!$A$4:$A$253,C172,Components!$B$4:$B$253,B172))))&lt;&gt;1,IF(E172="UC",COUNTIF('Use cases'!$A$4:$A$253,F172),IF(E172="CAP",COUNTIF(Capabilities!$A$4:$A$253,F172),IF(E172="AIR",COUNTIF('System map'!$A$4:$A$203,F172),COUNTIFS(Components!$A$4:$A$253,F172,Components!$B$4:$B$253,E172))))&lt;&gt;1),"Endpoint missing or duplicated",IF(AND(NOT(AND(B172="UC",E172="CAP")),OR(G172="",COUNTIF('System map'!$A$4:$A$203,G172)&lt;&gt;1)),"AIR context missing / unknown",IF(AND(B172="CAP",E172="AIR",G172&lt;&gt;F172),"AIR context mismatch",IF(AND(B172="AIR",G172&lt;&gt;C172),"AIR context mismatch",IF(AND(B172="AIR",E172="AIR",C172=F172),"Self-dependency",IF(AND(B172="AIR",E172="AIR",M172&lt;&gt;"Superseded",COUNTIFS($B$4:$B$1003,"AIR",$C$4:$C$1003,F172,$E$4:$E$1003,"AIR",$F$4:$F$1003,C172,$M$4:$M$1003,"&lt;&gt;Superseded")&gt;0),"Dependency cycle (A↔B) — review",IF(AND(B172="AIR",OR(E172="MOD",E172="DATA",E172="IF",E172="AG",E172="TOOL"),IFERROR(INDEX(Components!$G$4:$G$253,MATCH(F172,Components!$A$4:$A$253,0)),"")&lt;&gt;"",IFERROR(INDEX(Components!$G$4:$G$253,MATCH(F172,Components!$A$4:$A$253,0)),"")&lt;&gt;C172),"Component owned by another AIR-ID",IF(AND(M172="Confirmed",OR(IF(B172="UC",COUNTIFS('Use cases'!$A$4:$A$253,C172,'Use cases'!$I$4:$I$253,"Confirmed",'Use cases'!$J$4:$J$253,"OK — verify source"),IF(B172="CAP",COUNTIFS(Capabilities!$A$4:$A$253,C172,Capabilities!$J$4:$J$253,"Confirmed",Capabilities!$K$4:$K$253,"OK — verify source"),IF(B172="AIR",COUNTIFS('System map'!$A$4:$A$203,C172,'System map'!$B$4:$B$203,"&lt;&gt;",'System map'!$C$4:$C$203,"&lt;&gt;",'System map'!$D$4:$D$203,"&lt;&gt;"),COUNTIFS(Components!$A$4:$A$253,C172,Components!$B$4:$B$253,B172,Components!$K$4:$K$253,"Confirmed",Components!$L$4:$L$253,"OK — verify source"))))&lt;&gt;1,IF(E172="UC",COUNTIFS('Use cases'!$A$4:$A$253,F172,'Use cases'!$I$4:$I$253,"Confirmed",'Use cases'!$J$4:$J$253,"OK — verify source"),IF(E172="CAP",COUNTIFS(Capabilities!$A$4:$A$253,F172,Capabilities!$J$4:$J$253,"Confirmed",Capabilities!$K$4:$K$253,"OK — verify source"),IF(E172="AIR",COUNTIFS('System map'!$A$4:$A$203,F172,'System map'!$B$4:$B$203,"&lt;&gt;",'System map'!$C$4:$C$203,"&lt;&gt;",'System map'!$D$4:$D$203,"&lt;&gt;"),COUNTIFS(Components!$A$4:$A$253,F172,Components!$B$4:$B$253,E172,Components!$K$4:$K$253,"Confirmed",Components!$L$4:$L$253,"OK — verify source"))))&lt;&gt;1)),"Endpoint not source-reconciled",IF(AND(M172="Confirmed",OR(L172="",K172="",K172="Unknown",K172="Low")),"Confirmed link lacks verification","OK — verify source"))))))))))))))</f>
        <v/>
      </c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8" t="n"/>
      <c r="M173" s="27" t="n"/>
      <c r="N173" s="27">
        <f>IF(COUNTA(A173:M173)=0,"",IF(OR(A173="",B173="",C173="",D173="",E173="",F173="",I173="",J173="",K173="",M173=""),"Required link detail missing",IF(COUNTIF($A$4:$A$1003,A173)&gt;1,"Duplicate Map Edge ID",IF(NOT(OR(AND(B173="UC",E173="CAP",D173="requires"),AND(B173="CAP",E173="AIR",D173="provided by"),AND(B173="AIR",OR(E173="MOD",E173="DATA",E173="IF",E173="AG",E173="TOOL"),D173="references"),AND(B173="AIR",E173="AIR",D173="depends on"))),"Invalid relationship",IF(AND(M173&lt;&gt;"Superseded",COUNTIFS($B$4:$B$1003,B173,$C$4:$C$1003,C173,$D$4:$D$1003,D173,$E$4:$E$1003,E173,$F$4:$F$1003,F173,$G$4:$G$1003,G173,$M$4:$M$1003,"&lt;&gt;Superseded")&gt;1),"Duplicate relationship",IF(OR(IF(B173="UC",COUNTIF('Use cases'!$A$4:$A$253,C173),IF(B173="CAP",COUNTIF(Capabilities!$A$4:$A$253,C173),IF(B173="AIR",COUNTIF('System map'!$A$4:$A$203,C173),COUNTIFS(Components!$A$4:$A$253,C173,Components!$B$4:$B$253,B173))))&lt;&gt;1,IF(E173="UC",COUNTIF('Use cases'!$A$4:$A$253,F173),IF(E173="CAP",COUNTIF(Capabilities!$A$4:$A$253,F173),IF(E173="AIR",COUNTIF('System map'!$A$4:$A$203,F173),COUNTIFS(Components!$A$4:$A$253,F173,Components!$B$4:$B$253,E173))))&lt;&gt;1),"Endpoint missing or duplicated",IF(AND(NOT(AND(B173="UC",E173="CAP")),OR(G173="",COUNTIF('System map'!$A$4:$A$203,G173)&lt;&gt;1)),"AIR context missing / unknown",IF(AND(B173="CAP",E173="AIR",G173&lt;&gt;F173),"AIR context mismatch",IF(AND(B173="AIR",G173&lt;&gt;C173),"AIR context mismatch",IF(AND(B173="AIR",E173="AIR",C173=F173),"Self-dependency",IF(AND(B173="AIR",E173="AIR",M173&lt;&gt;"Superseded",COUNTIFS($B$4:$B$1003,"AIR",$C$4:$C$1003,F173,$E$4:$E$1003,"AIR",$F$4:$F$1003,C173,$M$4:$M$1003,"&lt;&gt;Superseded")&gt;0),"Dependency cycle (A↔B) — review",IF(AND(B173="AIR",OR(E173="MOD",E173="DATA",E173="IF",E173="AG",E173="TOOL"),IFERROR(INDEX(Components!$G$4:$G$253,MATCH(F173,Components!$A$4:$A$253,0)),"")&lt;&gt;"",IFERROR(INDEX(Components!$G$4:$G$253,MATCH(F173,Components!$A$4:$A$253,0)),"")&lt;&gt;C173),"Component owned by another AIR-ID",IF(AND(M173="Confirmed",OR(IF(B173="UC",COUNTIFS('Use cases'!$A$4:$A$253,C173,'Use cases'!$I$4:$I$253,"Confirmed",'Use cases'!$J$4:$J$253,"OK — verify source"),IF(B173="CAP",COUNTIFS(Capabilities!$A$4:$A$253,C173,Capabilities!$J$4:$J$253,"Confirmed",Capabilities!$K$4:$K$253,"OK — verify source"),IF(B173="AIR",COUNTIFS('System map'!$A$4:$A$203,C173,'System map'!$B$4:$B$203,"&lt;&gt;",'System map'!$C$4:$C$203,"&lt;&gt;",'System map'!$D$4:$D$203,"&lt;&gt;"),COUNTIFS(Components!$A$4:$A$253,C173,Components!$B$4:$B$253,B173,Components!$K$4:$K$253,"Confirmed",Components!$L$4:$L$253,"OK — verify source"))))&lt;&gt;1,IF(E173="UC",COUNTIFS('Use cases'!$A$4:$A$253,F173,'Use cases'!$I$4:$I$253,"Confirmed",'Use cases'!$J$4:$J$253,"OK — verify source"),IF(E173="CAP",COUNTIFS(Capabilities!$A$4:$A$253,F173,Capabilities!$J$4:$J$253,"Confirmed",Capabilities!$K$4:$K$253,"OK — verify source"),IF(E173="AIR",COUNTIFS('System map'!$A$4:$A$203,F173,'System map'!$B$4:$B$203,"&lt;&gt;",'System map'!$C$4:$C$203,"&lt;&gt;",'System map'!$D$4:$D$203,"&lt;&gt;"),COUNTIFS(Components!$A$4:$A$253,F173,Components!$B$4:$B$253,E173,Components!$K$4:$K$253,"Confirmed",Components!$L$4:$L$253,"OK — verify source"))))&lt;&gt;1)),"Endpoint not source-reconciled",IF(AND(M173="Confirmed",OR(L173="",K173="",K173="Unknown",K173="Low")),"Confirmed link lacks verification","OK — verify source"))))))))))))))</f>
        <v/>
      </c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6" t="n"/>
      <c r="M174" s="25" t="n"/>
      <c r="N174" s="25">
        <f>IF(COUNTA(A174:M174)=0,"",IF(OR(A174="",B174="",C174="",D174="",E174="",F174="",I174="",J174="",K174="",M174=""),"Required link detail missing",IF(COUNTIF($A$4:$A$1003,A174)&gt;1,"Duplicate Map Edge ID",IF(NOT(OR(AND(B174="UC",E174="CAP",D174="requires"),AND(B174="CAP",E174="AIR",D174="provided by"),AND(B174="AIR",OR(E174="MOD",E174="DATA",E174="IF",E174="AG",E174="TOOL"),D174="references"),AND(B174="AIR",E174="AIR",D174="depends on"))),"Invalid relationship",IF(AND(M174&lt;&gt;"Superseded",COUNTIFS($B$4:$B$1003,B174,$C$4:$C$1003,C174,$D$4:$D$1003,D174,$E$4:$E$1003,E174,$F$4:$F$1003,F174,$G$4:$G$1003,G174,$M$4:$M$1003,"&lt;&gt;Superseded")&gt;1),"Duplicate relationship",IF(OR(IF(B174="UC",COUNTIF('Use cases'!$A$4:$A$253,C174),IF(B174="CAP",COUNTIF(Capabilities!$A$4:$A$253,C174),IF(B174="AIR",COUNTIF('System map'!$A$4:$A$203,C174),COUNTIFS(Components!$A$4:$A$253,C174,Components!$B$4:$B$253,B174))))&lt;&gt;1,IF(E174="UC",COUNTIF('Use cases'!$A$4:$A$253,F174),IF(E174="CAP",COUNTIF(Capabilities!$A$4:$A$253,F174),IF(E174="AIR",COUNTIF('System map'!$A$4:$A$203,F174),COUNTIFS(Components!$A$4:$A$253,F174,Components!$B$4:$B$253,E174))))&lt;&gt;1),"Endpoint missing or duplicated",IF(AND(NOT(AND(B174="UC",E174="CAP")),OR(G174="",COUNTIF('System map'!$A$4:$A$203,G174)&lt;&gt;1)),"AIR context missing / unknown",IF(AND(B174="CAP",E174="AIR",G174&lt;&gt;F174),"AIR context mismatch",IF(AND(B174="AIR",G174&lt;&gt;C174),"AIR context mismatch",IF(AND(B174="AIR",E174="AIR",C174=F174),"Self-dependency",IF(AND(B174="AIR",E174="AIR",M174&lt;&gt;"Superseded",COUNTIFS($B$4:$B$1003,"AIR",$C$4:$C$1003,F174,$E$4:$E$1003,"AIR",$F$4:$F$1003,C174,$M$4:$M$1003,"&lt;&gt;Superseded")&gt;0),"Dependency cycle (A↔B) — review",IF(AND(B174="AIR",OR(E174="MOD",E174="DATA",E174="IF",E174="AG",E174="TOOL"),IFERROR(INDEX(Components!$G$4:$G$253,MATCH(F174,Components!$A$4:$A$253,0)),"")&lt;&gt;"",IFERROR(INDEX(Components!$G$4:$G$253,MATCH(F174,Components!$A$4:$A$253,0)),"")&lt;&gt;C174),"Component owned by another AIR-ID",IF(AND(M174="Confirmed",OR(IF(B174="UC",COUNTIFS('Use cases'!$A$4:$A$253,C174,'Use cases'!$I$4:$I$253,"Confirmed",'Use cases'!$J$4:$J$253,"OK — verify source"),IF(B174="CAP",COUNTIFS(Capabilities!$A$4:$A$253,C174,Capabilities!$J$4:$J$253,"Confirmed",Capabilities!$K$4:$K$253,"OK — verify source"),IF(B174="AIR",COUNTIFS('System map'!$A$4:$A$203,C174,'System map'!$B$4:$B$203,"&lt;&gt;",'System map'!$C$4:$C$203,"&lt;&gt;",'System map'!$D$4:$D$203,"&lt;&gt;"),COUNTIFS(Components!$A$4:$A$253,C174,Components!$B$4:$B$253,B174,Components!$K$4:$K$253,"Confirmed",Components!$L$4:$L$253,"OK — verify source"))))&lt;&gt;1,IF(E174="UC",COUNTIFS('Use cases'!$A$4:$A$253,F174,'Use cases'!$I$4:$I$253,"Confirmed",'Use cases'!$J$4:$J$253,"OK — verify source"),IF(E174="CAP",COUNTIFS(Capabilities!$A$4:$A$253,F174,Capabilities!$J$4:$J$253,"Confirmed",Capabilities!$K$4:$K$253,"OK — verify source"),IF(E174="AIR",COUNTIFS('System map'!$A$4:$A$203,F174,'System map'!$B$4:$B$203,"&lt;&gt;",'System map'!$C$4:$C$203,"&lt;&gt;",'System map'!$D$4:$D$203,"&lt;&gt;"),COUNTIFS(Components!$A$4:$A$253,F174,Components!$B$4:$B$253,E174,Components!$K$4:$K$253,"Confirmed",Components!$L$4:$L$253,"OK — verify source"))))&lt;&gt;1)),"Endpoint not source-reconciled",IF(AND(M174="Confirmed",OR(L174="",K174="",K174="Unknown",K174="Low")),"Confirmed link lacks verification","OK — verify source"))))))))))))))</f>
        <v/>
      </c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8" t="n"/>
      <c r="M175" s="27" t="n"/>
      <c r="N175" s="27">
        <f>IF(COUNTA(A175:M175)=0,"",IF(OR(A175="",B175="",C175="",D175="",E175="",F175="",I175="",J175="",K175="",M175=""),"Required link detail missing",IF(COUNTIF($A$4:$A$1003,A175)&gt;1,"Duplicate Map Edge ID",IF(NOT(OR(AND(B175="UC",E175="CAP",D175="requires"),AND(B175="CAP",E175="AIR",D175="provided by"),AND(B175="AIR",OR(E175="MOD",E175="DATA",E175="IF",E175="AG",E175="TOOL"),D175="references"),AND(B175="AIR",E175="AIR",D175="depends on"))),"Invalid relationship",IF(AND(M175&lt;&gt;"Superseded",COUNTIFS($B$4:$B$1003,B175,$C$4:$C$1003,C175,$D$4:$D$1003,D175,$E$4:$E$1003,E175,$F$4:$F$1003,F175,$G$4:$G$1003,G175,$M$4:$M$1003,"&lt;&gt;Superseded")&gt;1),"Duplicate relationship",IF(OR(IF(B175="UC",COUNTIF('Use cases'!$A$4:$A$253,C175),IF(B175="CAP",COUNTIF(Capabilities!$A$4:$A$253,C175),IF(B175="AIR",COUNTIF('System map'!$A$4:$A$203,C175),COUNTIFS(Components!$A$4:$A$253,C175,Components!$B$4:$B$253,B175))))&lt;&gt;1,IF(E175="UC",COUNTIF('Use cases'!$A$4:$A$253,F175),IF(E175="CAP",COUNTIF(Capabilities!$A$4:$A$253,F175),IF(E175="AIR",COUNTIF('System map'!$A$4:$A$203,F175),COUNTIFS(Components!$A$4:$A$253,F175,Components!$B$4:$B$253,E175))))&lt;&gt;1),"Endpoint missing or duplicated",IF(AND(NOT(AND(B175="UC",E175="CAP")),OR(G175="",COUNTIF('System map'!$A$4:$A$203,G175)&lt;&gt;1)),"AIR context missing / unknown",IF(AND(B175="CAP",E175="AIR",G175&lt;&gt;F175),"AIR context mismatch",IF(AND(B175="AIR",G175&lt;&gt;C175),"AIR context mismatch",IF(AND(B175="AIR",E175="AIR",C175=F175),"Self-dependency",IF(AND(B175="AIR",E175="AIR",M175&lt;&gt;"Superseded",COUNTIFS($B$4:$B$1003,"AIR",$C$4:$C$1003,F175,$E$4:$E$1003,"AIR",$F$4:$F$1003,C175,$M$4:$M$1003,"&lt;&gt;Superseded")&gt;0),"Dependency cycle (A↔B) — review",IF(AND(B175="AIR",OR(E175="MOD",E175="DATA",E175="IF",E175="AG",E175="TOOL"),IFERROR(INDEX(Components!$G$4:$G$253,MATCH(F175,Components!$A$4:$A$253,0)),"")&lt;&gt;"",IFERROR(INDEX(Components!$G$4:$G$253,MATCH(F175,Components!$A$4:$A$253,0)),"")&lt;&gt;C175),"Component owned by another AIR-ID",IF(AND(M175="Confirmed",OR(IF(B175="UC",COUNTIFS('Use cases'!$A$4:$A$253,C175,'Use cases'!$I$4:$I$253,"Confirmed",'Use cases'!$J$4:$J$253,"OK — verify source"),IF(B175="CAP",COUNTIFS(Capabilities!$A$4:$A$253,C175,Capabilities!$J$4:$J$253,"Confirmed",Capabilities!$K$4:$K$253,"OK — verify source"),IF(B175="AIR",COUNTIFS('System map'!$A$4:$A$203,C175,'System map'!$B$4:$B$203,"&lt;&gt;",'System map'!$C$4:$C$203,"&lt;&gt;",'System map'!$D$4:$D$203,"&lt;&gt;"),COUNTIFS(Components!$A$4:$A$253,C175,Components!$B$4:$B$253,B175,Components!$K$4:$K$253,"Confirmed",Components!$L$4:$L$253,"OK — verify source"))))&lt;&gt;1,IF(E175="UC",COUNTIFS('Use cases'!$A$4:$A$253,F175,'Use cases'!$I$4:$I$253,"Confirmed",'Use cases'!$J$4:$J$253,"OK — verify source"),IF(E175="CAP",COUNTIFS(Capabilities!$A$4:$A$253,F175,Capabilities!$J$4:$J$253,"Confirmed",Capabilities!$K$4:$K$253,"OK — verify source"),IF(E175="AIR",COUNTIFS('System map'!$A$4:$A$203,F175,'System map'!$B$4:$B$203,"&lt;&gt;",'System map'!$C$4:$C$203,"&lt;&gt;",'System map'!$D$4:$D$203,"&lt;&gt;"),COUNTIFS(Components!$A$4:$A$253,F175,Components!$B$4:$B$253,E175,Components!$K$4:$K$253,"Confirmed",Components!$L$4:$L$253,"OK — verify source"))))&lt;&gt;1)),"Endpoint not source-reconciled",IF(AND(M175="Confirmed",OR(L175="",K175="",K175="Unknown",K175="Low")),"Confirmed link lacks verification","OK — verify source"))))))))))))))</f>
        <v/>
      </c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6" t="n"/>
      <c r="M176" s="25" t="n"/>
      <c r="N176" s="25">
        <f>IF(COUNTA(A176:M176)=0,"",IF(OR(A176="",B176="",C176="",D176="",E176="",F176="",I176="",J176="",K176="",M176=""),"Required link detail missing",IF(COUNTIF($A$4:$A$1003,A176)&gt;1,"Duplicate Map Edge ID",IF(NOT(OR(AND(B176="UC",E176="CAP",D176="requires"),AND(B176="CAP",E176="AIR",D176="provided by"),AND(B176="AIR",OR(E176="MOD",E176="DATA",E176="IF",E176="AG",E176="TOOL"),D176="references"),AND(B176="AIR",E176="AIR",D176="depends on"))),"Invalid relationship",IF(AND(M176&lt;&gt;"Superseded",COUNTIFS($B$4:$B$1003,B176,$C$4:$C$1003,C176,$D$4:$D$1003,D176,$E$4:$E$1003,E176,$F$4:$F$1003,F176,$G$4:$G$1003,G176,$M$4:$M$1003,"&lt;&gt;Superseded")&gt;1),"Duplicate relationship",IF(OR(IF(B176="UC",COUNTIF('Use cases'!$A$4:$A$253,C176),IF(B176="CAP",COUNTIF(Capabilities!$A$4:$A$253,C176),IF(B176="AIR",COUNTIF('System map'!$A$4:$A$203,C176),COUNTIFS(Components!$A$4:$A$253,C176,Components!$B$4:$B$253,B176))))&lt;&gt;1,IF(E176="UC",COUNTIF('Use cases'!$A$4:$A$253,F176),IF(E176="CAP",COUNTIF(Capabilities!$A$4:$A$253,F176),IF(E176="AIR",COUNTIF('System map'!$A$4:$A$203,F176),COUNTIFS(Components!$A$4:$A$253,F176,Components!$B$4:$B$253,E176))))&lt;&gt;1),"Endpoint missing or duplicated",IF(AND(NOT(AND(B176="UC",E176="CAP")),OR(G176="",COUNTIF('System map'!$A$4:$A$203,G176)&lt;&gt;1)),"AIR context missing / unknown",IF(AND(B176="CAP",E176="AIR",G176&lt;&gt;F176),"AIR context mismatch",IF(AND(B176="AIR",G176&lt;&gt;C176),"AIR context mismatch",IF(AND(B176="AIR",E176="AIR",C176=F176),"Self-dependency",IF(AND(B176="AIR",E176="AIR",M176&lt;&gt;"Superseded",COUNTIFS($B$4:$B$1003,"AIR",$C$4:$C$1003,F176,$E$4:$E$1003,"AIR",$F$4:$F$1003,C176,$M$4:$M$1003,"&lt;&gt;Superseded")&gt;0),"Dependency cycle (A↔B) — review",IF(AND(B176="AIR",OR(E176="MOD",E176="DATA",E176="IF",E176="AG",E176="TOOL"),IFERROR(INDEX(Components!$G$4:$G$253,MATCH(F176,Components!$A$4:$A$253,0)),"")&lt;&gt;"",IFERROR(INDEX(Components!$G$4:$G$253,MATCH(F176,Components!$A$4:$A$253,0)),"")&lt;&gt;C176),"Component owned by another AIR-ID",IF(AND(M176="Confirmed",OR(IF(B176="UC",COUNTIFS('Use cases'!$A$4:$A$253,C176,'Use cases'!$I$4:$I$253,"Confirmed",'Use cases'!$J$4:$J$253,"OK — verify source"),IF(B176="CAP",COUNTIFS(Capabilities!$A$4:$A$253,C176,Capabilities!$J$4:$J$253,"Confirmed",Capabilities!$K$4:$K$253,"OK — verify source"),IF(B176="AIR",COUNTIFS('System map'!$A$4:$A$203,C176,'System map'!$B$4:$B$203,"&lt;&gt;",'System map'!$C$4:$C$203,"&lt;&gt;",'System map'!$D$4:$D$203,"&lt;&gt;"),COUNTIFS(Components!$A$4:$A$253,C176,Components!$B$4:$B$253,B176,Components!$K$4:$K$253,"Confirmed",Components!$L$4:$L$253,"OK — verify source"))))&lt;&gt;1,IF(E176="UC",COUNTIFS('Use cases'!$A$4:$A$253,F176,'Use cases'!$I$4:$I$253,"Confirmed",'Use cases'!$J$4:$J$253,"OK — verify source"),IF(E176="CAP",COUNTIFS(Capabilities!$A$4:$A$253,F176,Capabilities!$J$4:$J$253,"Confirmed",Capabilities!$K$4:$K$253,"OK — verify source"),IF(E176="AIR",COUNTIFS('System map'!$A$4:$A$203,F176,'System map'!$B$4:$B$203,"&lt;&gt;",'System map'!$C$4:$C$203,"&lt;&gt;",'System map'!$D$4:$D$203,"&lt;&gt;"),COUNTIFS(Components!$A$4:$A$253,F176,Components!$B$4:$B$253,E176,Components!$K$4:$K$253,"Confirmed",Components!$L$4:$L$253,"OK — verify source"))))&lt;&gt;1)),"Endpoint not source-reconciled",IF(AND(M176="Confirmed",OR(L176="",K176="",K176="Unknown",K176="Low")),"Confirmed link lacks verification","OK — verify source"))))))))))))))</f>
        <v/>
      </c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8" t="n"/>
      <c r="M177" s="27" t="n"/>
      <c r="N177" s="27">
        <f>IF(COUNTA(A177:M177)=0,"",IF(OR(A177="",B177="",C177="",D177="",E177="",F177="",I177="",J177="",K177="",M177=""),"Required link detail missing",IF(COUNTIF($A$4:$A$1003,A177)&gt;1,"Duplicate Map Edge ID",IF(NOT(OR(AND(B177="UC",E177="CAP",D177="requires"),AND(B177="CAP",E177="AIR",D177="provided by"),AND(B177="AIR",OR(E177="MOD",E177="DATA",E177="IF",E177="AG",E177="TOOL"),D177="references"),AND(B177="AIR",E177="AIR",D177="depends on"))),"Invalid relationship",IF(AND(M177&lt;&gt;"Superseded",COUNTIFS($B$4:$B$1003,B177,$C$4:$C$1003,C177,$D$4:$D$1003,D177,$E$4:$E$1003,E177,$F$4:$F$1003,F177,$G$4:$G$1003,G177,$M$4:$M$1003,"&lt;&gt;Superseded")&gt;1),"Duplicate relationship",IF(OR(IF(B177="UC",COUNTIF('Use cases'!$A$4:$A$253,C177),IF(B177="CAP",COUNTIF(Capabilities!$A$4:$A$253,C177),IF(B177="AIR",COUNTIF('System map'!$A$4:$A$203,C177),COUNTIFS(Components!$A$4:$A$253,C177,Components!$B$4:$B$253,B177))))&lt;&gt;1,IF(E177="UC",COUNTIF('Use cases'!$A$4:$A$253,F177),IF(E177="CAP",COUNTIF(Capabilities!$A$4:$A$253,F177),IF(E177="AIR",COUNTIF('System map'!$A$4:$A$203,F177),COUNTIFS(Components!$A$4:$A$253,F177,Components!$B$4:$B$253,E177))))&lt;&gt;1),"Endpoint missing or duplicated",IF(AND(NOT(AND(B177="UC",E177="CAP")),OR(G177="",COUNTIF('System map'!$A$4:$A$203,G177)&lt;&gt;1)),"AIR context missing / unknown",IF(AND(B177="CAP",E177="AIR",G177&lt;&gt;F177),"AIR context mismatch",IF(AND(B177="AIR",G177&lt;&gt;C177),"AIR context mismatch",IF(AND(B177="AIR",E177="AIR",C177=F177),"Self-dependency",IF(AND(B177="AIR",E177="AIR",M177&lt;&gt;"Superseded",COUNTIFS($B$4:$B$1003,"AIR",$C$4:$C$1003,F177,$E$4:$E$1003,"AIR",$F$4:$F$1003,C177,$M$4:$M$1003,"&lt;&gt;Superseded")&gt;0),"Dependency cycle (A↔B) — review",IF(AND(B177="AIR",OR(E177="MOD",E177="DATA",E177="IF",E177="AG",E177="TOOL"),IFERROR(INDEX(Components!$G$4:$G$253,MATCH(F177,Components!$A$4:$A$253,0)),"")&lt;&gt;"",IFERROR(INDEX(Components!$G$4:$G$253,MATCH(F177,Components!$A$4:$A$253,0)),"")&lt;&gt;C177),"Component owned by another AIR-ID",IF(AND(M177="Confirmed",OR(IF(B177="UC",COUNTIFS('Use cases'!$A$4:$A$253,C177,'Use cases'!$I$4:$I$253,"Confirmed",'Use cases'!$J$4:$J$253,"OK — verify source"),IF(B177="CAP",COUNTIFS(Capabilities!$A$4:$A$253,C177,Capabilities!$J$4:$J$253,"Confirmed",Capabilities!$K$4:$K$253,"OK — verify source"),IF(B177="AIR",COUNTIFS('System map'!$A$4:$A$203,C177,'System map'!$B$4:$B$203,"&lt;&gt;",'System map'!$C$4:$C$203,"&lt;&gt;",'System map'!$D$4:$D$203,"&lt;&gt;"),COUNTIFS(Components!$A$4:$A$253,C177,Components!$B$4:$B$253,B177,Components!$K$4:$K$253,"Confirmed",Components!$L$4:$L$253,"OK — verify source"))))&lt;&gt;1,IF(E177="UC",COUNTIFS('Use cases'!$A$4:$A$253,F177,'Use cases'!$I$4:$I$253,"Confirmed",'Use cases'!$J$4:$J$253,"OK — verify source"),IF(E177="CAP",COUNTIFS(Capabilities!$A$4:$A$253,F177,Capabilities!$J$4:$J$253,"Confirmed",Capabilities!$K$4:$K$253,"OK — verify source"),IF(E177="AIR",COUNTIFS('System map'!$A$4:$A$203,F177,'System map'!$B$4:$B$203,"&lt;&gt;",'System map'!$C$4:$C$203,"&lt;&gt;",'System map'!$D$4:$D$203,"&lt;&gt;"),COUNTIFS(Components!$A$4:$A$253,F177,Components!$B$4:$B$253,E177,Components!$K$4:$K$253,"Confirmed",Components!$L$4:$L$253,"OK — verify source"))))&lt;&gt;1)),"Endpoint not source-reconciled",IF(AND(M177="Confirmed",OR(L177="",K177="",K177="Unknown",K177="Low")),"Confirmed link lacks verification","OK — verify source"))))))))))))))</f>
        <v/>
      </c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6" t="n"/>
      <c r="M178" s="25" t="n"/>
      <c r="N178" s="25">
        <f>IF(COUNTA(A178:M178)=0,"",IF(OR(A178="",B178="",C178="",D178="",E178="",F178="",I178="",J178="",K178="",M178=""),"Required link detail missing",IF(COUNTIF($A$4:$A$1003,A178)&gt;1,"Duplicate Map Edge ID",IF(NOT(OR(AND(B178="UC",E178="CAP",D178="requires"),AND(B178="CAP",E178="AIR",D178="provided by"),AND(B178="AIR",OR(E178="MOD",E178="DATA",E178="IF",E178="AG",E178="TOOL"),D178="references"),AND(B178="AIR",E178="AIR",D178="depends on"))),"Invalid relationship",IF(AND(M178&lt;&gt;"Superseded",COUNTIFS($B$4:$B$1003,B178,$C$4:$C$1003,C178,$D$4:$D$1003,D178,$E$4:$E$1003,E178,$F$4:$F$1003,F178,$G$4:$G$1003,G178,$M$4:$M$1003,"&lt;&gt;Superseded")&gt;1),"Duplicate relationship",IF(OR(IF(B178="UC",COUNTIF('Use cases'!$A$4:$A$253,C178),IF(B178="CAP",COUNTIF(Capabilities!$A$4:$A$253,C178),IF(B178="AIR",COUNTIF('System map'!$A$4:$A$203,C178),COUNTIFS(Components!$A$4:$A$253,C178,Components!$B$4:$B$253,B178))))&lt;&gt;1,IF(E178="UC",COUNTIF('Use cases'!$A$4:$A$253,F178),IF(E178="CAP",COUNTIF(Capabilities!$A$4:$A$253,F178),IF(E178="AIR",COUNTIF('System map'!$A$4:$A$203,F178),COUNTIFS(Components!$A$4:$A$253,F178,Components!$B$4:$B$253,E178))))&lt;&gt;1),"Endpoint missing or duplicated",IF(AND(NOT(AND(B178="UC",E178="CAP")),OR(G178="",COUNTIF('System map'!$A$4:$A$203,G178)&lt;&gt;1)),"AIR context missing / unknown",IF(AND(B178="CAP",E178="AIR",G178&lt;&gt;F178),"AIR context mismatch",IF(AND(B178="AIR",G178&lt;&gt;C178),"AIR context mismatch",IF(AND(B178="AIR",E178="AIR",C178=F178),"Self-dependency",IF(AND(B178="AIR",E178="AIR",M178&lt;&gt;"Superseded",COUNTIFS($B$4:$B$1003,"AIR",$C$4:$C$1003,F178,$E$4:$E$1003,"AIR",$F$4:$F$1003,C178,$M$4:$M$1003,"&lt;&gt;Superseded")&gt;0),"Dependency cycle (A↔B) — review",IF(AND(B178="AIR",OR(E178="MOD",E178="DATA",E178="IF",E178="AG",E178="TOOL"),IFERROR(INDEX(Components!$G$4:$G$253,MATCH(F178,Components!$A$4:$A$253,0)),"")&lt;&gt;"",IFERROR(INDEX(Components!$G$4:$G$253,MATCH(F178,Components!$A$4:$A$253,0)),"")&lt;&gt;C178),"Component owned by another AIR-ID",IF(AND(M178="Confirmed",OR(IF(B178="UC",COUNTIFS('Use cases'!$A$4:$A$253,C178,'Use cases'!$I$4:$I$253,"Confirmed",'Use cases'!$J$4:$J$253,"OK — verify source"),IF(B178="CAP",COUNTIFS(Capabilities!$A$4:$A$253,C178,Capabilities!$J$4:$J$253,"Confirmed",Capabilities!$K$4:$K$253,"OK — verify source"),IF(B178="AIR",COUNTIFS('System map'!$A$4:$A$203,C178,'System map'!$B$4:$B$203,"&lt;&gt;",'System map'!$C$4:$C$203,"&lt;&gt;",'System map'!$D$4:$D$203,"&lt;&gt;"),COUNTIFS(Components!$A$4:$A$253,C178,Components!$B$4:$B$253,B178,Components!$K$4:$K$253,"Confirmed",Components!$L$4:$L$253,"OK — verify source"))))&lt;&gt;1,IF(E178="UC",COUNTIFS('Use cases'!$A$4:$A$253,F178,'Use cases'!$I$4:$I$253,"Confirmed",'Use cases'!$J$4:$J$253,"OK — verify source"),IF(E178="CAP",COUNTIFS(Capabilities!$A$4:$A$253,F178,Capabilities!$J$4:$J$253,"Confirmed",Capabilities!$K$4:$K$253,"OK — verify source"),IF(E178="AIR",COUNTIFS('System map'!$A$4:$A$203,F178,'System map'!$B$4:$B$203,"&lt;&gt;",'System map'!$C$4:$C$203,"&lt;&gt;",'System map'!$D$4:$D$203,"&lt;&gt;"),COUNTIFS(Components!$A$4:$A$253,F178,Components!$B$4:$B$253,E178,Components!$K$4:$K$253,"Confirmed",Components!$L$4:$L$253,"OK — verify source"))))&lt;&gt;1)),"Endpoint not source-reconciled",IF(AND(M178="Confirmed",OR(L178="",K178="",K178="Unknown",K178="Low")),"Confirmed link lacks verification","OK — verify source"))))))))))))))</f>
        <v/>
      </c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8" t="n"/>
      <c r="M179" s="27" t="n"/>
      <c r="N179" s="27">
        <f>IF(COUNTA(A179:M179)=0,"",IF(OR(A179="",B179="",C179="",D179="",E179="",F179="",I179="",J179="",K179="",M179=""),"Required link detail missing",IF(COUNTIF($A$4:$A$1003,A179)&gt;1,"Duplicate Map Edge ID",IF(NOT(OR(AND(B179="UC",E179="CAP",D179="requires"),AND(B179="CAP",E179="AIR",D179="provided by"),AND(B179="AIR",OR(E179="MOD",E179="DATA",E179="IF",E179="AG",E179="TOOL"),D179="references"),AND(B179="AIR",E179="AIR",D179="depends on"))),"Invalid relationship",IF(AND(M179&lt;&gt;"Superseded",COUNTIFS($B$4:$B$1003,B179,$C$4:$C$1003,C179,$D$4:$D$1003,D179,$E$4:$E$1003,E179,$F$4:$F$1003,F179,$G$4:$G$1003,G179,$M$4:$M$1003,"&lt;&gt;Superseded")&gt;1),"Duplicate relationship",IF(OR(IF(B179="UC",COUNTIF('Use cases'!$A$4:$A$253,C179),IF(B179="CAP",COUNTIF(Capabilities!$A$4:$A$253,C179),IF(B179="AIR",COUNTIF('System map'!$A$4:$A$203,C179),COUNTIFS(Components!$A$4:$A$253,C179,Components!$B$4:$B$253,B179))))&lt;&gt;1,IF(E179="UC",COUNTIF('Use cases'!$A$4:$A$253,F179),IF(E179="CAP",COUNTIF(Capabilities!$A$4:$A$253,F179),IF(E179="AIR",COUNTIF('System map'!$A$4:$A$203,F179),COUNTIFS(Components!$A$4:$A$253,F179,Components!$B$4:$B$253,E179))))&lt;&gt;1),"Endpoint missing or duplicated",IF(AND(NOT(AND(B179="UC",E179="CAP")),OR(G179="",COUNTIF('System map'!$A$4:$A$203,G179)&lt;&gt;1)),"AIR context missing / unknown",IF(AND(B179="CAP",E179="AIR",G179&lt;&gt;F179),"AIR context mismatch",IF(AND(B179="AIR",G179&lt;&gt;C179),"AIR context mismatch",IF(AND(B179="AIR",E179="AIR",C179=F179),"Self-dependency",IF(AND(B179="AIR",E179="AIR",M179&lt;&gt;"Superseded",COUNTIFS($B$4:$B$1003,"AIR",$C$4:$C$1003,F179,$E$4:$E$1003,"AIR",$F$4:$F$1003,C179,$M$4:$M$1003,"&lt;&gt;Superseded")&gt;0),"Dependency cycle (A↔B) — review",IF(AND(B179="AIR",OR(E179="MOD",E179="DATA",E179="IF",E179="AG",E179="TOOL"),IFERROR(INDEX(Components!$G$4:$G$253,MATCH(F179,Components!$A$4:$A$253,0)),"")&lt;&gt;"",IFERROR(INDEX(Components!$G$4:$G$253,MATCH(F179,Components!$A$4:$A$253,0)),"")&lt;&gt;C179),"Component owned by another AIR-ID",IF(AND(M179="Confirmed",OR(IF(B179="UC",COUNTIFS('Use cases'!$A$4:$A$253,C179,'Use cases'!$I$4:$I$253,"Confirmed",'Use cases'!$J$4:$J$253,"OK — verify source"),IF(B179="CAP",COUNTIFS(Capabilities!$A$4:$A$253,C179,Capabilities!$J$4:$J$253,"Confirmed",Capabilities!$K$4:$K$253,"OK — verify source"),IF(B179="AIR",COUNTIFS('System map'!$A$4:$A$203,C179,'System map'!$B$4:$B$203,"&lt;&gt;",'System map'!$C$4:$C$203,"&lt;&gt;",'System map'!$D$4:$D$203,"&lt;&gt;"),COUNTIFS(Components!$A$4:$A$253,C179,Components!$B$4:$B$253,B179,Components!$K$4:$K$253,"Confirmed",Components!$L$4:$L$253,"OK — verify source"))))&lt;&gt;1,IF(E179="UC",COUNTIFS('Use cases'!$A$4:$A$253,F179,'Use cases'!$I$4:$I$253,"Confirmed",'Use cases'!$J$4:$J$253,"OK — verify source"),IF(E179="CAP",COUNTIFS(Capabilities!$A$4:$A$253,F179,Capabilities!$J$4:$J$253,"Confirmed",Capabilities!$K$4:$K$253,"OK — verify source"),IF(E179="AIR",COUNTIFS('System map'!$A$4:$A$203,F179,'System map'!$B$4:$B$203,"&lt;&gt;",'System map'!$C$4:$C$203,"&lt;&gt;",'System map'!$D$4:$D$203,"&lt;&gt;"),COUNTIFS(Components!$A$4:$A$253,F179,Components!$B$4:$B$253,E179,Components!$K$4:$K$253,"Confirmed",Components!$L$4:$L$253,"OK — verify source"))))&lt;&gt;1)),"Endpoint not source-reconciled",IF(AND(M179="Confirmed",OR(L179="",K179="",K179="Unknown",K179="Low")),"Confirmed link lacks verification","OK — verify source"))))))))))))))</f>
        <v/>
      </c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6" t="n"/>
      <c r="M180" s="25" t="n"/>
      <c r="N180" s="25">
        <f>IF(COUNTA(A180:M180)=0,"",IF(OR(A180="",B180="",C180="",D180="",E180="",F180="",I180="",J180="",K180="",M180=""),"Required link detail missing",IF(COUNTIF($A$4:$A$1003,A180)&gt;1,"Duplicate Map Edge ID",IF(NOT(OR(AND(B180="UC",E180="CAP",D180="requires"),AND(B180="CAP",E180="AIR",D180="provided by"),AND(B180="AIR",OR(E180="MOD",E180="DATA",E180="IF",E180="AG",E180="TOOL"),D180="references"),AND(B180="AIR",E180="AIR",D180="depends on"))),"Invalid relationship",IF(AND(M180&lt;&gt;"Superseded",COUNTIFS($B$4:$B$1003,B180,$C$4:$C$1003,C180,$D$4:$D$1003,D180,$E$4:$E$1003,E180,$F$4:$F$1003,F180,$G$4:$G$1003,G180,$M$4:$M$1003,"&lt;&gt;Superseded")&gt;1),"Duplicate relationship",IF(OR(IF(B180="UC",COUNTIF('Use cases'!$A$4:$A$253,C180),IF(B180="CAP",COUNTIF(Capabilities!$A$4:$A$253,C180),IF(B180="AIR",COUNTIF('System map'!$A$4:$A$203,C180),COUNTIFS(Components!$A$4:$A$253,C180,Components!$B$4:$B$253,B180))))&lt;&gt;1,IF(E180="UC",COUNTIF('Use cases'!$A$4:$A$253,F180),IF(E180="CAP",COUNTIF(Capabilities!$A$4:$A$253,F180),IF(E180="AIR",COUNTIF('System map'!$A$4:$A$203,F180),COUNTIFS(Components!$A$4:$A$253,F180,Components!$B$4:$B$253,E180))))&lt;&gt;1),"Endpoint missing or duplicated",IF(AND(NOT(AND(B180="UC",E180="CAP")),OR(G180="",COUNTIF('System map'!$A$4:$A$203,G180)&lt;&gt;1)),"AIR context missing / unknown",IF(AND(B180="CAP",E180="AIR",G180&lt;&gt;F180),"AIR context mismatch",IF(AND(B180="AIR",G180&lt;&gt;C180),"AIR context mismatch",IF(AND(B180="AIR",E180="AIR",C180=F180),"Self-dependency",IF(AND(B180="AIR",E180="AIR",M180&lt;&gt;"Superseded",COUNTIFS($B$4:$B$1003,"AIR",$C$4:$C$1003,F180,$E$4:$E$1003,"AIR",$F$4:$F$1003,C180,$M$4:$M$1003,"&lt;&gt;Superseded")&gt;0),"Dependency cycle (A↔B) — review",IF(AND(B180="AIR",OR(E180="MOD",E180="DATA",E180="IF",E180="AG",E180="TOOL"),IFERROR(INDEX(Components!$G$4:$G$253,MATCH(F180,Components!$A$4:$A$253,0)),"")&lt;&gt;"",IFERROR(INDEX(Components!$G$4:$G$253,MATCH(F180,Components!$A$4:$A$253,0)),"")&lt;&gt;C180),"Component owned by another AIR-ID",IF(AND(M180="Confirmed",OR(IF(B180="UC",COUNTIFS('Use cases'!$A$4:$A$253,C180,'Use cases'!$I$4:$I$253,"Confirmed",'Use cases'!$J$4:$J$253,"OK — verify source"),IF(B180="CAP",COUNTIFS(Capabilities!$A$4:$A$253,C180,Capabilities!$J$4:$J$253,"Confirmed",Capabilities!$K$4:$K$253,"OK — verify source"),IF(B180="AIR",COUNTIFS('System map'!$A$4:$A$203,C180,'System map'!$B$4:$B$203,"&lt;&gt;",'System map'!$C$4:$C$203,"&lt;&gt;",'System map'!$D$4:$D$203,"&lt;&gt;"),COUNTIFS(Components!$A$4:$A$253,C180,Components!$B$4:$B$253,B180,Components!$K$4:$K$253,"Confirmed",Components!$L$4:$L$253,"OK — verify source"))))&lt;&gt;1,IF(E180="UC",COUNTIFS('Use cases'!$A$4:$A$253,F180,'Use cases'!$I$4:$I$253,"Confirmed",'Use cases'!$J$4:$J$253,"OK — verify source"),IF(E180="CAP",COUNTIFS(Capabilities!$A$4:$A$253,F180,Capabilities!$J$4:$J$253,"Confirmed",Capabilities!$K$4:$K$253,"OK — verify source"),IF(E180="AIR",COUNTIFS('System map'!$A$4:$A$203,F180,'System map'!$B$4:$B$203,"&lt;&gt;",'System map'!$C$4:$C$203,"&lt;&gt;",'System map'!$D$4:$D$203,"&lt;&gt;"),COUNTIFS(Components!$A$4:$A$253,F180,Components!$B$4:$B$253,E180,Components!$K$4:$K$253,"Confirmed",Components!$L$4:$L$253,"OK — verify source"))))&lt;&gt;1)),"Endpoint not source-reconciled",IF(AND(M180="Confirmed",OR(L180="",K180="",K180="Unknown",K180="Low")),"Confirmed link lacks verification","OK — verify source"))))))))))))))</f>
        <v/>
      </c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8" t="n"/>
      <c r="M181" s="27" t="n"/>
      <c r="N181" s="27">
        <f>IF(COUNTA(A181:M181)=0,"",IF(OR(A181="",B181="",C181="",D181="",E181="",F181="",I181="",J181="",K181="",M181=""),"Required link detail missing",IF(COUNTIF($A$4:$A$1003,A181)&gt;1,"Duplicate Map Edge ID",IF(NOT(OR(AND(B181="UC",E181="CAP",D181="requires"),AND(B181="CAP",E181="AIR",D181="provided by"),AND(B181="AIR",OR(E181="MOD",E181="DATA",E181="IF",E181="AG",E181="TOOL"),D181="references"),AND(B181="AIR",E181="AIR",D181="depends on"))),"Invalid relationship",IF(AND(M181&lt;&gt;"Superseded",COUNTIFS($B$4:$B$1003,B181,$C$4:$C$1003,C181,$D$4:$D$1003,D181,$E$4:$E$1003,E181,$F$4:$F$1003,F181,$G$4:$G$1003,G181,$M$4:$M$1003,"&lt;&gt;Superseded")&gt;1),"Duplicate relationship",IF(OR(IF(B181="UC",COUNTIF('Use cases'!$A$4:$A$253,C181),IF(B181="CAP",COUNTIF(Capabilities!$A$4:$A$253,C181),IF(B181="AIR",COUNTIF('System map'!$A$4:$A$203,C181),COUNTIFS(Components!$A$4:$A$253,C181,Components!$B$4:$B$253,B181))))&lt;&gt;1,IF(E181="UC",COUNTIF('Use cases'!$A$4:$A$253,F181),IF(E181="CAP",COUNTIF(Capabilities!$A$4:$A$253,F181),IF(E181="AIR",COUNTIF('System map'!$A$4:$A$203,F181),COUNTIFS(Components!$A$4:$A$253,F181,Components!$B$4:$B$253,E181))))&lt;&gt;1),"Endpoint missing or duplicated",IF(AND(NOT(AND(B181="UC",E181="CAP")),OR(G181="",COUNTIF('System map'!$A$4:$A$203,G181)&lt;&gt;1)),"AIR context missing / unknown",IF(AND(B181="CAP",E181="AIR",G181&lt;&gt;F181),"AIR context mismatch",IF(AND(B181="AIR",G181&lt;&gt;C181),"AIR context mismatch",IF(AND(B181="AIR",E181="AIR",C181=F181),"Self-dependency",IF(AND(B181="AIR",E181="AIR",M181&lt;&gt;"Superseded",COUNTIFS($B$4:$B$1003,"AIR",$C$4:$C$1003,F181,$E$4:$E$1003,"AIR",$F$4:$F$1003,C181,$M$4:$M$1003,"&lt;&gt;Superseded")&gt;0),"Dependency cycle (A↔B) — review",IF(AND(B181="AIR",OR(E181="MOD",E181="DATA",E181="IF",E181="AG",E181="TOOL"),IFERROR(INDEX(Components!$G$4:$G$253,MATCH(F181,Components!$A$4:$A$253,0)),"")&lt;&gt;"",IFERROR(INDEX(Components!$G$4:$G$253,MATCH(F181,Components!$A$4:$A$253,0)),"")&lt;&gt;C181),"Component owned by another AIR-ID",IF(AND(M181="Confirmed",OR(IF(B181="UC",COUNTIFS('Use cases'!$A$4:$A$253,C181,'Use cases'!$I$4:$I$253,"Confirmed",'Use cases'!$J$4:$J$253,"OK — verify source"),IF(B181="CAP",COUNTIFS(Capabilities!$A$4:$A$253,C181,Capabilities!$J$4:$J$253,"Confirmed",Capabilities!$K$4:$K$253,"OK — verify source"),IF(B181="AIR",COUNTIFS('System map'!$A$4:$A$203,C181,'System map'!$B$4:$B$203,"&lt;&gt;",'System map'!$C$4:$C$203,"&lt;&gt;",'System map'!$D$4:$D$203,"&lt;&gt;"),COUNTIFS(Components!$A$4:$A$253,C181,Components!$B$4:$B$253,B181,Components!$K$4:$K$253,"Confirmed",Components!$L$4:$L$253,"OK — verify source"))))&lt;&gt;1,IF(E181="UC",COUNTIFS('Use cases'!$A$4:$A$253,F181,'Use cases'!$I$4:$I$253,"Confirmed",'Use cases'!$J$4:$J$253,"OK — verify source"),IF(E181="CAP",COUNTIFS(Capabilities!$A$4:$A$253,F181,Capabilities!$J$4:$J$253,"Confirmed",Capabilities!$K$4:$K$253,"OK — verify source"),IF(E181="AIR",COUNTIFS('System map'!$A$4:$A$203,F181,'System map'!$B$4:$B$203,"&lt;&gt;",'System map'!$C$4:$C$203,"&lt;&gt;",'System map'!$D$4:$D$203,"&lt;&gt;"),COUNTIFS(Components!$A$4:$A$253,F181,Components!$B$4:$B$253,E181,Components!$K$4:$K$253,"Confirmed",Components!$L$4:$L$253,"OK — verify source"))))&lt;&gt;1)),"Endpoint not source-reconciled",IF(AND(M181="Confirmed",OR(L181="",K181="",K181="Unknown",K181="Low")),"Confirmed link lacks verification","OK — verify source"))))))))))))))</f>
        <v/>
      </c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6" t="n"/>
      <c r="M182" s="25" t="n"/>
      <c r="N182" s="25">
        <f>IF(COUNTA(A182:M182)=0,"",IF(OR(A182="",B182="",C182="",D182="",E182="",F182="",I182="",J182="",K182="",M182=""),"Required link detail missing",IF(COUNTIF($A$4:$A$1003,A182)&gt;1,"Duplicate Map Edge ID",IF(NOT(OR(AND(B182="UC",E182="CAP",D182="requires"),AND(B182="CAP",E182="AIR",D182="provided by"),AND(B182="AIR",OR(E182="MOD",E182="DATA",E182="IF",E182="AG",E182="TOOL"),D182="references"),AND(B182="AIR",E182="AIR",D182="depends on"))),"Invalid relationship",IF(AND(M182&lt;&gt;"Superseded",COUNTIFS($B$4:$B$1003,B182,$C$4:$C$1003,C182,$D$4:$D$1003,D182,$E$4:$E$1003,E182,$F$4:$F$1003,F182,$G$4:$G$1003,G182,$M$4:$M$1003,"&lt;&gt;Superseded")&gt;1),"Duplicate relationship",IF(OR(IF(B182="UC",COUNTIF('Use cases'!$A$4:$A$253,C182),IF(B182="CAP",COUNTIF(Capabilities!$A$4:$A$253,C182),IF(B182="AIR",COUNTIF('System map'!$A$4:$A$203,C182),COUNTIFS(Components!$A$4:$A$253,C182,Components!$B$4:$B$253,B182))))&lt;&gt;1,IF(E182="UC",COUNTIF('Use cases'!$A$4:$A$253,F182),IF(E182="CAP",COUNTIF(Capabilities!$A$4:$A$253,F182),IF(E182="AIR",COUNTIF('System map'!$A$4:$A$203,F182),COUNTIFS(Components!$A$4:$A$253,F182,Components!$B$4:$B$253,E182))))&lt;&gt;1),"Endpoint missing or duplicated",IF(AND(NOT(AND(B182="UC",E182="CAP")),OR(G182="",COUNTIF('System map'!$A$4:$A$203,G182)&lt;&gt;1)),"AIR context missing / unknown",IF(AND(B182="CAP",E182="AIR",G182&lt;&gt;F182),"AIR context mismatch",IF(AND(B182="AIR",G182&lt;&gt;C182),"AIR context mismatch",IF(AND(B182="AIR",E182="AIR",C182=F182),"Self-dependency",IF(AND(B182="AIR",E182="AIR",M182&lt;&gt;"Superseded",COUNTIFS($B$4:$B$1003,"AIR",$C$4:$C$1003,F182,$E$4:$E$1003,"AIR",$F$4:$F$1003,C182,$M$4:$M$1003,"&lt;&gt;Superseded")&gt;0),"Dependency cycle (A↔B) — review",IF(AND(B182="AIR",OR(E182="MOD",E182="DATA",E182="IF",E182="AG",E182="TOOL"),IFERROR(INDEX(Components!$G$4:$G$253,MATCH(F182,Components!$A$4:$A$253,0)),"")&lt;&gt;"",IFERROR(INDEX(Components!$G$4:$G$253,MATCH(F182,Components!$A$4:$A$253,0)),"")&lt;&gt;C182),"Component owned by another AIR-ID",IF(AND(M182="Confirmed",OR(IF(B182="UC",COUNTIFS('Use cases'!$A$4:$A$253,C182,'Use cases'!$I$4:$I$253,"Confirmed",'Use cases'!$J$4:$J$253,"OK — verify source"),IF(B182="CAP",COUNTIFS(Capabilities!$A$4:$A$253,C182,Capabilities!$J$4:$J$253,"Confirmed",Capabilities!$K$4:$K$253,"OK — verify source"),IF(B182="AIR",COUNTIFS('System map'!$A$4:$A$203,C182,'System map'!$B$4:$B$203,"&lt;&gt;",'System map'!$C$4:$C$203,"&lt;&gt;",'System map'!$D$4:$D$203,"&lt;&gt;"),COUNTIFS(Components!$A$4:$A$253,C182,Components!$B$4:$B$253,B182,Components!$K$4:$K$253,"Confirmed",Components!$L$4:$L$253,"OK — verify source"))))&lt;&gt;1,IF(E182="UC",COUNTIFS('Use cases'!$A$4:$A$253,F182,'Use cases'!$I$4:$I$253,"Confirmed",'Use cases'!$J$4:$J$253,"OK — verify source"),IF(E182="CAP",COUNTIFS(Capabilities!$A$4:$A$253,F182,Capabilities!$J$4:$J$253,"Confirmed",Capabilities!$K$4:$K$253,"OK — verify source"),IF(E182="AIR",COUNTIFS('System map'!$A$4:$A$203,F182,'System map'!$B$4:$B$203,"&lt;&gt;",'System map'!$C$4:$C$203,"&lt;&gt;",'System map'!$D$4:$D$203,"&lt;&gt;"),COUNTIFS(Components!$A$4:$A$253,F182,Components!$B$4:$B$253,E182,Components!$K$4:$K$253,"Confirmed",Components!$L$4:$L$253,"OK — verify source"))))&lt;&gt;1)),"Endpoint not source-reconciled",IF(AND(M182="Confirmed",OR(L182="",K182="",K182="Unknown",K182="Low")),"Confirmed link lacks verification","OK — verify source"))))))))))))))</f>
        <v/>
      </c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8" t="n"/>
      <c r="M183" s="27" t="n"/>
      <c r="N183" s="27">
        <f>IF(COUNTA(A183:M183)=0,"",IF(OR(A183="",B183="",C183="",D183="",E183="",F183="",I183="",J183="",K183="",M183=""),"Required link detail missing",IF(COUNTIF($A$4:$A$1003,A183)&gt;1,"Duplicate Map Edge ID",IF(NOT(OR(AND(B183="UC",E183="CAP",D183="requires"),AND(B183="CAP",E183="AIR",D183="provided by"),AND(B183="AIR",OR(E183="MOD",E183="DATA",E183="IF",E183="AG",E183="TOOL"),D183="references"),AND(B183="AIR",E183="AIR",D183="depends on"))),"Invalid relationship",IF(AND(M183&lt;&gt;"Superseded",COUNTIFS($B$4:$B$1003,B183,$C$4:$C$1003,C183,$D$4:$D$1003,D183,$E$4:$E$1003,E183,$F$4:$F$1003,F183,$G$4:$G$1003,G183,$M$4:$M$1003,"&lt;&gt;Superseded")&gt;1),"Duplicate relationship",IF(OR(IF(B183="UC",COUNTIF('Use cases'!$A$4:$A$253,C183),IF(B183="CAP",COUNTIF(Capabilities!$A$4:$A$253,C183),IF(B183="AIR",COUNTIF('System map'!$A$4:$A$203,C183),COUNTIFS(Components!$A$4:$A$253,C183,Components!$B$4:$B$253,B183))))&lt;&gt;1,IF(E183="UC",COUNTIF('Use cases'!$A$4:$A$253,F183),IF(E183="CAP",COUNTIF(Capabilities!$A$4:$A$253,F183),IF(E183="AIR",COUNTIF('System map'!$A$4:$A$203,F183),COUNTIFS(Components!$A$4:$A$253,F183,Components!$B$4:$B$253,E183))))&lt;&gt;1),"Endpoint missing or duplicated",IF(AND(NOT(AND(B183="UC",E183="CAP")),OR(G183="",COUNTIF('System map'!$A$4:$A$203,G183)&lt;&gt;1)),"AIR context missing / unknown",IF(AND(B183="CAP",E183="AIR",G183&lt;&gt;F183),"AIR context mismatch",IF(AND(B183="AIR",G183&lt;&gt;C183),"AIR context mismatch",IF(AND(B183="AIR",E183="AIR",C183=F183),"Self-dependency",IF(AND(B183="AIR",E183="AIR",M183&lt;&gt;"Superseded",COUNTIFS($B$4:$B$1003,"AIR",$C$4:$C$1003,F183,$E$4:$E$1003,"AIR",$F$4:$F$1003,C183,$M$4:$M$1003,"&lt;&gt;Superseded")&gt;0),"Dependency cycle (A↔B) — review",IF(AND(B183="AIR",OR(E183="MOD",E183="DATA",E183="IF",E183="AG",E183="TOOL"),IFERROR(INDEX(Components!$G$4:$G$253,MATCH(F183,Components!$A$4:$A$253,0)),"")&lt;&gt;"",IFERROR(INDEX(Components!$G$4:$G$253,MATCH(F183,Components!$A$4:$A$253,0)),"")&lt;&gt;C183),"Component owned by another AIR-ID",IF(AND(M183="Confirmed",OR(IF(B183="UC",COUNTIFS('Use cases'!$A$4:$A$253,C183,'Use cases'!$I$4:$I$253,"Confirmed",'Use cases'!$J$4:$J$253,"OK — verify source"),IF(B183="CAP",COUNTIFS(Capabilities!$A$4:$A$253,C183,Capabilities!$J$4:$J$253,"Confirmed",Capabilities!$K$4:$K$253,"OK — verify source"),IF(B183="AIR",COUNTIFS('System map'!$A$4:$A$203,C183,'System map'!$B$4:$B$203,"&lt;&gt;",'System map'!$C$4:$C$203,"&lt;&gt;",'System map'!$D$4:$D$203,"&lt;&gt;"),COUNTIFS(Components!$A$4:$A$253,C183,Components!$B$4:$B$253,B183,Components!$K$4:$K$253,"Confirmed",Components!$L$4:$L$253,"OK — verify source"))))&lt;&gt;1,IF(E183="UC",COUNTIFS('Use cases'!$A$4:$A$253,F183,'Use cases'!$I$4:$I$253,"Confirmed",'Use cases'!$J$4:$J$253,"OK — verify source"),IF(E183="CAP",COUNTIFS(Capabilities!$A$4:$A$253,F183,Capabilities!$J$4:$J$253,"Confirmed",Capabilities!$K$4:$K$253,"OK — verify source"),IF(E183="AIR",COUNTIFS('System map'!$A$4:$A$203,F183,'System map'!$B$4:$B$203,"&lt;&gt;",'System map'!$C$4:$C$203,"&lt;&gt;",'System map'!$D$4:$D$203,"&lt;&gt;"),COUNTIFS(Components!$A$4:$A$253,F183,Components!$B$4:$B$253,E183,Components!$K$4:$K$253,"Confirmed",Components!$L$4:$L$253,"OK — verify source"))))&lt;&gt;1)),"Endpoint not source-reconciled",IF(AND(M183="Confirmed",OR(L183="",K183="",K183="Unknown",K183="Low")),"Confirmed link lacks verification","OK — verify source"))))))))))))))</f>
        <v/>
      </c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6" t="n"/>
      <c r="M184" s="25" t="n"/>
      <c r="N184" s="25">
        <f>IF(COUNTA(A184:M184)=0,"",IF(OR(A184="",B184="",C184="",D184="",E184="",F184="",I184="",J184="",K184="",M184=""),"Required link detail missing",IF(COUNTIF($A$4:$A$1003,A184)&gt;1,"Duplicate Map Edge ID",IF(NOT(OR(AND(B184="UC",E184="CAP",D184="requires"),AND(B184="CAP",E184="AIR",D184="provided by"),AND(B184="AIR",OR(E184="MOD",E184="DATA",E184="IF",E184="AG",E184="TOOL"),D184="references"),AND(B184="AIR",E184="AIR",D184="depends on"))),"Invalid relationship",IF(AND(M184&lt;&gt;"Superseded",COUNTIFS($B$4:$B$1003,B184,$C$4:$C$1003,C184,$D$4:$D$1003,D184,$E$4:$E$1003,E184,$F$4:$F$1003,F184,$G$4:$G$1003,G184,$M$4:$M$1003,"&lt;&gt;Superseded")&gt;1),"Duplicate relationship",IF(OR(IF(B184="UC",COUNTIF('Use cases'!$A$4:$A$253,C184),IF(B184="CAP",COUNTIF(Capabilities!$A$4:$A$253,C184),IF(B184="AIR",COUNTIF('System map'!$A$4:$A$203,C184),COUNTIFS(Components!$A$4:$A$253,C184,Components!$B$4:$B$253,B184))))&lt;&gt;1,IF(E184="UC",COUNTIF('Use cases'!$A$4:$A$253,F184),IF(E184="CAP",COUNTIF(Capabilities!$A$4:$A$253,F184),IF(E184="AIR",COUNTIF('System map'!$A$4:$A$203,F184),COUNTIFS(Components!$A$4:$A$253,F184,Components!$B$4:$B$253,E184))))&lt;&gt;1),"Endpoint missing or duplicated",IF(AND(NOT(AND(B184="UC",E184="CAP")),OR(G184="",COUNTIF('System map'!$A$4:$A$203,G184)&lt;&gt;1)),"AIR context missing / unknown",IF(AND(B184="CAP",E184="AIR",G184&lt;&gt;F184),"AIR context mismatch",IF(AND(B184="AIR",G184&lt;&gt;C184),"AIR context mismatch",IF(AND(B184="AIR",E184="AIR",C184=F184),"Self-dependency",IF(AND(B184="AIR",E184="AIR",M184&lt;&gt;"Superseded",COUNTIFS($B$4:$B$1003,"AIR",$C$4:$C$1003,F184,$E$4:$E$1003,"AIR",$F$4:$F$1003,C184,$M$4:$M$1003,"&lt;&gt;Superseded")&gt;0),"Dependency cycle (A↔B) — review",IF(AND(B184="AIR",OR(E184="MOD",E184="DATA",E184="IF",E184="AG",E184="TOOL"),IFERROR(INDEX(Components!$G$4:$G$253,MATCH(F184,Components!$A$4:$A$253,0)),"")&lt;&gt;"",IFERROR(INDEX(Components!$G$4:$G$253,MATCH(F184,Components!$A$4:$A$253,0)),"")&lt;&gt;C184),"Component owned by another AIR-ID",IF(AND(M184="Confirmed",OR(IF(B184="UC",COUNTIFS('Use cases'!$A$4:$A$253,C184,'Use cases'!$I$4:$I$253,"Confirmed",'Use cases'!$J$4:$J$253,"OK — verify source"),IF(B184="CAP",COUNTIFS(Capabilities!$A$4:$A$253,C184,Capabilities!$J$4:$J$253,"Confirmed",Capabilities!$K$4:$K$253,"OK — verify source"),IF(B184="AIR",COUNTIFS('System map'!$A$4:$A$203,C184,'System map'!$B$4:$B$203,"&lt;&gt;",'System map'!$C$4:$C$203,"&lt;&gt;",'System map'!$D$4:$D$203,"&lt;&gt;"),COUNTIFS(Components!$A$4:$A$253,C184,Components!$B$4:$B$253,B184,Components!$K$4:$K$253,"Confirmed",Components!$L$4:$L$253,"OK — verify source"))))&lt;&gt;1,IF(E184="UC",COUNTIFS('Use cases'!$A$4:$A$253,F184,'Use cases'!$I$4:$I$253,"Confirmed",'Use cases'!$J$4:$J$253,"OK — verify source"),IF(E184="CAP",COUNTIFS(Capabilities!$A$4:$A$253,F184,Capabilities!$J$4:$J$253,"Confirmed",Capabilities!$K$4:$K$253,"OK — verify source"),IF(E184="AIR",COUNTIFS('System map'!$A$4:$A$203,F184,'System map'!$B$4:$B$203,"&lt;&gt;",'System map'!$C$4:$C$203,"&lt;&gt;",'System map'!$D$4:$D$203,"&lt;&gt;"),COUNTIFS(Components!$A$4:$A$253,F184,Components!$B$4:$B$253,E184,Components!$K$4:$K$253,"Confirmed",Components!$L$4:$L$253,"OK — verify source"))))&lt;&gt;1)),"Endpoint not source-reconciled",IF(AND(M184="Confirmed",OR(L184="",K184="",K184="Unknown",K184="Low")),"Confirmed link lacks verification","OK — verify source"))))))))))))))</f>
        <v/>
      </c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8" t="n"/>
      <c r="M185" s="27" t="n"/>
      <c r="N185" s="27">
        <f>IF(COUNTA(A185:M185)=0,"",IF(OR(A185="",B185="",C185="",D185="",E185="",F185="",I185="",J185="",K185="",M185=""),"Required link detail missing",IF(COUNTIF($A$4:$A$1003,A185)&gt;1,"Duplicate Map Edge ID",IF(NOT(OR(AND(B185="UC",E185="CAP",D185="requires"),AND(B185="CAP",E185="AIR",D185="provided by"),AND(B185="AIR",OR(E185="MOD",E185="DATA",E185="IF",E185="AG",E185="TOOL"),D185="references"),AND(B185="AIR",E185="AIR",D185="depends on"))),"Invalid relationship",IF(AND(M185&lt;&gt;"Superseded",COUNTIFS($B$4:$B$1003,B185,$C$4:$C$1003,C185,$D$4:$D$1003,D185,$E$4:$E$1003,E185,$F$4:$F$1003,F185,$G$4:$G$1003,G185,$M$4:$M$1003,"&lt;&gt;Superseded")&gt;1),"Duplicate relationship",IF(OR(IF(B185="UC",COUNTIF('Use cases'!$A$4:$A$253,C185),IF(B185="CAP",COUNTIF(Capabilities!$A$4:$A$253,C185),IF(B185="AIR",COUNTIF('System map'!$A$4:$A$203,C185),COUNTIFS(Components!$A$4:$A$253,C185,Components!$B$4:$B$253,B185))))&lt;&gt;1,IF(E185="UC",COUNTIF('Use cases'!$A$4:$A$253,F185),IF(E185="CAP",COUNTIF(Capabilities!$A$4:$A$253,F185),IF(E185="AIR",COUNTIF('System map'!$A$4:$A$203,F185),COUNTIFS(Components!$A$4:$A$253,F185,Components!$B$4:$B$253,E185))))&lt;&gt;1),"Endpoint missing or duplicated",IF(AND(NOT(AND(B185="UC",E185="CAP")),OR(G185="",COUNTIF('System map'!$A$4:$A$203,G185)&lt;&gt;1)),"AIR context missing / unknown",IF(AND(B185="CAP",E185="AIR",G185&lt;&gt;F185),"AIR context mismatch",IF(AND(B185="AIR",G185&lt;&gt;C185),"AIR context mismatch",IF(AND(B185="AIR",E185="AIR",C185=F185),"Self-dependency",IF(AND(B185="AIR",E185="AIR",M185&lt;&gt;"Superseded",COUNTIFS($B$4:$B$1003,"AIR",$C$4:$C$1003,F185,$E$4:$E$1003,"AIR",$F$4:$F$1003,C185,$M$4:$M$1003,"&lt;&gt;Superseded")&gt;0),"Dependency cycle (A↔B) — review",IF(AND(B185="AIR",OR(E185="MOD",E185="DATA",E185="IF",E185="AG",E185="TOOL"),IFERROR(INDEX(Components!$G$4:$G$253,MATCH(F185,Components!$A$4:$A$253,0)),"")&lt;&gt;"",IFERROR(INDEX(Components!$G$4:$G$253,MATCH(F185,Components!$A$4:$A$253,0)),"")&lt;&gt;C185),"Component owned by another AIR-ID",IF(AND(M185="Confirmed",OR(IF(B185="UC",COUNTIFS('Use cases'!$A$4:$A$253,C185,'Use cases'!$I$4:$I$253,"Confirmed",'Use cases'!$J$4:$J$253,"OK — verify source"),IF(B185="CAP",COUNTIFS(Capabilities!$A$4:$A$253,C185,Capabilities!$J$4:$J$253,"Confirmed",Capabilities!$K$4:$K$253,"OK — verify source"),IF(B185="AIR",COUNTIFS('System map'!$A$4:$A$203,C185,'System map'!$B$4:$B$203,"&lt;&gt;",'System map'!$C$4:$C$203,"&lt;&gt;",'System map'!$D$4:$D$203,"&lt;&gt;"),COUNTIFS(Components!$A$4:$A$253,C185,Components!$B$4:$B$253,B185,Components!$K$4:$K$253,"Confirmed",Components!$L$4:$L$253,"OK — verify source"))))&lt;&gt;1,IF(E185="UC",COUNTIFS('Use cases'!$A$4:$A$253,F185,'Use cases'!$I$4:$I$253,"Confirmed",'Use cases'!$J$4:$J$253,"OK — verify source"),IF(E185="CAP",COUNTIFS(Capabilities!$A$4:$A$253,F185,Capabilities!$J$4:$J$253,"Confirmed",Capabilities!$K$4:$K$253,"OK — verify source"),IF(E185="AIR",COUNTIFS('System map'!$A$4:$A$203,F185,'System map'!$B$4:$B$203,"&lt;&gt;",'System map'!$C$4:$C$203,"&lt;&gt;",'System map'!$D$4:$D$203,"&lt;&gt;"),COUNTIFS(Components!$A$4:$A$253,F185,Components!$B$4:$B$253,E185,Components!$K$4:$K$253,"Confirmed",Components!$L$4:$L$253,"OK — verify source"))))&lt;&gt;1)),"Endpoint not source-reconciled",IF(AND(M185="Confirmed",OR(L185="",K185="",K185="Unknown",K185="Low")),"Confirmed link lacks verification","OK — verify source"))))))))))))))</f>
        <v/>
      </c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6" t="n"/>
      <c r="M186" s="25" t="n"/>
      <c r="N186" s="25">
        <f>IF(COUNTA(A186:M186)=0,"",IF(OR(A186="",B186="",C186="",D186="",E186="",F186="",I186="",J186="",K186="",M186=""),"Required link detail missing",IF(COUNTIF($A$4:$A$1003,A186)&gt;1,"Duplicate Map Edge ID",IF(NOT(OR(AND(B186="UC",E186="CAP",D186="requires"),AND(B186="CAP",E186="AIR",D186="provided by"),AND(B186="AIR",OR(E186="MOD",E186="DATA",E186="IF",E186="AG",E186="TOOL"),D186="references"),AND(B186="AIR",E186="AIR",D186="depends on"))),"Invalid relationship",IF(AND(M186&lt;&gt;"Superseded",COUNTIFS($B$4:$B$1003,B186,$C$4:$C$1003,C186,$D$4:$D$1003,D186,$E$4:$E$1003,E186,$F$4:$F$1003,F186,$G$4:$G$1003,G186,$M$4:$M$1003,"&lt;&gt;Superseded")&gt;1),"Duplicate relationship",IF(OR(IF(B186="UC",COUNTIF('Use cases'!$A$4:$A$253,C186),IF(B186="CAP",COUNTIF(Capabilities!$A$4:$A$253,C186),IF(B186="AIR",COUNTIF('System map'!$A$4:$A$203,C186),COUNTIFS(Components!$A$4:$A$253,C186,Components!$B$4:$B$253,B186))))&lt;&gt;1,IF(E186="UC",COUNTIF('Use cases'!$A$4:$A$253,F186),IF(E186="CAP",COUNTIF(Capabilities!$A$4:$A$253,F186),IF(E186="AIR",COUNTIF('System map'!$A$4:$A$203,F186),COUNTIFS(Components!$A$4:$A$253,F186,Components!$B$4:$B$253,E186))))&lt;&gt;1),"Endpoint missing or duplicated",IF(AND(NOT(AND(B186="UC",E186="CAP")),OR(G186="",COUNTIF('System map'!$A$4:$A$203,G186)&lt;&gt;1)),"AIR context missing / unknown",IF(AND(B186="CAP",E186="AIR",G186&lt;&gt;F186),"AIR context mismatch",IF(AND(B186="AIR",G186&lt;&gt;C186),"AIR context mismatch",IF(AND(B186="AIR",E186="AIR",C186=F186),"Self-dependency",IF(AND(B186="AIR",E186="AIR",M186&lt;&gt;"Superseded",COUNTIFS($B$4:$B$1003,"AIR",$C$4:$C$1003,F186,$E$4:$E$1003,"AIR",$F$4:$F$1003,C186,$M$4:$M$1003,"&lt;&gt;Superseded")&gt;0),"Dependency cycle (A↔B) — review",IF(AND(B186="AIR",OR(E186="MOD",E186="DATA",E186="IF",E186="AG",E186="TOOL"),IFERROR(INDEX(Components!$G$4:$G$253,MATCH(F186,Components!$A$4:$A$253,0)),"")&lt;&gt;"",IFERROR(INDEX(Components!$G$4:$G$253,MATCH(F186,Components!$A$4:$A$253,0)),"")&lt;&gt;C186),"Component owned by another AIR-ID",IF(AND(M186="Confirmed",OR(IF(B186="UC",COUNTIFS('Use cases'!$A$4:$A$253,C186,'Use cases'!$I$4:$I$253,"Confirmed",'Use cases'!$J$4:$J$253,"OK — verify source"),IF(B186="CAP",COUNTIFS(Capabilities!$A$4:$A$253,C186,Capabilities!$J$4:$J$253,"Confirmed",Capabilities!$K$4:$K$253,"OK — verify source"),IF(B186="AIR",COUNTIFS('System map'!$A$4:$A$203,C186,'System map'!$B$4:$B$203,"&lt;&gt;",'System map'!$C$4:$C$203,"&lt;&gt;",'System map'!$D$4:$D$203,"&lt;&gt;"),COUNTIFS(Components!$A$4:$A$253,C186,Components!$B$4:$B$253,B186,Components!$K$4:$K$253,"Confirmed",Components!$L$4:$L$253,"OK — verify source"))))&lt;&gt;1,IF(E186="UC",COUNTIFS('Use cases'!$A$4:$A$253,F186,'Use cases'!$I$4:$I$253,"Confirmed",'Use cases'!$J$4:$J$253,"OK — verify source"),IF(E186="CAP",COUNTIFS(Capabilities!$A$4:$A$253,F186,Capabilities!$J$4:$J$253,"Confirmed",Capabilities!$K$4:$K$253,"OK — verify source"),IF(E186="AIR",COUNTIFS('System map'!$A$4:$A$203,F186,'System map'!$B$4:$B$203,"&lt;&gt;",'System map'!$C$4:$C$203,"&lt;&gt;",'System map'!$D$4:$D$203,"&lt;&gt;"),COUNTIFS(Components!$A$4:$A$253,F186,Components!$B$4:$B$253,E186,Components!$K$4:$K$253,"Confirmed",Components!$L$4:$L$253,"OK — verify source"))))&lt;&gt;1)),"Endpoint not source-reconciled",IF(AND(M186="Confirmed",OR(L186="",K186="",K186="Unknown",K186="Low")),"Confirmed link lacks verification","OK — verify source"))))))))))))))</f>
        <v/>
      </c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8" t="n"/>
      <c r="M187" s="27" t="n"/>
      <c r="N187" s="27">
        <f>IF(COUNTA(A187:M187)=0,"",IF(OR(A187="",B187="",C187="",D187="",E187="",F187="",I187="",J187="",K187="",M187=""),"Required link detail missing",IF(COUNTIF($A$4:$A$1003,A187)&gt;1,"Duplicate Map Edge ID",IF(NOT(OR(AND(B187="UC",E187="CAP",D187="requires"),AND(B187="CAP",E187="AIR",D187="provided by"),AND(B187="AIR",OR(E187="MOD",E187="DATA",E187="IF",E187="AG",E187="TOOL"),D187="references"),AND(B187="AIR",E187="AIR",D187="depends on"))),"Invalid relationship",IF(AND(M187&lt;&gt;"Superseded",COUNTIFS($B$4:$B$1003,B187,$C$4:$C$1003,C187,$D$4:$D$1003,D187,$E$4:$E$1003,E187,$F$4:$F$1003,F187,$G$4:$G$1003,G187,$M$4:$M$1003,"&lt;&gt;Superseded")&gt;1),"Duplicate relationship",IF(OR(IF(B187="UC",COUNTIF('Use cases'!$A$4:$A$253,C187),IF(B187="CAP",COUNTIF(Capabilities!$A$4:$A$253,C187),IF(B187="AIR",COUNTIF('System map'!$A$4:$A$203,C187),COUNTIFS(Components!$A$4:$A$253,C187,Components!$B$4:$B$253,B187))))&lt;&gt;1,IF(E187="UC",COUNTIF('Use cases'!$A$4:$A$253,F187),IF(E187="CAP",COUNTIF(Capabilities!$A$4:$A$253,F187),IF(E187="AIR",COUNTIF('System map'!$A$4:$A$203,F187),COUNTIFS(Components!$A$4:$A$253,F187,Components!$B$4:$B$253,E187))))&lt;&gt;1),"Endpoint missing or duplicated",IF(AND(NOT(AND(B187="UC",E187="CAP")),OR(G187="",COUNTIF('System map'!$A$4:$A$203,G187)&lt;&gt;1)),"AIR context missing / unknown",IF(AND(B187="CAP",E187="AIR",G187&lt;&gt;F187),"AIR context mismatch",IF(AND(B187="AIR",G187&lt;&gt;C187),"AIR context mismatch",IF(AND(B187="AIR",E187="AIR",C187=F187),"Self-dependency",IF(AND(B187="AIR",E187="AIR",M187&lt;&gt;"Superseded",COUNTIFS($B$4:$B$1003,"AIR",$C$4:$C$1003,F187,$E$4:$E$1003,"AIR",$F$4:$F$1003,C187,$M$4:$M$1003,"&lt;&gt;Superseded")&gt;0),"Dependency cycle (A↔B) — review",IF(AND(B187="AIR",OR(E187="MOD",E187="DATA",E187="IF",E187="AG",E187="TOOL"),IFERROR(INDEX(Components!$G$4:$G$253,MATCH(F187,Components!$A$4:$A$253,0)),"")&lt;&gt;"",IFERROR(INDEX(Components!$G$4:$G$253,MATCH(F187,Components!$A$4:$A$253,0)),"")&lt;&gt;C187),"Component owned by another AIR-ID",IF(AND(M187="Confirmed",OR(IF(B187="UC",COUNTIFS('Use cases'!$A$4:$A$253,C187,'Use cases'!$I$4:$I$253,"Confirmed",'Use cases'!$J$4:$J$253,"OK — verify source"),IF(B187="CAP",COUNTIFS(Capabilities!$A$4:$A$253,C187,Capabilities!$J$4:$J$253,"Confirmed",Capabilities!$K$4:$K$253,"OK — verify source"),IF(B187="AIR",COUNTIFS('System map'!$A$4:$A$203,C187,'System map'!$B$4:$B$203,"&lt;&gt;",'System map'!$C$4:$C$203,"&lt;&gt;",'System map'!$D$4:$D$203,"&lt;&gt;"),COUNTIFS(Components!$A$4:$A$253,C187,Components!$B$4:$B$253,B187,Components!$K$4:$K$253,"Confirmed",Components!$L$4:$L$253,"OK — verify source"))))&lt;&gt;1,IF(E187="UC",COUNTIFS('Use cases'!$A$4:$A$253,F187,'Use cases'!$I$4:$I$253,"Confirmed",'Use cases'!$J$4:$J$253,"OK — verify source"),IF(E187="CAP",COUNTIFS(Capabilities!$A$4:$A$253,F187,Capabilities!$J$4:$J$253,"Confirmed",Capabilities!$K$4:$K$253,"OK — verify source"),IF(E187="AIR",COUNTIFS('System map'!$A$4:$A$203,F187,'System map'!$B$4:$B$203,"&lt;&gt;",'System map'!$C$4:$C$203,"&lt;&gt;",'System map'!$D$4:$D$203,"&lt;&gt;"),COUNTIFS(Components!$A$4:$A$253,F187,Components!$B$4:$B$253,E187,Components!$K$4:$K$253,"Confirmed",Components!$L$4:$L$253,"OK — verify source"))))&lt;&gt;1)),"Endpoint not source-reconciled",IF(AND(M187="Confirmed",OR(L187="",K187="",K187="Unknown",K187="Low")),"Confirmed link lacks verification","OK — verify source"))))))))))))))</f>
        <v/>
      </c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6" t="n"/>
      <c r="M188" s="25" t="n"/>
      <c r="N188" s="25">
        <f>IF(COUNTA(A188:M188)=0,"",IF(OR(A188="",B188="",C188="",D188="",E188="",F188="",I188="",J188="",K188="",M188=""),"Required link detail missing",IF(COUNTIF($A$4:$A$1003,A188)&gt;1,"Duplicate Map Edge ID",IF(NOT(OR(AND(B188="UC",E188="CAP",D188="requires"),AND(B188="CAP",E188="AIR",D188="provided by"),AND(B188="AIR",OR(E188="MOD",E188="DATA",E188="IF",E188="AG",E188="TOOL"),D188="references"),AND(B188="AIR",E188="AIR",D188="depends on"))),"Invalid relationship",IF(AND(M188&lt;&gt;"Superseded",COUNTIFS($B$4:$B$1003,B188,$C$4:$C$1003,C188,$D$4:$D$1003,D188,$E$4:$E$1003,E188,$F$4:$F$1003,F188,$G$4:$G$1003,G188,$M$4:$M$1003,"&lt;&gt;Superseded")&gt;1),"Duplicate relationship",IF(OR(IF(B188="UC",COUNTIF('Use cases'!$A$4:$A$253,C188),IF(B188="CAP",COUNTIF(Capabilities!$A$4:$A$253,C188),IF(B188="AIR",COUNTIF('System map'!$A$4:$A$203,C188),COUNTIFS(Components!$A$4:$A$253,C188,Components!$B$4:$B$253,B188))))&lt;&gt;1,IF(E188="UC",COUNTIF('Use cases'!$A$4:$A$253,F188),IF(E188="CAP",COUNTIF(Capabilities!$A$4:$A$253,F188),IF(E188="AIR",COUNTIF('System map'!$A$4:$A$203,F188),COUNTIFS(Components!$A$4:$A$253,F188,Components!$B$4:$B$253,E188))))&lt;&gt;1),"Endpoint missing or duplicated",IF(AND(NOT(AND(B188="UC",E188="CAP")),OR(G188="",COUNTIF('System map'!$A$4:$A$203,G188)&lt;&gt;1)),"AIR context missing / unknown",IF(AND(B188="CAP",E188="AIR",G188&lt;&gt;F188),"AIR context mismatch",IF(AND(B188="AIR",G188&lt;&gt;C188),"AIR context mismatch",IF(AND(B188="AIR",E188="AIR",C188=F188),"Self-dependency",IF(AND(B188="AIR",E188="AIR",M188&lt;&gt;"Superseded",COUNTIFS($B$4:$B$1003,"AIR",$C$4:$C$1003,F188,$E$4:$E$1003,"AIR",$F$4:$F$1003,C188,$M$4:$M$1003,"&lt;&gt;Superseded")&gt;0),"Dependency cycle (A↔B) — review",IF(AND(B188="AIR",OR(E188="MOD",E188="DATA",E188="IF",E188="AG",E188="TOOL"),IFERROR(INDEX(Components!$G$4:$G$253,MATCH(F188,Components!$A$4:$A$253,0)),"")&lt;&gt;"",IFERROR(INDEX(Components!$G$4:$G$253,MATCH(F188,Components!$A$4:$A$253,0)),"")&lt;&gt;C188),"Component owned by another AIR-ID",IF(AND(M188="Confirmed",OR(IF(B188="UC",COUNTIFS('Use cases'!$A$4:$A$253,C188,'Use cases'!$I$4:$I$253,"Confirmed",'Use cases'!$J$4:$J$253,"OK — verify source"),IF(B188="CAP",COUNTIFS(Capabilities!$A$4:$A$253,C188,Capabilities!$J$4:$J$253,"Confirmed",Capabilities!$K$4:$K$253,"OK — verify source"),IF(B188="AIR",COUNTIFS('System map'!$A$4:$A$203,C188,'System map'!$B$4:$B$203,"&lt;&gt;",'System map'!$C$4:$C$203,"&lt;&gt;",'System map'!$D$4:$D$203,"&lt;&gt;"),COUNTIFS(Components!$A$4:$A$253,C188,Components!$B$4:$B$253,B188,Components!$K$4:$K$253,"Confirmed",Components!$L$4:$L$253,"OK — verify source"))))&lt;&gt;1,IF(E188="UC",COUNTIFS('Use cases'!$A$4:$A$253,F188,'Use cases'!$I$4:$I$253,"Confirmed",'Use cases'!$J$4:$J$253,"OK — verify source"),IF(E188="CAP",COUNTIFS(Capabilities!$A$4:$A$253,F188,Capabilities!$J$4:$J$253,"Confirmed",Capabilities!$K$4:$K$253,"OK — verify source"),IF(E188="AIR",COUNTIFS('System map'!$A$4:$A$203,F188,'System map'!$B$4:$B$203,"&lt;&gt;",'System map'!$C$4:$C$203,"&lt;&gt;",'System map'!$D$4:$D$203,"&lt;&gt;"),COUNTIFS(Components!$A$4:$A$253,F188,Components!$B$4:$B$253,E188,Components!$K$4:$K$253,"Confirmed",Components!$L$4:$L$253,"OK — verify source"))))&lt;&gt;1)),"Endpoint not source-reconciled",IF(AND(M188="Confirmed",OR(L188="",K188="",K188="Unknown",K188="Low")),"Confirmed link lacks verification","OK — verify source"))))))))))))))</f>
        <v/>
      </c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8" t="n"/>
      <c r="M189" s="27" t="n"/>
      <c r="N189" s="27">
        <f>IF(COUNTA(A189:M189)=0,"",IF(OR(A189="",B189="",C189="",D189="",E189="",F189="",I189="",J189="",K189="",M189=""),"Required link detail missing",IF(COUNTIF($A$4:$A$1003,A189)&gt;1,"Duplicate Map Edge ID",IF(NOT(OR(AND(B189="UC",E189="CAP",D189="requires"),AND(B189="CAP",E189="AIR",D189="provided by"),AND(B189="AIR",OR(E189="MOD",E189="DATA",E189="IF",E189="AG",E189="TOOL"),D189="references"),AND(B189="AIR",E189="AIR",D189="depends on"))),"Invalid relationship",IF(AND(M189&lt;&gt;"Superseded",COUNTIFS($B$4:$B$1003,B189,$C$4:$C$1003,C189,$D$4:$D$1003,D189,$E$4:$E$1003,E189,$F$4:$F$1003,F189,$G$4:$G$1003,G189,$M$4:$M$1003,"&lt;&gt;Superseded")&gt;1),"Duplicate relationship",IF(OR(IF(B189="UC",COUNTIF('Use cases'!$A$4:$A$253,C189),IF(B189="CAP",COUNTIF(Capabilities!$A$4:$A$253,C189),IF(B189="AIR",COUNTIF('System map'!$A$4:$A$203,C189),COUNTIFS(Components!$A$4:$A$253,C189,Components!$B$4:$B$253,B189))))&lt;&gt;1,IF(E189="UC",COUNTIF('Use cases'!$A$4:$A$253,F189),IF(E189="CAP",COUNTIF(Capabilities!$A$4:$A$253,F189),IF(E189="AIR",COUNTIF('System map'!$A$4:$A$203,F189),COUNTIFS(Components!$A$4:$A$253,F189,Components!$B$4:$B$253,E189))))&lt;&gt;1),"Endpoint missing or duplicated",IF(AND(NOT(AND(B189="UC",E189="CAP")),OR(G189="",COUNTIF('System map'!$A$4:$A$203,G189)&lt;&gt;1)),"AIR context missing / unknown",IF(AND(B189="CAP",E189="AIR",G189&lt;&gt;F189),"AIR context mismatch",IF(AND(B189="AIR",G189&lt;&gt;C189),"AIR context mismatch",IF(AND(B189="AIR",E189="AIR",C189=F189),"Self-dependency",IF(AND(B189="AIR",E189="AIR",M189&lt;&gt;"Superseded",COUNTIFS($B$4:$B$1003,"AIR",$C$4:$C$1003,F189,$E$4:$E$1003,"AIR",$F$4:$F$1003,C189,$M$4:$M$1003,"&lt;&gt;Superseded")&gt;0),"Dependency cycle (A↔B) — review",IF(AND(B189="AIR",OR(E189="MOD",E189="DATA",E189="IF",E189="AG",E189="TOOL"),IFERROR(INDEX(Components!$G$4:$G$253,MATCH(F189,Components!$A$4:$A$253,0)),"")&lt;&gt;"",IFERROR(INDEX(Components!$G$4:$G$253,MATCH(F189,Components!$A$4:$A$253,0)),"")&lt;&gt;C189),"Component owned by another AIR-ID",IF(AND(M189="Confirmed",OR(IF(B189="UC",COUNTIFS('Use cases'!$A$4:$A$253,C189,'Use cases'!$I$4:$I$253,"Confirmed",'Use cases'!$J$4:$J$253,"OK — verify source"),IF(B189="CAP",COUNTIFS(Capabilities!$A$4:$A$253,C189,Capabilities!$J$4:$J$253,"Confirmed",Capabilities!$K$4:$K$253,"OK — verify source"),IF(B189="AIR",COUNTIFS('System map'!$A$4:$A$203,C189,'System map'!$B$4:$B$203,"&lt;&gt;",'System map'!$C$4:$C$203,"&lt;&gt;",'System map'!$D$4:$D$203,"&lt;&gt;"),COUNTIFS(Components!$A$4:$A$253,C189,Components!$B$4:$B$253,B189,Components!$K$4:$K$253,"Confirmed",Components!$L$4:$L$253,"OK — verify source"))))&lt;&gt;1,IF(E189="UC",COUNTIFS('Use cases'!$A$4:$A$253,F189,'Use cases'!$I$4:$I$253,"Confirmed",'Use cases'!$J$4:$J$253,"OK — verify source"),IF(E189="CAP",COUNTIFS(Capabilities!$A$4:$A$253,F189,Capabilities!$J$4:$J$253,"Confirmed",Capabilities!$K$4:$K$253,"OK — verify source"),IF(E189="AIR",COUNTIFS('System map'!$A$4:$A$203,F189,'System map'!$B$4:$B$203,"&lt;&gt;",'System map'!$C$4:$C$203,"&lt;&gt;",'System map'!$D$4:$D$203,"&lt;&gt;"),COUNTIFS(Components!$A$4:$A$253,F189,Components!$B$4:$B$253,E189,Components!$K$4:$K$253,"Confirmed",Components!$L$4:$L$253,"OK — verify source"))))&lt;&gt;1)),"Endpoint not source-reconciled",IF(AND(M189="Confirmed",OR(L189="",K189="",K189="Unknown",K189="Low")),"Confirmed link lacks verification","OK — verify source"))))))))))))))</f>
        <v/>
      </c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6" t="n"/>
      <c r="M190" s="25" t="n"/>
      <c r="N190" s="25">
        <f>IF(COUNTA(A190:M190)=0,"",IF(OR(A190="",B190="",C190="",D190="",E190="",F190="",I190="",J190="",K190="",M190=""),"Required link detail missing",IF(COUNTIF($A$4:$A$1003,A190)&gt;1,"Duplicate Map Edge ID",IF(NOT(OR(AND(B190="UC",E190="CAP",D190="requires"),AND(B190="CAP",E190="AIR",D190="provided by"),AND(B190="AIR",OR(E190="MOD",E190="DATA",E190="IF",E190="AG",E190="TOOL"),D190="references"),AND(B190="AIR",E190="AIR",D190="depends on"))),"Invalid relationship",IF(AND(M190&lt;&gt;"Superseded",COUNTIFS($B$4:$B$1003,B190,$C$4:$C$1003,C190,$D$4:$D$1003,D190,$E$4:$E$1003,E190,$F$4:$F$1003,F190,$G$4:$G$1003,G190,$M$4:$M$1003,"&lt;&gt;Superseded")&gt;1),"Duplicate relationship",IF(OR(IF(B190="UC",COUNTIF('Use cases'!$A$4:$A$253,C190),IF(B190="CAP",COUNTIF(Capabilities!$A$4:$A$253,C190),IF(B190="AIR",COUNTIF('System map'!$A$4:$A$203,C190),COUNTIFS(Components!$A$4:$A$253,C190,Components!$B$4:$B$253,B190))))&lt;&gt;1,IF(E190="UC",COUNTIF('Use cases'!$A$4:$A$253,F190),IF(E190="CAP",COUNTIF(Capabilities!$A$4:$A$253,F190),IF(E190="AIR",COUNTIF('System map'!$A$4:$A$203,F190),COUNTIFS(Components!$A$4:$A$253,F190,Components!$B$4:$B$253,E190))))&lt;&gt;1),"Endpoint missing or duplicated",IF(AND(NOT(AND(B190="UC",E190="CAP")),OR(G190="",COUNTIF('System map'!$A$4:$A$203,G190)&lt;&gt;1)),"AIR context missing / unknown",IF(AND(B190="CAP",E190="AIR",G190&lt;&gt;F190),"AIR context mismatch",IF(AND(B190="AIR",G190&lt;&gt;C190),"AIR context mismatch",IF(AND(B190="AIR",E190="AIR",C190=F190),"Self-dependency",IF(AND(B190="AIR",E190="AIR",M190&lt;&gt;"Superseded",COUNTIFS($B$4:$B$1003,"AIR",$C$4:$C$1003,F190,$E$4:$E$1003,"AIR",$F$4:$F$1003,C190,$M$4:$M$1003,"&lt;&gt;Superseded")&gt;0),"Dependency cycle (A↔B) — review",IF(AND(B190="AIR",OR(E190="MOD",E190="DATA",E190="IF",E190="AG",E190="TOOL"),IFERROR(INDEX(Components!$G$4:$G$253,MATCH(F190,Components!$A$4:$A$253,0)),"")&lt;&gt;"",IFERROR(INDEX(Components!$G$4:$G$253,MATCH(F190,Components!$A$4:$A$253,0)),"")&lt;&gt;C190),"Component owned by another AIR-ID",IF(AND(M190="Confirmed",OR(IF(B190="UC",COUNTIFS('Use cases'!$A$4:$A$253,C190,'Use cases'!$I$4:$I$253,"Confirmed",'Use cases'!$J$4:$J$253,"OK — verify source"),IF(B190="CAP",COUNTIFS(Capabilities!$A$4:$A$253,C190,Capabilities!$J$4:$J$253,"Confirmed",Capabilities!$K$4:$K$253,"OK — verify source"),IF(B190="AIR",COUNTIFS('System map'!$A$4:$A$203,C190,'System map'!$B$4:$B$203,"&lt;&gt;",'System map'!$C$4:$C$203,"&lt;&gt;",'System map'!$D$4:$D$203,"&lt;&gt;"),COUNTIFS(Components!$A$4:$A$253,C190,Components!$B$4:$B$253,B190,Components!$K$4:$K$253,"Confirmed",Components!$L$4:$L$253,"OK — verify source"))))&lt;&gt;1,IF(E190="UC",COUNTIFS('Use cases'!$A$4:$A$253,F190,'Use cases'!$I$4:$I$253,"Confirmed",'Use cases'!$J$4:$J$253,"OK — verify source"),IF(E190="CAP",COUNTIFS(Capabilities!$A$4:$A$253,F190,Capabilities!$J$4:$J$253,"Confirmed",Capabilities!$K$4:$K$253,"OK — verify source"),IF(E190="AIR",COUNTIFS('System map'!$A$4:$A$203,F190,'System map'!$B$4:$B$203,"&lt;&gt;",'System map'!$C$4:$C$203,"&lt;&gt;",'System map'!$D$4:$D$203,"&lt;&gt;"),COUNTIFS(Components!$A$4:$A$253,F190,Components!$B$4:$B$253,E190,Components!$K$4:$K$253,"Confirmed",Components!$L$4:$L$253,"OK — verify source"))))&lt;&gt;1)),"Endpoint not source-reconciled",IF(AND(M190="Confirmed",OR(L190="",K190="",K190="Unknown",K190="Low")),"Confirmed link lacks verification","OK — verify source"))))))))))))))</f>
        <v/>
      </c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8" t="n"/>
      <c r="M191" s="27" t="n"/>
      <c r="N191" s="27">
        <f>IF(COUNTA(A191:M191)=0,"",IF(OR(A191="",B191="",C191="",D191="",E191="",F191="",I191="",J191="",K191="",M191=""),"Required link detail missing",IF(COUNTIF($A$4:$A$1003,A191)&gt;1,"Duplicate Map Edge ID",IF(NOT(OR(AND(B191="UC",E191="CAP",D191="requires"),AND(B191="CAP",E191="AIR",D191="provided by"),AND(B191="AIR",OR(E191="MOD",E191="DATA",E191="IF",E191="AG",E191="TOOL"),D191="references"),AND(B191="AIR",E191="AIR",D191="depends on"))),"Invalid relationship",IF(AND(M191&lt;&gt;"Superseded",COUNTIFS($B$4:$B$1003,B191,$C$4:$C$1003,C191,$D$4:$D$1003,D191,$E$4:$E$1003,E191,$F$4:$F$1003,F191,$G$4:$G$1003,G191,$M$4:$M$1003,"&lt;&gt;Superseded")&gt;1),"Duplicate relationship",IF(OR(IF(B191="UC",COUNTIF('Use cases'!$A$4:$A$253,C191),IF(B191="CAP",COUNTIF(Capabilities!$A$4:$A$253,C191),IF(B191="AIR",COUNTIF('System map'!$A$4:$A$203,C191),COUNTIFS(Components!$A$4:$A$253,C191,Components!$B$4:$B$253,B191))))&lt;&gt;1,IF(E191="UC",COUNTIF('Use cases'!$A$4:$A$253,F191),IF(E191="CAP",COUNTIF(Capabilities!$A$4:$A$253,F191),IF(E191="AIR",COUNTIF('System map'!$A$4:$A$203,F191),COUNTIFS(Components!$A$4:$A$253,F191,Components!$B$4:$B$253,E191))))&lt;&gt;1),"Endpoint missing or duplicated",IF(AND(NOT(AND(B191="UC",E191="CAP")),OR(G191="",COUNTIF('System map'!$A$4:$A$203,G191)&lt;&gt;1)),"AIR context missing / unknown",IF(AND(B191="CAP",E191="AIR",G191&lt;&gt;F191),"AIR context mismatch",IF(AND(B191="AIR",G191&lt;&gt;C191),"AIR context mismatch",IF(AND(B191="AIR",E191="AIR",C191=F191),"Self-dependency",IF(AND(B191="AIR",E191="AIR",M191&lt;&gt;"Superseded",COUNTIFS($B$4:$B$1003,"AIR",$C$4:$C$1003,F191,$E$4:$E$1003,"AIR",$F$4:$F$1003,C191,$M$4:$M$1003,"&lt;&gt;Superseded")&gt;0),"Dependency cycle (A↔B) — review",IF(AND(B191="AIR",OR(E191="MOD",E191="DATA",E191="IF",E191="AG",E191="TOOL"),IFERROR(INDEX(Components!$G$4:$G$253,MATCH(F191,Components!$A$4:$A$253,0)),"")&lt;&gt;"",IFERROR(INDEX(Components!$G$4:$G$253,MATCH(F191,Components!$A$4:$A$253,0)),"")&lt;&gt;C191),"Component owned by another AIR-ID",IF(AND(M191="Confirmed",OR(IF(B191="UC",COUNTIFS('Use cases'!$A$4:$A$253,C191,'Use cases'!$I$4:$I$253,"Confirmed",'Use cases'!$J$4:$J$253,"OK — verify source"),IF(B191="CAP",COUNTIFS(Capabilities!$A$4:$A$253,C191,Capabilities!$J$4:$J$253,"Confirmed",Capabilities!$K$4:$K$253,"OK — verify source"),IF(B191="AIR",COUNTIFS('System map'!$A$4:$A$203,C191,'System map'!$B$4:$B$203,"&lt;&gt;",'System map'!$C$4:$C$203,"&lt;&gt;",'System map'!$D$4:$D$203,"&lt;&gt;"),COUNTIFS(Components!$A$4:$A$253,C191,Components!$B$4:$B$253,B191,Components!$K$4:$K$253,"Confirmed",Components!$L$4:$L$253,"OK — verify source"))))&lt;&gt;1,IF(E191="UC",COUNTIFS('Use cases'!$A$4:$A$253,F191,'Use cases'!$I$4:$I$253,"Confirmed",'Use cases'!$J$4:$J$253,"OK — verify source"),IF(E191="CAP",COUNTIFS(Capabilities!$A$4:$A$253,F191,Capabilities!$J$4:$J$253,"Confirmed",Capabilities!$K$4:$K$253,"OK — verify source"),IF(E191="AIR",COUNTIFS('System map'!$A$4:$A$203,F191,'System map'!$B$4:$B$203,"&lt;&gt;",'System map'!$C$4:$C$203,"&lt;&gt;",'System map'!$D$4:$D$203,"&lt;&gt;"),COUNTIFS(Components!$A$4:$A$253,F191,Components!$B$4:$B$253,E191,Components!$K$4:$K$253,"Confirmed",Components!$L$4:$L$253,"OK — verify source"))))&lt;&gt;1)),"Endpoint not source-reconciled",IF(AND(M191="Confirmed",OR(L191="",K191="",K191="Unknown",K191="Low")),"Confirmed link lacks verification","OK — verify source"))))))))))))))</f>
        <v/>
      </c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6" t="n"/>
      <c r="M192" s="25" t="n"/>
      <c r="N192" s="25">
        <f>IF(COUNTA(A192:M192)=0,"",IF(OR(A192="",B192="",C192="",D192="",E192="",F192="",I192="",J192="",K192="",M192=""),"Required link detail missing",IF(COUNTIF($A$4:$A$1003,A192)&gt;1,"Duplicate Map Edge ID",IF(NOT(OR(AND(B192="UC",E192="CAP",D192="requires"),AND(B192="CAP",E192="AIR",D192="provided by"),AND(B192="AIR",OR(E192="MOD",E192="DATA",E192="IF",E192="AG",E192="TOOL"),D192="references"),AND(B192="AIR",E192="AIR",D192="depends on"))),"Invalid relationship",IF(AND(M192&lt;&gt;"Superseded",COUNTIFS($B$4:$B$1003,B192,$C$4:$C$1003,C192,$D$4:$D$1003,D192,$E$4:$E$1003,E192,$F$4:$F$1003,F192,$G$4:$G$1003,G192,$M$4:$M$1003,"&lt;&gt;Superseded")&gt;1),"Duplicate relationship",IF(OR(IF(B192="UC",COUNTIF('Use cases'!$A$4:$A$253,C192),IF(B192="CAP",COUNTIF(Capabilities!$A$4:$A$253,C192),IF(B192="AIR",COUNTIF('System map'!$A$4:$A$203,C192),COUNTIFS(Components!$A$4:$A$253,C192,Components!$B$4:$B$253,B192))))&lt;&gt;1,IF(E192="UC",COUNTIF('Use cases'!$A$4:$A$253,F192),IF(E192="CAP",COUNTIF(Capabilities!$A$4:$A$253,F192),IF(E192="AIR",COUNTIF('System map'!$A$4:$A$203,F192),COUNTIFS(Components!$A$4:$A$253,F192,Components!$B$4:$B$253,E192))))&lt;&gt;1),"Endpoint missing or duplicated",IF(AND(NOT(AND(B192="UC",E192="CAP")),OR(G192="",COUNTIF('System map'!$A$4:$A$203,G192)&lt;&gt;1)),"AIR context missing / unknown",IF(AND(B192="CAP",E192="AIR",G192&lt;&gt;F192),"AIR context mismatch",IF(AND(B192="AIR",G192&lt;&gt;C192),"AIR context mismatch",IF(AND(B192="AIR",E192="AIR",C192=F192),"Self-dependency",IF(AND(B192="AIR",E192="AIR",M192&lt;&gt;"Superseded",COUNTIFS($B$4:$B$1003,"AIR",$C$4:$C$1003,F192,$E$4:$E$1003,"AIR",$F$4:$F$1003,C192,$M$4:$M$1003,"&lt;&gt;Superseded")&gt;0),"Dependency cycle (A↔B) — review",IF(AND(B192="AIR",OR(E192="MOD",E192="DATA",E192="IF",E192="AG",E192="TOOL"),IFERROR(INDEX(Components!$G$4:$G$253,MATCH(F192,Components!$A$4:$A$253,0)),"")&lt;&gt;"",IFERROR(INDEX(Components!$G$4:$G$253,MATCH(F192,Components!$A$4:$A$253,0)),"")&lt;&gt;C192),"Component owned by another AIR-ID",IF(AND(M192="Confirmed",OR(IF(B192="UC",COUNTIFS('Use cases'!$A$4:$A$253,C192,'Use cases'!$I$4:$I$253,"Confirmed",'Use cases'!$J$4:$J$253,"OK — verify source"),IF(B192="CAP",COUNTIFS(Capabilities!$A$4:$A$253,C192,Capabilities!$J$4:$J$253,"Confirmed",Capabilities!$K$4:$K$253,"OK — verify source"),IF(B192="AIR",COUNTIFS('System map'!$A$4:$A$203,C192,'System map'!$B$4:$B$203,"&lt;&gt;",'System map'!$C$4:$C$203,"&lt;&gt;",'System map'!$D$4:$D$203,"&lt;&gt;"),COUNTIFS(Components!$A$4:$A$253,C192,Components!$B$4:$B$253,B192,Components!$K$4:$K$253,"Confirmed",Components!$L$4:$L$253,"OK — verify source"))))&lt;&gt;1,IF(E192="UC",COUNTIFS('Use cases'!$A$4:$A$253,F192,'Use cases'!$I$4:$I$253,"Confirmed",'Use cases'!$J$4:$J$253,"OK — verify source"),IF(E192="CAP",COUNTIFS(Capabilities!$A$4:$A$253,F192,Capabilities!$J$4:$J$253,"Confirmed",Capabilities!$K$4:$K$253,"OK — verify source"),IF(E192="AIR",COUNTIFS('System map'!$A$4:$A$203,F192,'System map'!$B$4:$B$203,"&lt;&gt;",'System map'!$C$4:$C$203,"&lt;&gt;",'System map'!$D$4:$D$203,"&lt;&gt;"),COUNTIFS(Components!$A$4:$A$253,F192,Components!$B$4:$B$253,E192,Components!$K$4:$K$253,"Confirmed",Components!$L$4:$L$253,"OK — verify source"))))&lt;&gt;1)),"Endpoint not source-reconciled",IF(AND(M192="Confirmed",OR(L192="",K192="",K192="Unknown",K192="Low")),"Confirmed link lacks verification","OK — verify source"))))))))))))))</f>
        <v/>
      </c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8" t="n"/>
      <c r="M193" s="27" t="n"/>
      <c r="N193" s="27">
        <f>IF(COUNTA(A193:M193)=0,"",IF(OR(A193="",B193="",C193="",D193="",E193="",F193="",I193="",J193="",K193="",M193=""),"Required link detail missing",IF(COUNTIF($A$4:$A$1003,A193)&gt;1,"Duplicate Map Edge ID",IF(NOT(OR(AND(B193="UC",E193="CAP",D193="requires"),AND(B193="CAP",E193="AIR",D193="provided by"),AND(B193="AIR",OR(E193="MOD",E193="DATA",E193="IF",E193="AG",E193="TOOL"),D193="references"),AND(B193="AIR",E193="AIR",D193="depends on"))),"Invalid relationship",IF(AND(M193&lt;&gt;"Superseded",COUNTIFS($B$4:$B$1003,B193,$C$4:$C$1003,C193,$D$4:$D$1003,D193,$E$4:$E$1003,E193,$F$4:$F$1003,F193,$G$4:$G$1003,G193,$M$4:$M$1003,"&lt;&gt;Superseded")&gt;1),"Duplicate relationship",IF(OR(IF(B193="UC",COUNTIF('Use cases'!$A$4:$A$253,C193),IF(B193="CAP",COUNTIF(Capabilities!$A$4:$A$253,C193),IF(B193="AIR",COUNTIF('System map'!$A$4:$A$203,C193),COUNTIFS(Components!$A$4:$A$253,C193,Components!$B$4:$B$253,B193))))&lt;&gt;1,IF(E193="UC",COUNTIF('Use cases'!$A$4:$A$253,F193),IF(E193="CAP",COUNTIF(Capabilities!$A$4:$A$253,F193),IF(E193="AIR",COUNTIF('System map'!$A$4:$A$203,F193),COUNTIFS(Components!$A$4:$A$253,F193,Components!$B$4:$B$253,E193))))&lt;&gt;1),"Endpoint missing or duplicated",IF(AND(NOT(AND(B193="UC",E193="CAP")),OR(G193="",COUNTIF('System map'!$A$4:$A$203,G193)&lt;&gt;1)),"AIR context missing / unknown",IF(AND(B193="CAP",E193="AIR",G193&lt;&gt;F193),"AIR context mismatch",IF(AND(B193="AIR",G193&lt;&gt;C193),"AIR context mismatch",IF(AND(B193="AIR",E193="AIR",C193=F193),"Self-dependency",IF(AND(B193="AIR",E193="AIR",M193&lt;&gt;"Superseded",COUNTIFS($B$4:$B$1003,"AIR",$C$4:$C$1003,F193,$E$4:$E$1003,"AIR",$F$4:$F$1003,C193,$M$4:$M$1003,"&lt;&gt;Superseded")&gt;0),"Dependency cycle (A↔B) — review",IF(AND(B193="AIR",OR(E193="MOD",E193="DATA",E193="IF",E193="AG",E193="TOOL"),IFERROR(INDEX(Components!$G$4:$G$253,MATCH(F193,Components!$A$4:$A$253,0)),"")&lt;&gt;"",IFERROR(INDEX(Components!$G$4:$G$253,MATCH(F193,Components!$A$4:$A$253,0)),"")&lt;&gt;C193),"Component owned by another AIR-ID",IF(AND(M193="Confirmed",OR(IF(B193="UC",COUNTIFS('Use cases'!$A$4:$A$253,C193,'Use cases'!$I$4:$I$253,"Confirmed",'Use cases'!$J$4:$J$253,"OK — verify source"),IF(B193="CAP",COUNTIFS(Capabilities!$A$4:$A$253,C193,Capabilities!$J$4:$J$253,"Confirmed",Capabilities!$K$4:$K$253,"OK — verify source"),IF(B193="AIR",COUNTIFS('System map'!$A$4:$A$203,C193,'System map'!$B$4:$B$203,"&lt;&gt;",'System map'!$C$4:$C$203,"&lt;&gt;",'System map'!$D$4:$D$203,"&lt;&gt;"),COUNTIFS(Components!$A$4:$A$253,C193,Components!$B$4:$B$253,B193,Components!$K$4:$K$253,"Confirmed",Components!$L$4:$L$253,"OK — verify source"))))&lt;&gt;1,IF(E193="UC",COUNTIFS('Use cases'!$A$4:$A$253,F193,'Use cases'!$I$4:$I$253,"Confirmed",'Use cases'!$J$4:$J$253,"OK — verify source"),IF(E193="CAP",COUNTIFS(Capabilities!$A$4:$A$253,F193,Capabilities!$J$4:$J$253,"Confirmed",Capabilities!$K$4:$K$253,"OK — verify source"),IF(E193="AIR",COUNTIFS('System map'!$A$4:$A$203,F193,'System map'!$B$4:$B$203,"&lt;&gt;",'System map'!$C$4:$C$203,"&lt;&gt;",'System map'!$D$4:$D$203,"&lt;&gt;"),COUNTIFS(Components!$A$4:$A$253,F193,Components!$B$4:$B$253,E193,Components!$K$4:$K$253,"Confirmed",Components!$L$4:$L$253,"OK — verify source"))))&lt;&gt;1)),"Endpoint not source-reconciled",IF(AND(M193="Confirmed",OR(L193="",K193="",K193="Unknown",K193="Low")),"Confirmed link lacks verification","OK — verify source"))))))))))))))</f>
        <v/>
      </c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6" t="n"/>
      <c r="M194" s="25" t="n"/>
      <c r="N194" s="25">
        <f>IF(COUNTA(A194:M194)=0,"",IF(OR(A194="",B194="",C194="",D194="",E194="",F194="",I194="",J194="",K194="",M194=""),"Required link detail missing",IF(COUNTIF($A$4:$A$1003,A194)&gt;1,"Duplicate Map Edge ID",IF(NOT(OR(AND(B194="UC",E194="CAP",D194="requires"),AND(B194="CAP",E194="AIR",D194="provided by"),AND(B194="AIR",OR(E194="MOD",E194="DATA",E194="IF",E194="AG",E194="TOOL"),D194="references"),AND(B194="AIR",E194="AIR",D194="depends on"))),"Invalid relationship",IF(AND(M194&lt;&gt;"Superseded",COUNTIFS($B$4:$B$1003,B194,$C$4:$C$1003,C194,$D$4:$D$1003,D194,$E$4:$E$1003,E194,$F$4:$F$1003,F194,$G$4:$G$1003,G194,$M$4:$M$1003,"&lt;&gt;Superseded")&gt;1),"Duplicate relationship",IF(OR(IF(B194="UC",COUNTIF('Use cases'!$A$4:$A$253,C194),IF(B194="CAP",COUNTIF(Capabilities!$A$4:$A$253,C194),IF(B194="AIR",COUNTIF('System map'!$A$4:$A$203,C194),COUNTIFS(Components!$A$4:$A$253,C194,Components!$B$4:$B$253,B194))))&lt;&gt;1,IF(E194="UC",COUNTIF('Use cases'!$A$4:$A$253,F194),IF(E194="CAP",COUNTIF(Capabilities!$A$4:$A$253,F194),IF(E194="AIR",COUNTIF('System map'!$A$4:$A$203,F194),COUNTIFS(Components!$A$4:$A$253,F194,Components!$B$4:$B$253,E194))))&lt;&gt;1),"Endpoint missing or duplicated",IF(AND(NOT(AND(B194="UC",E194="CAP")),OR(G194="",COUNTIF('System map'!$A$4:$A$203,G194)&lt;&gt;1)),"AIR context missing / unknown",IF(AND(B194="CAP",E194="AIR",G194&lt;&gt;F194),"AIR context mismatch",IF(AND(B194="AIR",G194&lt;&gt;C194),"AIR context mismatch",IF(AND(B194="AIR",E194="AIR",C194=F194),"Self-dependency",IF(AND(B194="AIR",E194="AIR",M194&lt;&gt;"Superseded",COUNTIFS($B$4:$B$1003,"AIR",$C$4:$C$1003,F194,$E$4:$E$1003,"AIR",$F$4:$F$1003,C194,$M$4:$M$1003,"&lt;&gt;Superseded")&gt;0),"Dependency cycle (A↔B) — review",IF(AND(B194="AIR",OR(E194="MOD",E194="DATA",E194="IF",E194="AG",E194="TOOL"),IFERROR(INDEX(Components!$G$4:$G$253,MATCH(F194,Components!$A$4:$A$253,0)),"")&lt;&gt;"",IFERROR(INDEX(Components!$G$4:$G$253,MATCH(F194,Components!$A$4:$A$253,0)),"")&lt;&gt;C194),"Component owned by another AIR-ID",IF(AND(M194="Confirmed",OR(IF(B194="UC",COUNTIFS('Use cases'!$A$4:$A$253,C194,'Use cases'!$I$4:$I$253,"Confirmed",'Use cases'!$J$4:$J$253,"OK — verify source"),IF(B194="CAP",COUNTIFS(Capabilities!$A$4:$A$253,C194,Capabilities!$J$4:$J$253,"Confirmed",Capabilities!$K$4:$K$253,"OK — verify source"),IF(B194="AIR",COUNTIFS('System map'!$A$4:$A$203,C194,'System map'!$B$4:$B$203,"&lt;&gt;",'System map'!$C$4:$C$203,"&lt;&gt;",'System map'!$D$4:$D$203,"&lt;&gt;"),COUNTIFS(Components!$A$4:$A$253,C194,Components!$B$4:$B$253,B194,Components!$K$4:$K$253,"Confirmed",Components!$L$4:$L$253,"OK — verify source"))))&lt;&gt;1,IF(E194="UC",COUNTIFS('Use cases'!$A$4:$A$253,F194,'Use cases'!$I$4:$I$253,"Confirmed",'Use cases'!$J$4:$J$253,"OK — verify source"),IF(E194="CAP",COUNTIFS(Capabilities!$A$4:$A$253,F194,Capabilities!$J$4:$J$253,"Confirmed",Capabilities!$K$4:$K$253,"OK — verify source"),IF(E194="AIR",COUNTIFS('System map'!$A$4:$A$203,F194,'System map'!$B$4:$B$203,"&lt;&gt;",'System map'!$C$4:$C$203,"&lt;&gt;",'System map'!$D$4:$D$203,"&lt;&gt;"),COUNTIFS(Components!$A$4:$A$253,F194,Components!$B$4:$B$253,E194,Components!$K$4:$K$253,"Confirmed",Components!$L$4:$L$253,"OK — verify source"))))&lt;&gt;1)),"Endpoint not source-reconciled",IF(AND(M194="Confirmed",OR(L194="",K194="",K194="Unknown",K194="Low")),"Confirmed link lacks verification","OK — verify source"))))))))))))))</f>
        <v/>
      </c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8" t="n"/>
      <c r="M195" s="27" t="n"/>
      <c r="N195" s="27">
        <f>IF(COUNTA(A195:M195)=0,"",IF(OR(A195="",B195="",C195="",D195="",E195="",F195="",I195="",J195="",K195="",M195=""),"Required link detail missing",IF(COUNTIF($A$4:$A$1003,A195)&gt;1,"Duplicate Map Edge ID",IF(NOT(OR(AND(B195="UC",E195="CAP",D195="requires"),AND(B195="CAP",E195="AIR",D195="provided by"),AND(B195="AIR",OR(E195="MOD",E195="DATA",E195="IF",E195="AG",E195="TOOL"),D195="references"),AND(B195="AIR",E195="AIR",D195="depends on"))),"Invalid relationship",IF(AND(M195&lt;&gt;"Superseded",COUNTIFS($B$4:$B$1003,B195,$C$4:$C$1003,C195,$D$4:$D$1003,D195,$E$4:$E$1003,E195,$F$4:$F$1003,F195,$G$4:$G$1003,G195,$M$4:$M$1003,"&lt;&gt;Superseded")&gt;1),"Duplicate relationship",IF(OR(IF(B195="UC",COUNTIF('Use cases'!$A$4:$A$253,C195),IF(B195="CAP",COUNTIF(Capabilities!$A$4:$A$253,C195),IF(B195="AIR",COUNTIF('System map'!$A$4:$A$203,C195),COUNTIFS(Components!$A$4:$A$253,C195,Components!$B$4:$B$253,B195))))&lt;&gt;1,IF(E195="UC",COUNTIF('Use cases'!$A$4:$A$253,F195),IF(E195="CAP",COUNTIF(Capabilities!$A$4:$A$253,F195),IF(E195="AIR",COUNTIF('System map'!$A$4:$A$203,F195),COUNTIFS(Components!$A$4:$A$253,F195,Components!$B$4:$B$253,E195))))&lt;&gt;1),"Endpoint missing or duplicated",IF(AND(NOT(AND(B195="UC",E195="CAP")),OR(G195="",COUNTIF('System map'!$A$4:$A$203,G195)&lt;&gt;1)),"AIR context missing / unknown",IF(AND(B195="CAP",E195="AIR",G195&lt;&gt;F195),"AIR context mismatch",IF(AND(B195="AIR",G195&lt;&gt;C195),"AIR context mismatch",IF(AND(B195="AIR",E195="AIR",C195=F195),"Self-dependency",IF(AND(B195="AIR",E195="AIR",M195&lt;&gt;"Superseded",COUNTIFS($B$4:$B$1003,"AIR",$C$4:$C$1003,F195,$E$4:$E$1003,"AIR",$F$4:$F$1003,C195,$M$4:$M$1003,"&lt;&gt;Superseded")&gt;0),"Dependency cycle (A↔B) — review",IF(AND(B195="AIR",OR(E195="MOD",E195="DATA",E195="IF",E195="AG",E195="TOOL"),IFERROR(INDEX(Components!$G$4:$G$253,MATCH(F195,Components!$A$4:$A$253,0)),"")&lt;&gt;"",IFERROR(INDEX(Components!$G$4:$G$253,MATCH(F195,Components!$A$4:$A$253,0)),"")&lt;&gt;C195),"Component owned by another AIR-ID",IF(AND(M195="Confirmed",OR(IF(B195="UC",COUNTIFS('Use cases'!$A$4:$A$253,C195,'Use cases'!$I$4:$I$253,"Confirmed",'Use cases'!$J$4:$J$253,"OK — verify source"),IF(B195="CAP",COUNTIFS(Capabilities!$A$4:$A$253,C195,Capabilities!$J$4:$J$253,"Confirmed",Capabilities!$K$4:$K$253,"OK — verify source"),IF(B195="AIR",COUNTIFS('System map'!$A$4:$A$203,C195,'System map'!$B$4:$B$203,"&lt;&gt;",'System map'!$C$4:$C$203,"&lt;&gt;",'System map'!$D$4:$D$203,"&lt;&gt;"),COUNTIFS(Components!$A$4:$A$253,C195,Components!$B$4:$B$253,B195,Components!$K$4:$K$253,"Confirmed",Components!$L$4:$L$253,"OK — verify source"))))&lt;&gt;1,IF(E195="UC",COUNTIFS('Use cases'!$A$4:$A$253,F195,'Use cases'!$I$4:$I$253,"Confirmed",'Use cases'!$J$4:$J$253,"OK — verify source"),IF(E195="CAP",COUNTIFS(Capabilities!$A$4:$A$253,F195,Capabilities!$J$4:$J$253,"Confirmed",Capabilities!$K$4:$K$253,"OK — verify source"),IF(E195="AIR",COUNTIFS('System map'!$A$4:$A$203,F195,'System map'!$B$4:$B$203,"&lt;&gt;",'System map'!$C$4:$C$203,"&lt;&gt;",'System map'!$D$4:$D$203,"&lt;&gt;"),COUNTIFS(Components!$A$4:$A$253,F195,Components!$B$4:$B$253,E195,Components!$K$4:$K$253,"Confirmed",Components!$L$4:$L$253,"OK — verify source"))))&lt;&gt;1)),"Endpoint not source-reconciled",IF(AND(M195="Confirmed",OR(L195="",K195="",K195="Unknown",K195="Low")),"Confirmed link lacks verification","OK — verify source"))))))))))))))</f>
        <v/>
      </c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6" t="n"/>
      <c r="M196" s="25" t="n"/>
      <c r="N196" s="25">
        <f>IF(COUNTA(A196:M196)=0,"",IF(OR(A196="",B196="",C196="",D196="",E196="",F196="",I196="",J196="",K196="",M196=""),"Required link detail missing",IF(COUNTIF($A$4:$A$1003,A196)&gt;1,"Duplicate Map Edge ID",IF(NOT(OR(AND(B196="UC",E196="CAP",D196="requires"),AND(B196="CAP",E196="AIR",D196="provided by"),AND(B196="AIR",OR(E196="MOD",E196="DATA",E196="IF",E196="AG",E196="TOOL"),D196="references"),AND(B196="AIR",E196="AIR",D196="depends on"))),"Invalid relationship",IF(AND(M196&lt;&gt;"Superseded",COUNTIFS($B$4:$B$1003,B196,$C$4:$C$1003,C196,$D$4:$D$1003,D196,$E$4:$E$1003,E196,$F$4:$F$1003,F196,$G$4:$G$1003,G196,$M$4:$M$1003,"&lt;&gt;Superseded")&gt;1),"Duplicate relationship",IF(OR(IF(B196="UC",COUNTIF('Use cases'!$A$4:$A$253,C196),IF(B196="CAP",COUNTIF(Capabilities!$A$4:$A$253,C196),IF(B196="AIR",COUNTIF('System map'!$A$4:$A$203,C196),COUNTIFS(Components!$A$4:$A$253,C196,Components!$B$4:$B$253,B196))))&lt;&gt;1,IF(E196="UC",COUNTIF('Use cases'!$A$4:$A$253,F196),IF(E196="CAP",COUNTIF(Capabilities!$A$4:$A$253,F196),IF(E196="AIR",COUNTIF('System map'!$A$4:$A$203,F196),COUNTIFS(Components!$A$4:$A$253,F196,Components!$B$4:$B$253,E196))))&lt;&gt;1),"Endpoint missing or duplicated",IF(AND(NOT(AND(B196="UC",E196="CAP")),OR(G196="",COUNTIF('System map'!$A$4:$A$203,G196)&lt;&gt;1)),"AIR context missing / unknown",IF(AND(B196="CAP",E196="AIR",G196&lt;&gt;F196),"AIR context mismatch",IF(AND(B196="AIR",G196&lt;&gt;C196),"AIR context mismatch",IF(AND(B196="AIR",E196="AIR",C196=F196),"Self-dependency",IF(AND(B196="AIR",E196="AIR",M196&lt;&gt;"Superseded",COUNTIFS($B$4:$B$1003,"AIR",$C$4:$C$1003,F196,$E$4:$E$1003,"AIR",$F$4:$F$1003,C196,$M$4:$M$1003,"&lt;&gt;Superseded")&gt;0),"Dependency cycle (A↔B) — review",IF(AND(B196="AIR",OR(E196="MOD",E196="DATA",E196="IF",E196="AG",E196="TOOL"),IFERROR(INDEX(Components!$G$4:$G$253,MATCH(F196,Components!$A$4:$A$253,0)),"")&lt;&gt;"",IFERROR(INDEX(Components!$G$4:$G$253,MATCH(F196,Components!$A$4:$A$253,0)),"")&lt;&gt;C196),"Component owned by another AIR-ID",IF(AND(M196="Confirmed",OR(IF(B196="UC",COUNTIFS('Use cases'!$A$4:$A$253,C196,'Use cases'!$I$4:$I$253,"Confirmed",'Use cases'!$J$4:$J$253,"OK — verify source"),IF(B196="CAP",COUNTIFS(Capabilities!$A$4:$A$253,C196,Capabilities!$J$4:$J$253,"Confirmed",Capabilities!$K$4:$K$253,"OK — verify source"),IF(B196="AIR",COUNTIFS('System map'!$A$4:$A$203,C196,'System map'!$B$4:$B$203,"&lt;&gt;",'System map'!$C$4:$C$203,"&lt;&gt;",'System map'!$D$4:$D$203,"&lt;&gt;"),COUNTIFS(Components!$A$4:$A$253,C196,Components!$B$4:$B$253,B196,Components!$K$4:$K$253,"Confirmed",Components!$L$4:$L$253,"OK — verify source"))))&lt;&gt;1,IF(E196="UC",COUNTIFS('Use cases'!$A$4:$A$253,F196,'Use cases'!$I$4:$I$253,"Confirmed",'Use cases'!$J$4:$J$253,"OK — verify source"),IF(E196="CAP",COUNTIFS(Capabilities!$A$4:$A$253,F196,Capabilities!$J$4:$J$253,"Confirmed",Capabilities!$K$4:$K$253,"OK — verify source"),IF(E196="AIR",COUNTIFS('System map'!$A$4:$A$203,F196,'System map'!$B$4:$B$203,"&lt;&gt;",'System map'!$C$4:$C$203,"&lt;&gt;",'System map'!$D$4:$D$203,"&lt;&gt;"),COUNTIFS(Components!$A$4:$A$253,F196,Components!$B$4:$B$253,E196,Components!$K$4:$K$253,"Confirmed",Components!$L$4:$L$253,"OK — verify source"))))&lt;&gt;1)),"Endpoint not source-reconciled",IF(AND(M196="Confirmed",OR(L196="",K196="",K196="Unknown",K196="Low")),"Confirmed link lacks verification","OK — verify source"))))))))))))))</f>
        <v/>
      </c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8" t="n"/>
      <c r="M197" s="27" t="n"/>
      <c r="N197" s="27">
        <f>IF(COUNTA(A197:M197)=0,"",IF(OR(A197="",B197="",C197="",D197="",E197="",F197="",I197="",J197="",K197="",M197=""),"Required link detail missing",IF(COUNTIF($A$4:$A$1003,A197)&gt;1,"Duplicate Map Edge ID",IF(NOT(OR(AND(B197="UC",E197="CAP",D197="requires"),AND(B197="CAP",E197="AIR",D197="provided by"),AND(B197="AIR",OR(E197="MOD",E197="DATA",E197="IF",E197="AG",E197="TOOL"),D197="references"),AND(B197="AIR",E197="AIR",D197="depends on"))),"Invalid relationship",IF(AND(M197&lt;&gt;"Superseded",COUNTIFS($B$4:$B$1003,B197,$C$4:$C$1003,C197,$D$4:$D$1003,D197,$E$4:$E$1003,E197,$F$4:$F$1003,F197,$G$4:$G$1003,G197,$M$4:$M$1003,"&lt;&gt;Superseded")&gt;1),"Duplicate relationship",IF(OR(IF(B197="UC",COUNTIF('Use cases'!$A$4:$A$253,C197),IF(B197="CAP",COUNTIF(Capabilities!$A$4:$A$253,C197),IF(B197="AIR",COUNTIF('System map'!$A$4:$A$203,C197),COUNTIFS(Components!$A$4:$A$253,C197,Components!$B$4:$B$253,B197))))&lt;&gt;1,IF(E197="UC",COUNTIF('Use cases'!$A$4:$A$253,F197),IF(E197="CAP",COUNTIF(Capabilities!$A$4:$A$253,F197),IF(E197="AIR",COUNTIF('System map'!$A$4:$A$203,F197),COUNTIFS(Components!$A$4:$A$253,F197,Components!$B$4:$B$253,E197))))&lt;&gt;1),"Endpoint missing or duplicated",IF(AND(NOT(AND(B197="UC",E197="CAP")),OR(G197="",COUNTIF('System map'!$A$4:$A$203,G197)&lt;&gt;1)),"AIR context missing / unknown",IF(AND(B197="CAP",E197="AIR",G197&lt;&gt;F197),"AIR context mismatch",IF(AND(B197="AIR",G197&lt;&gt;C197),"AIR context mismatch",IF(AND(B197="AIR",E197="AIR",C197=F197),"Self-dependency",IF(AND(B197="AIR",E197="AIR",M197&lt;&gt;"Superseded",COUNTIFS($B$4:$B$1003,"AIR",$C$4:$C$1003,F197,$E$4:$E$1003,"AIR",$F$4:$F$1003,C197,$M$4:$M$1003,"&lt;&gt;Superseded")&gt;0),"Dependency cycle (A↔B) — review",IF(AND(B197="AIR",OR(E197="MOD",E197="DATA",E197="IF",E197="AG",E197="TOOL"),IFERROR(INDEX(Components!$G$4:$G$253,MATCH(F197,Components!$A$4:$A$253,0)),"")&lt;&gt;"",IFERROR(INDEX(Components!$G$4:$G$253,MATCH(F197,Components!$A$4:$A$253,0)),"")&lt;&gt;C197),"Component owned by another AIR-ID",IF(AND(M197="Confirmed",OR(IF(B197="UC",COUNTIFS('Use cases'!$A$4:$A$253,C197,'Use cases'!$I$4:$I$253,"Confirmed",'Use cases'!$J$4:$J$253,"OK — verify source"),IF(B197="CAP",COUNTIFS(Capabilities!$A$4:$A$253,C197,Capabilities!$J$4:$J$253,"Confirmed",Capabilities!$K$4:$K$253,"OK — verify source"),IF(B197="AIR",COUNTIFS('System map'!$A$4:$A$203,C197,'System map'!$B$4:$B$203,"&lt;&gt;",'System map'!$C$4:$C$203,"&lt;&gt;",'System map'!$D$4:$D$203,"&lt;&gt;"),COUNTIFS(Components!$A$4:$A$253,C197,Components!$B$4:$B$253,B197,Components!$K$4:$K$253,"Confirmed",Components!$L$4:$L$253,"OK — verify source"))))&lt;&gt;1,IF(E197="UC",COUNTIFS('Use cases'!$A$4:$A$253,F197,'Use cases'!$I$4:$I$253,"Confirmed",'Use cases'!$J$4:$J$253,"OK — verify source"),IF(E197="CAP",COUNTIFS(Capabilities!$A$4:$A$253,F197,Capabilities!$J$4:$J$253,"Confirmed",Capabilities!$K$4:$K$253,"OK — verify source"),IF(E197="AIR",COUNTIFS('System map'!$A$4:$A$203,F197,'System map'!$B$4:$B$203,"&lt;&gt;",'System map'!$C$4:$C$203,"&lt;&gt;",'System map'!$D$4:$D$203,"&lt;&gt;"),COUNTIFS(Components!$A$4:$A$253,F197,Components!$B$4:$B$253,E197,Components!$K$4:$K$253,"Confirmed",Components!$L$4:$L$253,"OK — verify source"))))&lt;&gt;1)),"Endpoint not source-reconciled",IF(AND(M197="Confirmed",OR(L197="",K197="",K197="Unknown",K197="Low")),"Confirmed link lacks verification","OK — verify source"))))))))))))))</f>
        <v/>
      </c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6" t="n"/>
      <c r="M198" s="25" t="n"/>
      <c r="N198" s="25">
        <f>IF(COUNTA(A198:M198)=0,"",IF(OR(A198="",B198="",C198="",D198="",E198="",F198="",I198="",J198="",K198="",M198=""),"Required link detail missing",IF(COUNTIF($A$4:$A$1003,A198)&gt;1,"Duplicate Map Edge ID",IF(NOT(OR(AND(B198="UC",E198="CAP",D198="requires"),AND(B198="CAP",E198="AIR",D198="provided by"),AND(B198="AIR",OR(E198="MOD",E198="DATA",E198="IF",E198="AG",E198="TOOL"),D198="references"),AND(B198="AIR",E198="AIR",D198="depends on"))),"Invalid relationship",IF(AND(M198&lt;&gt;"Superseded",COUNTIFS($B$4:$B$1003,B198,$C$4:$C$1003,C198,$D$4:$D$1003,D198,$E$4:$E$1003,E198,$F$4:$F$1003,F198,$G$4:$G$1003,G198,$M$4:$M$1003,"&lt;&gt;Superseded")&gt;1),"Duplicate relationship",IF(OR(IF(B198="UC",COUNTIF('Use cases'!$A$4:$A$253,C198),IF(B198="CAP",COUNTIF(Capabilities!$A$4:$A$253,C198),IF(B198="AIR",COUNTIF('System map'!$A$4:$A$203,C198),COUNTIFS(Components!$A$4:$A$253,C198,Components!$B$4:$B$253,B198))))&lt;&gt;1,IF(E198="UC",COUNTIF('Use cases'!$A$4:$A$253,F198),IF(E198="CAP",COUNTIF(Capabilities!$A$4:$A$253,F198),IF(E198="AIR",COUNTIF('System map'!$A$4:$A$203,F198),COUNTIFS(Components!$A$4:$A$253,F198,Components!$B$4:$B$253,E198))))&lt;&gt;1),"Endpoint missing or duplicated",IF(AND(NOT(AND(B198="UC",E198="CAP")),OR(G198="",COUNTIF('System map'!$A$4:$A$203,G198)&lt;&gt;1)),"AIR context missing / unknown",IF(AND(B198="CAP",E198="AIR",G198&lt;&gt;F198),"AIR context mismatch",IF(AND(B198="AIR",G198&lt;&gt;C198),"AIR context mismatch",IF(AND(B198="AIR",E198="AIR",C198=F198),"Self-dependency",IF(AND(B198="AIR",E198="AIR",M198&lt;&gt;"Superseded",COUNTIFS($B$4:$B$1003,"AIR",$C$4:$C$1003,F198,$E$4:$E$1003,"AIR",$F$4:$F$1003,C198,$M$4:$M$1003,"&lt;&gt;Superseded")&gt;0),"Dependency cycle (A↔B) — review",IF(AND(B198="AIR",OR(E198="MOD",E198="DATA",E198="IF",E198="AG",E198="TOOL"),IFERROR(INDEX(Components!$G$4:$G$253,MATCH(F198,Components!$A$4:$A$253,0)),"")&lt;&gt;"",IFERROR(INDEX(Components!$G$4:$G$253,MATCH(F198,Components!$A$4:$A$253,0)),"")&lt;&gt;C198),"Component owned by another AIR-ID",IF(AND(M198="Confirmed",OR(IF(B198="UC",COUNTIFS('Use cases'!$A$4:$A$253,C198,'Use cases'!$I$4:$I$253,"Confirmed",'Use cases'!$J$4:$J$253,"OK — verify source"),IF(B198="CAP",COUNTIFS(Capabilities!$A$4:$A$253,C198,Capabilities!$J$4:$J$253,"Confirmed",Capabilities!$K$4:$K$253,"OK — verify source"),IF(B198="AIR",COUNTIFS('System map'!$A$4:$A$203,C198,'System map'!$B$4:$B$203,"&lt;&gt;",'System map'!$C$4:$C$203,"&lt;&gt;",'System map'!$D$4:$D$203,"&lt;&gt;"),COUNTIFS(Components!$A$4:$A$253,C198,Components!$B$4:$B$253,B198,Components!$K$4:$K$253,"Confirmed",Components!$L$4:$L$253,"OK — verify source"))))&lt;&gt;1,IF(E198="UC",COUNTIFS('Use cases'!$A$4:$A$253,F198,'Use cases'!$I$4:$I$253,"Confirmed",'Use cases'!$J$4:$J$253,"OK — verify source"),IF(E198="CAP",COUNTIFS(Capabilities!$A$4:$A$253,F198,Capabilities!$J$4:$J$253,"Confirmed",Capabilities!$K$4:$K$253,"OK — verify source"),IF(E198="AIR",COUNTIFS('System map'!$A$4:$A$203,F198,'System map'!$B$4:$B$203,"&lt;&gt;",'System map'!$C$4:$C$203,"&lt;&gt;",'System map'!$D$4:$D$203,"&lt;&gt;"),COUNTIFS(Components!$A$4:$A$253,F198,Components!$B$4:$B$253,E198,Components!$K$4:$K$253,"Confirmed",Components!$L$4:$L$253,"OK — verify source"))))&lt;&gt;1)),"Endpoint not source-reconciled",IF(AND(M198="Confirmed",OR(L198="",K198="",K198="Unknown",K198="Low")),"Confirmed link lacks verification","OK — verify source"))))))))))))))</f>
        <v/>
      </c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8" t="n"/>
      <c r="M199" s="27" t="n"/>
      <c r="N199" s="27">
        <f>IF(COUNTA(A199:M199)=0,"",IF(OR(A199="",B199="",C199="",D199="",E199="",F199="",I199="",J199="",K199="",M199=""),"Required link detail missing",IF(COUNTIF($A$4:$A$1003,A199)&gt;1,"Duplicate Map Edge ID",IF(NOT(OR(AND(B199="UC",E199="CAP",D199="requires"),AND(B199="CAP",E199="AIR",D199="provided by"),AND(B199="AIR",OR(E199="MOD",E199="DATA",E199="IF",E199="AG",E199="TOOL"),D199="references"),AND(B199="AIR",E199="AIR",D199="depends on"))),"Invalid relationship",IF(AND(M199&lt;&gt;"Superseded",COUNTIFS($B$4:$B$1003,B199,$C$4:$C$1003,C199,$D$4:$D$1003,D199,$E$4:$E$1003,E199,$F$4:$F$1003,F199,$G$4:$G$1003,G199,$M$4:$M$1003,"&lt;&gt;Superseded")&gt;1),"Duplicate relationship",IF(OR(IF(B199="UC",COUNTIF('Use cases'!$A$4:$A$253,C199),IF(B199="CAP",COUNTIF(Capabilities!$A$4:$A$253,C199),IF(B199="AIR",COUNTIF('System map'!$A$4:$A$203,C199),COUNTIFS(Components!$A$4:$A$253,C199,Components!$B$4:$B$253,B199))))&lt;&gt;1,IF(E199="UC",COUNTIF('Use cases'!$A$4:$A$253,F199),IF(E199="CAP",COUNTIF(Capabilities!$A$4:$A$253,F199),IF(E199="AIR",COUNTIF('System map'!$A$4:$A$203,F199),COUNTIFS(Components!$A$4:$A$253,F199,Components!$B$4:$B$253,E199))))&lt;&gt;1),"Endpoint missing or duplicated",IF(AND(NOT(AND(B199="UC",E199="CAP")),OR(G199="",COUNTIF('System map'!$A$4:$A$203,G199)&lt;&gt;1)),"AIR context missing / unknown",IF(AND(B199="CAP",E199="AIR",G199&lt;&gt;F199),"AIR context mismatch",IF(AND(B199="AIR",G199&lt;&gt;C199),"AIR context mismatch",IF(AND(B199="AIR",E199="AIR",C199=F199),"Self-dependency",IF(AND(B199="AIR",E199="AIR",M199&lt;&gt;"Superseded",COUNTIFS($B$4:$B$1003,"AIR",$C$4:$C$1003,F199,$E$4:$E$1003,"AIR",$F$4:$F$1003,C199,$M$4:$M$1003,"&lt;&gt;Superseded")&gt;0),"Dependency cycle (A↔B) — review",IF(AND(B199="AIR",OR(E199="MOD",E199="DATA",E199="IF",E199="AG",E199="TOOL"),IFERROR(INDEX(Components!$G$4:$G$253,MATCH(F199,Components!$A$4:$A$253,0)),"")&lt;&gt;"",IFERROR(INDEX(Components!$G$4:$G$253,MATCH(F199,Components!$A$4:$A$253,0)),"")&lt;&gt;C199),"Component owned by another AIR-ID",IF(AND(M199="Confirmed",OR(IF(B199="UC",COUNTIFS('Use cases'!$A$4:$A$253,C199,'Use cases'!$I$4:$I$253,"Confirmed",'Use cases'!$J$4:$J$253,"OK — verify source"),IF(B199="CAP",COUNTIFS(Capabilities!$A$4:$A$253,C199,Capabilities!$J$4:$J$253,"Confirmed",Capabilities!$K$4:$K$253,"OK — verify source"),IF(B199="AIR",COUNTIFS('System map'!$A$4:$A$203,C199,'System map'!$B$4:$B$203,"&lt;&gt;",'System map'!$C$4:$C$203,"&lt;&gt;",'System map'!$D$4:$D$203,"&lt;&gt;"),COUNTIFS(Components!$A$4:$A$253,C199,Components!$B$4:$B$253,B199,Components!$K$4:$K$253,"Confirmed",Components!$L$4:$L$253,"OK — verify source"))))&lt;&gt;1,IF(E199="UC",COUNTIFS('Use cases'!$A$4:$A$253,F199,'Use cases'!$I$4:$I$253,"Confirmed",'Use cases'!$J$4:$J$253,"OK — verify source"),IF(E199="CAP",COUNTIFS(Capabilities!$A$4:$A$253,F199,Capabilities!$J$4:$J$253,"Confirmed",Capabilities!$K$4:$K$253,"OK — verify source"),IF(E199="AIR",COUNTIFS('System map'!$A$4:$A$203,F199,'System map'!$B$4:$B$203,"&lt;&gt;",'System map'!$C$4:$C$203,"&lt;&gt;",'System map'!$D$4:$D$203,"&lt;&gt;"),COUNTIFS(Components!$A$4:$A$253,F199,Components!$B$4:$B$253,E199,Components!$K$4:$K$253,"Confirmed",Components!$L$4:$L$253,"OK — verify source"))))&lt;&gt;1)),"Endpoint not source-reconciled",IF(AND(M199="Confirmed",OR(L199="",K199="",K199="Unknown",K199="Low")),"Confirmed link lacks verification","OK — verify source"))))))))))))))</f>
        <v/>
      </c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6" t="n"/>
      <c r="M200" s="25" t="n"/>
      <c r="N200" s="25">
        <f>IF(COUNTA(A200:M200)=0,"",IF(OR(A200="",B200="",C200="",D200="",E200="",F200="",I200="",J200="",K200="",M200=""),"Required link detail missing",IF(COUNTIF($A$4:$A$1003,A200)&gt;1,"Duplicate Map Edge ID",IF(NOT(OR(AND(B200="UC",E200="CAP",D200="requires"),AND(B200="CAP",E200="AIR",D200="provided by"),AND(B200="AIR",OR(E200="MOD",E200="DATA",E200="IF",E200="AG",E200="TOOL"),D200="references"),AND(B200="AIR",E200="AIR",D200="depends on"))),"Invalid relationship",IF(AND(M200&lt;&gt;"Superseded",COUNTIFS($B$4:$B$1003,B200,$C$4:$C$1003,C200,$D$4:$D$1003,D200,$E$4:$E$1003,E200,$F$4:$F$1003,F200,$G$4:$G$1003,G200,$M$4:$M$1003,"&lt;&gt;Superseded")&gt;1),"Duplicate relationship",IF(OR(IF(B200="UC",COUNTIF('Use cases'!$A$4:$A$253,C200),IF(B200="CAP",COUNTIF(Capabilities!$A$4:$A$253,C200),IF(B200="AIR",COUNTIF('System map'!$A$4:$A$203,C200),COUNTIFS(Components!$A$4:$A$253,C200,Components!$B$4:$B$253,B200))))&lt;&gt;1,IF(E200="UC",COUNTIF('Use cases'!$A$4:$A$253,F200),IF(E200="CAP",COUNTIF(Capabilities!$A$4:$A$253,F200),IF(E200="AIR",COUNTIF('System map'!$A$4:$A$203,F200),COUNTIFS(Components!$A$4:$A$253,F200,Components!$B$4:$B$253,E200))))&lt;&gt;1),"Endpoint missing or duplicated",IF(AND(NOT(AND(B200="UC",E200="CAP")),OR(G200="",COUNTIF('System map'!$A$4:$A$203,G200)&lt;&gt;1)),"AIR context missing / unknown",IF(AND(B200="CAP",E200="AIR",G200&lt;&gt;F200),"AIR context mismatch",IF(AND(B200="AIR",G200&lt;&gt;C200),"AIR context mismatch",IF(AND(B200="AIR",E200="AIR",C200=F200),"Self-dependency",IF(AND(B200="AIR",E200="AIR",M200&lt;&gt;"Superseded",COUNTIFS($B$4:$B$1003,"AIR",$C$4:$C$1003,F200,$E$4:$E$1003,"AIR",$F$4:$F$1003,C200,$M$4:$M$1003,"&lt;&gt;Superseded")&gt;0),"Dependency cycle (A↔B) — review",IF(AND(B200="AIR",OR(E200="MOD",E200="DATA",E200="IF",E200="AG",E200="TOOL"),IFERROR(INDEX(Components!$G$4:$G$253,MATCH(F200,Components!$A$4:$A$253,0)),"")&lt;&gt;"",IFERROR(INDEX(Components!$G$4:$G$253,MATCH(F200,Components!$A$4:$A$253,0)),"")&lt;&gt;C200),"Component owned by another AIR-ID",IF(AND(M200="Confirmed",OR(IF(B200="UC",COUNTIFS('Use cases'!$A$4:$A$253,C200,'Use cases'!$I$4:$I$253,"Confirmed",'Use cases'!$J$4:$J$253,"OK — verify source"),IF(B200="CAP",COUNTIFS(Capabilities!$A$4:$A$253,C200,Capabilities!$J$4:$J$253,"Confirmed",Capabilities!$K$4:$K$253,"OK — verify source"),IF(B200="AIR",COUNTIFS('System map'!$A$4:$A$203,C200,'System map'!$B$4:$B$203,"&lt;&gt;",'System map'!$C$4:$C$203,"&lt;&gt;",'System map'!$D$4:$D$203,"&lt;&gt;"),COUNTIFS(Components!$A$4:$A$253,C200,Components!$B$4:$B$253,B200,Components!$K$4:$K$253,"Confirmed",Components!$L$4:$L$253,"OK — verify source"))))&lt;&gt;1,IF(E200="UC",COUNTIFS('Use cases'!$A$4:$A$253,F200,'Use cases'!$I$4:$I$253,"Confirmed",'Use cases'!$J$4:$J$253,"OK — verify source"),IF(E200="CAP",COUNTIFS(Capabilities!$A$4:$A$253,F200,Capabilities!$J$4:$J$253,"Confirmed",Capabilities!$K$4:$K$253,"OK — verify source"),IF(E200="AIR",COUNTIFS('System map'!$A$4:$A$203,F200,'System map'!$B$4:$B$203,"&lt;&gt;",'System map'!$C$4:$C$203,"&lt;&gt;",'System map'!$D$4:$D$203,"&lt;&gt;"),COUNTIFS(Components!$A$4:$A$253,F200,Components!$B$4:$B$253,E200,Components!$K$4:$K$253,"Confirmed",Components!$L$4:$L$253,"OK — verify source"))))&lt;&gt;1)),"Endpoint not source-reconciled",IF(AND(M200="Confirmed",OR(L200="",K200="",K200="Unknown",K200="Low")),"Confirmed link lacks verification","OK — verify source"))))))))))))))</f>
        <v/>
      </c>
    </row>
    <row r="201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8" t="n"/>
      <c r="M201" s="27" t="n"/>
      <c r="N201" s="27">
        <f>IF(COUNTA(A201:M201)=0,"",IF(OR(A201="",B201="",C201="",D201="",E201="",F201="",I201="",J201="",K201="",M201=""),"Required link detail missing",IF(COUNTIF($A$4:$A$1003,A201)&gt;1,"Duplicate Map Edge ID",IF(NOT(OR(AND(B201="UC",E201="CAP",D201="requires"),AND(B201="CAP",E201="AIR",D201="provided by"),AND(B201="AIR",OR(E201="MOD",E201="DATA",E201="IF",E201="AG",E201="TOOL"),D201="references"),AND(B201="AIR",E201="AIR",D201="depends on"))),"Invalid relationship",IF(AND(M201&lt;&gt;"Superseded",COUNTIFS($B$4:$B$1003,B201,$C$4:$C$1003,C201,$D$4:$D$1003,D201,$E$4:$E$1003,E201,$F$4:$F$1003,F201,$G$4:$G$1003,G201,$M$4:$M$1003,"&lt;&gt;Superseded")&gt;1),"Duplicate relationship",IF(OR(IF(B201="UC",COUNTIF('Use cases'!$A$4:$A$253,C201),IF(B201="CAP",COUNTIF(Capabilities!$A$4:$A$253,C201),IF(B201="AIR",COUNTIF('System map'!$A$4:$A$203,C201),COUNTIFS(Components!$A$4:$A$253,C201,Components!$B$4:$B$253,B201))))&lt;&gt;1,IF(E201="UC",COUNTIF('Use cases'!$A$4:$A$253,F201),IF(E201="CAP",COUNTIF(Capabilities!$A$4:$A$253,F201),IF(E201="AIR",COUNTIF('System map'!$A$4:$A$203,F201),COUNTIFS(Components!$A$4:$A$253,F201,Components!$B$4:$B$253,E201))))&lt;&gt;1),"Endpoint missing or duplicated",IF(AND(NOT(AND(B201="UC",E201="CAP")),OR(G201="",COUNTIF('System map'!$A$4:$A$203,G201)&lt;&gt;1)),"AIR context missing / unknown",IF(AND(B201="CAP",E201="AIR",G201&lt;&gt;F201),"AIR context mismatch",IF(AND(B201="AIR",G201&lt;&gt;C201),"AIR context mismatch",IF(AND(B201="AIR",E201="AIR",C201=F201),"Self-dependency",IF(AND(B201="AIR",E201="AIR",M201&lt;&gt;"Superseded",COUNTIFS($B$4:$B$1003,"AIR",$C$4:$C$1003,F201,$E$4:$E$1003,"AIR",$F$4:$F$1003,C201,$M$4:$M$1003,"&lt;&gt;Superseded")&gt;0),"Dependency cycle (A↔B) — review",IF(AND(B201="AIR",OR(E201="MOD",E201="DATA",E201="IF",E201="AG",E201="TOOL"),IFERROR(INDEX(Components!$G$4:$G$253,MATCH(F201,Components!$A$4:$A$253,0)),"")&lt;&gt;"",IFERROR(INDEX(Components!$G$4:$G$253,MATCH(F201,Components!$A$4:$A$253,0)),"")&lt;&gt;C201),"Component owned by another AIR-ID",IF(AND(M201="Confirmed",OR(IF(B201="UC",COUNTIFS('Use cases'!$A$4:$A$253,C201,'Use cases'!$I$4:$I$253,"Confirmed",'Use cases'!$J$4:$J$253,"OK — verify source"),IF(B201="CAP",COUNTIFS(Capabilities!$A$4:$A$253,C201,Capabilities!$J$4:$J$253,"Confirmed",Capabilities!$K$4:$K$253,"OK — verify source"),IF(B201="AIR",COUNTIFS('System map'!$A$4:$A$203,C201,'System map'!$B$4:$B$203,"&lt;&gt;",'System map'!$C$4:$C$203,"&lt;&gt;",'System map'!$D$4:$D$203,"&lt;&gt;"),COUNTIFS(Components!$A$4:$A$253,C201,Components!$B$4:$B$253,B201,Components!$K$4:$K$253,"Confirmed",Components!$L$4:$L$253,"OK — verify source"))))&lt;&gt;1,IF(E201="UC",COUNTIFS('Use cases'!$A$4:$A$253,F201,'Use cases'!$I$4:$I$253,"Confirmed",'Use cases'!$J$4:$J$253,"OK — verify source"),IF(E201="CAP",COUNTIFS(Capabilities!$A$4:$A$253,F201,Capabilities!$J$4:$J$253,"Confirmed",Capabilities!$K$4:$K$253,"OK — verify source"),IF(E201="AIR",COUNTIFS('System map'!$A$4:$A$203,F201,'System map'!$B$4:$B$203,"&lt;&gt;",'System map'!$C$4:$C$203,"&lt;&gt;",'System map'!$D$4:$D$203,"&lt;&gt;"),COUNTIFS(Components!$A$4:$A$253,F201,Components!$B$4:$B$253,E201,Components!$K$4:$K$253,"Confirmed",Components!$L$4:$L$253,"OK — verify source"))))&lt;&gt;1)),"Endpoint not source-reconciled",IF(AND(M201="Confirmed",OR(L201="",K201="",K201="Unknown",K201="Low")),"Confirmed link lacks verification","OK — verify source"))))))))))))))</f>
        <v/>
      </c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6" t="n"/>
      <c r="M202" s="25" t="n"/>
      <c r="N202" s="25">
        <f>IF(COUNTA(A202:M202)=0,"",IF(OR(A202="",B202="",C202="",D202="",E202="",F202="",I202="",J202="",K202="",M202=""),"Required link detail missing",IF(COUNTIF($A$4:$A$1003,A202)&gt;1,"Duplicate Map Edge ID",IF(NOT(OR(AND(B202="UC",E202="CAP",D202="requires"),AND(B202="CAP",E202="AIR",D202="provided by"),AND(B202="AIR",OR(E202="MOD",E202="DATA",E202="IF",E202="AG",E202="TOOL"),D202="references"),AND(B202="AIR",E202="AIR",D202="depends on"))),"Invalid relationship",IF(AND(M202&lt;&gt;"Superseded",COUNTIFS($B$4:$B$1003,B202,$C$4:$C$1003,C202,$D$4:$D$1003,D202,$E$4:$E$1003,E202,$F$4:$F$1003,F202,$G$4:$G$1003,G202,$M$4:$M$1003,"&lt;&gt;Superseded")&gt;1),"Duplicate relationship",IF(OR(IF(B202="UC",COUNTIF('Use cases'!$A$4:$A$253,C202),IF(B202="CAP",COUNTIF(Capabilities!$A$4:$A$253,C202),IF(B202="AIR",COUNTIF('System map'!$A$4:$A$203,C202),COUNTIFS(Components!$A$4:$A$253,C202,Components!$B$4:$B$253,B202))))&lt;&gt;1,IF(E202="UC",COUNTIF('Use cases'!$A$4:$A$253,F202),IF(E202="CAP",COUNTIF(Capabilities!$A$4:$A$253,F202),IF(E202="AIR",COUNTIF('System map'!$A$4:$A$203,F202),COUNTIFS(Components!$A$4:$A$253,F202,Components!$B$4:$B$253,E202))))&lt;&gt;1),"Endpoint missing or duplicated",IF(AND(NOT(AND(B202="UC",E202="CAP")),OR(G202="",COUNTIF('System map'!$A$4:$A$203,G202)&lt;&gt;1)),"AIR context missing / unknown",IF(AND(B202="CAP",E202="AIR",G202&lt;&gt;F202),"AIR context mismatch",IF(AND(B202="AIR",G202&lt;&gt;C202),"AIR context mismatch",IF(AND(B202="AIR",E202="AIR",C202=F202),"Self-dependency",IF(AND(B202="AIR",E202="AIR",M202&lt;&gt;"Superseded",COUNTIFS($B$4:$B$1003,"AIR",$C$4:$C$1003,F202,$E$4:$E$1003,"AIR",$F$4:$F$1003,C202,$M$4:$M$1003,"&lt;&gt;Superseded")&gt;0),"Dependency cycle (A↔B) — review",IF(AND(B202="AIR",OR(E202="MOD",E202="DATA",E202="IF",E202="AG",E202="TOOL"),IFERROR(INDEX(Components!$G$4:$G$253,MATCH(F202,Components!$A$4:$A$253,0)),"")&lt;&gt;"",IFERROR(INDEX(Components!$G$4:$G$253,MATCH(F202,Components!$A$4:$A$253,0)),"")&lt;&gt;C202),"Component owned by another AIR-ID",IF(AND(M202="Confirmed",OR(IF(B202="UC",COUNTIFS('Use cases'!$A$4:$A$253,C202,'Use cases'!$I$4:$I$253,"Confirmed",'Use cases'!$J$4:$J$253,"OK — verify source"),IF(B202="CAP",COUNTIFS(Capabilities!$A$4:$A$253,C202,Capabilities!$J$4:$J$253,"Confirmed",Capabilities!$K$4:$K$253,"OK — verify source"),IF(B202="AIR",COUNTIFS('System map'!$A$4:$A$203,C202,'System map'!$B$4:$B$203,"&lt;&gt;",'System map'!$C$4:$C$203,"&lt;&gt;",'System map'!$D$4:$D$203,"&lt;&gt;"),COUNTIFS(Components!$A$4:$A$253,C202,Components!$B$4:$B$253,B202,Components!$K$4:$K$253,"Confirmed",Components!$L$4:$L$253,"OK — verify source"))))&lt;&gt;1,IF(E202="UC",COUNTIFS('Use cases'!$A$4:$A$253,F202,'Use cases'!$I$4:$I$253,"Confirmed",'Use cases'!$J$4:$J$253,"OK — verify source"),IF(E202="CAP",COUNTIFS(Capabilities!$A$4:$A$253,F202,Capabilities!$J$4:$J$253,"Confirmed",Capabilities!$K$4:$K$253,"OK — verify source"),IF(E202="AIR",COUNTIFS('System map'!$A$4:$A$203,F202,'System map'!$B$4:$B$203,"&lt;&gt;",'System map'!$C$4:$C$203,"&lt;&gt;",'System map'!$D$4:$D$203,"&lt;&gt;"),COUNTIFS(Components!$A$4:$A$253,F202,Components!$B$4:$B$253,E202,Components!$K$4:$K$253,"Confirmed",Components!$L$4:$L$253,"OK — verify source"))))&lt;&gt;1)),"Endpoint not source-reconciled",IF(AND(M202="Confirmed",OR(L202="",K202="",K202="Unknown",K202="Low")),"Confirmed link lacks verification","OK — verify source"))))))))))))))</f>
        <v/>
      </c>
    </row>
    <row r="203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8" t="n"/>
      <c r="M203" s="27" t="n"/>
      <c r="N203" s="27">
        <f>IF(COUNTA(A203:M203)=0,"",IF(OR(A203="",B203="",C203="",D203="",E203="",F203="",I203="",J203="",K203="",M203=""),"Required link detail missing",IF(COUNTIF($A$4:$A$1003,A203)&gt;1,"Duplicate Map Edge ID",IF(NOT(OR(AND(B203="UC",E203="CAP",D203="requires"),AND(B203="CAP",E203="AIR",D203="provided by"),AND(B203="AIR",OR(E203="MOD",E203="DATA",E203="IF",E203="AG",E203="TOOL"),D203="references"),AND(B203="AIR",E203="AIR",D203="depends on"))),"Invalid relationship",IF(AND(M203&lt;&gt;"Superseded",COUNTIFS($B$4:$B$1003,B203,$C$4:$C$1003,C203,$D$4:$D$1003,D203,$E$4:$E$1003,E203,$F$4:$F$1003,F203,$G$4:$G$1003,G203,$M$4:$M$1003,"&lt;&gt;Superseded")&gt;1),"Duplicate relationship",IF(OR(IF(B203="UC",COUNTIF('Use cases'!$A$4:$A$253,C203),IF(B203="CAP",COUNTIF(Capabilities!$A$4:$A$253,C203),IF(B203="AIR",COUNTIF('System map'!$A$4:$A$203,C203),COUNTIFS(Components!$A$4:$A$253,C203,Components!$B$4:$B$253,B203))))&lt;&gt;1,IF(E203="UC",COUNTIF('Use cases'!$A$4:$A$253,F203),IF(E203="CAP",COUNTIF(Capabilities!$A$4:$A$253,F203),IF(E203="AIR",COUNTIF('System map'!$A$4:$A$203,F203),COUNTIFS(Components!$A$4:$A$253,F203,Components!$B$4:$B$253,E203))))&lt;&gt;1),"Endpoint missing or duplicated",IF(AND(NOT(AND(B203="UC",E203="CAP")),OR(G203="",COUNTIF('System map'!$A$4:$A$203,G203)&lt;&gt;1)),"AIR context missing / unknown",IF(AND(B203="CAP",E203="AIR",G203&lt;&gt;F203),"AIR context mismatch",IF(AND(B203="AIR",G203&lt;&gt;C203),"AIR context mismatch",IF(AND(B203="AIR",E203="AIR",C203=F203),"Self-dependency",IF(AND(B203="AIR",E203="AIR",M203&lt;&gt;"Superseded",COUNTIFS($B$4:$B$1003,"AIR",$C$4:$C$1003,F203,$E$4:$E$1003,"AIR",$F$4:$F$1003,C203,$M$4:$M$1003,"&lt;&gt;Superseded")&gt;0),"Dependency cycle (A↔B) — review",IF(AND(B203="AIR",OR(E203="MOD",E203="DATA",E203="IF",E203="AG",E203="TOOL"),IFERROR(INDEX(Components!$G$4:$G$253,MATCH(F203,Components!$A$4:$A$253,0)),"")&lt;&gt;"",IFERROR(INDEX(Components!$G$4:$G$253,MATCH(F203,Components!$A$4:$A$253,0)),"")&lt;&gt;C203),"Component owned by another AIR-ID",IF(AND(M203="Confirmed",OR(IF(B203="UC",COUNTIFS('Use cases'!$A$4:$A$253,C203,'Use cases'!$I$4:$I$253,"Confirmed",'Use cases'!$J$4:$J$253,"OK — verify source"),IF(B203="CAP",COUNTIFS(Capabilities!$A$4:$A$253,C203,Capabilities!$J$4:$J$253,"Confirmed",Capabilities!$K$4:$K$253,"OK — verify source"),IF(B203="AIR",COUNTIFS('System map'!$A$4:$A$203,C203,'System map'!$B$4:$B$203,"&lt;&gt;",'System map'!$C$4:$C$203,"&lt;&gt;",'System map'!$D$4:$D$203,"&lt;&gt;"),COUNTIFS(Components!$A$4:$A$253,C203,Components!$B$4:$B$253,B203,Components!$K$4:$K$253,"Confirmed",Components!$L$4:$L$253,"OK — verify source"))))&lt;&gt;1,IF(E203="UC",COUNTIFS('Use cases'!$A$4:$A$253,F203,'Use cases'!$I$4:$I$253,"Confirmed",'Use cases'!$J$4:$J$253,"OK — verify source"),IF(E203="CAP",COUNTIFS(Capabilities!$A$4:$A$253,F203,Capabilities!$J$4:$J$253,"Confirmed",Capabilities!$K$4:$K$253,"OK — verify source"),IF(E203="AIR",COUNTIFS('System map'!$A$4:$A$203,F203,'System map'!$B$4:$B$203,"&lt;&gt;",'System map'!$C$4:$C$203,"&lt;&gt;",'System map'!$D$4:$D$203,"&lt;&gt;"),COUNTIFS(Components!$A$4:$A$253,F203,Components!$B$4:$B$253,E203,Components!$K$4:$K$253,"Confirmed",Components!$L$4:$L$253,"OK — verify source"))))&lt;&gt;1)),"Endpoint not source-reconciled",IF(AND(M203="Confirmed",OR(L203="",K203="",K203="Unknown",K203="Low")),"Confirmed link lacks verification","OK — verify source"))))))))))))))</f>
        <v/>
      </c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6" t="n"/>
      <c r="M204" s="25" t="n"/>
      <c r="N204" s="25">
        <f>IF(COUNTA(A204:M204)=0,"",IF(OR(A204="",B204="",C204="",D204="",E204="",F204="",I204="",J204="",K204="",M204=""),"Required link detail missing",IF(COUNTIF($A$4:$A$1003,A204)&gt;1,"Duplicate Map Edge ID",IF(NOT(OR(AND(B204="UC",E204="CAP",D204="requires"),AND(B204="CAP",E204="AIR",D204="provided by"),AND(B204="AIR",OR(E204="MOD",E204="DATA",E204="IF",E204="AG",E204="TOOL"),D204="references"),AND(B204="AIR",E204="AIR",D204="depends on"))),"Invalid relationship",IF(AND(M204&lt;&gt;"Superseded",COUNTIFS($B$4:$B$1003,B204,$C$4:$C$1003,C204,$D$4:$D$1003,D204,$E$4:$E$1003,E204,$F$4:$F$1003,F204,$G$4:$G$1003,G204,$M$4:$M$1003,"&lt;&gt;Superseded")&gt;1),"Duplicate relationship",IF(OR(IF(B204="UC",COUNTIF('Use cases'!$A$4:$A$253,C204),IF(B204="CAP",COUNTIF(Capabilities!$A$4:$A$253,C204),IF(B204="AIR",COUNTIF('System map'!$A$4:$A$203,C204),COUNTIFS(Components!$A$4:$A$253,C204,Components!$B$4:$B$253,B204))))&lt;&gt;1,IF(E204="UC",COUNTIF('Use cases'!$A$4:$A$253,F204),IF(E204="CAP",COUNTIF(Capabilities!$A$4:$A$253,F204),IF(E204="AIR",COUNTIF('System map'!$A$4:$A$203,F204),COUNTIFS(Components!$A$4:$A$253,F204,Components!$B$4:$B$253,E204))))&lt;&gt;1),"Endpoint missing or duplicated",IF(AND(NOT(AND(B204="UC",E204="CAP")),OR(G204="",COUNTIF('System map'!$A$4:$A$203,G204)&lt;&gt;1)),"AIR context missing / unknown",IF(AND(B204="CAP",E204="AIR",G204&lt;&gt;F204),"AIR context mismatch",IF(AND(B204="AIR",G204&lt;&gt;C204),"AIR context mismatch",IF(AND(B204="AIR",E204="AIR",C204=F204),"Self-dependency",IF(AND(B204="AIR",E204="AIR",M204&lt;&gt;"Superseded",COUNTIFS($B$4:$B$1003,"AIR",$C$4:$C$1003,F204,$E$4:$E$1003,"AIR",$F$4:$F$1003,C204,$M$4:$M$1003,"&lt;&gt;Superseded")&gt;0),"Dependency cycle (A↔B) — review",IF(AND(B204="AIR",OR(E204="MOD",E204="DATA",E204="IF",E204="AG",E204="TOOL"),IFERROR(INDEX(Components!$G$4:$G$253,MATCH(F204,Components!$A$4:$A$253,0)),"")&lt;&gt;"",IFERROR(INDEX(Components!$G$4:$G$253,MATCH(F204,Components!$A$4:$A$253,0)),"")&lt;&gt;C204),"Component owned by another AIR-ID",IF(AND(M204="Confirmed",OR(IF(B204="UC",COUNTIFS('Use cases'!$A$4:$A$253,C204,'Use cases'!$I$4:$I$253,"Confirmed",'Use cases'!$J$4:$J$253,"OK — verify source"),IF(B204="CAP",COUNTIFS(Capabilities!$A$4:$A$253,C204,Capabilities!$J$4:$J$253,"Confirmed",Capabilities!$K$4:$K$253,"OK — verify source"),IF(B204="AIR",COUNTIFS('System map'!$A$4:$A$203,C204,'System map'!$B$4:$B$203,"&lt;&gt;",'System map'!$C$4:$C$203,"&lt;&gt;",'System map'!$D$4:$D$203,"&lt;&gt;"),COUNTIFS(Components!$A$4:$A$253,C204,Components!$B$4:$B$253,B204,Components!$K$4:$K$253,"Confirmed",Components!$L$4:$L$253,"OK — verify source"))))&lt;&gt;1,IF(E204="UC",COUNTIFS('Use cases'!$A$4:$A$253,F204,'Use cases'!$I$4:$I$253,"Confirmed",'Use cases'!$J$4:$J$253,"OK — verify source"),IF(E204="CAP",COUNTIFS(Capabilities!$A$4:$A$253,F204,Capabilities!$J$4:$J$253,"Confirmed",Capabilities!$K$4:$K$253,"OK — verify source"),IF(E204="AIR",COUNTIFS('System map'!$A$4:$A$203,F204,'System map'!$B$4:$B$203,"&lt;&gt;",'System map'!$C$4:$C$203,"&lt;&gt;",'System map'!$D$4:$D$203,"&lt;&gt;"),COUNTIFS(Components!$A$4:$A$253,F204,Components!$B$4:$B$253,E204,Components!$K$4:$K$253,"Confirmed",Components!$L$4:$L$253,"OK — verify source"))))&lt;&gt;1)),"Endpoint not source-reconciled",IF(AND(M204="Confirmed",OR(L204="",K204="",K204="Unknown",K204="Low")),"Confirmed link lacks verification","OK — verify source"))))))))))))))</f>
        <v/>
      </c>
    </row>
    <row r="205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8" t="n"/>
      <c r="M205" s="27" t="n"/>
      <c r="N205" s="27">
        <f>IF(COUNTA(A205:M205)=0,"",IF(OR(A205="",B205="",C205="",D205="",E205="",F205="",I205="",J205="",K205="",M205=""),"Required link detail missing",IF(COUNTIF($A$4:$A$1003,A205)&gt;1,"Duplicate Map Edge ID",IF(NOT(OR(AND(B205="UC",E205="CAP",D205="requires"),AND(B205="CAP",E205="AIR",D205="provided by"),AND(B205="AIR",OR(E205="MOD",E205="DATA",E205="IF",E205="AG",E205="TOOL"),D205="references"),AND(B205="AIR",E205="AIR",D205="depends on"))),"Invalid relationship",IF(AND(M205&lt;&gt;"Superseded",COUNTIFS($B$4:$B$1003,B205,$C$4:$C$1003,C205,$D$4:$D$1003,D205,$E$4:$E$1003,E205,$F$4:$F$1003,F205,$G$4:$G$1003,G205,$M$4:$M$1003,"&lt;&gt;Superseded")&gt;1),"Duplicate relationship",IF(OR(IF(B205="UC",COUNTIF('Use cases'!$A$4:$A$253,C205),IF(B205="CAP",COUNTIF(Capabilities!$A$4:$A$253,C205),IF(B205="AIR",COUNTIF('System map'!$A$4:$A$203,C205),COUNTIFS(Components!$A$4:$A$253,C205,Components!$B$4:$B$253,B205))))&lt;&gt;1,IF(E205="UC",COUNTIF('Use cases'!$A$4:$A$253,F205),IF(E205="CAP",COUNTIF(Capabilities!$A$4:$A$253,F205),IF(E205="AIR",COUNTIF('System map'!$A$4:$A$203,F205),COUNTIFS(Components!$A$4:$A$253,F205,Components!$B$4:$B$253,E205))))&lt;&gt;1),"Endpoint missing or duplicated",IF(AND(NOT(AND(B205="UC",E205="CAP")),OR(G205="",COUNTIF('System map'!$A$4:$A$203,G205)&lt;&gt;1)),"AIR context missing / unknown",IF(AND(B205="CAP",E205="AIR",G205&lt;&gt;F205),"AIR context mismatch",IF(AND(B205="AIR",G205&lt;&gt;C205),"AIR context mismatch",IF(AND(B205="AIR",E205="AIR",C205=F205),"Self-dependency",IF(AND(B205="AIR",E205="AIR",M205&lt;&gt;"Superseded",COUNTIFS($B$4:$B$1003,"AIR",$C$4:$C$1003,F205,$E$4:$E$1003,"AIR",$F$4:$F$1003,C205,$M$4:$M$1003,"&lt;&gt;Superseded")&gt;0),"Dependency cycle (A↔B) — review",IF(AND(B205="AIR",OR(E205="MOD",E205="DATA",E205="IF",E205="AG",E205="TOOL"),IFERROR(INDEX(Components!$G$4:$G$253,MATCH(F205,Components!$A$4:$A$253,0)),"")&lt;&gt;"",IFERROR(INDEX(Components!$G$4:$G$253,MATCH(F205,Components!$A$4:$A$253,0)),"")&lt;&gt;C205),"Component owned by another AIR-ID",IF(AND(M205="Confirmed",OR(IF(B205="UC",COUNTIFS('Use cases'!$A$4:$A$253,C205,'Use cases'!$I$4:$I$253,"Confirmed",'Use cases'!$J$4:$J$253,"OK — verify source"),IF(B205="CAP",COUNTIFS(Capabilities!$A$4:$A$253,C205,Capabilities!$J$4:$J$253,"Confirmed",Capabilities!$K$4:$K$253,"OK — verify source"),IF(B205="AIR",COUNTIFS('System map'!$A$4:$A$203,C205,'System map'!$B$4:$B$203,"&lt;&gt;",'System map'!$C$4:$C$203,"&lt;&gt;",'System map'!$D$4:$D$203,"&lt;&gt;"),COUNTIFS(Components!$A$4:$A$253,C205,Components!$B$4:$B$253,B205,Components!$K$4:$K$253,"Confirmed",Components!$L$4:$L$253,"OK — verify source"))))&lt;&gt;1,IF(E205="UC",COUNTIFS('Use cases'!$A$4:$A$253,F205,'Use cases'!$I$4:$I$253,"Confirmed",'Use cases'!$J$4:$J$253,"OK — verify source"),IF(E205="CAP",COUNTIFS(Capabilities!$A$4:$A$253,F205,Capabilities!$J$4:$J$253,"Confirmed",Capabilities!$K$4:$K$253,"OK — verify source"),IF(E205="AIR",COUNTIFS('System map'!$A$4:$A$203,F205,'System map'!$B$4:$B$203,"&lt;&gt;",'System map'!$C$4:$C$203,"&lt;&gt;",'System map'!$D$4:$D$203,"&lt;&gt;"),COUNTIFS(Components!$A$4:$A$253,F205,Components!$B$4:$B$253,E205,Components!$K$4:$K$253,"Confirmed",Components!$L$4:$L$253,"OK — verify source"))))&lt;&gt;1)),"Endpoint not source-reconciled",IF(AND(M205="Confirmed",OR(L205="",K205="",K205="Unknown",K205="Low")),"Confirmed link lacks verification","OK — verify source"))))))))))))))</f>
        <v/>
      </c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6" t="n"/>
      <c r="M206" s="25" t="n"/>
      <c r="N206" s="25">
        <f>IF(COUNTA(A206:M206)=0,"",IF(OR(A206="",B206="",C206="",D206="",E206="",F206="",I206="",J206="",K206="",M206=""),"Required link detail missing",IF(COUNTIF($A$4:$A$1003,A206)&gt;1,"Duplicate Map Edge ID",IF(NOT(OR(AND(B206="UC",E206="CAP",D206="requires"),AND(B206="CAP",E206="AIR",D206="provided by"),AND(B206="AIR",OR(E206="MOD",E206="DATA",E206="IF",E206="AG",E206="TOOL"),D206="references"),AND(B206="AIR",E206="AIR",D206="depends on"))),"Invalid relationship",IF(AND(M206&lt;&gt;"Superseded",COUNTIFS($B$4:$B$1003,B206,$C$4:$C$1003,C206,$D$4:$D$1003,D206,$E$4:$E$1003,E206,$F$4:$F$1003,F206,$G$4:$G$1003,G206,$M$4:$M$1003,"&lt;&gt;Superseded")&gt;1),"Duplicate relationship",IF(OR(IF(B206="UC",COUNTIF('Use cases'!$A$4:$A$253,C206),IF(B206="CAP",COUNTIF(Capabilities!$A$4:$A$253,C206),IF(B206="AIR",COUNTIF('System map'!$A$4:$A$203,C206),COUNTIFS(Components!$A$4:$A$253,C206,Components!$B$4:$B$253,B206))))&lt;&gt;1,IF(E206="UC",COUNTIF('Use cases'!$A$4:$A$253,F206),IF(E206="CAP",COUNTIF(Capabilities!$A$4:$A$253,F206),IF(E206="AIR",COUNTIF('System map'!$A$4:$A$203,F206),COUNTIFS(Components!$A$4:$A$253,F206,Components!$B$4:$B$253,E206))))&lt;&gt;1),"Endpoint missing or duplicated",IF(AND(NOT(AND(B206="UC",E206="CAP")),OR(G206="",COUNTIF('System map'!$A$4:$A$203,G206)&lt;&gt;1)),"AIR context missing / unknown",IF(AND(B206="CAP",E206="AIR",G206&lt;&gt;F206),"AIR context mismatch",IF(AND(B206="AIR",G206&lt;&gt;C206),"AIR context mismatch",IF(AND(B206="AIR",E206="AIR",C206=F206),"Self-dependency",IF(AND(B206="AIR",E206="AIR",M206&lt;&gt;"Superseded",COUNTIFS($B$4:$B$1003,"AIR",$C$4:$C$1003,F206,$E$4:$E$1003,"AIR",$F$4:$F$1003,C206,$M$4:$M$1003,"&lt;&gt;Superseded")&gt;0),"Dependency cycle (A↔B) — review",IF(AND(B206="AIR",OR(E206="MOD",E206="DATA",E206="IF",E206="AG",E206="TOOL"),IFERROR(INDEX(Components!$G$4:$G$253,MATCH(F206,Components!$A$4:$A$253,0)),"")&lt;&gt;"",IFERROR(INDEX(Components!$G$4:$G$253,MATCH(F206,Components!$A$4:$A$253,0)),"")&lt;&gt;C206),"Component owned by another AIR-ID",IF(AND(M206="Confirmed",OR(IF(B206="UC",COUNTIFS('Use cases'!$A$4:$A$253,C206,'Use cases'!$I$4:$I$253,"Confirmed",'Use cases'!$J$4:$J$253,"OK — verify source"),IF(B206="CAP",COUNTIFS(Capabilities!$A$4:$A$253,C206,Capabilities!$J$4:$J$253,"Confirmed",Capabilities!$K$4:$K$253,"OK — verify source"),IF(B206="AIR",COUNTIFS('System map'!$A$4:$A$203,C206,'System map'!$B$4:$B$203,"&lt;&gt;",'System map'!$C$4:$C$203,"&lt;&gt;",'System map'!$D$4:$D$203,"&lt;&gt;"),COUNTIFS(Components!$A$4:$A$253,C206,Components!$B$4:$B$253,B206,Components!$K$4:$K$253,"Confirmed",Components!$L$4:$L$253,"OK — verify source"))))&lt;&gt;1,IF(E206="UC",COUNTIFS('Use cases'!$A$4:$A$253,F206,'Use cases'!$I$4:$I$253,"Confirmed",'Use cases'!$J$4:$J$253,"OK — verify source"),IF(E206="CAP",COUNTIFS(Capabilities!$A$4:$A$253,F206,Capabilities!$J$4:$J$253,"Confirmed",Capabilities!$K$4:$K$253,"OK — verify source"),IF(E206="AIR",COUNTIFS('System map'!$A$4:$A$203,F206,'System map'!$B$4:$B$203,"&lt;&gt;",'System map'!$C$4:$C$203,"&lt;&gt;",'System map'!$D$4:$D$203,"&lt;&gt;"),COUNTIFS(Components!$A$4:$A$253,F206,Components!$B$4:$B$253,E206,Components!$K$4:$K$253,"Confirmed",Components!$L$4:$L$253,"OK — verify source"))))&lt;&gt;1)),"Endpoint not source-reconciled",IF(AND(M206="Confirmed",OR(L206="",K206="",K206="Unknown",K206="Low")),"Confirmed link lacks verification","OK — verify source"))))))))))))))</f>
        <v/>
      </c>
    </row>
    <row r="207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8" t="n"/>
      <c r="M207" s="27" t="n"/>
      <c r="N207" s="27">
        <f>IF(COUNTA(A207:M207)=0,"",IF(OR(A207="",B207="",C207="",D207="",E207="",F207="",I207="",J207="",K207="",M207=""),"Required link detail missing",IF(COUNTIF($A$4:$A$1003,A207)&gt;1,"Duplicate Map Edge ID",IF(NOT(OR(AND(B207="UC",E207="CAP",D207="requires"),AND(B207="CAP",E207="AIR",D207="provided by"),AND(B207="AIR",OR(E207="MOD",E207="DATA",E207="IF",E207="AG",E207="TOOL"),D207="references"),AND(B207="AIR",E207="AIR",D207="depends on"))),"Invalid relationship",IF(AND(M207&lt;&gt;"Superseded",COUNTIFS($B$4:$B$1003,B207,$C$4:$C$1003,C207,$D$4:$D$1003,D207,$E$4:$E$1003,E207,$F$4:$F$1003,F207,$G$4:$G$1003,G207,$M$4:$M$1003,"&lt;&gt;Superseded")&gt;1),"Duplicate relationship",IF(OR(IF(B207="UC",COUNTIF('Use cases'!$A$4:$A$253,C207),IF(B207="CAP",COUNTIF(Capabilities!$A$4:$A$253,C207),IF(B207="AIR",COUNTIF('System map'!$A$4:$A$203,C207),COUNTIFS(Components!$A$4:$A$253,C207,Components!$B$4:$B$253,B207))))&lt;&gt;1,IF(E207="UC",COUNTIF('Use cases'!$A$4:$A$253,F207),IF(E207="CAP",COUNTIF(Capabilities!$A$4:$A$253,F207),IF(E207="AIR",COUNTIF('System map'!$A$4:$A$203,F207),COUNTIFS(Components!$A$4:$A$253,F207,Components!$B$4:$B$253,E207))))&lt;&gt;1),"Endpoint missing or duplicated",IF(AND(NOT(AND(B207="UC",E207="CAP")),OR(G207="",COUNTIF('System map'!$A$4:$A$203,G207)&lt;&gt;1)),"AIR context missing / unknown",IF(AND(B207="CAP",E207="AIR",G207&lt;&gt;F207),"AIR context mismatch",IF(AND(B207="AIR",G207&lt;&gt;C207),"AIR context mismatch",IF(AND(B207="AIR",E207="AIR",C207=F207),"Self-dependency",IF(AND(B207="AIR",E207="AIR",M207&lt;&gt;"Superseded",COUNTIFS($B$4:$B$1003,"AIR",$C$4:$C$1003,F207,$E$4:$E$1003,"AIR",$F$4:$F$1003,C207,$M$4:$M$1003,"&lt;&gt;Superseded")&gt;0),"Dependency cycle (A↔B) — review",IF(AND(B207="AIR",OR(E207="MOD",E207="DATA",E207="IF",E207="AG",E207="TOOL"),IFERROR(INDEX(Components!$G$4:$G$253,MATCH(F207,Components!$A$4:$A$253,0)),"")&lt;&gt;"",IFERROR(INDEX(Components!$G$4:$G$253,MATCH(F207,Components!$A$4:$A$253,0)),"")&lt;&gt;C207),"Component owned by another AIR-ID",IF(AND(M207="Confirmed",OR(IF(B207="UC",COUNTIFS('Use cases'!$A$4:$A$253,C207,'Use cases'!$I$4:$I$253,"Confirmed",'Use cases'!$J$4:$J$253,"OK — verify source"),IF(B207="CAP",COUNTIFS(Capabilities!$A$4:$A$253,C207,Capabilities!$J$4:$J$253,"Confirmed",Capabilities!$K$4:$K$253,"OK — verify source"),IF(B207="AIR",COUNTIFS('System map'!$A$4:$A$203,C207,'System map'!$B$4:$B$203,"&lt;&gt;",'System map'!$C$4:$C$203,"&lt;&gt;",'System map'!$D$4:$D$203,"&lt;&gt;"),COUNTIFS(Components!$A$4:$A$253,C207,Components!$B$4:$B$253,B207,Components!$K$4:$K$253,"Confirmed",Components!$L$4:$L$253,"OK — verify source"))))&lt;&gt;1,IF(E207="UC",COUNTIFS('Use cases'!$A$4:$A$253,F207,'Use cases'!$I$4:$I$253,"Confirmed",'Use cases'!$J$4:$J$253,"OK — verify source"),IF(E207="CAP",COUNTIFS(Capabilities!$A$4:$A$253,F207,Capabilities!$J$4:$J$253,"Confirmed",Capabilities!$K$4:$K$253,"OK — verify source"),IF(E207="AIR",COUNTIFS('System map'!$A$4:$A$203,F207,'System map'!$B$4:$B$203,"&lt;&gt;",'System map'!$C$4:$C$203,"&lt;&gt;",'System map'!$D$4:$D$203,"&lt;&gt;"),COUNTIFS(Components!$A$4:$A$253,F207,Components!$B$4:$B$253,E207,Components!$K$4:$K$253,"Confirmed",Components!$L$4:$L$253,"OK — verify source"))))&lt;&gt;1)),"Endpoint not source-reconciled",IF(AND(M207="Confirmed",OR(L207="",K207="",K207="Unknown",K207="Low")),"Confirmed link lacks verification","OK — verify source"))))))))))))))</f>
        <v/>
      </c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6" t="n"/>
      <c r="M208" s="25" t="n"/>
      <c r="N208" s="25">
        <f>IF(COUNTA(A208:M208)=0,"",IF(OR(A208="",B208="",C208="",D208="",E208="",F208="",I208="",J208="",K208="",M208=""),"Required link detail missing",IF(COUNTIF($A$4:$A$1003,A208)&gt;1,"Duplicate Map Edge ID",IF(NOT(OR(AND(B208="UC",E208="CAP",D208="requires"),AND(B208="CAP",E208="AIR",D208="provided by"),AND(B208="AIR",OR(E208="MOD",E208="DATA",E208="IF",E208="AG",E208="TOOL"),D208="references"),AND(B208="AIR",E208="AIR",D208="depends on"))),"Invalid relationship",IF(AND(M208&lt;&gt;"Superseded",COUNTIFS($B$4:$B$1003,B208,$C$4:$C$1003,C208,$D$4:$D$1003,D208,$E$4:$E$1003,E208,$F$4:$F$1003,F208,$G$4:$G$1003,G208,$M$4:$M$1003,"&lt;&gt;Superseded")&gt;1),"Duplicate relationship",IF(OR(IF(B208="UC",COUNTIF('Use cases'!$A$4:$A$253,C208),IF(B208="CAP",COUNTIF(Capabilities!$A$4:$A$253,C208),IF(B208="AIR",COUNTIF('System map'!$A$4:$A$203,C208),COUNTIFS(Components!$A$4:$A$253,C208,Components!$B$4:$B$253,B208))))&lt;&gt;1,IF(E208="UC",COUNTIF('Use cases'!$A$4:$A$253,F208),IF(E208="CAP",COUNTIF(Capabilities!$A$4:$A$253,F208),IF(E208="AIR",COUNTIF('System map'!$A$4:$A$203,F208),COUNTIFS(Components!$A$4:$A$253,F208,Components!$B$4:$B$253,E208))))&lt;&gt;1),"Endpoint missing or duplicated",IF(AND(NOT(AND(B208="UC",E208="CAP")),OR(G208="",COUNTIF('System map'!$A$4:$A$203,G208)&lt;&gt;1)),"AIR context missing / unknown",IF(AND(B208="CAP",E208="AIR",G208&lt;&gt;F208),"AIR context mismatch",IF(AND(B208="AIR",G208&lt;&gt;C208),"AIR context mismatch",IF(AND(B208="AIR",E208="AIR",C208=F208),"Self-dependency",IF(AND(B208="AIR",E208="AIR",M208&lt;&gt;"Superseded",COUNTIFS($B$4:$B$1003,"AIR",$C$4:$C$1003,F208,$E$4:$E$1003,"AIR",$F$4:$F$1003,C208,$M$4:$M$1003,"&lt;&gt;Superseded")&gt;0),"Dependency cycle (A↔B) — review",IF(AND(B208="AIR",OR(E208="MOD",E208="DATA",E208="IF",E208="AG",E208="TOOL"),IFERROR(INDEX(Components!$G$4:$G$253,MATCH(F208,Components!$A$4:$A$253,0)),"")&lt;&gt;"",IFERROR(INDEX(Components!$G$4:$G$253,MATCH(F208,Components!$A$4:$A$253,0)),"")&lt;&gt;C208),"Component owned by another AIR-ID",IF(AND(M208="Confirmed",OR(IF(B208="UC",COUNTIFS('Use cases'!$A$4:$A$253,C208,'Use cases'!$I$4:$I$253,"Confirmed",'Use cases'!$J$4:$J$253,"OK — verify source"),IF(B208="CAP",COUNTIFS(Capabilities!$A$4:$A$253,C208,Capabilities!$J$4:$J$253,"Confirmed",Capabilities!$K$4:$K$253,"OK — verify source"),IF(B208="AIR",COUNTIFS('System map'!$A$4:$A$203,C208,'System map'!$B$4:$B$203,"&lt;&gt;",'System map'!$C$4:$C$203,"&lt;&gt;",'System map'!$D$4:$D$203,"&lt;&gt;"),COUNTIFS(Components!$A$4:$A$253,C208,Components!$B$4:$B$253,B208,Components!$K$4:$K$253,"Confirmed",Components!$L$4:$L$253,"OK — verify source"))))&lt;&gt;1,IF(E208="UC",COUNTIFS('Use cases'!$A$4:$A$253,F208,'Use cases'!$I$4:$I$253,"Confirmed",'Use cases'!$J$4:$J$253,"OK — verify source"),IF(E208="CAP",COUNTIFS(Capabilities!$A$4:$A$253,F208,Capabilities!$J$4:$J$253,"Confirmed",Capabilities!$K$4:$K$253,"OK — verify source"),IF(E208="AIR",COUNTIFS('System map'!$A$4:$A$203,F208,'System map'!$B$4:$B$203,"&lt;&gt;",'System map'!$C$4:$C$203,"&lt;&gt;",'System map'!$D$4:$D$203,"&lt;&gt;"),COUNTIFS(Components!$A$4:$A$253,F208,Components!$B$4:$B$253,E208,Components!$K$4:$K$253,"Confirmed",Components!$L$4:$L$253,"OK — verify source"))))&lt;&gt;1)),"Endpoint not source-reconciled",IF(AND(M208="Confirmed",OR(L208="",K208="",K208="Unknown",K208="Low")),"Confirmed link lacks verification","OK — verify source"))))))))))))))</f>
        <v/>
      </c>
    </row>
    <row r="209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8" t="n"/>
      <c r="M209" s="27" t="n"/>
      <c r="N209" s="27">
        <f>IF(COUNTA(A209:M209)=0,"",IF(OR(A209="",B209="",C209="",D209="",E209="",F209="",I209="",J209="",K209="",M209=""),"Required link detail missing",IF(COUNTIF($A$4:$A$1003,A209)&gt;1,"Duplicate Map Edge ID",IF(NOT(OR(AND(B209="UC",E209="CAP",D209="requires"),AND(B209="CAP",E209="AIR",D209="provided by"),AND(B209="AIR",OR(E209="MOD",E209="DATA",E209="IF",E209="AG",E209="TOOL"),D209="references"),AND(B209="AIR",E209="AIR",D209="depends on"))),"Invalid relationship",IF(AND(M209&lt;&gt;"Superseded",COUNTIFS($B$4:$B$1003,B209,$C$4:$C$1003,C209,$D$4:$D$1003,D209,$E$4:$E$1003,E209,$F$4:$F$1003,F209,$G$4:$G$1003,G209,$M$4:$M$1003,"&lt;&gt;Superseded")&gt;1),"Duplicate relationship",IF(OR(IF(B209="UC",COUNTIF('Use cases'!$A$4:$A$253,C209),IF(B209="CAP",COUNTIF(Capabilities!$A$4:$A$253,C209),IF(B209="AIR",COUNTIF('System map'!$A$4:$A$203,C209),COUNTIFS(Components!$A$4:$A$253,C209,Components!$B$4:$B$253,B209))))&lt;&gt;1,IF(E209="UC",COUNTIF('Use cases'!$A$4:$A$253,F209),IF(E209="CAP",COUNTIF(Capabilities!$A$4:$A$253,F209),IF(E209="AIR",COUNTIF('System map'!$A$4:$A$203,F209),COUNTIFS(Components!$A$4:$A$253,F209,Components!$B$4:$B$253,E209))))&lt;&gt;1),"Endpoint missing or duplicated",IF(AND(NOT(AND(B209="UC",E209="CAP")),OR(G209="",COUNTIF('System map'!$A$4:$A$203,G209)&lt;&gt;1)),"AIR context missing / unknown",IF(AND(B209="CAP",E209="AIR",G209&lt;&gt;F209),"AIR context mismatch",IF(AND(B209="AIR",G209&lt;&gt;C209),"AIR context mismatch",IF(AND(B209="AIR",E209="AIR",C209=F209),"Self-dependency",IF(AND(B209="AIR",E209="AIR",M209&lt;&gt;"Superseded",COUNTIFS($B$4:$B$1003,"AIR",$C$4:$C$1003,F209,$E$4:$E$1003,"AIR",$F$4:$F$1003,C209,$M$4:$M$1003,"&lt;&gt;Superseded")&gt;0),"Dependency cycle (A↔B) — review",IF(AND(B209="AIR",OR(E209="MOD",E209="DATA",E209="IF",E209="AG",E209="TOOL"),IFERROR(INDEX(Components!$G$4:$G$253,MATCH(F209,Components!$A$4:$A$253,0)),"")&lt;&gt;"",IFERROR(INDEX(Components!$G$4:$G$253,MATCH(F209,Components!$A$4:$A$253,0)),"")&lt;&gt;C209),"Component owned by another AIR-ID",IF(AND(M209="Confirmed",OR(IF(B209="UC",COUNTIFS('Use cases'!$A$4:$A$253,C209,'Use cases'!$I$4:$I$253,"Confirmed",'Use cases'!$J$4:$J$253,"OK — verify source"),IF(B209="CAP",COUNTIFS(Capabilities!$A$4:$A$253,C209,Capabilities!$J$4:$J$253,"Confirmed",Capabilities!$K$4:$K$253,"OK — verify source"),IF(B209="AIR",COUNTIFS('System map'!$A$4:$A$203,C209,'System map'!$B$4:$B$203,"&lt;&gt;",'System map'!$C$4:$C$203,"&lt;&gt;",'System map'!$D$4:$D$203,"&lt;&gt;"),COUNTIFS(Components!$A$4:$A$253,C209,Components!$B$4:$B$253,B209,Components!$K$4:$K$253,"Confirmed",Components!$L$4:$L$253,"OK — verify source"))))&lt;&gt;1,IF(E209="UC",COUNTIFS('Use cases'!$A$4:$A$253,F209,'Use cases'!$I$4:$I$253,"Confirmed",'Use cases'!$J$4:$J$253,"OK — verify source"),IF(E209="CAP",COUNTIFS(Capabilities!$A$4:$A$253,F209,Capabilities!$J$4:$J$253,"Confirmed",Capabilities!$K$4:$K$253,"OK — verify source"),IF(E209="AIR",COUNTIFS('System map'!$A$4:$A$203,F209,'System map'!$B$4:$B$203,"&lt;&gt;",'System map'!$C$4:$C$203,"&lt;&gt;",'System map'!$D$4:$D$203,"&lt;&gt;"),COUNTIFS(Components!$A$4:$A$253,F209,Components!$B$4:$B$253,E209,Components!$K$4:$K$253,"Confirmed",Components!$L$4:$L$253,"OK — verify source"))))&lt;&gt;1)),"Endpoint not source-reconciled",IF(AND(M209="Confirmed",OR(L209="",K209="",K209="Unknown",K209="Low")),"Confirmed link lacks verification","OK — verify source"))))))))))))))</f>
        <v/>
      </c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6" t="n"/>
      <c r="M210" s="25" t="n"/>
      <c r="N210" s="25">
        <f>IF(COUNTA(A210:M210)=0,"",IF(OR(A210="",B210="",C210="",D210="",E210="",F210="",I210="",J210="",K210="",M210=""),"Required link detail missing",IF(COUNTIF($A$4:$A$1003,A210)&gt;1,"Duplicate Map Edge ID",IF(NOT(OR(AND(B210="UC",E210="CAP",D210="requires"),AND(B210="CAP",E210="AIR",D210="provided by"),AND(B210="AIR",OR(E210="MOD",E210="DATA",E210="IF",E210="AG",E210="TOOL"),D210="references"),AND(B210="AIR",E210="AIR",D210="depends on"))),"Invalid relationship",IF(AND(M210&lt;&gt;"Superseded",COUNTIFS($B$4:$B$1003,B210,$C$4:$C$1003,C210,$D$4:$D$1003,D210,$E$4:$E$1003,E210,$F$4:$F$1003,F210,$G$4:$G$1003,G210,$M$4:$M$1003,"&lt;&gt;Superseded")&gt;1),"Duplicate relationship",IF(OR(IF(B210="UC",COUNTIF('Use cases'!$A$4:$A$253,C210),IF(B210="CAP",COUNTIF(Capabilities!$A$4:$A$253,C210),IF(B210="AIR",COUNTIF('System map'!$A$4:$A$203,C210),COUNTIFS(Components!$A$4:$A$253,C210,Components!$B$4:$B$253,B210))))&lt;&gt;1,IF(E210="UC",COUNTIF('Use cases'!$A$4:$A$253,F210),IF(E210="CAP",COUNTIF(Capabilities!$A$4:$A$253,F210),IF(E210="AIR",COUNTIF('System map'!$A$4:$A$203,F210),COUNTIFS(Components!$A$4:$A$253,F210,Components!$B$4:$B$253,E210))))&lt;&gt;1),"Endpoint missing or duplicated",IF(AND(NOT(AND(B210="UC",E210="CAP")),OR(G210="",COUNTIF('System map'!$A$4:$A$203,G210)&lt;&gt;1)),"AIR context missing / unknown",IF(AND(B210="CAP",E210="AIR",G210&lt;&gt;F210),"AIR context mismatch",IF(AND(B210="AIR",G210&lt;&gt;C210),"AIR context mismatch",IF(AND(B210="AIR",E210="AIR",C210=F210),"Self-dependency",IF(AND(B210="AIR",E210="AIR",M210&lt;&gt;"Superseded",COUNTIFS($B$4:$B$1003,"AIR",$C$4:$C$1003,F210,$E$4:$E$1003,"AIR",$F$4:$F$1003,C210,$M$4:$M$1003,"&lt;&gt;Superseded")&gt;0),"Dependency cycle (A↔B) — review",IF(AND(B210="AIR",OR(E210="MOD",E210="DATA",E210="IF",E210="AG",E210="TOOL"),IFERROR(INDEX(Components!$G$4:$G$253,MATCH(F210,Components!$A$4:$A$253,0)),"")&lt;&gt;"",IFERROR(INDEX(Components!$G$4:$G$253,MATCH(F210,Components!$A$4:$A$253,0)),"")&lt;&gt;C210),"Component owned by another AIR-ID",IF(AND(M210="Confirmed",OR(IF(B210="UC",COUNTIFS('Use cases'!$A$4:$A$253,C210,'Use cases'!$I$4:$I$253,"Confirmed",'Use cases'!$J$4:$J$253,"OK — verify source"),IF(B210="CAP",COUNTIFS(Capabilities!$A$4:$A$253,C210,Capabilities!$J$4:$J$253,"Confirmed",Capabilities!$K$4:$K$253,"OK — verify source"),IF(B210="AIR",COUNTIFS('System map'!$A$4:$A$203,C210,'System map'!$B$4:$B$203,"&lt;&gt;",'System map'!$C$4:$C$203,"&lt;&gt;",'System map'!$D$4:$D$203,"&lt;&gt;"),COUNTIFS(Components!$A$4:$A$253,C210,Components!$B$4:$B$253,B210,Components!$K$4:$K$253,"Confirmed",Components!$L$4:$L$253,"OK — verify source"))))&lt;&gt;1,IF(E210="UC",COUNTIFS('Use cases'!$A$4:$A$253,F210,'Use cases'!$I$4:$I$253,"Confirmed",'Use cases'!$J$4:$J$253,"OK — verify source"),IF(E210="CAP",COUNTIFS(Capabilities!$A$4:$A$253,F210,Capabilities!$J$4:$J$253,"Confirmed",Capabilities!$K$4:$K$253,"OK — verify source"),IF(E210="AIR",COUNTIFS('System map'!$A$4:$A$203,F210,'System map'!$B$4:$B$203,"&lt;&gt;",'System map'!$C$4:$C$203,"&lt;&gt;",'System map'!$D$4:$D$203,"&lt;&gt;"),COUNTIFS(Components!$A$4:$A$253,F210,Components!$B$4:$B$253,E210,Components!$K$4:$K$253,"Confirmed",Components!$L$4:$L$253,"OK — verify source"))))&lt;&gt;1)),"Endpoint not source-reconciled",IF(AND(M210="Confirmed",OR(L210="",K210="",K210="Unknown",K210="Low")),"Confirmed link lacks verification","OK — verify source"))))))))))))))</f>
        <v/>
      </c>
    </row>
    <row r="211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8" t="n"/>
      <c r="M211" s="27" t="n"/>
      <c r="N211" s="27">
        <f>IF(COUNTA(A211:M211)=0,"",IF(OR(A211="",B211="",C211="",D211="",E211="",F211="",I211="",J211="",K211="",M211=""),"Required link detail missing",IF(COUNTIF($A$4:$A$1003,A211)&gt;1,"Duplicate Map Edge ID",IF(NOT(OR(AND(B211="UC",E211="CAP",D211="requires"),AND(B211="CAP",E211="AIR",D211="provided by"),AND(B211="AIR",OR(E211="MOD",E211="DATA",E211="IF",E211="AG",E211="TOOL"),D211="references"),AND(B211="AIR",E211="AIR",D211="depends on"))),"Invalid relationship",IF(AND(M211&lt;&gt;"Superseded",COUNTIFS($B$4:$B$1003,B211,$C$4:$C$1003,C211,$D$4:$D$1003,D211,$E$4:$E$1003,E211,$F$4:$F$1003,F211,$G$4:$G$1003,G211,$M$4:$M$1003,"&lt;&gt;Superseded")&gt;1),"Duplicate relationship",IF(OR(IF(B211="UC",COUNTIF('Use cases'!$A$4:$A$253,C211),IF(B211="CAP",COUNTIF(Capabilities!$A$4:$A$253,C211),IF(B211="AIR",COUNTIF('System map'!$A$4:$A$203,C211),COUNTIFS(Components!$A$4:$A$253,C211,Components!$B$4:$B$253,B211))))&lt;&gt;1,IF(E211="UC",COUNTIF('Use cases'!$A$4:$A$253,F211),IF(E211="CAP",COUNTIF(Capabilities!$A$4:$A$253,F211),IF(E211="AIR",COUNTIF('System map'!$A$4:$A$203,F211),COUNTIFS(Components!$A$4:$A$253,F211,Components!$B$4:$B$253,E211))))&lt;&gt;1),"Endpoint missing or duplicated",IF(AND(NOT(AND(B211="UC",E211="CAP")),OR(G211="",COUNTIF('System map'!$A$4:$A$203,G211)&lt;&gt;1)),"AIR context missing / unknown",IF(AND(B211="CAP",E211="AIR",G211&lt;&gt;F211),"AIR context mismatch",IF(AND(B211="AIR",G211&lt;&gt;C211),"AIR context mismatch",IF(AND(B211="AIR",E211="AIR",C211=F211),"Self-dependency",IF(AND(B211="AIR",E211="AIR",M211&lt;&gt;"Superseded",COUNTIFS($B$4:$B$1003,"AIR",$C$4:$C$1003,F211,$E$4:$E$1003,"AIR",$F$4:$F$1003,C211,$M$4:$M$1003,"&lt;&gt;Superseded")&gt;0),"Dependency cycle (A↔B) — review",IF(AND(B211="AIR",OR(E211="MOD",E211="DATA",E211="IF",E211="AG",E211="TOOL"),IFERROR(INDEX(Components!$G$4:$G$253,MATCH(F211,Components!$A$4:$A$253,0)),"")&lt;&gt;"",IFERROR(INDEX(Components!$G$4:$G$253,MATCH(F211,Components!$A$4:$A$253,0)),"")&lt;&gt;C211),"Component owned by another AIR-ID",IF(AND(M211="Confirmed",OR(IF(B211="UC",COUNTIFS('Use cases'!$A$4:$A$253,C211,'Use cases'!$I$4:$I$253,"Confirmed",'Use cases'!$J$4:$J$253,"OK — verify source"),IF(B211="CAP",COUNTIFS(Capabilities!$A$4:$A$253,C211,Capabilities!$J$4:$J$253,"Confirmed",Capabilities!$K$4:$K$253,"OK — verify source"),IF(B211="AIR",COUNTIFS('System map'!$A$4:$A$203,C211,'System map'!$B$4:$B$203,"&lt;&gt;",'System map'!$C$4:$C$203,"&lt;&gt;",'System map'!$D$4:$D$203,"&lt;&gt;"),COUNTIFS(Components!$A$4:$A$253,C211,Components!$B$4:$B$253,B211,Components!$K$4:$K$253,"Confirmed",Components!$L$4:$L$253,"OK — verify source"))))&lt;&gt;1,IF(E211="UC",COUNTIFS('Use cases'!$A$4:$A$253,F211,'Use cases'!$I$4:$I$253,"Confirmed",'Use cases'!$J$4:$J$253,"OK — verify source"),IF(E211="CAP",COUNTIFS(Capabilities!$A$4:$A$253,F211,Capabilities!$J$4:$J$253,"Confirmed",Capabilities!$K$4:$K$253,"OK — verify source"),IF(E211="AIR",COUNTIFS('System map'!$A$4:$A$203,F211,'System map'!$B$4:$B$203,"&lt;&gt;",'System map'!$C$4:$C$203,"&lt;&gt;",'System map'!$D$4:$D$203,"&lt;&gt;"),COUNTIFS(Components!$A$4:$A$253,F211,Components!$B$4:$B$253,E211,Components!$K$4:$K$253,"Confirmed",Components!$L$4:$L$253,"OK — verify source"))))&lt;&gt;1)),"Endpoint not source-reconciled",IF(AND(M211="Confirmed",OR(L211="",K211="",K211="Unknown",K211="Low")),"Confirmed link lacks verification","OK — verify source"))))))))))))))</f>
        <v/>
      </c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6" t="n"/>
      <c r="M212" s="25" t="n"/>
      <c r="N212" s="25">
        <f>IF(COUNTA(A212:M212)=0,"",IF(OR(A212="",B212="",C212="",D212="",E212="",F212="",I212="",J212="",K212="",M212=""),"Required link detail missing",IF(COUNTIF($A$4:$A$1003,A212)&gt;1,"Duplicate Map Edge ID",IF(NOT(OR(AND(B212="UC",E212="CAP",D212="requires"),AND(B212="CAP",E212="AIR",D212="provided by"),AND(B212="AIR",OR(E212="MOD",E212="DATA",E212="IF",E212="AG",E212="TOOL"),D212="references"),AND(B212="AIR",E212="AIR",D212="depends on"))),"Invalid relationship",IF(AND(M212&lt;&gt;"Superseded",COUNTIFS($B$4:$B$1003,B212,$C$4:$C$1003,C212,$D$4:$D$1003,D212,$E$4:$E$1003,E212,$F$4:$F$1003,F212,$G$4:$G$1003,G212,$M$4:$M$1003,"&lt;&gt;Superseded")&gt;1),"Duplicate relationship",IF(OR(IF(B212="UC",COUNTIF('Use cases'!$A$4:$A$253,C212),IF(B212="CAP",COUNTIF(Capabilities!$A$4:$A$253,C212),IF(B212="AIR",COUNTIF('System map'!$A$4:$A$203,C212),COUNTIFS(Components!$A$4:$A$253,C212,Components!$B$4:$B$253,B212))))&lt;&gt;1,IF(E212="UC",COUNTIF('Use cases'!$A$4:$A$253,F212),IF(E212="CAP",COUNTIF(Capabilities!$A$4:$A$253,F212),IF(E212="AIR",COUNTIF('System map'!$A$4:$A$203,F212),COUNTIFS(Components!$A$4:$A$253,F212,Components!$B$4:$B$253,E212))))&lt;&gt;1),"Endpoint missing or duplicated",IF(AND(NOT(AND(B212="UC",E212="CAP")),OR(G212="",COUNTIF('System map'!$A$4:$A$203,G212)&lt;&gt;1)),"AIR context missing / unknown",IF(AND(B212="CAP",E212="AIR",G212&lt;&gt;F212),"AIR context mismatch",IF(AND(B212="AIR",G212&lt;&gt;C212),"AIR context mismatch",IF(AND(B212="AIR",E212="AIR",C212=F212),"Self-dependency",IF(AND(B212="AIR",E212="AIR",M212&lt;&gt;"Superseded",COUNTIFS($B$4:$B$1003,"AIR",$C$4:$C$1003,F212,$E$4:$E$1003,"AIR",$F$4:$F$1003,C212,$M$4:$M$1003,"&lt;&gt;Superseded")&gt;0),"Dependency cycle (A↔B) — review",IF(AND(B212="AIR",OR(E212="MOD",E212="DATA",E212="IF",E212="AG",E212="TOOL"),IFERROR(INDEX(Components!$G$4:$G$253,MATCH(F212,Components!$A$4:$A$253,0)),"")&lt;&gt;"",IFERROR(INDEX(Components!$G$4:$G$253,MATCH(F212,Components!$A$4:$A$253,0)),"")&lt;&gt;C212),"Component owned by another AIR-ID",IF(AND(M212="Confirmed",OR(IF(B212="UC",COUNTIFS('Use cases'!$A$4:$A$253,C212,'Use cases'!$I$4:$I$253,"Confirmed",'Use cases'!$J$4:$J$253,"OK — verify source"),IF(B212="CAP",COUNTIFS(Capabilities!$A$4:$A$253,C212,Capabilities!$J$4:$J$253,"Confirmed",Capabilities!$K$4:$K$253,"OK — verify source"),IF(B212="AIR",COUNTIFS('System map'!$A$4:$A$203,C212,'System map'!$B$4:$B$203,"&lt;&gt;",'System map'!$C$4:$C$203,"&lt;&gt;",'System map'!$D$4:$D$203,"&lt;&gt;"),COUNTIFS(Components!$A$4:$A$253,C212,Components!$B$4:$B$253,B212,Components!$K$4:$K$253,"Confirmed",Components!$L$4:$L$253,"OK — verify source"))))&lt;&gt;1,IF(E212="UC",COUNTIFS('Use cases'!$A$4:$A$253,F212,'Use cases'!$I$4:$I$253,"Confirmed",'Use cases'!$J$4:$J$253,"OK — verify source"),IF(E212="CAP",COUNTIFS(Capabilities!$A$4:$A$253,F212,Capabilities!$J$4:$J$253,"Confirmed",Capabilities!$K$4:$K$253,"OK — verify source"),IF(E212="AIR",COUNTIFS('System map'!$A$4:$A$203,F212,'System map'!$B$4:$B$203,"&lt;&gt;",'System map'!$C$4:$C$203,"&lt;&gt;",'System map'!$D$4:$D$203,"&lt;&gt;"),COUNTIFS(Components!$A$4:$A$253,F212,Components!$B$4:$B$253,E212,Components!$K$4:$K$253,"Confirmed",Components!$L$4:$L$253,"OK — verify source"))))&lt;&gt;1)),"Endpoint not source-reconciled",IF(AND(M212="Confirmed",OR(L212="",K212="",K212="Unknown",K212="Low")),"Confirmed link lacks verification","OK — verify source"))))))))))))))</f>
        <v/>
      </c>
    </row>
    <row r="213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8" t="n"/>
      <c r="M213" s="27" t="n"/>
      <c r="N213" s="27">
        <f>IF(COUNTA(A213:M213)=0,"",IF(OR(A213="",B213="",C213="",D213="",E213="",F213="",I213="",J213="",K213="",M213=""),"Required link detail missing",IF(COUNTIF($A$4:$A$1003,A213)&gt;1,"Duplicate Map Edge ID",IF(NOT(OR(AND(B213="UC",E213="CAP",D213="requires"),AND(B213="CAP",E213="AIR",D213="provided by"),AND(B213="AIR",OR(E213="MOD",E213="DATA",E213="IF",E213="AG",E213="TOOL"),D213="references"),AND(B213="AIR",E213="AIR",D213="depends on"))),"Invalid relationship",IF(AND(M213&lt;&gt;"Superseded",COUNTIFS($B$4:$B$1003,B213,$C$4:$C$1003,C213,$D$4:$D$1003,D213,$E$4:$E$1003,E213,$F$4:$F$1003,F213,$G$4:$G$1003,G213,$M$4:$M$1003,"&lt;&gt;Superseded")&gt;1),"Duplicate relationship",IF(OR(IF(B213="UC",COUNTIF('Use cases'!$A$4:$A$253,C213),IF(B213="CAP",COUNTIF(Capabilities!$A$4:$A$253,C213),IF(B213="AIR",COUNTIF('System map'!$A$4:$A$203,C213),COUNTIFS(Components!$A$4:$A$253,C213,Components!$B$4:$B$253,B213))))&lt;&gt;1,IF(E213="UC",COUNTIF('Use cases'!$A$4:$A$253,F213),IF(E213="CAP",COUNTIF(Capabilities!$A$4:$A$253,F213),IF(E213="AIR",COUNTIF('System map'!$A$4:$A$203,F213),COUNTIFS(Components!$A$4:$A$253,F213,Components!$B$4:$B$253,E213))))&lt;&gt;1),"Endpoint missing or duplicated",IF(AND(NOT(AND(B213="UC",E213="CAP")),OR(G213="",COUNTIF('System map'!$A$4:$A$203,G213)&lt;&gt;1)),"AIR context missing / unknown",IF(AND(B213="CAP",E213="AIR",G213&lt;&gt;F213),"AIR context mismatch",IF(AND(B213="AIR",G213&lt;&gt;C213),"AIR context mismatch",IF(AND(B213="AIR",E213="AIR",C213=F213),"Self-dependency",IF(AND(B213="AIR",E213="AIR",M213&lt;&gt;"Superseded",COUNTIFS($B$4:$B$1003,"AIR",$C$4:$C$1003,F213,$E$4:$E$1003,"AIR",$F$4:$F$1003,C213,$M$4:$M$1003,"&lt;&gt;Superseded")&gt;0),"Dependency cycle (A↔B) — review",IF(AND(B213="AIR",OR(E213="MOD",E213="DATA",E213="IF",E213="AG",E213="TOOL"),IFERROR(INDEX(Components!$G$4:$G$253,MATCH(F213,Components!$A$4:$A$253,0)),"")&lt;&gt;"",IFERROR(INDEX(Components!$G$4:$G$253,MATCH(F213,Components!$A$4:$A$253,0)),"")&lt;&gt;C213),"Component owned by another AIR-ID",IF(AND(M213="Confirmed",OR(IF(B213="UC",COUNTIFS('Use cases'!$A$4:$A$253,C213,'Use cases'!$I$4:$I$253,"Confirmed",'Use cases'!$J$4:$J$253,"OK — verify source"),IF(B213="CAP",COUNTIFS(Capabilities!$A$4:$A$253,C213,Capabilities!$J$4:$J$253,"Confirmed",Capabilities!$K$4:$K$253,"OK — verify source"),IF(B213="AIR",COUNTIFS('System map'!$A$4:$A$203,C213,'System map'!$B$4:$B$203,"&lt;&gt;",'System map'!$C$4:$C$203,"&lt;&gt;",'System map'!$D$4:$D$203,"&lt;&gt;"),COUNTIFS(Components!$A$4:$A$253,C213,Components!$B$4:$B$253,B213,Components!$K$4:$K$253,"Confirmed",Components!$L$4:$L$253,"OK — verify source"))))&lt;&gt;1,IF(E213="UC",COUNTIFS('Use cases'!$A$4:$A$253,F213,'Use cases'!$I$4:$I$253,"Confirmed",'Use cases'!$J$4:$J$253,"OK — verify source"),IF(E213="CAP",COUNTIFS(Capabilities!$A$4:$A$253,F213,Capabilities!$J$4:$J$253,"Confirmed",Capabilities!$K$4:$K$253,"OK — verify source"),IF(E213="AIR",COUNTIFS('System map'!$A$4:$A$203,F213,'System map'!$B$4:$B$203,"&lt;&gt;",'System map'!$C$4:$C$203,"&lt;&gt;",'System map'!$D$4:$D$203,"&lt;&gt;"),COUNTIFS(Components!$A$4:$A$253,F213,Components!$B$4:$B$253,E213,Components!$K$4:$K$253,"Confirmed",Components!$L$4:$L$253,"OK — verify source"))))&lt;&gt;1)),"Endpoint not source-reconciled",IF(AND(M213="Confirmed",OR(L213="",K213="",K213="Unknown",K213="Low")),"Confirmed link lacks verification","OK — verify source"))))))))))))))</f>
        <v/>
      </c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6" t="n"/>
      <c r="M214" s="25" t="n"/>
      <c r="N214" s="25">
        <f>IF(COUNTA(A214:M214)=0,"",IF(OR(A214="",B214="",C214="",D214="",E214="",F214="",I214="",J214="",K214="",M214=""),"Required link detail missing",IF(COUNTIF($A$4:$A$1003,A214)&gt;1,"Duplicate Map Edge ID",IF(NOT(OR(AND(B214="UC",E214="CAP",D214="requires"),AND(B214="CAP",E214="AIR",D214="provided by"),AND(B214="AIR",OR(E214="MOD",E214="DATA",E214="IF",E214="AG",E214="TOOL"),D214="references"),AND(B214="AIR",E214="AIR",D214="depends on"))),"Invalid relationship",IF(AND(M214&lt;&gt;"Superseded",COUNTIFS($B$4:$B$1003,B214,$C$4:$C$1003,C214,$D$4:$D$1003,D214,$E$4:$E$1003,E214,$F$4:$F$1003,F214,$G$4:$G$1003,G214,$M$4:$M$1003,"&lt;&gt;Superseded")&gt;1),"Duplicate relationship",IF(OR(IF(B214="UC",COUNTIF('Use cases'!$A$4:$A$253,C214),IF(B214="CAP",COUNTIF(Capabilities!$A$4:$A$253,C214),IF(B214="AIR",COUNTIF('System map'!$A$4:$A$203,C214),COUNTIFS(Components!$A$4:$A$253,C214,Components!$B$4:$B$253,B214))))&lt;&gt;1,IF(E214="UC",COUNTIF('Use cases'!$A$4:$A$253,F214),IF(E214="CAP",COUNTIF(Capabilities!$A$4:$A$253,F214),IF(E214="AIR",COUNTIF('System map'!$A$4:$A$203,F214),COUNTIFS(Components!$A$4:$A$253,F214,Components!$B$4:$B$253,E214))))&lt;&gt;1),"Endpoint missing or duplicated",IF(AND(NOT(AND(B214="UC",E214="CAP")),OR(G214="",COUNTIF('System map'!$A$4:$A$203,G214)&lt;&gt;1)),"AIR context missing / unknown",IF(AND(B214="CAP",E214="AIR",G214&lt;&gt;F214),"AIR context mismatch",IF(AND(B214="AIR",G214&lt;&gt;C214),"AIR context mismatch",IF(AND(B214="AIR",E214="AIR",C214=F214),"Self-dependency",IF(AND(B214="AIR",E214="AIR",M214&lt;&gt;"Superseded",COUNTIFS($B$4:$B$1003,"AIR",$C$4:$C$1003,F214,$E$4:$E$1003,"AIR",$F$4:$F$1003,C214,$M$4:$M$1003,"&lt;&gt;Superseded")&gt;0),"Dependency cycle (A↔B) — review",IF(AND(B214="AIR",OR(E214="MOD",E214="DATA",E214="IF",E214="AG",E214="TOOL"),IFERROR(INDEX(Components!$G$4:$G$253,MATCH(F214,Components!$A$4:$A$253,0)),"")&lt;&gt;"",IFERROR(INDEX(Components!$G$4:$G$253,MATCH(F214,Components!$A$4:$A$253,0)),"")&lt;&gt;C214),"Component owned by another AIR-ID",IF(AND(M214="Confirmed",OR(IF(B214="UC",COUNTIFS('Use cases'!$A$4:$A$253,C214,'Use cases'!$I$4:$I$253,"Confirmed",'Use cases'!$J$4:$J$253,"OK — verify source"),IF(B214="CAP",COUNTIFS(Capabilities!$A$4:$A$253,C214,Capabilities!$J$4:$J$253,"Confirmed",Capabilities!$K$4:$K$253,"OK — verify source"),IF(B214="AIR",COUNTIFS('System map'!$A$4:$A$203,C214,'System map'!$B$4:$B$203,"&lt;&gt;",'System map'!$C$4:$C$203,"&lt;&gt;",'System map'!$D$4:$D$203,"&lt;&gt;"),COUNTIFS(Components!$A$4:$A$253,C214,Components!$B$4:$B$253,B214,Components!$K$4:$K$253,"Confirmed",Components!$L$4:$L$253,"OK — verify source"))))&lt;&gt;1,IF(E214="UC",COUNTIFS('Use cases'!$A$4:$A$253,F214,'Use cases'!$I$4:$I$253,"Confirmed",'Use cases'!$J$4:$J$253,"OK — verify source"),IF(E214="CAP",COUNTIFS(Capabilities!$A$4:$A$253,F214,Capabilities!$J$4:$J$253,"Confirmed",Capabilities!$K$4:$K$253,"OK — verify source"),IF(E214="AIR",COUNTIFS('System map'!$A$4:$A$203,F214,'System map'!$B$4:$B$203,"&lt;&gt;",'System map'!$C$4:$C$203,"&lt;&gt;",'System map'!$D$4:$D$203,"&lt;&gt;"),COUNTIFS(Components!$A$4:$A$253,F214,Components!$B$4:$B$253,E214,Components!$K$4:$K$253,"Confirmed",Components!$L$4:$L$253,"OK — verify source"))))&lt;&gt;1)),"Endpoint not source-reconciled",IF(AND(M214="Confirmed",OR(L214="",K214="",K214="Unknown",K214="Low")),"Confirmed link lacks verification","OK — verify source"))))))))))))))</f>
        <v/>
      </c>
    </row>
    <row r="215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8" t="n"/>
      <c r="M215" s="27" t="n"/>
      <c r="N215" s="27">
        <f>IF(COUNTA(A215:M215)=0,"",IF(OR(A215="",B215="",C215="",D215="",E215="",F215="",I215="",J215="",K215="",M215=""),"Required link detail missing",IF(COUNTIF($A$4:$A$1003,A215)&gt;1,"Duplicate Map Edge ID",IF(NOT(OR(AND(B215="UC",E215="CAP",D215="requires"),AND(B215="CAP",E215="AIR",D215="provided by"),AND(B215="AIR",OR(E215="MOD",E215="DATA",E215="IF",E215="AG",E215="TOOL"),D215="references"),AND(B215="AIR",E215="AIR",D215="depends on"))),"Invalid relationship",IF(AND(M215&lt;&gt;"Superseded",COUNTIFS($B$4:$B$1003,B215,$C$4:$C$1003,C215,$D$4:$D$1003,D215,$E$4:$E$1003,E215,$F$4:$F$1003,F215,$G$4:$G$1003,G215,$M$4:$M$1003,"&lt;&gt;Superseded")&gt;1),"Duplicate relationship",IF(OR(IF(B215="UC",COUNTIF('Use cases'!$A$4:$A$253,C215),IF(B215="CAP",COUNTIF(Capabilities!$A$4:$A$253,C215),IF(B215="AIR",COUNTIF('System map'!$A$4:$A$203,C215),COUNTIFS(Components!$A$4:$A$253,C215,Components!$B$4:$B$253,B215))))&lt;&gt;1,IF(E215="UC",COUNTIF('Use cases'!$A$4:$A$253,F215),IF(E215="CAP",COUNTIF(Capabilities!$A$4:$A$253,F215),IF(E215="AIR",COUNTIF('System map'!$A$4:$A$203,F215),COUNTIFS(Components!$A$4:$A$253,F215,Components!$B$4:$B$253,E215))))&lt;&gt;1),"Endpoint missing or duplicated",IF(AND(NOT(AND(B215="UC",E215="CAP")),OR(G215="",COUNTIF('System map'!$A$4:$A$203,G215)&lt;&gt;1)),"AIR context missing / unknown",IF(AND(B215="CAP",E215="AIR",G215&lt;&gt;F215),"AIR context mismatch",IF(AND(B215="AIR",G215&lt;&gt;C215),"AIR context mismatch",IF(AND(B215="AIR",E215="AIR",C215=F215),"Self-dependency",IF(AND(B215="AIR",E215="AIR",M215&lt;&gt;"Superseded",COUNTIFS($B$4:$B$1003,"AIR",$C$4:$C$1003,F215,$E$4:$E$1003,"AIR",$F$4:$F$1003,C215,$M$4:$M$1003,"&lt;&gt;Superseded")&gt;0),"Dependency cycle (A↔B) — review",IF(AND(B215="AIR",OR(E215="MOD",E215="DATA",E215="IF",E215="AG",E215="TOOL"),IFERROR(INDEX(Components!$G$4:$G$253,MATCH(F215,Components!$A$4:$A$253,0)),"")&lt;&gt;"",IFERROR(INDEX(Components!$G$4:$G$253,MATCH(F215,Components!$A$4:$A$253,0)),"")&lt;&gt;C215),"Component owned by another AIR-ID",IF(AND(M215="Confirmed",OR(IF(B215="UC",COUNTIFS('Use cases'!$A$4:$A$253,C215,'Use cases'!$I$4:$I$253,"Confirmed",'Use cases'!$J$4:$J$253,"OK — verify source"),IF(B215="CAP",COUNTIFS(Capabilities!$A$4:$A$253,C215,Capabilities!$J$4:$J$253,"Confirmed",Capabilities!$K$4:$K$253,"OK — verify source"),IF(B215="AIR",COUNTIFS('System map'!$A$4:$A$203,C215,'System map'!$B$4:$B$203,"&lt;&gt;",'System map'!$C$4:$C$203,"&lt;&gt;",'System map'!$D$4:$D$203,"&lt;&gt;"),COUNTIFS(Components!$A$4:$A$253,C215,Components!$B$4:$B$253,B215,Components!$K$4:$K$253,"Confirmed",Components!$L$4:$L$253,"OK — verify source"))))&lt;&gt;1,IF(E215="UC",COUNTIFS('Use cases'!$A$4:$A$253,F215,'Use cases'!$I$4:$I$253,"Confirmed",'Use cases'!$J$4:$J$253,"OK — verify source"),IF(E215="CAP",COUNTIFS(Capabilities!$A$4:$A$253,F215,Capabilities!$J$4:$J$253,"Confirmed",Capabilities!$K$4:$K$253,"OK — verify source"),IF(E215="AIR",COUNTIFS('System map'!$A$4:$A$203,F215,'System map'!$B$4:$B$203,"&lt;&gt;",'System map'!$C$4:$C$203,"&lt;&gt;",'System map'!$D$4:$D$203,"&lt;&gt;"),COUNTIFS(Components!$A$4:$A$253,F215,Components!$B$4:$B$253,E215,Components!$K$4:$K$253,"Confirmed",Components!$L$4:$L$253,"OK — verify source"))))&lt;&gt;1)),"Endpoint not source-reconciled",IF(AND(M215="Confirmed",OR(L215="",K215="",K215="Unknown",K215="Low")),"Confirmed link lacks verification","OK — verify source"))))))))))))))</f>
        <v/>
      </c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6" t="n"/>
      <c r="M216" s="25" t="n"/>
      <c r="N216" s="25">
        <f>IF(COUNTA(A216:M216)=0,"",IF(OR(A216="",B216="",C216="",D216="",E216="",F216="",I216="",J216="",K216="",M216=""),"Required link detail missing",IF(COUNTIF($A$4:$A$1003,A216)&gt;1,"Duplicate Map Edge ID",IF(NOT(OR(AND(B216="UC",E216="CAP",D216="requires"),AND(B216="CAP",E216="AIR",D216="provided by"),AND(B216="AIR",OR(E216="MOD",E216="DATA",E216="IF",E216="AG",E216="TOOL"),D216="references"),AND(B216="AIR",E216="AIR",D216="depends on"))),"Invalid relationship",IF(AND(M216&lt;&gt;"Superseded",COUNTIFS($B$4:$B$1003,B216,$C$4:$C$1003,C216,$D$4:$D$1003,D216,$E$4:$E$1003,E216,$F$4:$F$1003,F216,$G$4:$G$1003,G216,$M$4:$M$1003,"&lt;&gt;Superseded")&gt;1),"Duplicate relationship",IF(OR(IF(B216="UC",COUNTIF('Use cases'!$A$4:$A$253,C216),IF(B216="CAP",COUNTIF(Capabilities!$A$4:$A$253,C216),IF(B216="AIR",COUNTIF('System map'!$A$4:$A$203,C216),COUNTIFS(Components!$A$4:$A$253,C216,Components!$B$4:$B$253,B216))))&lt;&gt;1,IF(E216="UC",COUNTIF('Use cases'!$A$4:$A$253,F216),IF(E216="CAP",COUNTIF(Capabilities!$A$4:$A$253,F216),IF(E216="AIR",COUNTIF('System map'!$A$4:$A$203,F216),COUNTIFS(Components!$A$4:$A$253,F216,Components!$B$4:$B$253,E216))))&lt;&gt;1),"Endpoint missing or duplicated",IF(AND(NOT(AND(B216="UC",E216="CAP")),OR(G216="",COUNTIF('System map'!$A$4:$A$203,G216)&lt;&gt;1)),"AIR context missing / unknown",IF(AND(B216="CAP",E216="AIR",G216&lt;&gt;F216),"AIR context mismatch",IF(AND(B216="AIR",G216&lt;&gt;C216),"AIR context mismatch",IF(AND(B216="AIR",E216="AIR",C216=F216),"Self-dependency",IF(AND(B216="AIR",E216="AIR",M216&lt;&gt;"Superseded",COUNTIFS($B$4:$B$1003,"AIR",$C$4:$C$1003,F216,$E$4:$E$1003,"AIR",$F$4:$F$1003,C216,$M$4:$M$1003,"&lt;&gt;Superseded")&gt;0),"Dependency cycle (A↔B) — review",IF(AND(B216="AIR",OR(E216="MOD",E216="DATA",E216="IF",E216="AG",E216="TOOL"),IFERROR(INDEX(Components!$G$4:$G$253,MATCH(F216,Components!$A$4:$A$253,0)),"")&lt;&gt;"",IFERROR(INDEX(Components!$G$4:$G$253,MATCH(F216,Components!$A$4:$A$253,0)),"")&lt;&gt;C216),"Component owned by another AIR-ID",IF(AND(M216="Confirmed",OR(IF(B216="UC",COUNTIFS('Use cases'!$A$4:$A$253,C216,'Use cases'!$I$4:$I$253,"Confirmed",'Use cases'!$J$4:$J$253,"OK — verify source"),IF(B216="CAP",COUNTIFS(Capabilities!$A$4:$A$253,C216,Capabilities!$J$4:$J$253,"Confirmed",Capabilities!$K$4:$K$253,"OK — verify source"),IF(B216="AIR",COUNTIFS('System map'!$A$4:$A$203,C216,'System map'!$B$4:$B$203,"&lt;&gt;",'System map'!$C$4:$C$203,"&lt;&gt;",'System map'!$D$4:$D$203,"&lt;&gt;"),COUNTIFS(Components!$A$4:$A$253,C216,Components!$B$4:$B$253,B216,Components!$K$4:$K$253,"Confirmed",Components!$L$4:$L$253,"OK — verify source"))))&lt;&gt;1,IF(E216="UC",COUNTIFS('Use cases'!$A$4:$A$253,F216,'Use cases'!$I$4:$I$253,"Confirmed",'Use cases'!$J$4:$J$253,"OK — verify source"),IF(E216="CAP",COUNTIFS(Capabilities!$A$4:$A$253,F216,Capabilities!$J$4:$J$253,"Confirmed",Capabilities!$K$4:$K$253,"OK — verify source"),IF(E216="AIR",COUNTIFS('System map'!$A$4:$A$203,F216,'System map'!$B$4:$B$203,"&lt;&gt;",'System map'!$C$4:$C$203,"&lt;&gt;",'System map'!$D$4:$D$203,"&lt;&gt;"),COUNTIFS(Components!$A$4:$A$253,F216,Components!$B$4:$B$253,E216,Components!$K$4:$K$253,"Confirmed",Components!$L$4:$L$253,"OK — verify source"))))&lt;&gt;1)),"Endpoint not source-reconciled",IF(AND(M216="Confirmed",OR(L216="",K216="",K216="Unknown",K216="Low")),"Confirmed link lacks verification","OK — verify source"))))))))))))))</f>
        <v/>
      </c>
    </row>
    <row r="217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8" t="n"/>
      <c r="M217" s="27" t="n"/>
      <c r="N217" s="27">
        <f>IF(COUNTA(A217:M217)=0,"",IF(OR(A217="",B217="",C217="",D217="",E217="",F217="",I217="",J217="",K217="",M217=""),"Required link detail missing",IF(COUNTIF($A$4:$A$1003,A217)&gt;1,"Duplicate Map Edge ID",IF(NOT(OR(AND(B217="UC",E217="CAP",D217="requires"),AND(B217="CAP",E217="AIR",D217="provided by"),AND(B217="AIR",OR(E217="MOD",E217="DATA",E217="IF",E217="AG",E217="TOOL"),D217="references"),AND(B217="AIR",E217="AIR",D217="depends on"))),"Invalid relationship",IF(AND(M217&lt;&gt;"Superseded",COUNTIFS($B$4:$B$1003,B217,$C$4:$C$1003,C217,$D$4:$D$1003,D217,$E$4:$E$1003,E217,$F$4:$F$1003,F217,$G$4:$G$1003,G217,$M$4:$M$1003,"&lt;&gt;Superseded")&gt;1),"Duplicate relationship",IF(OR(IF(B217="UC",COUNTIF('Use cases'!$A$4:$A$253,C217),IF(B217="CAP",COUNTIF(Capabilities!$A$4:$A$253,C217),IF(B217="AIR",COUNTIF('System map'!$A$4:$A$203,C217),COUNTIFS(Components!$A$4:$A$253,C217,Components!$B$4:$B$253,B217))))&lt;&gt;1,IF(E217="UC",COUNTIF('Use cases'!$A$4:$A$253,F217),IF(E217="CAP",COUNTIF(Capabilities!$A$4:$A$253,F217),IF(E217="AIR",COUNTIF('System map'!$A$4:$A$203,F217),COUNTIFS(Components!$A$4:$A$253,F217,Components!$B$4:$B$253,E217))))&lt;&gt;1),"Endpoint missing or duplicated",IF(AND(NOT(AND(B217="UC",E217="CAP")),OR(G217="",COUNTIF('System map'!$A$4:$A$203,G217)&lt;&gt;1)),"AIR context missing / unknown",IF(AND(B217="CAP",E217="AIR",G217&lt;&gt;F217),"AIR context mismatch",IF(AND(B217="AIR",G217&lt;&gt;C217),"AIR context mismatch",IF(AND(B217="AIR",E217="AIR",C217=F217),"Self-dependency",IF(AND(B217="AIR",E217="AIR",M217&lt;&gt;"Superseded",COUNTIFS($B$4:$B$1003,"AIR",$C$4:$C$1003,F217,$E$4:$E$1003,"AIR",$F$4:$F$1003,C217,$M$4:$M$1003,"&lt;&gt;Superseded")&gt;0),"Dependency cycle (A↔B) — review",IF(AND(B217="AIR",OR(E217="MOD",E217="DATA",E217="IF",E217="AG",E217="TOOL"),IFERROR(INDEX(Components!$G$4:$G$253,MATCH(F217,Components!$A$4:$A$253,0)),"")&lt;&gt;"",IFERROR(INDEX(Components!$G$4:$G$253,MATCH(F217,Components!$A$4:$A$253,0)),"")&lt;&gt;C217),"Component owned by another AIR-ID",IF(AND(M217="Confirmed",OR(IF(B217="UC",COUNTIFS('Use cases'!$A$4:$A$253,C217,'Use cases'!$I$4:$I$253,"Confirmed",'Use cases'!$J$4:$J$253,"OK — verify source"),IF(B217="CAP",COUNTIFS(Capabilities!$A$4:$A$253,C217,Capabilities!$J$4:$J$253,"Confirmed",Capabilities!$K$4:$K$253,"OK — verify source"),IF(B217="AIR",COUNTIFS('System map'!$A$4:$A$203,C217,'System map'!$B$4:$B$203,"&lt;&gt;",'System map'!$C$4:$C$203,"&lt;&gt;",'System map'!$D$4:$D$203,"&lt;&gt;"),COUNTIFS(Components!$A$4:$A$253,C217,Components!$B$4:$B$253,B217,Components!$K$4:$K$253,"Confirmed",Components!$L$4:$L$253,"OK — verify source"))))&lt;&gt;1,IF(E217="UC",COUNTIFS('Use cases'!$A$4:$A$253,F217,'Use cases'!$I$4:$I$253,"Confirmed",'Use cases'!$J$4:$J$253,"OK — verify source"),IF(E217="CAP",COUNTIFS(Capabilities!$A$4:$A$253,F217,Capabilities!$J$4:$J$253,"Confirmed",Capabilities!$K$4:$K$253,"OK — verify source"),IF(E217="AIR",COUNTIFS('System map'!$A$4:$A$203,F217,'System map'!$B$4:$B$203,"&lt;&gt;",'System map'!$C$4:$C$203,"&lt;&gt;",'System map'!$D$4:$D$203,"&lt;&gt;"),COUNTIFS(Components!$A$4:$A$253,F217,Components!$B$4:$B$253,E217,Components!$K$4:$K$253,"Confirmed",Components!$L$4:$L$253,"OK — verify source"))))&lt;&gt;1)),"Endpoint not source-reconciled",IF(AND(M217="Confirmed",OR(L217="",K217="",K217="Unknown",K217="Low")),"Confirmed link lacks verification","OK — verify source"))))))))))))))</f>
        <v/>
      </c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6" t="n"/>
      <c r="M218" s="25" t="n"/>
      <c r="N218" s="25">
        <f>IF(COUNTA(A218:M218)=0,"",IF(OR(A218="",B218="",C218="",D218="",E218="",F218="",I218="",J218="",K218="",M218=""),"Required link detail missing",IF(COUNTIF($A$4:$A$1003,A218)&gt;1,"Duplicate Map Edge ID",IF(NOT(OR(AND(B218="UC",E218="CAP",D218="requires"),AND(B218="CAP",E218="AIR",D218="provided by"),AND(B218="AIR",OR(E218="MOD",E218="DATA",E218="IF",E218="AG",E218="TOOL"),D218="references"),AND(B218="AIR",E218="AIR",D218="depends on"))),"Invalid relationship",IF(AND(M218&lt;&gt;"Superseded",COUNTIFS($B$4:$B$1003,B218,$C$4:$C$1003,C218,$D$4:$D$1003,D218,$E$4:$E$1003,E218,$F$4:$F$1003,F218,$G$4:$G$1003,G218,$M$4:$M$1003,"&lt;&gt;Superseded")&gt;1),"Duplicate relationship",IF(OR(IF(B218="UC",COUNTIF('Use cases'!$A$4:$A$253,C218),IF(B218="CAP",COUNTIF(Capabilities!$A$4:$A$253,C218),IF(B218="AIR",COUNTIF('System map'!$A$4:$A$203,C218),COUNTIFS(Components!$A$4:$A$253,C218,Components!$B$4:$B$253,B218))))&lt;&gt;1,IF(E218="UC",COUNTIF('Use cases'!$A$4:$A$253,F218),IF(E218="CAP",COUNTIF(Capabilities!$A$4:$A$253,F218),IF(E218="AIR",COUNTIF('System map'!$A$4:$A$203,F218),COUNTIFS(Components!$A$4:$A$253,F218,Components!$B$4:$B$253,E218))))&lt;&gt;1),"Endpoint missing or duplicated",IF(AND(NOT(AND(B218="UC",E218="CAP")),OR(G218="",COUNTIF('System map'!$A$4:$A$203,G218)&lt;&gt;1)),"AIR context missing / unknown",IF(AND(B218="CAP",E218="AIR",G218&lt;&gt;F218),"AIR context mismatch",IF(AND(B218="AIR",G218&lt;&gt;C218),"AIR context mismatch",IF(AND(B218="AIR",E218="AIR",C218=F218),"Self-dependency",IF(AND(B218="AIR",E218="AIR",M218&lt;&gt;"Superseded",COUNTIFS($B$4:$B$1003,"AIR",$C$4:$C$1003,F218,$E$4:$E$1003,"AIR",$F$4:$F$1003,C218,$M$4:$M$1003,"&lt;&gt;Superseded")&gt;0),"Dependency cycle (A↔B) — review",IF(AND(B218="AIR",OR(E218="MOD",E218="DATA",E218="IF",E218="AG",E218="TOOL"),IFERROR(INDEX(Components!$G$4:$G$253,MATCH(F218,Components!$A$4:$A$253,0)),"")&lt;&gt;"",IFERROR(INDEX(Components!$G$4:$G$253,MATCH(F218,Components!$A$4:$A$253,0)),"")&lt;&gt;C218),"Component owned by another AIR-ID",IF(AND(M218="Confirmed",OR(IF(B218="UC",COUNTIFS('Use cases'!$A$4:$A$253,C218,'Use cases'!$I$4:$I$253,"Confirmed",'Use cases'!$J$4:$J$253,"OK — verify source"),IF(B218="CAP",COUNTIFS(Capabilities!$A$4:$A$253,C218,Capabilities!$J$4:$J$253,"Confirmed",Capabilities!$K$4:$K$253,"OK — verify source"),IF(B218="AIR",COUNTIFS('System map'!$A$4:$A$203,C218,'System map'!$B$4:$B$203,"&lt;&gt;",'System map'!$C$4:$C$203,"&lt;&gt;",'System map'!$D$4:$D$203,"&lt;&gt;"),COUNTIFS(Components!$A$4:$A$253,C218,Components!$B$4:$B$253,B218,Components!$K$4:$K$253,"Confirmed",Components!$L$4:$L$253,"OK — verify source"))))&lt;&gt;1,IF(E218="UC",COUNTIFS('Use cases'!$A$4:$A$253,F218,'Use cases'!$I$4:$I$253,"Confirmed",'Use cases'!$J$4:$J$253,"OK — verify source"),IF(E218="CAP",COUNTIFS(Capabilities!$A$4:$A$253,F218,Capabilities!$J$4:$J$253,"Confirmed",Capabilities!$K$4:$K$253,"OK — verify source"),IF(E218="AIR",COUNTIFS('System map'!$A$4:$A$203,F218,'System map'!$B$4:$B$203,"&lt;&gt;",'System map'!$C$4:$C$203,"&lt;&gt;",'System map'!$D$4:$D$203,"&lt;&gt;"),COUNTIFS(Components!$A$4:$A$253,F218,Components!$B$4:$B$253,E218,Components!$K$4:$K$253,"Confirmed",Components!$L$4:$L$253,"OK — verify source"))))&lt;&gt;1)),"Endpoint not source-reconciled",IF(AND(M218="Confirmed",OR(L218="",K218="",K218="Unknown",K218="Low")),"Confirmed link lacks verification","OK — verify source"))))))))))))))</f>
        <v/>
      </c>
    </row>
    <row r="219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8" t="n"/>
      <c r="M219" s="27" t="n"/>
      <c r="N219" s="27">
        <f>IF(COUNTA(A219:M219)=0,"",IF(OR(A219="",B219="",C219="",D219="",E219="",F219="",I219="",J219="",K219="",M219=""),"Required link detail missing",IF(COUNTIF($A$4:$A$1003,A219)&gt;1,"Duplicate Map Edge ID",IF(NOT(OR(AND(B219="UC",E219="CAP",D219="requires"),AND(B219="CAP",E219="AIR",D219="provided by"),AND(B219="AIR",OR(E219="MOD",E219="DATA",E219="IF",E219="AG",E219="TOOL"),D219="references"),AND(B219="AIR",E219="AIR",D219="depends on"))),"Invalid relationship",IF(AND(M219&lt;&gt;"Superseded",COUNTIFS($B$4:$B$1003,B219,$C$4:$C$1003,C219,$D$4:$D$1003,D219,$E$4:$E$1003,E219,$F$4:$F$1003,F219,$G$4:$G$1003,G219,$M$4:$M$1003,"&lt;&gt;Superseded")&gt;1),"Duplicate relationship",IF(OR(IF(B219="UC",COUNTIF('Use cases'!$A$4:$A$253,C219),IF(B219="CAP",COUNTIF(Capabilities!$A$4:$A$253,C219),IF(B219="AIR",COUNTIF('System map'!$A$4:$A$203,C219),COUNTIFS(Components!$A$4:$A$253,C219,Components!$B$4:$B$253,B219))))&lt;&gt;1,IF(E219="UC",COUNTIF('Use cases'!$A$4:$A$253,F219),IF(E219="CAP",COUNTIF(Capabilities!$A$4:$A$253,F219),IF(E219="AIR",COUNTIF('System map'!$A$4:$A$203,F219),COUNTIFS(Components!$A$4:$A$253,F219,Components!$B$4:$B$253,E219))))&lt;&gt;1),"Endpoint missing or duplicated",IF(AND(NOT(AND(B219="UC",E219="CAP")),OR(G219="",COUNTIF('System map'!$A$4:$A$203,G219)&lt;&gt;1)),"AIR context missing / unknown",IF(AND(B219="CAP",E219="AIR",G219&lt;&gt;F219),"AIR context mismatch",IF(AND(B219="AIR",G219&lt;&gt;C219),"AIR context mismatch",IF(AND(B219="AIR",E219="AIR",C219=F219),"Self-dependency",IF(AND(B219="AIR",E219="AIR",M219&lt;&gt;"Superseded",COUNTIFS($B$4:$B$1003,"AIR",$C$4:$C$1003,F219,$E$4:$E$1003,"AIR",$F$4:$F$1003,C219,$M$4:$M$1003,"&lt;&gt;Superseded")&gt;0),"Dependency cycle (A↔B) — review",IF(AND(B219="AIR",OR(E219="MOD",E219="DATA",E219="IF",E219="AG",E219="TOOL"),IFERROR(INDEX(Components!$G$4:$G$253,MATCH(F219,Components!$A$4:$A$253,0)),"")&lt;&gt;"",IFERROR(INDEX(Components!$G$4:$G$253,MATCH(F219,Components!$A$4:$A$253,0)),"")&lt;&gt;C219),"Component owned by another AIR-ID",IF(AND(M219="Confirmed",OR(IF(B219="UC",COUNTIFS('Use cases'!$A$4:$A$253,C219,'Use cases'!$I$4:$I$253,"Confirmed",'Use cases'!$J$4:$J$253,"OK — verify source"),IF(B219="CAP",COUNTIFS(Capabilities!$A$4:$A$253,C219,Capabilities!$J$4:$J$253,"Confirmed",Capabilities!$K$4:$K$253,"OK — verify source"),IF(B219="AIR",COUNTIFS('System map'!$A$4:$A$203,C219,'System map'!$B$4:$B$203,"&lt;&gt;",'System map'!$C$4:$C$203,"&lt;&gt;",'System map'!$D$4:$D$203,"&lt;&gt;"),COUNTIFS(Components!$A$4:$A$253,C219,Components!$B$4:$B$253,B219,Components!$K$4:$K$253,"Confirmed",Components!$L$4:$L$253,"OK — verify source"))))&lt;&gt;1,IF(E219="UC",COUNTIFS('Use cases'!$A$4:$A$253,F219,'Use cases'!$I$4:$I$253,"Confirmed",'Use cases'!$J$4:$J$253,"OK — verify source"),IF(E219="CAP",COUNTIFS(Capabilities!$A$4:$A$253,F219,Capabilities!$J$4:$J$253,"Confirmed",Capabilities!$K$4:$K$253,"OK — verify source"),IF(E219="AIR",COUNTIFS('System map'!$A$4:$A$203,F219,'System map'!$B$4:$B$203,"&lt;&gt;",'System map'!$C$4:$C$203,"&lt;&gt;",'System map'!$D$4:$D$203,"&lt;&gt;"),COUNTIFS(Components!$A$4:$A$253,F219,Components!$B$4:$B$253,E219,Components!$K$4:$K$253,"Confirmed",Components!$L$4:$L$253,"OK — verify source"))))&lt;&gt;1)),"Endpoint not source-reconciled",IF(AND(M219="Confirmed",OR(L219="",K219="",K219="Unknown",K219="Low")),"Confirmed link lacks verification","OK — verify source"))))))))))))))</f>
        <v/>
      </c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6" t="n"/>
      <c r="M220" s="25" t="n"/>
      <c r="N220" s="25">
        <f>IF(COUNTA(A220:M220)=0,"",IF(OR(A220="",B220="",C220="",D220="",E220="",F220="",I220="",J220="",K220="",M220=""),"Required link detail missing",IF(COUNTIF($A$4:$A$1003,A220)&gt;1,"Duplicate Map Edge ID",IF(NOT(OR(AND(B220="UC",E220="CAP",D220="requires"),AND(B220="CAP",E220="AIR",D220="provided by"),AND(B220="AIR",OR(E220="MOD",E220="DATA",E220="IF",E220="AG",E220="TOOL"),D220="references"),AND(B220="AIR",E220="AIR",D220="depends on"))),"Invalid relationship",IF(AND(M220&lt;&gt;"Superseded",COUNTIFS($B$4:$B$1003,B220,$C$4:$C$1003,C220,$D$4:$D$1003,D220,$E$4:$E$1003,E220,$F$4:$F$1003,F220,$G$4:$G$1003,G220,$M$4:$M$1003,"&lt;&gt;Superseded")&gt;1),"Duplicate relationship",IF(OR(IF(B220="UC",COUNTIF('Use cases'!$A$4:$A$253,C220),IF(B220="CAP",COUNTIF(Capabilities!$A$4:$A$253,C220),IF(B220="AIR",COUNTIF('System map'!$A$4:$A$203,C220),COUNTIFS(Components!$A$4:$A$253,C220,Components!$B$4:$B$253,B220))))&lt;&gt;1,IF(E220="UC",COUNTIF('Use cases'!$A$4:$A$253,F220),IF(E220="CAP",COUNTIF(Capabilities!$A$4:$A$253,F220),IF(E220="AIR",COUNTIF('System map'!$A$4:$A$203,F220),COUNTIFS(Components!$A$4:$A$253,F220,Components!$B$4:$B$253,E220))))&lt;&gt;1),"Endpoint missing or duplicated",IF(AND(NOT(AND(B220="UC",E220="CAP")),OR(G220="",COUNTIF('System map'!$A$4:$A$203,G220)&lt;&gt;1)),"AIR context missing / unknown",IF(AND(B220="CAP",E220="AIR",G220&lt;&gt;F220),"AIR context mismatch",IF(AND(B220="AIR",G220&lt;&gt;C220),"AIR context mismatch",IF(AND(B220="AIR",E220="AIR",C220=F220),"Self-dependency",IF(AND(B220="AIR",E220="AIR",M220&lt;&gt;"Superseded",COUNTIFS($B$4:$B$1003,"AIR",$C$4:$C$1003,F220,$E$4:$E$1003,"AIR",$F$4:$F$1003,C220,$M$4:$M$1003,"&lt;&gt;Superseded")&gt;0),"Dependency cycle (A↔B) — review",IF(AND(B220="AIR",OR(E220="MOD",E220="DATA",E220="IF",E220="AG",E220="TOOL"),IFERROR(INDEX(Components!$G$4:$G$253,MATCH(F220,Components!$A$4:$A$253,0)),"")&lt;&gt;"",IFERROR(INDEX(Components!$G$4:$G$253,MATCH(F220,Components!$A$4:$A$253,0)),"")&lt;&gt;C220),"Component owned by another AIR-ID",IF(AND(M220="Confirmed",OR(IF(B220="UC",COUNTIFS('Use cases'!$A$4:$A$253,C220,'Use cases'!$I$4:$I$253,"Confirmed",'Use cases'!$J$4:$J$253,"OK — verify source"),IF(B220="CAP",COUNTIFS(Capabilities!$A$4:$A$253,C220,Capabilities!$J$4:$J$253,"Confirmed",Capabilities!$K$4:$K$253,"OK — verify source"),IF(B220="AIR",COUNTIFS('System map'!$A$4:$A$203,C220,'System map'!$B$4:$B$203,"&lt;&gt;",'System map'!$C$4:$C$203,"&lt;&gt;",'System map'!$D$4:$D$203,"&lt;&gt;"),COUNTIFS(Components!$A$4:$A$253,C220,Components!$B$4:$B$253,B220,Components!$K$4:$K$253,"Confirmed",Components!$L$4:$L$253,"OK — verify source"))))&lt;&gt;1,IF(E220="UC",COUNTIFS('Use cases'!$A$4:$A$253,F220,'Use cases'!$I$4:$I$253,"Confirmed",'Use cases'!$J$4:$J$253,"OK — verify source"),IF(E220="CAP",COUNTIFS(Capabilities!$A$4:$A$253,F220,Capabilities!$J$4:$J$253,"Confirmed",Capabilities!$K$4:$K$253,"OK — verify source"),IF(E220="AIR",COUNTIFS('System map'!$A$4:$A$203,F220,'System map'!$B$4:$B$203,"&lt;&gt;",'System map'!$C$4:$C$203,"&lt;&gt;",'System map'!$D$4:$D$203,"&lt;&gt;"),COUNTIFS(Components!$A$4:$A$253,F220,Components!$B$4:$B$253,E220,Components!$K$4:$K$253,"Confirmed",Components!$L$4:$L$253,"OK — verify source"))))&lt;&gt;1)),"Endpoint not source-reconciled",IF(AND(M220="Confirmed",OR(L220="",K220="",K220="Unknown",K220="Low")),"Confirmed link lacks verification","OK — verify source"))))))))))))))</f>
        <v/>
      </c>
    </row>
    <row r="221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8" t="n"/>
      <c r="M221" s="27" t="n"/>
      <c r="N221" s="27">
        <f>IF(COUNTA(A221:M221)=0,"",IF(OR(A221="",B221="",C221="",D221="",E221="",F221="",I221="",J221="",K221="",M221=""),"Required link detail missing",IF(COUNTIF($A$4:$A$1003,A221)&gt;1,"Duplicate Map Edge ID",IF(NOT(OR(AND(B221="UC",E221="CAP",D221="requires"),AND(B221="CAP",E221="AIR",D221="provided by"),AND(B221="AIR",OR(E221="MOD",E221="DATA",E221="IF",E221="AG",E221="TOOL"),D221="references"),AND(B221="AIR",E221="AIR",D221="depends on"))),"Invalid relationship",IF(AND(M221&lt;&gt;"Superseded",COUNTIFS($B$4:$B$1003,B221,$C$4:$C$1003,C221,$D$4:$D$1003,D221,$E$4:$E$1003,E221,$F$4:$F$1003,F221,$G$4:$G$1003,G221,$M$4:$M$1003,"&lt;&gt;Superseded")&gt;1),"Duplicate relationship",IF(OR(IF(B221="UC",COUNTIF('Use cases'!$A$4:$A$253,C221),IF(B221="CAP",COUNTIF(Capabilities!$A$4:$A$253,C221),IF(B221="AIR",COUNTIF('System map'!$A$4:$A$203,C221),COUNTIFS(Components!$A$4:$A$253,C221,Components!$B$4:$B$253,B221))))&lt;&gt;1,IF(E221="UC",COUNTIF('Use cases'!$A$4:$A$253,F221),IF(E221="CAP",COUNTIF(Capabilities!$A$4:$A$253,F221),IF(E221="AIR",COUNTIF('System map'!$A$4:$A$203,F221),COUNTIFS(Components!$A$4:$A$253,F221,Components!$B$4:$B$253,E221))))&lt;&gt;1),"Endpoint missing or duplicated",IF(AND(NOT(AND(B221="UC",E221="CAP")),OR(G221="",COUNTIF('System map'!$A$4:$A$203,G221)&lt;&gt;1)),"AIR context missing / unknown",IF(AND(B221="CAP",E221="AIR",G221&lt;&gt;F221),"AIR context mismatch",IF(AND(B221="AIR",G221&lt;&gt;C221),"AIR context mismatch",IF(AND(B221="AIR",E221="AIR",C221=F221),"Self-dependency",IF(AND(B221="AIR",E221="AIR",M221&lt;&gt;"Superseded",COUNTIFS($B$4:$B$1003,"AIR",$C$4:$C$1003,F221,$E$4:$E$1003,"AIR",$F$4:$F$1003,C221,$M$4:$M$1003,"&lt;&gt;Superseded")&gt;0),"Dependency cycle (A↔B) — review",IF(AND(B221="AIR",OR(E221="MOD",E221="DATA",E221="IF",E221="AG",E221="TOOL"),IFERROR(INDEX(Components!$G$4:$G$253,MATCH(F221,Components!$A$4:$A$253,0)),"")&lt;&gt;"",IFERROR(INDEX(Components!$G$4:$G$253,MATCH(F221,Components!$A$4:$A$253,0)),"")&lt;&gt;C221),"Component owned by another AIR-ID",IF(AND(M221="Confirmed",OR(IF(B221="UC",COUNTIFS('Use cases'!$A$4:$A$253,C221,'Use cases'!$I$4:$I$253,"Confirmed",'Use cases'!$J$4:$J$253,"OK — verify source"),IF(B221="CAP",COUNTIFS(Capabilities!$A$4:$A$253,C221,Capabilities!$J$4:$J$253,"Confirmed",Capabilities!$K$4:$K$253,"OK — verify source"),IF(B221="AIR",COUNTIFS('System map'!$A$4:$A$203,C221,'System map'!$B$4:$B$203,"&lt;&gt;",'System map'!$C$4:$C$203,"&lt;&gt;",'System map'!$D$4:$D$203,"&lt;&gt;"),COUNTIFS(Components!$A$4:$A$253,C221,Components!$B$4:$B$253,B221,Components!$K$4:$K$253,"Confirmed",Components!$L$4:$L$253,"OK — verify source"))))&lt;&gt;1,IF(E221="UC",COUNTIFS('Use cases'!$A$4:$A$253,F221,'Use cases'!$I$4:$I$253,"Confirmed",'Use cases'!$J$4:$J$253,"OK — verify source"),IF(E221="CAP",COUNTIFS(Capabilities!$A$4:$A$253,F221,Capabilities!$J$4:$J$253,"Confirmed",Capabilities!$K$4:$K$253,"OK — verify source"),IF(E221="AIR",COUNTIFS('System map'!$A$4:$A$203,F221,'System map'!$B$4:$B$203,"&lt;&gt;",'System map'!$C$4:$C$203,"&lt;&gt;",'System map'!$D$4:$D$203,"&lt;&gt;"),COUNTIFS(Components!$A$4:$A$253,F221,Components!$B$4:$B$253,E221,Components!$K$4:$K$253,"Confirmed",Components!$L$4:$L$253,"OK — verify source"))))&lt;&gt;1)),"Endpoint not source-reconciled",IF(AND(M221="Confirmed",OR(L221="",K221="",K221="Unknown",K221="Low")),"Confirmed link lacks verification","OK — verify source"))))))))))))))</f>
        <v/>
      </c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6" t="n"/>
      <c r="M222" s="25" t="n"/>
      <c r="N222" s="25">
        <f>IF(COUNTA(A222:M222)=0,"",IF(OR(A222="",B222="",C222="",D222="",E222="",F222="",I222="",J222="",K222="",M222=""),"Required link detail missing",IF(COUNTIF($A$4:$A$1003,A222)&gt;1,"Duplicate Map Edge ID",IF(NOT(OR(AND(B222="UC",E222="CAP",D222="requires"),AND(B222="CAP",E222="AIR",D222="provided by"),AND(B222="AIR",OR(E222="MOD",E222="DATA",E222="IF",E222="AG",E222="TOOL"),D222="references"),AND(B222="AIR",E222="AIR",D222="depends on"))),"Invalid relationship",IF(AND(M222&lt;&gt;"Superseded",COUNTIFS($B$4:$B$1003,B222,$C$4:$C$1003,C222,$D$4:$D$1003,D222,$E$4:$E$1003,E222,$F$4:$F$1003,F222,$G$4:$G$1003,G222,$M$4:$M$1003,"&lt;&gt;Superseded")&gt;1),"Duplicate relationship",IF(OR(IF(B222="UC",COUNTIF('Use cases'!$A$4:$A$253,C222),IF(B222="CAP",COUNTIF(Capabilities!$A$4:$A$253,C222),IF(B222="AIR",COUNTIF('System map'!$A$4:$A$203,C222),COUNTIFS(Components!$A$4:$A$253,C222,Components!$B$4:$B$253,B222))))&lt;&gt;1,IF(E222="UC",COUNTIF('Use cases'!$A$4:$A$253,F222),IF(E222="CAP",COUNTIF(Capabilities!$A$4:$A$253,F222),IF(E222="AIR",COUNTIF('System map'!$A$4:$A$203,F222),COUNTIFS(Components!$A$4:$A$253,F222,Components!$B$4:$B$253,E222))))&lt;&gt;1),"Endpoint missing or duplicated",IF(AND(NOT(AND(B222="UC",E222="CAP")),OR(G222="",COUNTIF('System map'!$A$4:$A$203,G222)&lt;&gt;1)),"AIR context missing / unknown",IF(AND(B222="CAP",E222="AIR",G222&lt;&gt;F222),"AIR context mismatch",IF(AND(B222="AIR",G222&lt;&gt;C222),"AIR context mismatch",IF(AND(B222="AIR",E222="AIR",C222=F222),"Self-dependency",IF(AND(B222="AIR",E222="AIR",M222&lt;&gt;"Superseded",COUNTIFS($B$4:$B$1003,"AIR",$C$4:$C$1003,F222,$E$4:$E$1003,"AIR",$F$4:$F$1003,C222,$M$4:$M$1003,"&lt;&gt;Superseded")&gt;0),"Dependency cycle (A↔B) — review",IF(AND(B222="AIR",OR(E222="MOD",E222="DATA",E222="IF",E222="AG",E222="TOOL"),IFERROR(INDEX(Components!$G$4:$G$253,MATCH(F222,Components!$A$4:$A$253,0)),"")&lt;&gt;"",IFERROR(INDEX(Components!$G$4:$G$253,MATCH(F222,Components!$A$4:$A$253,0)),"")&lt;&gt;C222),"Component owned by another AIR-ID",IF(AND(M222="Confirmed",OR(IF(B222="UC",COUNTIFS('Use cases'!$A$4:$A$253,C222,'Use cases'!$I$4:$I$253,"Confirmed",'Use cases'!$J$4:$J$253,"OK — verify source"),IF(B222="CAP",COUNTIFS(Capabilities!$A$4:$A$253,C222,Capabilities!$J$4:$J$253,"Confirmed",Capabilities!$K$4:$K$253,"OK — verify source"),IF(B222="AIR",COUNTIFS('System map'!$A$4:$A$203,C222,'System map'!$B$4:$B$203,"&lt;&gt;",'System map'!$C$4:$C$203,"&lt;&gt;",'System map'!$D$4:$D$203,"&lt;&gt;"),COUNTIFS(Components!$A$4:$A$253,C222,Components!$B$4:$B$253,B222,Components!$K$4:$K$253,"Confirmed",Components!$L$4:$L$253,"OK — verify source"))))&lt;&gt;1,IF(E222="UC",COUNTIFS('Use cases'!$A$4:$A$253,F222,'Use cases'!$I$4:$I$253,"Confirmed",'Use cases'!$J$4:$J$253,"OK — verify source"),IF(E222="CAP",COUNTIFS(Capabilities!$A$4:$A$253,F222,Capabilities!$J$4:$J$253,"Confirmed",Capabilities!$K$4:$K$253,"OK — verify source"),IF(E222="AIR",COUNTIFS('System map'!$A$4:$A$203,F222,'System map'!$B$4:$B$203,"&lt;&gt;",'System map'!$C$4:$C$203,"&lt;&gt;",'System map'!$D$4:$D$203,"&lt;&gt;"),COUNTIFS(Components!$A$4:$A$253,F222,Components!$B$4:$B$253,E222,Components!$K$4:$K$253,"Confirmed",Components!$L$4:$L$253,"OK — verify source"))))&lt;&gt;1)),"Endpoint not source-reconciled",IF(AND(M222="Confirmed",OR(L222="",K222="",K222="Unknown",K222="Low")),"Confirmed link lacks verification","OK — verify source"))))))))))))))</f>
        <v/>
      </c>
    </row>
    <row r="223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8" t="n"/>
      <c r="M223" s="27" t="n"/>
      <c r="N223" s="27">
        <f>IF(COUNTA(A223:M223)=0,"",IF(OR(A223="",B223="",C223="",D223="",E223="",F223="",I223="",J223="",K223="",M223=""),"Required link detail missing",IF(COUNTIF($A$4:$A$1003,A223)&gt;1,"Duplicate Map Edge ID",IF(NOT(OR(AND(B223="UC",E223="CAP",D223="requires"),AND(B223="CAP",E223="AIR",D223="provided by"),AND(B223="AIR",OR(E223="MOD",E223="DATA",E223="IF",E223="AG",E223="TOOL"),D223="references"),AND(B223="AIR",E223="AIR",D223="depends on"))),"Invalid relationship",IF(AND(M223&lt;&gt;"Superseded",COUNTIFS($B$4:$B$1003,B223,$C$4:$C$1003,C223,$D$4:$D$1003,D223,$E$4:$E$1003,E223,$F$4:$F$1003,F223,$G$4:$G$1003,G223,$M$4:$M$1003,"&lt;&gt;Superseded")&gt;1),"Duplicate relationship",IF(OR(IF(B223="UC",COUNTIF('Use cases'!$A$4:$A$253,C223),IF(B223="CAP",COUNTIF(Capabilities!$A$4:$A$253,C223),IF(B223="AIR",COUNTIF('System map'!$A$4:$A$203,C223),COUNTIFS(Components!$A$4:$A$253,C223,Components!$B$4:$B$253,B223))))&lt;&gt;1,IF(E223="UC",COUNTIF('Use cases'!$A$4:$A$253,F223),IF(E223="CAP",COUNTIF(Capabilities!$A$4:$A$253,F223),IF(E223="AIR",COUNTIF('System map'!$A$4:$A$203,F223),COUNTIFS(Components!$A$4:$A$253,F223,Components!$B$4:$B$253,E223))))&lt;&gt;1),"Endpoint missing or duplicated",IF(AND(NOT(AND(B223="UC",E223="CAP")),OR(G223="",COUNTIF('System map'!$A$4:$A$203,G223)&lt;&gt;1)),"AIR context missing / unknown",IF(AND(B223="CAP",E223="AIR",G223&lt;&gt;F223),"AIR context mismatch",IF(AND(B223="AIR",G223&lt;&gt;C223),"AIR context mismatch",IF(AND(B223="AIR",E223="AIR",C223=F223),"Self-dependency",IF(AND(B223="AIR",E223="AIR",M223&lt;&gt;"Superseded",COUNTIFS($B$4:$B$1003,"AIR",$C$4:$C$1003,F223,$E$4:$E$1003,"AIR",$F$4:$F$1003,C223,$M$4:$M$1003,"&lt;&gt;Superseded")&gt;0),"Dependency cycle (A↔B) — review",IF(AND(B223="AIR",OR(E223="MOD",E223="DATA",E223="IF",E223="AG",E223="TOOL"),IFERROR(INDEX(Components!$G$4:$G$253,MATCH(F223,Components!$A$4:$A$253,0)),"")&lt;&gt;"",IFERROR(INDEX(Components!$G$4:$G$253,MATCH(F223,Components!$A$4:$A$253,0)),"")&lt;&gt;C223),"Component owned by another AIR-ID",IF(AND(M223="Confirmed",OR(IF(B223="UC",COUNTIFS('Use cases'!$A$4:$A$253,C223,'Use cases'!$I$4:$I$253,"Confirmed",'Use cases'!$J$4:$J$253,"OK — verify source"),IF(B223="CAP",COUNTIFS(Capabilities!$A$4:$A$253,C223,Capabilities!$J$4:$J$253,"Confirmed",Capabilities!$K$4:$K$253,"OK — verify source"),IF(B223="AIR",COUNTIFS('System map'!$A$4:$A$203,C223,'System map'!$B$4:$B$203,"&lt;&gt;",'System map'!$C$4:$C$203,"&lt;&gt;",'System map'!$D$4:$D$203,"&lt;&gt;"),COUNTIFS(Components!$A$4:$A$253,C223,Components!$B$4:$B$253,B223,Components!$K$4:$K$253,"Confirmed",Components!$L$4:$L$253,"OK — verify source"))))&lt;&gt;1,IF(E223="UC",COUNTIFS('Use cases'!$A$4:$A$253,F223,'Use cases'!$I$4:$I$253,"Confirmed",'Use cases'!$J$4:$J$253,"OK — verify source"),IF(E223="CAP",COUNTIFS(Capabilities!$A$4:$A$253,F223,Capabilities!$J$4:$J$253,"Confirmed",Capabilities!$K$4:$K$253,"OK — verify source"),IF(E223="AIR",COUNTIFS('System map'!$A$4:$A$203,F223,'System map'!$B$4:$B$203,"&lt;&gt;",'System map'!$C$4:$C$203,"&lt;&gt;",'System map'!$D$4:$D$203,"&lt;&gt;"),COUNTIFS(Components!$A$4:$A$253,F223,Components!$B$4:$B$253,E223,Components!$K$4:$K$253,"Confirmed",Components!$L$4:$L$253,"OK — verify source"))))&lt;&gt;1)),"Endpoint not source-reconciled",IF(AND(M223="Confirmed",OR(L223="",K223="",K223="Unknown",K223="Low")),"Confirmed link lacks verification","OK — verify source"))))))))))))))</f>
        <v/>
      </c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6" t="n"/>
      <c r="M224" s="25" t="n"/>
      <c r="N224" s="25">
        <f>IF(COUNTA(A224:M224)=0,"",IF(OR(A224="",B224="",C224="",D224="",E224="",F224="",I224="",J224="",K224="",M224=""),"Required link detail missing",IF(COUNTIF($A$4:$A$1003,A224)&gt;1,"Duplicate Map Edge ID",IF(NOT(OR(AND(B224="UC",E224="CAP",D224="requires"),AND(B224="CAP",E224="AIR",D224="provided by"),AND(B224="AIR",OR(E224="MOD",E224="DATA",E224="IF",E224="AG",E224="TOOL"),D224="references"),AND(B224="AIR",E224="AIR",D224="depends on"))),"Invalid relationship",IF(AND(M224&lt;&gt;"Superseded",COUNTIFS($B$4:$B$1003,B224,$C$4:$C$1003,C224,$D$4:$D$1003,D224,$E$4:$E$1003,E224,$F$4:$F$1003,F224,$G$4:$G$1003,G224,$M$4:$M$1003,"&lt;&gt;Superseded")&gt;1),"Duplicate relationship",IF(OR(IF(B224="UC",COUNTIF('Use cases'!$A$4:$A$253,C224),IF(B224="CAP",COUNTIF(Capabilities!$A$4:$A$253,C224),IF(B224="AIR",COUNTIF('System map'!$A$4:$A$203,C224),COUNTIFS(Components!$A$4:$A$253,C224,Components!$B$4:$B$253,B224))))&lt;&gt;1,IF(E224="UC",COUNTIF('Use cases'!$A$4:$A$253,F224),IF(E224="CAP",COUNTIF(Capabilities!$A$4:$A$253,F224),IF(E224="AIR",COUNTIF('System map'!$A$4:$A$203,F224),COUNTIFS(Components!$A$4:$A$253,F224,Components!$B$4:$B$253,E224))))&lt;&gt;1),"Endpoint missing or duplicated",IF(AND(NOT(AND(B224="UC",E224="CAP")),OR(G224="",COUNTIF('System map'!$A$4:$A$203,G224)&lt;&gt;1)),"AIR context missing / unknown",IF(AND(B224="CAP",E224="AIR",G224&lt;&gt;F224),"AIR context mismatch",IF(AND(B224="AIR",G224&lt;&gt;C224),"AIR context mismatch",IF(AND(B224="AIR",E224="AIR",C224=F224),"Self-dependency",IF(AND(B224="AIR",E224="AIR",M224&lt;&gt;"Superseded",COUNTIFS($B$4:$B$1003,"AIR",$C$4:$C$1003,F224,$E$4:$E$1003,"AIR",$F$4:$F$1003,C224,$M$4:$M$1003,"&lt;&gt;Superseded")&gt;0),"Dependency cycle (A↔B) — review",IF(AND(B224="AIR",OR(E224="MOD",E224="DATA",E224="IF",E224="AG",E224="TOOL"),IFERROR(INDEX(Components!$G$4:$G$253,MATCH(F224,Components!$A$4:$A$253,0)),"")&lt;&gt;"",IFERROR(INDEX(Components!$G$4:$G$253,MATCH(F224,Components!$A$4:$A$253,0)),"")&lt;&gt;C224),"Component owned by another AIR-ID",IF(AND(M224="Confirmed",OR(IF(B224="UC",COUNTIFS('Use cases'!$A$4:$A$253,C224,'Use cases'!$I$4:$I$253,"Confirmed",'Use cases'!$J$4:$J$253,"OK — verify source"),IF(B224="CAP",COUNTIFS(Capabilities!$A$4:$A$253,C224,Capabilities!$J$4:$J$253,"Confirmed",Capabilities!$K$4:$K$253,"OK — verify source"),IF(B224="AIR",COUNTIFS('System map'!$A$4:$A$203,C224,'System map'!$B$4:$B$203,"&lt;&gt;",'System map'!$C$4:$C$203,"&lt;&gt;",'System map'!$D$4:$D$203,"&lt;&gt;"),COUNTIFS(Components!$A$4:$A$253,C224,Components!$B$4:$B$253,B224,Components!$K$4:$K$253,"Confirmed",Components!$L$4:$L$253,"OK — verify source"))))&lt;&gt;1,IF(E224="UC",COUNTIFS('Use cases'!$A$4:$A$253,F224,'Use cases'!$I$4:$I$253,"Confirmed",'Use cases'!$J$4:$J$253,"OK — verify source"),IF(E224="CAP",COUNTIFS(Capabilities!$A$4:$A$253,F224,Capabilities!$J$4:$J$253,"Confirmed",Capabilities!$K$4:$K$253,"OK — verify source"),IF(E224="AIR",COUNTIFS('System map'!$A$4:$A$203,F224,'System map'!$B$4:$B$203,"&lt;&gt;",'System map'!$C$4:$C$203,"&lt;&gt;",'System map'!$D$4:$D$203,"&lt;&gt;"),COUNTIFS(Components!$A$4:$A$253,F224,Components!$B$4:$B$253,E224,Components!$K$4:$K$253,"Confirmed",Components!$L$4:$L$253,"OK — verify source"))))&lt;&gt;1)),"Endpoint not source-reconciled",IF(AND(M224="Confirmed",OR(L224="",K224="",K224="Unknown",K224="Low")),"Confirmed link lacks verification","OK — verify source"))))))))))))))</f>
        <v/>
      </c>
    </row>
    <row r="22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8" t="n"/>
      <c r="M225" s="27" t="n"/>
      <c r="N225" s="27">
        <f>IF(COUNTA(A225:M225)=0,"",IF(OR(A225="",B225="",C225="",D225="",E225="",F225="",I225="",J225="",K225="",M225=""),"Required link detail missing",IF(COUNTIF($A$4:$A$1003,A225)&gt;1,"Duplicate Map Edge ID",IF(NOT(OR(AND(B225="UC",E225="CAP",D225="requires"),AND(B225="CAP",E225="AIR",D225="provided by"),AND(B225="AIR",OR(E225="MOD",E225="DATA",E225="IF",E225="AG",E225="TOOL"),D225="references"),AND(B225="AIR",E225="AIR",D225="depends on"))),"Invalid relationship",IF(AND(M225&lt;&gt;"Superseded",COUNTIFS($B$4:$B$1003,B225,$C$4:$C$1003,C225,$D$4:$D$1003,D225,$E$4:$E$1003,E225,$F$4:$F$1003,F225,$G$4:$G$1003,G225,$M$4:$M$1003,"&lt;&gt;Superseded")&gt;1),"Duplicate relationship",IF(OR(IF(B225="UC",COUNTIF('Use cases'!$A$4:$A$253,C225),IF(B225="CAP",COUNTIF(Capabilities!$A$4:$A$253,C225),IF(B225="AIR",COUNTIF('System map'!$A$4:$A$203,C225),COUNTIFS(Components!$A$4:$A$253,C225,Components!$B$4:$B$253,B225))))&lt;&gt;1,IF(E225="UC",COUNTIF('Use cases'!$A$4:$A$253,F225),IF(E225="CAP",COUNTIF(Capabilities!$A$4:$A$253,F225),IF(E225="AIR",COUNTIF('System map'!$A$4:$A$203,F225),COUNTIFS(Components!$A$4:$A$253,F225,Components!$B$4:$B$253,E225))))&lt;&gt;1),"Endpoint missing or duplicated",IF(AND(NOT(AND(B225="UC",E225="CAP")),OR(G225="",COUNTIF('System map'!$A$4:$A$203,G225)&lt;&gt;1)),"AIR context missing / unknown",IF(AND(B225="CAP",E225="AIR",G225&lt;&gt;F225),"AIR context mismatch",IF(AND(B225="AIR",G225&lt;&gt;C225),"AIR context mismatch",IF(AND(B225="AIR",E225="AIR",C225=F225),"Self-dependency",IF(AND(B225="AIR",E225="AIR",M225&lt;&gt;"Superseded",COUNTIFS($B$4:$B$1003,"AIR",$C$4:$C$1003,F225,$E$4:$E$1003,"AIR",$F$4:$F$1003,C225,$M$4:$M$1003,"&lt;&gt;Superseded")&gt;0),"Dependency cycle (A↔B) — review",IF(AND(B225="AIR",OR(E225="MOD",E225="DATA",E225="IF",E225="AG",E225="TOOL"),IFERROR(INDEX(Components!$G$4:$G$253,MATCH(F225,Components!$A$4:$A$253,0)),"")&lt;&gt;"",IFERROR(INDEX(Components!$G$4:$G$253,MATCH(F225,Components!$A$4:$A$253,0)),"")&lt;&gt;C225),"Component owned by another AIR-ID",IF(AND(M225="Confirmed",OR(IF(B225="UC",COUNTIFS('Use cases'!$A$4:$A$253,C225,'Use cases'!$I$4:$I$253,"Confirmed",'Use cases'!$J$4:$J$253,"OK — verify source"),IF(B225="CAP",COUNTIFS(Capabilities!$A$4:$A$253,C225,Capabilities!$J$4:$J$253,"Confirmed",Capabilities!$K$4:$K$253,"OK — verify source"),IF(B225="AIR",COUNTIFS('System map'!$A$4:$A$203,C225,'System map'!$B$4:$B$203,"&lt;&gt;",'System map'!$C$4:$C$203,"&lt;&gt;",'System map'!$D$4:$D$203,"&lt;&gt;"),COUNTIFS(Components!$A$4:$A$253,C225,Components!$B$4:$B$253,B225,Components!$K$4:$K$253,"Confirmed",Components!$L$4:$L$253,"OK — verify source"))))&lt;&gt;1,IF(E225="UC",COUNTIFS('Use cases'!$A$4:$A$253,F225,'Use cases'!$I$4:$I$253,"Confirmed",'Use cases'!$J$4:$J$253,"OK — verify source"),IF(E225="CAP",COUNTIFS(Capabilities!$A$4:$A$253,F225,Capabilities!$J$4:$J$253,"Confirmed",Capabilities!$K$4:$K$253,"OK — verify source"),IF(E225="AIR",COUNTIFS('System map'!$A$4:$A$203,F225,'System map'!$B$4:$B$203,"&lt;&gt;",'System map'!$C$4:$C$203,"&lt;&gt;",'System map'!$D$4:$D$203,"&lt;&gt;"),COUNTIFS(Components!$A$4:$A$253,F225,Components!$B$4:$B$253,E225,Components!$K$4:$K$253,"Confirmed",Components!$L$4:$L$253,"OK — verify source"))))&lt;&gt;1)),"Endpoint not source-reconciled",IF(AND(M225="Confirmed",OR(L225="",K225="",K225="Unknown",K225="Low")),"Confirmed link lacks verification","OK — verify source"))))))))))))))</f>
        <v/>
      </c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6" t="n"/>
      <c r="M226" s="25" t="n"/>
      <c r="N226" s="25">
        <f>IF(COUNTA(A226:M226)=0,"",IF(OR(A226="",B226="",C226="",D226="",E226="",F226="",I226="",J226="",K226="",M226=""),"Required link detail missing",IF(COUNTIF($A$4:$A$1003,A226)&gt;1,"Duplicate Map Edge ID",IF(NOT(OR(AND(B226="UC",E226="CAP",D226="requires"),AND(B226="CAP",E226="AIR",D226="provided by"),AND(B226="AIR",OR(E226="MOD",E226="DATA",E226="IF",E226="AG",E226="TOOL"),D226="references"),AND(B226="AIR",E226="AIR",D226="depends on"))),"Invalid relationship",IF(AND(M226&lt;&gt;"Superseded",COUNTIFS($B$4:$B$1003,B226,$C$4:$C$1003,C226,$D$4:$D$1003,D226,$E$4:$E$1003,E226,$F$4:$F$1003,F226,$G$4:$G$1003,G226,$M$4:$M$1003,"&lt;&gt;Superseded")&gt;1),"Duplicate relationship",IF(OR(IF(B226="UC",COUNTIF('Use cases'!$A$4:$A$253,C226),IF(B226="CAP",COUNTIF(Capabilities!$A$4:$A$253,C226),IF(B226="AIR",COUNTIF('System map'!$A$4:$A$203,C226),COUNTIFS(Components!$A$4:$A$253,C226,Components!$B$4:$B$253,B226))))&lt;&gt;1,IF(E226="UC",COUNTIF('Use cases'!$A$4:$A$253,F226),IF(E226="CAP",COUNTIF(Capabilities!$A$4:$A$253,F226),IF(E226="AIR",COUNTIF('System map'!$A$4:$A$203,F226),COUNTIFS(Components!$A$4:$A$253,F226,Components!$B$4:$B$253,E226))))&lt;&gt;1),"Endpoint missing or duplicated",IF(AND(NOT(AND(B226="UC",E226="CAP")),OR(G226="",COUNTIF('System map'!$A$4:$A$203,G226)&lt;&gt;1)),"AIR context missing / unknown",IF(AND(B226="CAP",E226="AIR",G226&lt;&gt;F226),"AIR context mismatch",IF(AND(B226="AIR",G226&lt;&gt;C226),"AIR context mismatch",IF(AND(B226="AIR",E226="AIR",C226=F226),"Self-dependency",IF(AND(B226="AIR",E226="AIR",M226&lt;&gt;"Superseded",COUNTIFS($B$4:$B$1003,"AIR",$C$4:$C$1003,F226,$E$4:$E$1003,"AIR",$F$4:$F$1003,C226,$M$4:$M$1003,"&lt;&gt;Superseded")&gt;0),"Dependency cycle (A↔B) — review",IF(AND(B226="AIR",OR(E226="MOD",E226="DATA",E226="IF",E226="AG",E226="TOOL"),IFERROR(INDEX(Components!$G$4:$G$253,MATCH(F226,Components!$A$4:$A$253,0)),"")&lt;&gt;"",IFERROR(INDEX(Components!$G$4:$G$253,MATCH(F226,Components!$A$4:$A$253,0)),"")&lt;&gt;C226),"Component owned by another AIR-ID",IF(AND(M226="Confirmed",OR(IF(B226="UC",COUNTIFS('Use cases'!$A$4:$A$253,C226,'Use cases'!$I$4:$I$253,"Confirmed",'Use cases'!$J$4:$J$253,"OK — verify source"),IF(B226="CAP",COUNTIFS(Capabilities!$A$4:$A$253,C226,Capabilities!$J$4:$J$253,"Confirmed",Capabilities!$K$4:$K$253,"OK — verify source"),IF(B226="AIR",COUNTIFS('System map'!$A$4:$A$203,C226,'System map'!$B$4:$B$203,"&lt;&gt;",'System map'!$C$4:$C$203,"&lt;&gt;",'System map'!$D$4:$D$203,"&lt;&gt;"),COUNTIFS(Components!$A$4:$A$253,C226,Components!$B$4:$B$253,B226,Components!$K$4:$K$253,"Confirmed",Components!$L$4:$L$253,"OK — verify source"))))&lt;&gt;1,IF(E226="UC",COUNTIFS('Use cases'!$A$4:$A$253,F226,'Use cases'!$I$4:$I$253,"Confirmed",'Use cases'!$J$4:$J$253,"OK — verify source"),IF(E226="CAP",COUNTIFS(Capabilities!$A$4:$A$253,F226,Capabilities!$J$4:$J$253,"Confirmed",Capabilities!$K$4:$K$253,"OK — verify source"),IF(E226="AIR",COUNTIFS('System map'!$A$4:$A$203,F226,'System map'!$B$4:$B$203,"&lt;&gt;",'System map'!$C$4:$C$203,"&lt;&gt;",'System map'!$D$4:$D$203,"&lt;&gt;"),COUNTIFS(Components!$A$4:$A$253,F226,Components!$B$4:$B$253,E226,Components!$K$4:$K$253,"Confirmed",Components!$L$4:$L$253,"OK — verify source"))))&lt;&gt;1)),"Endpoint not source-reconciled",IF(AND(M226="Confirmed",OR(L226="",K226="",K226="Unknown",K226="Low")),"Confirmed link lacks verification","OK — verify source"))))))))))))))</f>
        <v/>
      </c>
    </row>
    <row r="227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8" t="n"/>
      <c r="M227" s="27" t="n"/>
      <c r="N227" s="27">
        <f>IF(COUNTA(A227:M227)=0,"",IF(OR(A227="",B227="",C227="",D227="",E227="",F227="",I227="",J227="",K227="",M227=""),"Required link detail missing",IF(COUNTIF($A$4:$A$1003,A227)&gt;1,"Duplicate Map Edge ID",IF(NOT(OR(AND(B227="UC",E227="CAP",D227="requires"),AND(B227="CAP",E227="AIR",D227="provided by"),AND(B227="AIR",OR(E227="MOD",E227="DATA",E227="IF",E227="AG",E227="TOOL"),D227="references"),AND(B227="AIR",E227="AIR",D227="depends on"))),"Invalid relationship",IF(AND(M227&lt;&gt;"Superseded",COUNTIFS($B$4:$B$1003,B227,$C$4:$C$1003,C227,$D$4:$D$1003,D227,$E$4:$E$1003,E227,$F$4:$F$1003,F227,$G$4:$G$1003,G227,$M$4:$M$1003,"&lt;&gt;Superseded")&gt;1),"Duplicate relationship",IF(OR(IF(B227="UC",COUNTIF('Use cases'!$A$4:$A$253,C227),IF(B227="CAP",COUNTIF(Capabilities!$A$4:$A$253,C227),IF(B227="AIR",COUNTIF('System map'!$A$4:$A$203,C227),COUNTIFS(Components!$A$4:$A$253,C227,Components!$B$4:$B$253,B227))))&lt;&gt;1,IF(E227="UC",COUNTIF('Use cases'!$A$4:$A$253,F227),IF(E227="CAP",COUNTIF(Capabilities!$A$4:$A$253,F227),IF(E227="AIR",COUNTIF('System map'!$A$4:$A$203,F227),COUNTIFS(Components!$A$4:$A$253,F227,Components!$B$4:$B$253,E227))))&lt;&gt;1),"Endpoint missing or duplicated",IF(AND(NOT(AND(B227="UC",E227="CAP")),OR(G227="",COUNTIF('System map'!$A$4:$A$203,G227)&lt;&gt;1)),"AIR context missing / unknown",IF(AND(B227="CAP",E227="AIR",G227&lt;&gt;F227),"AIR context mismatch",IF(AND(B227="AIR",G227&lt;&gt;C227),"AIR context mismatch",IF(AND(B227="AIR",E227="AIR",C227=F227),"Self-dependency",IF(AND(B227="AIR",E227="AIR",M227&lt;&gt;"Superseded",COUNTIFS($B$4:$B$1003,"AIR",$C$4:$C$1003,F227,$E$4:$E$1003,"AIR",$F$4:$F$1003,C227,$M$4:$M$1003,"&lt;&gt;Superseded")&gt;0),"Dependency cycle (A↔B) — review",IF(AND(B227="AIR",OR(E227="MOD",E227="DATA",E227="IF",E227="AG",E227="TOOL"),IFERROR(INDEX(Components!$G$4:$G$253,MATCH(F227,Components!$A$4:$A$253,0)),"")&lt;&gt;"",IFERROR(INDEX(Components!$G$4:$G$253,MATCH(F227,Components!$A$4:$A$253,0)),"")&lt;&gt;C227),"Component owned by another AIR-ID",IF(AND(M227="Confirmed",OR(IF(B227="UC",COUNTIFS('Use cases'!$A$4:$A$253,C227,'Use cases'!$I$4:$I$253,"Confirmed",'Use cases'!$J$4:$J$253,"OK — verify source"),IF(B227="CAP",COUNTIFS(Capabilities!$A$4:$A$253,C227,Capabilities!$J$4:$J$253,"Confirmed",Capabilities!$K$4:$K$253,"OK — verify source"),IF(B227="AIR",COUNTIFS('System map'!$A$4:$A$203,C227,'System map'!$B$4:$B$203,"&lt;&gt;",'System map'!$C$4:$C$203,"&lt;&gt;",'System map'!$D$4:$D$203,"&lt;&gt;"),COUNTIFS(Components!$A$4:$A$253,C227,Components!$B$4:$B$253,B227,Components!$K$4:$K$253,"Confirmed",Components!$L$4:$L$253,"OK — verify source"))))&lt;&gt;1,IF(E227="UC",COUNTIFS('Use cases'!$A$4:$A$253,F227,'Use cases'!$I$4:$I$253,"Confirmed",'Use cases'!$J$4:$J$253,"OK — verify source"),IF(E227="CAP",COUNTIFS(Capabilities!$A$4:$A$253,F227,Capabilities!$J$4:$J$253,"Confirmed",Capabilities!$K$4:$K$253,"OK — verify source"),IF(E227="AIR",COUNTIFS('System map'!$A$4:$A$203,F227,'System map'!$B$4:$B$203,"&lt;&gt;",'System map'!$C$4:$C$203,"&lt;&gt;",'System map'!$D$4:$D$203,"&lt;&gt;"),COUNTIFS(Components!$A$4:$A$253,F227,Components!$B$4:$B$253,E227,Components!$K$4:$K$253,"Confirmed",Components!$L$4:$L$253,"OK — verify source"))))&lt;&gt;1)),"Endpoint not source-reconciled",IF(AND(M227="Confirmed",OR(L227="",K227="",K227="Unknown",K227="Low")),"Confirmed link lacks verification","OK — verify source"))))))))))))))</f>
        <v/>
      </c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6" t="n"/>
      <c r="M228" s="25" t="n"/>
      <c r="N228" s="25">
        <f>IF(COUNTA(A228:M228)=0,"",IF(OR(A228="",B228="",C228="",D228="",E228="",F228="",I228="",J228="",K228="",M228=""),"Required link detail missing",IF(COUNTIF($A$4:$A$1003,A228)&gt;1,"Duplicate Map Edge ID",IF(NOT(OR(AND(B228="UC",E228="CAP",D228="requires"),AND(B228="CAP",E228="AIR",D228="provided by"),AND(B228="AIR",OR(E228="MOD",E228="DATA",E228="IF",E228="AG",E228="TOOL"),D228="references"),AND(B228="AIR",E228="AIR",D228="depends on"))),"Invalid relationship",IF(AND(M228&lt;&gt;"Superseded",COUNTIFS($B$4:$B$1003,B228,$C$4:$C$1003,C228,$D$4:$D$1003,D228,$E$4:$E$1003,E228,$F$4:$F$1003,F228,$G$4:$G$1003,G228,$M$4:$M$1003,"&lt;&gt;Superseded")&gt;1),"Duplicate relationship",IF(OR(IF(B228="UC",COUNTIF('Use cases'!$A$4:$A$253,C228),IF(B228="CAP",COUNTIF(Capabilities!$A$4:$A$253,C228),IF(B228="AIR",COUNTIF('System map'!$A$4:$A$203,C228),COUNTIFS(Components!$A$4:$A$253,C228,Components!$B$4:$B$253,B228))))&lt;&gt;1,IF(E228="UC",COUNTIF('Use cases'!$A$4:$A$253,F228),IF(E228="CAP",COUNTIF(Capabilities!$A$4:$A$253,F228),IF(E228="AIR",COUNTIF('System map'!$A$4:$A$203,F228),COUNTIFS(Components!$A$4:$A$253,F228,Components!$B$4:$B$253,E228))))&lt;&gt;1),"Endpoint missing or duplicated",IF(AND(NOT(AND(B228="UC",E228="CAP")),OR(G228="",COUNTIF('System map'!$A$4:$A$203,G228)&lt;&gt;1)),"AIR context missing / unknown",IF(AND(B228="CAP",E228="AIR",G228&lt;&gt;F228),"AIR context mismatch",IF(AND(B228="AIR",G228&lt;&gt;C228),"AIR context mismatch",IF(AND(B228="AIR",E228="AIR",C228=F228),"Self-dependency",IF(AND(B228="AIR",E228="AIR",M228&lt;&gt;"Superseded",COUNTIFS($B$4:$B$1003,"AIR",$C$4:$C$1003,F228,$E$4:$E$1003,"AIR",$F$4:$F$1003,C228,$M$4:$M$1003,"&lt;&gt;Superseded")&gt;0),"Dependency cycle (A↔B) — review",IF(AND(B228="AIR",OR(E228="MOD",E228="DATA",E228="IF",E228="AG",E228="TOOL"),IFERROR(INDEX(Components!$G$4:$G$253,MATCH(F228,Components!$A$4:$A$253,0)),"")&lt;&gt;"",IFERROR(INDEX(Components!$G$4:$G$253,MATCH(F228,Components!$A$4:$A$253,0)),"")&lt;&gt;C228),"Component owned by another AIR-ID",IF(AND(M228="Confirmed",OR(IF(B228="UC",COUNTIFS('Use cases'!$A$4:$A$253,C228,'Use cases'!$I$4:$I$253,"Confirmed",'Use cases'!$J$4:$J$253,"OK — verify source"),IF(B228="CAP",COUNTIFS(Capabilities!$A$4:$A$253,C228,Capabilities!$J$4:$J$253,"Confirmed",Capabilities!$K$4:$K$253,"OK — verify source"),IF(B228="AIR",COUNTIFS('System map'!$A$4:$A$203,C228,'System map'!$B$4:$B$203,"&lt;&gt;",'System map'!$C$4:$C$203,"&lt;&gt;",'System map'!$D$4:$D$203,"&lt;&gt;"),COUNTIFS(Components!$A$4:$A$253,C228,Components!$B$4:$B$253,B228,Components!$K$4:$K$253,"Confirmed",Components!$L$4:$L$253,"OK — verify source"))))&lt;&gt;1,IF(E228="UC",COUNTIFS('Use cases'!$A$4:$A$253,F228,'Use cases'!$I$4:$I$253,"Confirmed",'Use cases'!$J$4:$J$253,"OK — verify source"),IF(E228="CAP",COUNTIFS(Capabilities!$A$4:$A$253,F228,Capabilities!$J$4:$J$253,"Confirmed",Capabilities!$K$4:$K$253,"OK — verify source"),IF(E228="AIR",COUNTIFS('System map'!$A$4:$A$203,F228,'System map'!$B$4:$B$203,"&lt;&gt;",'System map'!$C$4:$C$203,"&lt;&gt;",'System map'!$D$4:$D$203,"&lt;&gt;"),COUNTIFS(Components!$A$4:$A$253,F228,Components!$B$4:$B$253,E228,Components!$K$4:$K$253,"Confirmed",Components!$L$4:$L$253,"OK — verify source"))))&lt;&gt;1)),"Endpoint not source-reconciled",IF(AND(M228="Confirmed",OR(L228="",K228="",K228="Unknown",K228="Low")),"Confirmed link lacks verification","OK — verify source"))))))))))))))</f>
        <v/>
      </c>
    </row>
    <row r="229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8" t="n"/>
      <c r="M229" s="27" t="n"/>
      <c r="N229" s="27">
        <f>IF(COUNTA(A229:M229)=0,"",IF(OR(A229="",B229="",C229="",D229="",E229="",F229="",I229="",J229="",K229="",M229=""),"Required link detail missing",IF(COUNTIF($A$4:$A$1003,A229)&gt;1,"Duplicate Map Edge ID",IF(NOT(OR(AND(B229="UC",E229="CAP",D229="requires"),AND(B229="CAP",E229="AIR",D229="provided by"),AND(B229="AIR",OR(E229="MOD",E229="DATA",E229="IF",E229="AG",E229="TOOL"),D229="references"),AND(B229="AIR",E229="AIR",D229="depends on"))),"Invalid relationship",IF(AND(M229&lt;&gt;"Superseded",COUNTIFS($B$4:$B$1003,B229,$C$4:$C$1003,C229,$D$4:$D$1003,D229,$E$4:$E$1003,E229,$F$4:$F$1003,F229,$G$4:$G$1003,G229,$M$4:$M$1003,"&lt;&gt;Superseded")&gt;1),"Duplicate relationship",IF(OR(IF(B229="UC",COUNTIF('Use cases'!$A$4:$A$253,C229),IF(B229="CAP",COUNTIF(Capabilities!$A$4:$A$253,C229),IF(B229="AIR",COUNTIF('System map'!$A$4:$A$203,C229),COUNTIFS(Components!$A$4:$A$253,C229,Components!$B$4:$B$253,B229))))&lt;&gt;1,IF(E229="UC",COUNTIF('Use cases'!$A$4:$A$253,F229),IF(E229="CAP",COUNTIF(Capabilities!$A$4:$A$253,F229),IF(E229="AIR",COUNTIF('System map'!$A$4:$A$203,F229),COUNTIFS(Components!$A$4:$A$253,F229,Components!$B$4:$B$253,E229))))&lt;&gt;1),"Endpoint missing or duplicated",IF(AND(NOT(AND(B229="UC",E229="CAP")),OR(G229="",COUNTIF('System map'!$A$4:$A$203,G229)&lt;&gt;1)),"AIR context missing / unknown",IF(AND(B229="CAP",E229="AIR",G229&lt;&gt;F229),"AIR context mismatch",IF(AND(B229="AIR",G229&lt;&gt;C229),"AIR context mismatch",IF(AND(B229="AIR",E229="AIR",C229=F229),"Self-dependency",IF(AND(B229="AIR",E229="AIR",M229&lt;&gt;"Superseded",COUNTIFS($B$4:$B$1003,"AIR",$C$4:$C$1003,F229,$E$4:$E$1003,"AIR",$F$4:$F$1003,C229,$M$4:$M$1003,"&lt;&gt;Superseded")&gt;0),"Dependency cycle (A↔B) — review",IF(AND(B229="AIR",OR(E229="MOD",E229="DATA",E229="IF",E229="AG",E229="TOOL"),IFERROR(INDEX(Components!$G$4:$G$253,MATCH(F229,Components!$A$4:$A$253,0)),"")&lt;&gt;"",IFERROR(INDEX(Components!$G$4:$G$253,MATCH(F229,Components!$A$4:$A$253,0)),"")&lt;&gt;C229),"Component owned by another AIR-ID",IF(AND(M229="Confirmed",OR(IF(B229="UC",COUNTIFS('Use cases'!$A$4:$A$253,C229,'Use cases'!$I$4:$I$253,"Confirmed",'Use cases'!$J$4:$J$253,"OK — verify source"),IF(B229="CAP",COUNTIFS(Capabilities!$A$4:$A$253,C229,Capabilities!$J$4:$J$253,"Confirmed",Capabilities!$K$4:$K$253,"OK — verify source"),IF(B229="AIR",COUNTIFS('System map'!$A$4:$A$203,C229,'System map'!$B$4:$B$203,"&lt;&gt;",'System map'!$C$4:$C$203,"&lt;&gt;",'System map'!$D$4:$D$203,"&lt;&gt;"),COUNTIFS(Components!$A$4:$A$253,C229,Components!$B$4:$B$253,B229,Components!$K$4:$K$253,"Confirmed",Components!$L$4:$L$253,"OK — verify source"))))&lt;&gt;1,IF(E229="UC",COUNTIFS('Use cases'!$A$4:$A$253,F229,'Use cases'!$I$4:$I$253,"Confirmed",'Use cases'!$J$4:$J$253,"OK — verify source"),IF(E229="CAP",COUNTIFS(Capabilities!$A$4:$A$253,F229,Capabilities!$J$4:$J$253,"Confirmed",Capabilities!$K$4:$K$253,"OK — verify source"),IF(E229="AIR",COUNTIFS('System map'!$A$4:$A$203,F229,'System map'!$B$4:$B$203,"&lt;&gt;",'System map'!$C$4:$C$203,"&lt;&gt;",'System map'!$D$4:$D$203,"&lt;&gt;"),COUNTIFS(Components!$A$4:$A$253,F229,Components!$B$4:$B$253,E229,Components!$K$4:$K$253,"Confirmed",Components!$L$4:$L$253,"OK — verify source"))))&lt;&gt;1)),"Endpoint not source-reconciled",IF(AND(M229="Confirmed",OR(L229="",K229="",K229="Unknown",K229="Low")),"Confirmed link lacks verification","OK — verify source"))))))))))))))</f>
        <v/>
      </c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6" t="n"/>
      <c r="M230" s="25" t="n"/>
      <c r="N230" s="25">
        <f>IF(COUNTA(A230:M230)=0,"",IF(OR(A230="",B230="",C230="",D230="",E230="",F230="",I230="",J230="",K230="",M230=""),"Required link detail missing",IF(COUNTIF($A$4:$A$1003,A230)&gt;1,"Duplicate Map Edge ID",IF(NOT(OR(AND(B230="UC",E230="CAP",D230="requires"),AND(B230="CAP",E230="AIR",D230="provided by"),AND(B230="AIR",OR(E230="MOD",E230="DATA",E230="IF",E230="AG",E230="TOOL"),D230="references"),AND(B230="AIR",E230="AIR",D230="depends on"))),"Invalid relationship",IF(AND(M230&lt;&gt;"Superseded",COUNTIFS($B$4:$B$1003,B230,$C$4:$C$1003,C230,$D$4:$D$1003,D230,$E$4:$E$1003,E230,$F$4:$F$1003,F230,$G$4:$G$1003,G230,$M$4:$M$1003,"&lt;&gt;Superseded")&gt;1),"Duplicate relationship",IF(OR(IF(B230="UC",COUNTIF('Use cases'!$A$4:$A$253,C230),IF(B230="CAP",COUNTIF(Capabilities!$A$4:$A$253,C230),IF(B230="AIR",COUNTIF('System map'!$A$4:$A$203,C230),COUNTIFS(Components!$A$4:$A$253,C230,Components!$B$4:$B$253,B230))))&lt;&gt;1,IF(E230="UC",COUNTIF('Use cases'!$A$4:$A$253,F230),IF(E230="CAP",COUNTIF(Capabilities!$A$4:$A$253,F230),IF(E230="AIR",COUNTIF('System map'!$A$4:$A$203,F230),COUNTIFS(Components!$A$4:$A$253,F230,Components!$B$4:$B$253,E230))))&lt;&gt;1),"Endpoint missing or duplicated",IF(AND(NOT(AND(B230="UC",E230="CAP")),OR(G230="",COUNTIF('System map'!$A$4:$A$203,G230)&lt;&gt;1)),"AIR context missing / unknown",IF(AND(B230="CAP",E230="AIR",G230&lt;&gt;F230),"AIR context mismatch",IF(AND(B230="AIR",G230&lt;&gt;C230),"AIR context mismatch",IF(AND(B230="AIR",E230="AIR",C230=F230),"Self-dependency",IF(AND(B230="AIR",E230="AIR",M230&lt;&gt;"Superseded",COUNTIFS($B$4:$B$1003,"AIR",$C$4:$C$1003,F230,$E$4:$E$1003,"AIR",$F$4:$F$1003,C230,$M$4:$M$1003,"&lt;&gt;Superseded")&gt;0),"Dependency cycle (A↔B) — review",IF(AND(B230="AIR",OR(E230="MOD",E230="DATA",E230="IF",E230="AG",E230="TOOL"),IFERROR(INDEX(Components!$G$4:$G$253,MATCH(F230,Components!$A$4:$A$253,0)),"")&lt;&gt;"",IFERROR(INDEX(Components!$G$4:$G$253,MATCH(F230,Components!$A$4:$A$253,0)),"")&lt;&gt;C230),"Component owned by another AIR-ID",IF(AND(M230="Confirmed",OR(IF(B230="UC",COUNTIFS('Use cases'!$A$4:$A$253,C230,'Use cases'!$I$4:$I$253,"Confirmed",'Use cases'!$J$4:$J$253,"OK — verify source"),IF(B230="CAP",COUNTIFS(Capabilities!$A$4:$A$253,C230,Capabilities!$J$4:$J$253,"Confirmed",Capabilities!$K$4:$K$253,"OK — verify source"),IF(B230="AIR",COUNTIFS('System map'!$A$4:$A$203,C230,'System map'!$B$4:$B$203,"&lt;&gt;",'System map'!$C$4:$C$203,"&lt;&gt;",'System map'!$D$4:$D$203,"&lt;&gt;"),COUNTIFS(Components!$A$4:$A$253,C230,Components!$B$4:$B$253,B230,Components!$K$4:$K$253,"Confirmed",Components!$L$4:$L$253,"OK — verify source"))))&lt;&gt;1,IF(E230="UC",COUNTIFS('Use cases'!$A$4:$A$253,F230,'Use cases'!$I$4:$I$253,"Confirmed",'Use cases'!$J$4:$J$253,"OK — verify source"),IF(E230="CAP",COUNTIFS(Capabilities!$A$4:$A$253,F230,Capabilities!$J$4:$J$253,"Confirmed",Capabilities!$K$4:$K$253,"OK — verify source"),IF(E230="AIR",COUNTIFS('System map'!$A$4:$A$203,F230,'System map'!$B$4:$B$203,"&lt;&gt;",'System map'!$C$4:$C$203,"&lt;&gt;",'System map'!$D$4:$D$203,"&lt;&gt;"),COUNTIFS(Components!$A$4:$A$253,F230,Components!$B$4:$B$253,E230,Components!$K$4:$K$253,"Confirmed",Components!$L$4:$L$253,"OK — verify source"))))&lt;&gt;1)),"Endpoint not source-reconciled",IF(AND(M230="Confirmed",OR(L230="",K230="",K230="Unknown",K230="Low")),"Confirmed link lacks verification","OK — verify source"))))))))))))))</f>
        <v/>
      </c>
    </row>
    <row r="231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8" t="n"/>
      <c r="M231" s="27" t="n"/>
      <c r="N231" s="27">
        <f>IF(COUNTA(A231:M231)=0,"",IF(OR(A231="",B231="",C231="",D231="",E231="",F231="",I231="",J231="",K231="",M231=""),"Required link detail missing",IF(COUNTIF($A$4:$A$1003,A231)&gt;1,"Duplicate Map Edge ID",IF(NOT(OR(AND(B231="UC",E231="CAP",D231="requires"),AND(B231="CAP",E231="AIR",D231="provided by"),AND(B231="AIR",OR(E231="MOD",E231="DATA",E231="IF",E231="AG",E231="TOOL"),D231="references"),AND(B231="AIR",E231="AIR",D231="depends on"))),"Invalid relationship",IF(AND(M231&lt;&gt;"Superseded",COUNTIFS($B$4:$B$1003,B231,$C$4:$C$1003,C231,$D$4:$D$1003,D231,$E$4:$E$1003,E231,$F$4:$F$1003,F231,$G$4:$G$1003,G231,$M$4:$M$1003,"&lt;&gt;Superseded")&gt;1),"Duplicate relationship",IF(OR(IF(B231="UC",COUNTIF('Use cases'!$A$4:$A$253,C231),IF(B231="CAP",COUNTIF(Capabilities!$A$4:$A$253,C231),IF(B231="AIR",COUNTIF('System map'!$A$4:$A$203,C231),COUNTIFS(Components!$A$4:$A$253,C231,Components!$B$4:$B$253,B231))))&lt;&gt;1,IF(E231="UC",COUNTIF('Use cases'!$A$4:$A$253,F231),IF(E231="CAP",COUNTIF(Capabilities!$A$4:$A$253,F231),IF(E231="AIR",COUNTIF('System map'!$A$4:$A$203,F231),COUNTIFS(Components!$A$4:$A$253,F231,Components!$B$4:$B$253,E231))))&lt;&gt;1),"Endpoint missing or duplicated",IF(AND(NOT(AND(B231="UC",E231="CAP")),OR(G231="",COUNTIF('System map'!$A$4:$A$203,G231)&lt;&gt;1)),"AIR context missing / unknown",IF(AND(B231="CAP",E231="AIR",G231&lt;&gt;F231),"AIR context mismatch",IF(AND(B231="AIR",G231&lt;&gt;C231),"AIR context mismatch",IF(AND(B231="AIR",E231="AIR",C231=F231),"Self-dependency",IF(AND(B231="AIR",E231="AIR",M231&lt;&gt;"Superseded",COUNTIFS($B$4:$B$1003,"AIR",$C$4:$C$1003,F231,$E$4:$E$1003,"AIR",$F$4:$F$1003,C231,$M$4:$M$1003,"&lt;&gt;Superseded")&gt;0),"Dependency cycle (A↔B) — review",IF(AND(B231="AIR",OR(E231="MOD",E231="DATA",E231="IF",E231="AG",E231="TOOL"),IFERROR(INDEX(Components!$G$4:$G$253,MATCH(F231,Components!$A$4:$A$253,0)),"")&lt;&gt;"",IFERROR(INDEX(Components!$G$4:$G$253,MATCH(F231,Components!$A$4:$A$253,0)),"")&lt;&gt;C231),"Component owned by another AIR-ID",IF(AND(M231="Confirmed",OR(IF(B231="UC",COUNTIFS('Use cases'!$A$4:$A$253,C231,'Use cases'!$I$4:$I$253,"Confirmed",'Use cases'!$J$4:$J$253,"OK — verify source"),IF(B231="CAP",COUNTIFS(Capabilities!$A$4:$A$253,C231,Capabilities!$J$4:$J$253,"Confirmed",Capabilities!$K$4:$K$253,"OK — verify source"),IF(B231="AIR",COUNTIFS('System map'!$A$4:$A$203,C231,'System map'!$B$4:$B$203,"&lt;&gt;",'System map'!$C$4:$C$203,"&lt;&gt;",'System map'!$D$4:$D$203,"&lt;&gt;"),COUNTIFS(Components!$A$4:$A$253,C231,Components!$B$4:$B$253,B231,Components!$K$4:$K$253,"Confirmed",Components!$L$4:$L$253,"OK — verify source"))))&lt;&gt;1,IF(E231="UC",COUNTIFS('Use cases'!$A$4:$A$253,F231,'Use cases'!$I$4:$I$253,"Confirmed",'Use cases'!$J$4:$J$253,"OK — verify source"),IF(E231="CAP",COUNTIFS(Capabilities!$A$4:$A$253,F231,Capabilities!$J$4:$J$253,"Confirmed",Capabilities!$K$4:$K$253,"OK — verify source"),IF(E231="AIR",COUNTIFS('System map'!$A$4:$A$203,F231,'System map'!$B$4:$B$203,"&lt;&gt;",'System map'!$C$4:$C$203,"&lt;&gt;",'System map'!$D$4:$D$203,"&lt;&gt;"),COUNTIFS(Components!$A$4:$A$253,F231,Components!$B$4:$B$253,E231,Components!$K$4:$K$253,"Confirmed",Components!$L$4:$L$253,"OK — verify source"))))&lt;&gt;1)),"Endpoint not source-reconciled",IF(AND(M231="Confirmed",OR(L231="",K231="",K231="Unknown",K231="Low")),"Confirmed link lacks verification","OK — verify source"))))))))))))))</f>
        <v/>
      </c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6" t="n"/>
      <c r="M232" s="25" t="n"/>
      <c r="N232" s="25">
        <f>IF(COUNTA(A232:M232)=0,"",IF(OR(A232="",B232="",C232="",D232="",E232="",F232="",I232="",J232="",K232="",M232=""),"Required link detail missing",IF(COUNTIF($A$4:$A$1003,A232)&gt;1,"Duplicate Map Edge ID",IF(NOT(OR(AND(B232="UC",E232="CAP",D232="requires"),AND(B232="CAP",E232="AIR",D232="provided by"),AND(B232="AIR",OR(E232="MOD",E232="DATA",E232="IF",E232="AG",E232="TOOL"),D232="references"),AND(B232="AIR",E232="AIR",D232="depends on"))),"Invalid relationship",IF(AND(M232&lt;&gt;"Superseded",COUNTIFS($B$4:$B$1003,B232,$C$4:$C$1003,C232,$D$4:$D$1003,D232,$E$4:$E$1003,E232,$F$4:$F$1003,F232,$G$4:$G$1003,G232,$M$4:$M$1003,"&lt;&gt;Superseded")&gt;1),"Duplicate relationship",IF(OR(IF(B232="UC",COUNTIF('Use cases'!$A$4:$A$253,C232),IF(B232="CAP",COUNTIF(Capabilities!$A$4:$A$253,C232),IF(B232="AIR",COUNTIF('System map'!$A$4:$A$203,C232),COUNTIFS(Components!$A$4:$A$253,C232,Components!$B$4:$B$253,B232))))&lt;&gt;1,IF(E232="UC",COUNTIF('Use cases'!$A$4:$A$253,F232),IF(E232="CAP",COUNTIF(Capabilities!$A$4:$A$253,F232),IF(E232="AIR",COUNTIF('System map'!$A$4:$A$203,F232),COUNTIFS(Components!$A$4:$A$253,F232,Components!$B$4:$B$253,E232))))&lt;&gt;1),"Endpoint missing or duplicated",IF(AND(NOT(AND(B232="UC",E232="CAP")),OR(G232="",COUNTIF('System map'!$A$4:$A$203,G232)&lt;&gt;1)),"AIR context missing / unknown",IF(AND(B232="CAP",E232="AIR",G232&lt;&gt;F232),"AIR context mismatch",IF(AND(B232="AIR",G232&lt;&gt;C232),"AIR context mismatch",IF(AND(B232="AIR",E232="AIR",C232=F232),"Self-dependency",IF(AND(B232="AIR",E232="AIR",M232&lt;&gt;"Superseded",COUNTIFS($B$4:$B$1003,"AIR",$C$4:$C$1003,F232,$E$4:$E$1003,"AIR",$F$4:$F$1003,C232,$M$4:$M$1003,"&lt;&gt;Superseded")&gt;0),"Dependency cycle (A↔B) — review",IF(AND(B232="AIR",OR(E232="MOD",E232="DATA",E232="IF",E232="AG",E232="TOOL"),IFERROR(INDEX(Components!$G$4:$G$253,MATCH(F232,Components!$A$4:$A$253,0)),"")&lt;&gt;"",IFERROR(INDEX(Components!$G$4:$G$253,MATCH(F232,Components!$A$4:$A$253,0)),"")&lt;&gt;C232),"Component owned by another AIR-ID",IF(AND(M232="Confirmed",OR(IF(B232="UC",COUNTIFS('Use cases'!$A$4:$A$253,C232,'Use cases'!$I$4:$I$253,"Confirmed",'Use cases'!$J$4:$J$253,"OK — verify source"),IF(B232="CAP",COUNTIFS(Capabilities!$A$4:$A$253,C232,Capabilities!$J$4:$J$253,"Confirmed",Capabilities!$K$4:$K$253,"OK — verify source"),IF(B232="AIR",COUNTIFS('System map'!$A$4:$A$203,C232,'System map'!$B$4:$B$203,"&lt;&gt;",'System map'!$C$4:$C$203,"&lt;&gt;",'System map'!$D$4:$D$203,"&lt;&gt;"),COUNTIFS(Components!$A$4:$A$253,C232,Components!$B$4:$B$253,B232,Components!$K$4:$K$253,"Confirmed",Components!$L$4:$L$253,"OK — verify source"))))&lt;&gt;1,IF(E232="UC",COUNTIFS('Use cases'!$A$4:$A$253,F232,'Use cases'!$I$4:$I$253,"Confirmed",'Use cases'!$J$4:$J$253,"OK — verify source"),IF(E232="CAP",COUNTIFS(Capabilities!$A$4:$A$253,F232,Capabilities!$J$4:$J$253,"Confirmed",Capabilities!$K$4:$K$253,"OK — verify source"),IF(E232="AIR",COUNTIFS('System map'!$A$4:$A$203,F232,'System map'!$B$4:$B$203,"&lt;&gt;",'System map'!$C$4:$C$203,"&lt;&gt;",'System map'!$D$4:$D$203,"&lt;&gt;"),COUNTIFS(Components!$A$4:$A$253,F232,Components!$B$4:$B$253,E232,Components!$K$4:$K$253,"Confirmed",Components!$L$4:$L$253,"OK — verify source"))))&lt;&gt;1)),"Endpoint not source-reconciled",IF(AND(M232="Confirmed",OR(L232="",K232="",K232="Unknown",K232="Low")),"Confirmed link lacks verification","OK — verify source"))))))))))))))</f>
        <v/>
      </c>
    </row>
    <row r="233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8" t="n"/>
      <c r="M233" s="27" t="n"/>
      <c r="N233" s="27">
        <f>IF(COUNTA(A233:M233)=0,"",IF(OR(A233="",B233="",C233="",D233="",E233="",F233="",I233="",J233="",K233="",M233=""),"Required link detail missing",IF(COUNTIF($A$4:$A$1003,A233)&gt;1,"Duplicate Map Edge ID",IF(NOT(OR(AND(B233="UC",E233="CAP",D233="requires"),AND(B233="CAP",E233="AIR",D233="provided by"),AND(B233="AIR",OR(E233="MOD",E233="DATA",E233="IF",E233="AG",E233="TOOL"),D233="references"),AND(B233="AIR",E233="AIR",D233="depends on"))),"Invalid relationship",IF(AND(M233&lt;&gt;"Superseded",COUNTIFS($B$4:$B$1003,B233,$C$4:$C$1003,C233,$D$4:$D$1003,D233,$E$4:$E$1003,E233,$F$4:$F$1003,F233,$G$4:$G$1003,G233,$M$4:$M$1003,"&lt;&gt;Superseded")&gt;1),"Duplicate relationship",IF(OR(IF(B233="UC",COUNTIF('Use cases'!$A$4:$A$253,C233),IF(B233="CAP",COUNTIF(Capabilities!$A$4:$A$253,C233),IF(B233="AIR",COUNTIF('System map'!$A$4:$A$203,C233),COUNTIFS(Components!$A$4:$A$253,C233,Components!$B$4:$B$253,B233))))&lt;&gt;1,IF(E233="UC",COUNTIF('Use cases'!$A$4:$A$253,F233),IF(E233="CAP",COUNTIF(Capabilities!$A$4:$A$253,F233),IF(E233="AIR",COUNTIF('System map'!$A$4:$A$203,F233),COUNTIFS(Components!$A$4:$A$253,F233,Components!$B$4:$B$253,E233))))&lt;&gt;1),"Endpoint missing or duplicated",IF(AND(NOT(AND(B233="UC",E233="CAP")),OR(G233="",COUNTIF('System map'!$A$4:$A$203,G233)&lt;&gt;1)),"AIR context missing / unknown",IF(AND(B233="CAP",E233="AIR",G233&lt;&gt;F233),"AIR context mismatch",IF(AND(B233="AIR",G233&lt;&gt;C233),"AIR context mismatch",IF(AND(B233="AIR",E233="AIR",C233=F233),"Self-dependency",IF(AND(B233="AIR",E233="AIR",M233&lt;&gt;"Superseded",COUNTIFS($B$4:$B$1003,"AIR",$C$4:$C$1003,F233,$E$4:$E$1003,"AIR",$F$4:$F$1003,C233,$M$4:$M$1003,"&lt;&gt;Superseded")&gt;0),"Dependency cycle (A↔B) — review",IF(AND(B233="AIR",OR(E233="MOD",E233="DATA",E233="IF",E233="AG",E233="TOOL"),IFERROR(INDEX(Components!$G$4:$G$253,MATCH(F233,Components!$A$4:$A$253,0)),"")&lt;&gt;"",IFERROR(INDEX(Components!$G$4:$G$253,MATCH(F233,Components!$A$4:$A$253,0)),"")&lt;&gt;C233),"Component owned by another AIR-ID",IF(AND(M233="Confirmed",OR(IF(B233="UC",COUNTIFS('Use cases'!$A$4:$A$253,C233,'Use cases'!$I$4:$I$253,"Confirmed",'Use cases'!$J$4:$J$253,"OK — verify source"),IF(B233="CAP",COUNTIFS(Capabilities!$A$4:$A$253,C233,Capabilities!$J$4:$J$253,"Confirmed",Capabilities!$K$4:$K$253,"OK — verify source"),IF(B233="AIR",COUNTIFS('System map'!$A$4:$A$203,C233,'System map'!$B$4:$B$203,"&lt;&gt;",'System map'!$C$4:$C$203,"&lt;&gt;",'System map'!$D$4:$D$203,"&lt;&gt;"),COUNTIFS(Components!$A$4:$A$253,C233,Components!$B$4:$B$253,B233,Components!$K$4:$K$253,"Confirmed",Components!$L$4:$L$253,"OK — verify source"))))&lt;&gt;1,IF(E233="UC",COUNTIFS('Use cases'!$A$4:$A$253,F233,'Use cases'!$I$4:$I$253,"Confirmed",'Use cases'!$J$4:$J$253,"OK — verify source"),IF(E233="CAP",COUNTIFS(Capabilities!$A$4:$A$253,F233,Capabilities!$J$4:$J$253,"Confirmed",Capabilities!$K$4:$K$253,"OK — verify source"),IF(E233="AIR",COUNTIFS('System map'!$A$4:$A$203,F233,'System map'!$B$4:$B$203,"&lt;&gt;",'System map'!$C$4:$C$203,"&lt;&gt;",'System map'!$D$4:$D$203,"&lt;&gt;"),COUNTIFS(Components!$A$4:$A$253,F233,Components!$B$4:$B$253,E233,Components!$K$4:$K$253,"Confirmed",Components!$L$4:$L$253,"OK — verify source"))))&lt;&gt;1)),"Endpoint not source-reconciled",IF(AND(M233="Confirmed",OR(L233="",K233="",K233="Unknown",K233="Low")),"Confirmed link lacks verification","OK — verify source"))))))))))))))</f>
        <v/>
      </c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6" t="n"/>
      <c r="M234" s="25" t="n"/>
      <c r="N234" s="25">
        <f>IF(COUNTA(A234:M234)=0,"",IF(OR(A234="",B234="",C234="",D234="",E234="",F234="",I234="",J234="",K234="",M234=""),"Required link detail missing",IF(COUNTIF($A$4:$A$1003,A234)&gt;1,"Duplicate Map Edge ID",IF(NOT(OR(AND(B234="UC",E234="CAP",D234="requires"),AND(B234="CAP",E234="AIR",D234="provided by"),AND(B234="AIR",OR(E234="MOD",E234="DATA",E234="IF",E234="AG",E234="TOOL"),D234="references"),AND(B234="AIR",E234="AIR",D234="depends on"))),"Invalid relationship",IF(AND(M234&lt;&gt;"Superseded",COUNTIFS($B$4:$B$1003,B234,$C$4:$C$1003,C234,$D$4:$D$1003,D234,$E$4:$E$1003,E234,$F$4:$F$1003,F234,$G$4:$G$1003,G234,$M$4:$M$1003,"&lt;&gt;Superseded")&gt;1),"Duplicate relationship",IF(OR(IF(B234="UC",COUNTIF('Use cases'!$A$4:$A$253,C234),IF(B234="CAP",COUNTIF(Capabilities!$A$4:$A$253,C234),IF(B234="AIR",COUNTIF('System map'!$A$4:$A$203,C234),COUNTIFS(Components!$A$4:$A$253,C234,Components!$B$4:$B$253,B234))))&lt;&gt;1,IF(E234="UC",COUNTIF('Use cases'!$A$4:$A$253,F234),IF(E234="CAP",COUNTIF(Capabilities!$A$4:$A$253,F234),IF(E234="AIR",COUNTIF('System map'!$A$4:$A$203,F234),COUNTIFS(Components!$A$4:$A$253,F234,Components!$B$4:$B$253,E234))))&lt;&gt;1),"Endpoint missing or duplicated",IF(AND(NOT(AND(B234="UC",E234="CAP")),OR(G234="",COUNTIF('System map'!$A$4:$A$203,G234)&lt;&gt;1)),"AIR context missing / unknown",IF(AND(B234="CAP",E234="AIR",G234&lt;&gt;F234),"AIR context mismatch",IF(AND(B234="AIR",G234&lt;&gt;C234),"AIR context mismatch",IF(AND(B234="AIR",E234="AIR",C234=F234),"Self-dependency",IF(AND(B234="AIR",E234="AIR",M234&lt;&gt;"Superseded",COUNTIFS($B$4:$B$1003,"AIR",$C$4:$C$1003,F234,$E$4:$E$1003,"AIR",$F$4:$F$1003,C234,$M$4:$M$1003,"&lt;&gt;Superseded")&gt;0),"Dependency cycle (A↔B) — review",IF(AND(B234="AIR",OR(E234="MOD",E234="DATA",E234="IF",E234="AG",E234="TOOL"),IFERROR(INDEX(Components!$G$4:$G$253,MATCH(F234,Components!$A$4:$A$253,0)),"")&lt;&gt;"",IFERROR(INDEX(Components!$G$4:$G$253,MATCH(F234,Components!$A$4:$A$253,0)),"")&lt;&gt;C234),"Component owned by another AIR-ID",IF(AND(M234="Confirmed",OR(IF(B234="UC",COUNTIFS('Use cases'!$A$4:$A$253,C234,'Use cases'!$I$4:$I$253,"Confirmed",'Use cases'!$J$4:$J$253,"OK — verify source"),IF(B234="CAP",COUNTIFS(Capabilities!$A$4:$A$253,C234,Capabilities!$J$4:$J$253,"Confirmed",Capabilities!$K$4:$K$253,"OK — verify source"),IF(B234="AIR",COUNTIFS('System map'!$A$4:$A$203,C234,'System map'!$B$4:$B$203,"&lt;&gt;",'System map'!$C$4:$C$203,"&lt;&gt;",'System map'!$D$4:$D$203,"&lt;&gt;"),COUNTIFS(Components!$A$4:$A$253,C234,Components!$B$4:$B$253,B234,Components!$K$4:$K$253,"Confirmed",Components!$L$4:$L$253,"OK — verify source"))))&lt;&gt;1,IF(E234="UC",COUNTIFS('Use cases'!$A$4:$A$253,F234,'Use cases'!$I$4:$I$253,"Confirmed",'Use cases'!$J$4:$J$253,"OK — verify source"),IF(E234="CAP",COUNTIFS(Capabilities!$A$4:$A$253,F234,Capabilities!$J$4:$J$253,"Confirmed",Capabilities!$K$4:$K$253,"OK — verify source"),IF(E234="AIR",COUNTIFS('System map'!$A$4:$A$203,F234,'System map'!$B$4:$B$203,"&lt;&gt;",'System map'!$C$4:$C$203,"&lt;&gt;",'System map'!$D$4:$D$203,"&lt;&gt;"),COUNTIFS(Components!$A$4:$A$253,F234,Components!$B$4:$B$253,E234,Components!$K$4:$K$253,"Confirmed",Components!$L$4:$L$253,"OK — verify source"))))&lt;&gt;1)),"Endpoint not source-reconciled",IF(AND(M234="Confirmed",OR(L234="",K234="",K234="Unknown",K234="Low")),"Confirmed link lacks verification","OK — verify source"))))))))))))))</f>
        <v/>
      </c>
    </row>
    <row r="235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8" t="n"/>
      <c r="M235" s="27" t="n"/>
      <c r="N235" s="27">
        <f>IF(COUNTA(A235:M235)=0,"",IF(OR(A235="",B235="",C235="",D235="",E235="",F235="",I235="",J235="",K235="",M235=""),"Required link detail missing",IF(COUNTIF($A$4:$A$1003,A235)&gt;1,"Duplicate Map Edge ID",IF(NOT(OR(AND(B235="UC",E235="CAP",D235="requires"),AND(B235="CAP",E235="AIR",D235="provided by"),AND(B235="AIR",OR(E235="MOD",E235="DATA",E235="IF",E235="AG",E235="TOOL"),D235="references"),AND(B235="AIR",E235="AIR",D235="depends on"))),"Invalid relationship",IF(AND(M235&lt;&gt;"Superseded",COUNTIFS($B$4:$B$1003,B235,$C$4:$C$1003,C235,$D$4:$D$1003,D235,$E$4:$E$1003,E235,$F$4:$F$1003,F235,$G$4:$G$1003,G235,$M$4:$M$1003,"&lt;&gt;Superseded")&gt;1),"Duplicate relationship",IF(OR(IF(B235="UC",COUNTIF('Use cases'!$A$4:$A$253,C235),IF(B235="CAP",COUNTIF(Capabilities!$A$4:$A$253,C235),IF(B235="AIR",COUNTIF('System map'!$A$4:$A$203,C235),COUNTIFS(Components!$A$4:$A$253,C235,Components!$B$4:$B$253,B235))))&lt;&gt;1,IF(E235="UC",COUNTIF('Use cases'!$A$4:$A$253,F235),IF(E235="CAP",COUNTIF(Capabilities!$A$4:$A$253,F235),IF(E235="AIR",COUNTIF('System map'!$A$4:$A$203,F235),COUNTIFS(Components!$A$4:$A$253,F235,Components!$B$4:$B$253,E235))))&lt;&gt;1),"Endpoint missing or duplicated",IF(AND(NOT(AND(B235="UC",E235="CAP")),OR(G235="",COUNTIF('System map'!$A$4:$A$203,G235)&lt;&gt;1)),"AIR context missing / unknown",IF(AND(B235="CAP",E235="AIR",G235&lt;&gt;F235),"AIR context mismatch",IF(AND(B235="AIR",G235&lt;&gt;C235),"AIR context mismatch",IF(AND(B235="AIR",E235="AIR",C235=F235),"Self-dependency",IF(AND(B235="AIR",E235="AIR",M235&lt;&gt;"Superseded",COUNTIFS($B$4:$B$1003,"AIR",$C$4:$C$1003,F235,$E$4:$E$1003,"AIR",$F$4:$F$1003,C235,$M$4:$M$1003,"&lt;&gt;Superseded")&gt;0),"Dependency cycle (A↔B) — review",IF(AND(B235="AIR",OR(E235="MOD",E235="DATA",E235="IF",E235="AG",E235="TOOL"),IFERROR(INDEX(Components!$G$4:$G$253,MATCH(F235,Components!$A$4:$A$253,0)),"")&lt;&gt;"",IFERROR(INDEX(Components!$G$4:$G$253,MATCH(F235,Components!$A$4:$A$253,0)),"")&lt;&gt;C235),"Component owned by another AIR-ID",IF(AND(M235="Confirmed",OR(IF(B235="UC",COUNTIFS('Use cases'!$A$4:$A$253,C235,'Use cases'!$I$4:$I$253,"Confirmed",'Use cases'!$J$4:$J$253,"OK — verify source"),IF(B235="CAP",COUNTIFS(Capabilities!$A$4:$A$253,C235,Capabilities!$J$4:$J$253,"Confirmed",Capabilities!$K$4:$K$253,"OK — verify source"),IF(B235="AIR",COUNTIFS('System map'!$A$4:$A$203,C235,'System map'!$B$4:$B$203,"&lt;&gt;",'System map'!$C$4:$C$203,"&lt;&gt;",'System map'!$D$4:$D$203,"&lt;&gt;"),COUNTIFS(Components!$A$4:$A$253,C235,Components!$B$4:$B$253,B235,Components!$K$4:$K$253,"Confirmed",Components!$L$4:$L$253,"OK — verify source"))))&lt;&gt;1,IF(E235="UC",COUNTIFS('Use cases'!$A$4:$A$253,F235,'Use cases'!$I$4:$I$253,"Confirmed",'Use cases'!$J$4:$J$253,"OK — verify source"),IF(E235="CAP",COUNTIFS(Capabilities!$A$4:$A$253,F235,Capabilities!$J$4:$J$253,"Confirmed",Capabilities!$K$4:$K$253,"OK — verify source"),IF(E235="AIR",COUNTIFS('System map'!$A$4:$A$203,F235,'System map'!$B$4:$B$203,"&lt;&gt;",'System map'!$C$4:$C$203,"&lt;&gt;",'System map'!$D$4:$D$203,"&lt;&gt;"),COUNTIFS(Components!$A$4:$A$253,F235,Components!$B$4:$B$253,E235,Components!$K$4:$K$253,"Confirmed",Components!$L$4:$L$253,"OK — verify source"))))&lt;&gt;1)),"Endpoint not source-reconciled",IF(AND(M235="Confirmed",OR(L235="",K235="",K235="Unknown",K235="Low")),"Confirmed link lacks verification","OK — verify source"))))))))))))))</f>
        <v/>
      </c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6" t="n"/>
      <c r="M236" s="25" t="n"/>
      <c r="N236" s="25">
        <f>IF(COUNTA(A236:M236)=0,"",IF(OR(A236="",B236="",C236="",D236="",E236="",F236="",I236="",J236="",K236="",M236=""),"Required link detail missing",IF(COUNTIF($A$4:$A$1003,A236)&gt;1,"Duplicate Map Edge ID",IF(NOT(OR(AND(B236="UC",E236="CAP",D236="requires"),AND(B236="CAP",E236="AIR",D236="provided by"),AND(B236="AIR",OR(E236="MOD",E236="DATA",E236="IF",E236="AG",E236="TOOL"),D236="references"),AND(B236="AIR",E236="AIR",D236="depends on"))),"Invalid relationship",IF(AND(M236&lt;&gt;"Superseded",COUNTIFS($B$4:$B$1003,B236,$C$4:$C$1003,C236,$D$4:$D$1003,D236,$E$4:$E$1003,E236,$F$4:$F$1003,F236,$G$4:$G$1003,G236,$M$4:$M$1003,"&lt;&gt;Superseded")&gt;1),"Duplicate relationship",IF(OR(IF(B236="UC",COUNTIF('Use cases'!$A$4:$A$253,C236),IF(B236="CAP",COUNTIF(Capabilities!$A$4:$A$253,C236),IF(B236="AIR",COUNTIF('System map'!$A$4:$A$203,C236),COUNTIFS(Components!$A$4:$A$253,C236,Components!$B$4:$B$253,B236))))&lt;&gt;1,IF(E236="UC",COUNTIF('Use cases'!$A$4:$A$253,F236),IF(E236="CAP",COUNTIF(Capabilities!$A$4:$A$253,F236),IF(E236="AIR",COUNTIF('System map'!$A$4:$A$203,F236),COUNTIFS(Components!$A$4:$A$253,F236,Components!$B$4:$B$253,E236))))&lt;&gt;1),"Endpoint missing or duplicated",IF(AND(NOT(AND(B236="UC",E236="CAP")),OR(G236="",COUNTIF('System map'!$A$4:$A$203,G236)&lt;&gt;1)),"AIR context missing / unknown",IF(AND(B236="CAP",E236="AIR",G236&lt;&gt;F236),"AIR context mismatch",IF(AND(B236="AIR",G236&lt;&gt;C236),"AIR context mismatch",IF(AND(B236="AIR",E236="AIR",C236=F236),"Self-dependency",IF(AND(B236="AIR",E236="AIR",M236&lt;&gt;"Superseded",COUNTIFS($B$4:$B$1003,"AIR",$C$4:$C$1003,F236,$E$4:$E$1003,"AIR",$F$4:$F$1003,C236,$M$4:$M$1003,"&lt;&gt;Superseded")&gt;0),"Dependency cycle (A↔B) — review",IF(AND(B236="AIR",OR(E236="MOD",E236="DATA",E236="IF",E236="AG",E236="TOOL"),IFERROR(INDEX(Components!$G$4:$G$253,MATCH(F236,Components!$A$4:$A$253,0)),"")&lt;&gt;"",IFERROR(INDEX(Components!$G$4:$G$253,MATCH(F236,Components!$A$4:$A$253,0)),"")&lt;&gt;C236),"Component owned by another AIR-ID",IF(AND(M236="Confirmed",OR(IF(B236="UC",COUNTIFS('Use cases'!$A$4:$A$253,C236,'Use cases'!$I$4:$I$253,"Confirmed",'Use cases'!$J$4:$J$253,"OK — verify source"),IF(B236="CAP",COUNTIFS(Capabilities!$A$4:$A$253,C236,Capabilities!$J$4:$J$253,"Confirmed",Capabilities!$K$4:$K$253,"OK — verify source"),IF(B236="AIR",COUNTIFS('System map'!$A$4:$A$203,C236,'System map'!$B$4:$B$203,"&lt;&gt;",'System map'!$C$4:$C$203,"&lt;&gt;",'System map'!$D$4:$D$203,"&lt;&gt;"),COUNTIFS(Components!$A$4:$A$253,C236,Components!$B$4:$B$253,B236,Components!$K$4:$K$253,"Confirmed",Components!$L$4:$L$253,"OK — verify source"))))&lt;&gt;1,IF(E236="UC",COUNTIFS('Use cases'!$A$4:$A$253,F236,'Use cases'!$I$4:$I$253,"Confirmed",'Use cases'!$J$4:$J$253,"OK — verify source"),IF(E236="CAP",COUNTIFS(Capabilities!$A$4:$A$253,F236,Capabilities!$J$4:$J$253,"Confirmed",Capabilities!$K$4:$K$253,"OK — verify source"),IF(E236="AIR",COUNTIFS('System map'!$A$4:$A$203,F236,'System map'!$B$4:$B$203,"&lt;&gt;",'System map'!$C$4:$C$203,"&lt;&gt;",'System map'!$D$4:$D$203,"&lt;&gt;"),COUNTIFS(Components!$A$4:$A$253,F236,Components!$B$4:$B$253,E236,Components!$K$4:$K$253,"Confirmed",Components!$L$4:$L$253,"OK — verify source"))))&lt;&gt;1)),"Endpoint not source-reconciled",IF(AND(M236="Confirmed",OR(L236="",K236="",K236="Unknown",K236="Low")),"Confirmed link lacks verification","OK — verify source"))))))))))))))</f>
        <v/>
      </c>
    </row>
    <row r="237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8" t="n"/>
      <c r="M237" s="27" t="n"/>
      <c r="N237" s="27">
        <f>IF(COUNTA(A237:M237)=0,"",IF(OR(A237="",B237="",C237="",D237="",E237="",F237="",I237="",J237="",K237="",M237=""),"Required link detail missing",IF(COUNTIF($A$4:$A$1003,A237)&gt;1,"Duplicate Map Edge ID",IF(NOT(OR(AND(B237="UC",E237="CAP",D237="requires"),AND(B237="CAP",E237="AIR",D237="provided by"),AND(B237="AIR",OR(E237="MOD",E237="DATA",E237="IF",E237="AG",E237="TOOL"),D237="references"),AND(B237="AIR",E237="AIR",D237="depends on"))),"Invalid relationship",IF(AND(M237&lt;&gt;"Superseded",COUNTIFS($B$4:$B$1003,B237,$C$4:$C$1003,C237,$D$4:$D$1003,D237,$E$4:$E$1003,E237,$F$4:$F$1003,F237,$G$4:$G$1003,G237,$M$4:$M$1003,"&lt;&gt;Superseded")&gt;1),"Duplicate relationship",IF(OR(IF(B237="UC",COUNTIF('Use cases'!$A$4:$A$253,C237),IF(B237="CAP",COUNTIF(Capabilities!$A$4:$A$253,C237),IF(B237="AIR",COUNTIF('System map'!$A$4:$A$203,C237),COUNTIFS(Components!$A$4:$A$253,C237,Components!$B$4:$B$253,B237))))&lt;&gt;1,IF(E237="UC",COUNTIF('Use cases'!$A$4:$A$253,F237),IF(E237="CAP",COUNTIF(Capabilities!$A$4:$A$253,F237),IF(E237="AIR",COUNTIF('System map'!$A$4:$A$203,F237),COUNTIFS(Components!$A$4:$A$253,F237,Components!$B$4:$B$253,E237))))&lt;&gt;1),"Endpoint missing or duplicated",IF(AND(NOT(AND(B237="UC",E237="CAP")),OR(G237="",COUNTIF('System map'!$A$4:$A$203,G237)&lt;&gt;1)),"AIR context missing / unknown",IF(AND(B237="CAP",E237="AIR",G237&lt;&gt;F237),"AIR context mismatch",IF(AND(B237="AIR",G237&lt;&gt;C237),"AIR context mismatch",IF(AND(B237="AIR",E237="AIR",C237=F237),"Self-dependency",IF(AND(B237="AIR",E237="AIR",M237&lt;&gt;"Superseded",COUNTIFS($B$4:$B$1003,"AIR",$C$4:$C$1003,F237,$E$4:$E$1003,"AIR",$F$4:$F$1003,C237,$M$4:$M$1003,"&lt;&gt;Superseded")&gt;0),"Dependency cycle (A↔B) — review",IF(AND(B237="AIR",OR(E237="MOD",E237="DATA",E237="IF",E237="AG",E237="TOOL"),IFERROR(INDEX(Components!$G$4:$G$253,MATCH(F237,Components!$A$4:$A$253,0)),"")&lt;&gt;"",IFERROR(INDEX(Components!$G$4:$G$253,MATCH(F237,Components!$A$4:$A$253,0)),"")&lt;&gt;C237),"Component owned by another AIR-ID",IF(AND(M237="Confirmed",OR(IF(B237="UC",COUNTIFS('Use cases'!$A$4:$A$253,C237,'Use cases'!$I$4:$I$253,"Confirmed",'Use cases'!$J$4:$J$253,"OK — verify source"),IF(B237="CAP",COUNTIFS(Capabilities!$A$4:$A$253,C237,Capabilities!$J$4:$J$253,"Confirmed",Capabilities!$K$4:$K$253,"OK — verify source"),IF(B237="AIR",COUNTIFS('System map'!$A$4:$A$203,C237,'System map'!$B$4:$B$203,"&lt;&gt;",'System map'!$C$4:$C$203,"&lt;&gt;",'System map'!$D$4:$D$203,"&lt;&gt;"),COUNTIFS(Components!$A$4:$A$253,C237,Components!$B$4:$B$253,B237,Components!$K$4:$K$253,"Confirmed",Components!$L$4:$L$253,"OK — verify source"))))&lt;&gt;1,IF(E237="UC",COUNTIFS('Use cases'!$A$4:$A$253,F237,'Use cases'!$I$4:$I$253,"Confirmed",'Use cases'!$J$4:$J$253,"OK — verify source"),IF(E237="CAP",COUNTIFS(Capabilities!$A$4:$A$253,F237,Capabilities!$J$4:$J$253,"Confirmed",Capabilities!$K$4:$K$253,"OK — verify source"),IF(E237="AIR",COUNTIFS('System map'!$A$4:$A$203,F237,'System map'!$B$4:$B$203,"&lt;&gt;",'System map'!$C$4:$C$203,"&lt;&gt;",'System map'!$D$4:$D$203,"&lt;&gt;"),COUNTIFS(Components!$A$4:$A$253,F237,Components!$B$4:$B$253,E237,Components!$K$4:$K$253,"Confirmed",Components!$L$4:$L$253,"OK — verify source"))))&lt;&gt;1)),"Endpoint not source-reconciled",IF(AND(M237="Confirmed",OR(L237="",K237="",K237="Unknown",K237="Low")),"Confirmed link lacks verification","OK — verify source"))))))))))))))</f>
        <v/>
      </c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6" t="n"/>
      <c r="M238" s="25" t="n"/>
      <c r="N238" s="25">
        <f>IF(COUNTA(A238:M238)=0,"",IF(OR(A238="",B238="",C238="",D238="",E238="",F238="",I238="",J238="",K238="",M238=""),"Required link detail missing",IF(COUNTIF($A$4:$A$1003,A238)&gt;1,"Duplicate Map Edge ID",IF(NOT(OR(AND(B238="UC",E238="CAP",D238="requires"),AND(B238="CAP",E238="AIR",D238="provided by"),AND(B238="AIR",OR(E238="MOD",E238="DATA",E238="IF",E238="AG",E238="TOOL"),D238="references"),AND(B238="AIR",E238="AIR",D238="depends on"))),"Invalid relationship",IF(AND(M238&lt;&gt;"Superseded",COUNTIFS($B$4:$B$1003,B238,$C$4:$C$1003,C238,$D$4:$D$1003,D238,$E$4:$E$1003,E238,$F$4:$F$1003,F238,$G$4:$G$1003,G238,$M$4:$M$1003,"&lt;&gt;Superseded")&gt;1),"Duplicate relationship",IF(OR(IF(B238="UC",COUNTIF('Use cases'!$A$4:$A$253,C238),IF(B238="CAP",COUNTIF(Capabilities!$A$4:$A$253,C238),IF(B238="AIR",COUNTIF('System map'!$A$4:$A$203,C238),COUNTIFS(Components!$A$4:$A$253,C238,Components!$B$4:$B$253,B238))))&lt;&gt;1,IF(E238="UC",COUNTIF('Use cases'!$A$4:$A$253,F238),IF(E238="CAP",COUNTIF(Capabilities!$A$4:$A$253,F238),IF(E238="AIR",COUNTIF('System map'!$A$4:$A$203,F238),COUNTIFS(Components!$A$4:$A$253,F238,Components!$B$4:$B$253,E238))))&lt;&gt;1),"Endpoint missing or duplicated",IF(AND(NOT(AND(B238="UC",E238="CAP")),OR(G238="",COUNTIF('System map'!$A$4:$A$203,G238)&lt;&gt;1)),"AIR context missing / unknown",IF(AND(B238="CAP",E238="AIR",G238&lt;&gt;F238),"AIR context mismatch",IF(AND(B238="AIR",G238&lt;&gt;C238),"AIR context mismatch",IF(AND(B238="AIR",E238="AIR",C238=F238),"Self-dependency",IF(AND(B238="AIR",E238="AIR",M238&lt;&gt;"Superseded",COUNTIFS($B$4:$B$1003,"AIR",$C$4:$C$1003,F238,$E$4:$E$1003,"AIR",$F$4:$F$1003,C238,$M$4:$M$1003,"&lt;&gt;Superseded")&gt;0),"Dependency cycle (A↔B) — review",IF(AND(B238="AIR",OR(E238="MOD",E238="DATA",E238="IF",E238="AG",E238="TOOL"),IFERROR(INDEX(Components!$G$4:$G$253,MATCH(F238,Components!$A$4:$A$253,0)),"")&lt;&gt;"",IFERROR(INDEX(Components!$G$4:$G$253,MATCH(F238,Components!$A$4:$A$253,0)),"")&lt;&gt;C238),"Component owned by another AIR-ID",IF(AND(M238="Confirmed",OR(IF(B238="UC",COUNTIFS('Use cases'!$A$4:$A$253,C238,'Use cases'!$I$4:$I$253,"Confirmed",'Use cases'!$J$4:$J$253,"OK — verify source"),IF(B238="CAP",COUNTIFS(Capabilities!$A$4:$A$253,C238,Capabilities!$J$4:$J$253,"Confirmed",Capabilities!$K$4:$K$253,"OK — verify source"),IF(B238="AIR",COUNTIFS('System map'!$A$4:$A$203,C238,'System map'!$B$4:$B$203,"&lt;&gt;",'System map'!$C$4:$C$203,"&lt;&gt;",'System map'!$D$4:$D$203,"&lt;&gt;"),COUNTIFS(Components!$A$4:$A$253,C238,Components!$B$4:$B$253,B238,Components!$K$4:$K$253,"Confirmed",Components!$L$4:$L$253,"OK — verify source"))))&lt;&gt;1,IF(E238="UC",COUNTIFS('Use cases'!$A$4:$A$253,F238,'Use cases'!$I$4:$I$253,"Confirmed",'Use cases'!$J$4:$J$253,"OK — verify source"),IF(E238="CAP",COUNTIFS(Capabilities!$A$4:$A$253,F238,Capabilities!$J$4:$J$253,"Confirmed",Capabilities!$K$4:$K$253,"OK — verify source"),IF(E238="AIR",COUNTIFS('System map'!$A$4:$A$203,F238,'System map'!$B$4:$B$203,"&lt;&gt;",'System map'!$C$4:$C$203,"&lt;&gt;",'System map'!$D$4:$D$203,"&lt;&gt;"),COUNTIFS(Components!$A$4:$A$253,F238,Components!$B$4:$B$253,E238,Components!$K$4:$K$253,"Confirmed",Components!$L$4:$L$253,"OK — verify source"))))&lt;&gt;1)),"Endpoint not source-reconciled",IF(AND(M238="Confirmed",OR(L238="",K238="",K238="Unknown",K238="Low")),"Confirmed link lacks verification","OK — verify source"))))))))))))))</f>
        <v/>
      </c>
    </row>
    <row r="239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8" t="n"/>
      <c r="M239" s="27" t="n"/>
      <c r="N239" s="27">
        <f>IF(COUNTA(A239:M239)=0,"",IF(OR(A239="",B239="",C239="",D239="",E239="",F239="",I239="",J239="",K239="",M239=""),"Required link detail missing",IF(COUNTIF($A$4:$A$1003,A239)&gt;1,"Duplicate Map Edge ID",IF(NOT(OR(AND(B239="UC",E239="CAP",D239="requires"),AND(B239="CAP",E239="AIR",D239="provided by"),AND(B239="AIR",OR(E239="MOD",E239="DATA",E239="IF",E239="AG",E239="TOOL"),D239="references"),AND(B239="AIR",E239="AIR",D239="depends on"))),"Invalid relationship",IF(AND(M239&lt;&gt;"Superseded",COUNTIFS($B$4:$B$1003,B239,$C$4:$C$1003,C239,$D$4:$D$1003,D239,$E$4:$E$1003,E239,$F$4:$F$1003,F239,$G$4:$G$1003,G239,$M$4:$M$1003,"&lt;&gt;Superseded")&gt;1),"Duplicate relationship",IF(OR(IF(B239="UC",COUNTIF('Use cases'!$A$4:$A$253,C239),IF(B239="CAP",COUNTIF(Capabilities!$A$4:$A$253,C239),IF(B239="AIR",COUNTIF('System map'!$A$4:$A$203,C239),COUNTIFS(Components!$A$4:$A$253,C239,Components!$B$4:$B$253,B239))))&lt;&gt;1,IF(E239="UC",COUNTIF('Use cases'!$A$4:$A$253,F239),IF(E239="CAP",COUNTIF(Capabilities!$A$4:$A$253,F239),IF(E239="AIR",COUNTIF('System map'!$A$4:$A$203,F239),COUNTIFS(Components!$A$4:$A$253,F239,Components!$B$4:$B$253,E239))))&lt;&gt;1),"Endpoint missing or duplicated",IF(AND(NOT(AND(B239="UC",E239="CAP")),OR(G239="",COUNTIF('System map'!$A$4:$A$203,G239)&lt;&gt;1)),"AIR context missing / unknown",IF(AND(B239="CAP",E239="AIR",G239&lt;&gt;F239),"AIR context mismatch",IF(AND(B239="AIR",G239&lt;&gt;C239),"AIR context mismatch",IF(AND(B239="AIR",E239="AIR",C239=F239),"Self-dependency",IF(AND(B239="AIR",E239="AIR",M239&lt;&gt;"Superseded",COUNTIFS($B$4:$B$1003,"AIR",$C$4:$C$1003,F239,$E$4:$E$1003,"AIR",$F$4:$F$1003,C239,$M$4:$M$1003,"&lt;&gt;Superseded")&gt;0),"Dependency cycle (A↔B) — review",IF(AND(B239="AIR",OR(E239="MOD",E239="DATA",E239="IF",E239="AG",E239="TOOL"),IFERROR(INDEX(Components!$G$4:$G$253,MATCH(F239,Components!$A$4:$A$253,0)),"")&lt;&gt;"",IFERROR(INDEX(Components!$G$4:$G$253,MATCH(F239,Components!$A$4:$A$253,0)),"")&lt;&gt;C239),"Component owned by another AIR-ID",IF(AND(M239="Confirmed",OR(IF(B239="UC",COUNTIFS('Use cases'!$A$4:$A$253,C239,'Use cases'!$I$4:$I$253,"Confirmed",'Use cases'!$J$4:$J$253,"OK — verify source"),IF(B239="CAP",COUNTIFS(Capabilities!$A$4:$A$253,C239,Capabilities!$J$4:$J$253,"Confirmed",Capabilities!$K$4:$K$253,"OK — verify source"),IF(B239="AIR",COUNTIFS('System map'!$A$4:$A$203,C239,'System map'!$B$4:$B$203,"&lt;&gt;",'System map'!$C$4:$C$203,"&lt;&gt;",'System map'!$D$4:$D$203,"&lt;&gt;"),COUNTIFS(Components!$A$4:$A$253,C239,Components!$B$4:$B$253,B239,Components!$K$4:$K$253,"Confirmed",Components!$L$4:$L$253,"OK — verify source"))))&lt;&gt;1,IF(E239="UC",COUNTIFS('Use cases'!$A$4:$A$253,F239,'Use cases'!$I$4:$I$253,"Confirmed",'Use cases'!$J$4:$J$253,"OK — verify source"),IF(E239="CAP",COUNTIFS(Capabilities!$A$4:$A$253,F239,Capabilities!$J$4:$J$253,"Confirmed",Capabilities!$K$4:$K$253,"OK — verify source"),IF(E239="AIR",COUNTIFS('System map'!$A$4:$A$203,F239,'System map'!$B$4:$B$203,"&lt;&gt;",'System map'!$C$4:$C$203,"&lt;&gt;",'System map'!$D$4:$D$203,"&lt;&gt;"),COUNTIFS(Components!$A$4:$A$253,F239,Components!$B$4:$B$253,E239,Components!$K$4:$K$253,"Confirmed",Components!$L$4:$L$253,"OK — verify source"))))&lt;&gt;1)),"Endpoint not source-reconciled",IF(AND(M239="Confirmed",OR(L239="",K239="",K239="Unknown",K239="Low")),"Confirmed link lacks verification","OK — verify source"))))))))))))))</f>
        <v/>
      </c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6" t="n"/>
      <c r="M240" s="25" t="n"/>
      <c r="N240" s="25">
        <f>IF(COUNTA(A240:M240)=0,"",IF(OR(A240="",B240="",C240="",D240="",E240="",F240="",I240="",J240="",K240="",M240=""),"Required link detail missing",IF(COUNTIF($A$4:$A$1003,A240)&gt;1,"Duplicate Map Edge ID",IF(NOT(OR(AND(B240="UC",E240="CAP",D240="requires"),AND(B240="CAP",E240="AIR",D240="provided by"),AND(B240="AIR",OR(E240="MOD",E240="DATA",E240="IF",E240="AG",E240="TOOL"),D240="references"),AND(B240="AIR",E240="AIR",D240="depends on"))),"Invalid relationship",IF(AND(M240&lt;&gt;"Superseded",COUNTIFS($B$4:$B$1003,B240,$C$4:$C$1003,C240,$D$4:$D$1003,D240,$E$4:$E$1003,E240,$F$4:$F$1003,F240,$G$4:$G$1003,G240,$M$4:$M$1003,"&lt;&gt;Superseded")&gt;1),"Duplicate relationship",IF(OR(IF(B240="UC",COUNTIF('Use cases'!$A$4:$A$253,C240),IF(B240="CAP",COUNTIF(Capabilities!$A$4:$A$253,C240),IF(B240="AIR",COUNTIF('System map'!$A$4:$A$203,C240),COUNTIFS(Components!$A$4:$A$253,C240,Components!$B$4:$B$253,B240))))&lt;&gt;1,IF(E240="UC",COUNTIF('Use cases'!$A$4:$A$253,F240),IF(E240="CAP",COUNTIF(Capabilities!$A$4:$A$253,F240),IF(E240="AIR",COUNTIF('System map'!$A$4:$A$203,F240),COUNTIFS(Components!$A$4:$A$253,F240,Components!$B$4:$B$253,E240))))&lt;&gt;1),"Endpoint missing or duplicated",IF(AND(NOT(AND(B240="UC",E240="CAP")),OR(G240="",COUNTIF('System map'!$A$4:$A$203,G240)&lt;&gt;1)),"AIR context missing / unknown",IF(AND(B240="CAP",E240="AIR",G240&lt;&gt;F240),"AIR context mismatch",IF(AND(B240="AIR",G240&lt;&gt;C240),"AIR context mismatch",IF(AND(B240="AIR",E240="AIR",C240=F240),"Self-dependency",IF(AND(B240="AIR",E240="AIR",M240&lt;&gt;"Superseded",COUNTIFS($B$4:$B$1003,"AIR",$C$4:$C$1003,F240,$E$4:$E$1003,"AIR",$F$4:$F$1003,C240,$M$4:$M$1003,"&lt;&gt;Superseded")&gt;0),"Dependency cycle (A↔B) — review",IF(AND(B240="AIR",OR(E240="MOD",E240="DATA",E240="IF",E240="AG",E240="TOOL"),IFERROR(INDEX(Components!$G$4:$G$253,MATCH(F240,Components!$A$4:$A$253,0)),"")&lt;&gt;"",IFERROR(INDEX(Components!$G$4:$G$253,MATCH(F240,Components!$A$4:$A$253,0)),"")&lt;&gt;C240),"Component owned by another AIR-ID",IF(AND(M240="Confirmed",OR(IF(B240="UC",COUNTIFS('Use cases'!$A$4:$A$253,C240,'Use cases'!$I$4:$I$253,"Confirmed",'Use cases'!$J$4:$J$253,"OK — verify source"),IF(B240="CAP",COUNTIFS(Capabilities!$A$4:$A$253,C240,Capabilities!$J$4:$J$253,"Confirmed",Capabilities!$K$4:$K$253,"OK — verify source"),IF(B240="AIR",COUNTIFS('System map'!$A$4:$A$203,C240,'System map'!$B$4:$B$203,"&lt;&gt;",'System map'!$C$4:$C$203,"&lt;&gt;",'System map'!$D$4:$D$203,"&lt;&gt;"),COUNTIFS(Components!$A$4:$A$253,C240,Components!$B$4:$B$253,B240,Components!$K$4:$K$253,"Confirmed",Components!$L$4:$L$253,"OK — verify source"))))&lt;&gt;1,IF(E240="UC",COUNTIFS('Use cases'!$A$4:$A$253,F240,'Use cases'!$I$4:$I$253,"Confirmed",'Use cases'!$J$4:$J$253,"OK — verify source"),IF(E240="CAP",COUNTIFS(Capabilities!$A$4:$A$253,F240,Capabilities!$J$4:$J$253,"Confirmed",Capabilities!$K$4:$K$253,"OK — verify source"),IF(E240="AIR",COUNTIFS('System map'!$A$4:$A$203,F240,'System map'!$B$4:$B$203,"&lt;&gt;",'System map'!$C$4:$C$203,"&lt;&gt;",'System map'!$D$4:$D$203,"&lt;&gt;"),COUNTIFS(Components!$A$4:$A$253,F240,Components!$B$4:$B$253,E240,Components!$K$4:$K$253,"Confirmed",Components!$L$4:$L$253,"OK — verify source"))))&lt;&gt;1)),"Endpoint not source-reconciled",IF(AND(M240="Confirmed",OR(L240="",K240="",K240="Unknown",K240="Low")),"Confirmed link lacks verification","OK — verify source"))))))))))))))</f>
        <v/>
      </c>
    </row>
    <row r="241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8" t="n"/>
      <c r="M241" s="27" t="n"/>
      <c r="N241" s="27">
        <f>IF(COUNTA(A241:M241)=0,"",IF(OR(A241="",B241="",C241="",D241="",E241="",F241="",I241="",J241="",K241="",M241=""),"Required link detail missing",IF(COUNTIF($A$4:$A$1003,A241)&gt;1,"Duplicate Map Edge ID",IF(NOT(OR(AND(B241="UC",E241="CAP",D241="requires"),AND(B241="CAP",E241="AIR",D241="provided by"),AND(B241="AIR",OR(E241="MOD",E241="DATA",E241="IF",E241="AG",E241="TOOL"),D241="references"),AND(B241="AIR",E241="AIR",D241="depends on"))),"Invalid relationship",IF(AND(M241&lt;&gt;"Superseded",COUNTIFS($B$4:$B$1003,B241,$C$4:$C$1003,C241,$D$4:$D$1003,D241,$E$4:$E$1003,E241,$F$4:$F$1003,F241,$G$4:$G$1003,G241,$M$4:$M$1003,"&lt;&gt;Superseded")&gt;1),"Duplicate relationship",IF(OR(IF(B241="UC",COUNTIF('Use cases'!$A$4:$A$253,C241),IF(B241="CAP",COUNTIF(Capabilities!$A$4:$A$253,C241),IF(B241="AIR",COUNTIF('System map'!$A$4:$A$203,C241),COUNTIFS(Components!$A$4:$A$253,C241,Components!$B$4:$B$253,B241))))&lt;&gt;1,IF(E241="UC",COUNTIF('Use cases'!$A$4:$A$253,F241),IF(E241="CAP",COUNTIF(Capabilities!$A$4:$A$253,F241),IF(E241="AIR",COUNTIF('System map'!$A$4:$A$203,F241),COUNTIFS(Components!$A$4:$A$253,F241,Components!$B$4:$B$253,E241))))&lt;&gt;1),"Endpoint missing or duplicated",IF(AND(NOT(AND(B241="UC",E241="CAP")),OR(G241="",COUNTIF('System map'!$A$4:$A$203,G241)&lt;&gt;1)),"AIR context missing / unknown",IF(AND(B241="CAP",E241="AIR",G241&lt;&gt;F241),"AIR context mismatch",IF(AND(B241="AIR",G241&lt;&gt;C241),"AIR context mismatch",IF(AND(B241="AIR",E241="AIR",C241=F241),"Self-dependency",IF(AND(B241="AIR",E241="AIR",M241&lt;&gt;"Superseded",COUNTIFS($B$4:$B$1003,"AIR",$C$4:$C$1003,F241,$E$4:$E$1003,"AIR",$F$4:$F$1003,C241,$M$4:$M$1003,"&lt;&gt;Superseded")&gt;0),"Dependency cycle (A↔B) — review",IF(AND(B241="AIR",OR(E241="MOD",E241="DATA",E241="IF",E241="AG",E241="TOOL"),IFERROR(INDEX(Components!$G$4:$G$253,MATCH(F241,Components!$A$4:$A$253,0)),"")&lt;&gt;"",IFERROR(INDEX(Components!$G$4:$G$253,MATCH(F241,Components!$A$4:$A$253,0)),"")&lt;&gt;C241),"Component owned by another AIR-ID",IF(AND(M241="Confirmed",OR(IF(B241="UC",COUNTIFS('Use cases'!$A$4:$A$253,C241,'Use cases'!$I$4:$I$253,"Confirmed",'Use cases'!$J$4:$J$253,"OK — verify source"),IF(B241="CAP",COUNTIFS(Capabilities!$A$4:$A$253,C241,Capabilities!$J$4:$J$253,"Confirmed",Capabilities!$K$4:$K$253,"OK — verify source"),IF(B241="AIR",COUNTIFS('System map'!$A$4:$A$203,C241,'System map'!$B$4:$B$203,"&lt;&gt;",'System map'!$C$4:$C$203,"&lt;&gt;",'System map'!$D$4:$D$203,"&lt;&gt;"),COUNTIFS(Components!$A$4:$A$253,C241,Components!$B$4:$B$253,B241,Components!$K$4:$K$253,"Confirmed",Components!$L$4:$L$253,"OK — verify source"))))&lt;&gt;1,IF(E241="UC",COUNTIFS('Use cases'!$A$4:$A$253,F241,'Use cases'!$I$4:$I$253,"Confirmed",'Use cases'!$J$4:$J$253,"OK — verify source"),IF(E241="CAP",COUNTIFS(Capabilities!$A$4:$A$253,F241,Capabilities!$J$4:$J$253,"Confirmed",Capabilities!$K$4:$K$253,"OK — verify source"),IF(E241="AIR",COUNTIFS('System map'!$A$4:$A$203,F241,'System map'!$B$4:$B$203,"&lt;&gt;",'System map'!$C$4:$C$203,"&lt;&gt;",'System map'!$D$4:$D$203,"&lt;&gt;"),COUNTIFS(Components!$A$4:$A$253,F241,Components!$B$4:$B$253,E241,Components!$K$4:$K$253,"Confirmed",Components!$L$4:$L$253,"OK — verify source"))))&lt;&gt;1)),"Endpoint not source-reconciled",IF(AND(M241="Confirmed",OR(L241="",K241="",K241="Unknown",K241="Low")),"Confirmed link lacks verification","OK — verify source"))))))))))))))</f>
        <v/>
      </c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6" t="n"/>
      <c r="M242" s="25" t="n"/>
      <c r="N242" s="25">
        <f>IF(COUNTA(A242:M242)=0,"",IF(OR(A242="",B242="",C242="",D242="",E242="",F242="",I242="",J242="",K242="",M242=""),"Required link detail missing",IF(COUNTIF($A$4:$A$1003,A242)&gt;1,"Duplicate Map Edge ID",IF(NOT(OR(AND(B242="UC",E242="CAP",D242="requires"),AND(B242="CAP",E242="AIR",D242="provided by"),AND(B242="AIR",OR(E242="MOD",E242="DATA",E242="IF",E242="AG",E242="TOOL"),D242="references"),AND(B242="AIR",E242="AIR",D242="depends on"))),"Invalid relationship",IF(AND(M242&lt;&gt;"Superseded",COUNTIFS($B$4:$B$1003,B242,$C$4:$C$1003,C242,$D$4:$D$1003,D242,$E$4:$E$1003,E242,$F$4:$F$1003,F242,$G$4:$G$1003,G242,$M$4:$M$1003,"&lt;&gt;Superseded")&gt;1),"Duplicate relationship",IF(OR(IF(B242="UC",COUNTIF('Use cases'!$A$4:$A$253,C242),IF(B242="CAP",COUNTIF(Capabilities!$A$4:$A$253,C242),IF(B242="AIR",COUNTIF('System map'!$A$4:$A$203,C242),COUNTIFS(Components!$A$4:$A$253,C242,Components!$B$4:$B$253,B242))))&lt;&gt;1,IF(E242="UC",COUNTIF('Use cases'!$A$4:$A$253,F242),IF(E242="CAP",COUNTIF(Capabilities!$A$4:$A$253,F242),IF(E242="AIR",COUNTIF('System map'!$A$4:$A$203,F242),COUNTIFS(Components!$A$4:$A$253,F242,Components!$B$4:$B$253,E242))))&lt;&gt;1),"Endpoint missing or duplicated",IF(AND(NOT(AND(B242="UC",E242="CAP")),OR(G242="",COUNTIF('System map'!$A$4:$A$203,G242)&lt;&gt;1)),"AIR context missing / unknown",IF(AND(B242="CAP",E242="AIR",G242&lt;&gt;F242),"AIR context mismatch",IF(AND(B242="AIR",G242&lt;&gt;C242),"AIR context mismatch",IF(AND(B242="AIR",E242="AIR",C242=F242),"Self-dependency",IF(AND(B242="AIR",E242="AIR",M242&lt;&gt;"Superseded",COUNTIFS($B$4:$B$1003,"AIR",$C$4:$C$1003,F242,$E$4:$E$1003,"AIR",$F$4:$F$1003,C242,$M$4:$M$1003,"&lt;&gt;Superseded")&gt;0),"Dependency cycle (A↔B) — review",IF(AND(B242="AIR",OR(E242="MOD",E242="DATA",E242="IF",E242="AG",E242="TOOL"),IFERROR(INDEX(Components!$G$4:$G$253,MATCH(F242,Components!$A$4:$A$253,0)),"")&lt;&gt;"",IFERROR(INDEX(Components!$G$4:$G$253,MATCH(F242,Components!$A$4:$A$253,0)),"")&lt;&gt;C242),"Component owned by another AIR-ID",IF(AND(M242="Confirmed",OR(IF(B242="UC",COUNTIFS('Use cases'!$A$4:$A$253,C242,'Use cases'!$I$4:$I$253,"Confirmed",'Use cases'!$J$4:$J$253,"OK — verify source"),IF(B242="CAP",COUNTIFS(Capabilities!$A$4:$A$253,C242,Capabilities!$J$4:$J$253,"Confirmed",Capabilities!$K$4:$K$253,"OK — verify source"),IF(B242="AIR",COUNTIFS('System map'!$A$4:$A$203,C242,'System map'!$B$4:$B$203,"&lt;&gt;",'System map'!$C$4:$C$203,"&lt;&gt;",'System map'!$D$4:$D$203,"&lt;&gt;"),COUNTIFS(Components!$A$4:$A$253,C242,Components!$B$4:$B$253,B242,Components!$K$4:$K$253,"Confirmed",Components!$L$4:$L$253,"OK — verify source"))))&lt;&gt;1,IF(E242="UC",COUNTIFS('Use cases'!$A$4:$A$253,F242,'Use cases'!$I$4:$I$253,"Confirmed",'Use cases'!$J$4:$J$253,"OK — verify source"),IF(E242="CAP",COUNTIFS(Capabilities!$A$4:$A$253,F242,Capabilities!$J$4:$J$253,"Confirmed",Capabilities!$K$4:$K$253,"OK — verify source"),IF(E242="AIR",COUNTIFS('System map'!$A$4:$A$203,F242,'System map'!$B$4:$B$203,"&lt;&gt;",'System map'!$C$4:$C$203,"&lt;&gt;",'System map'!$D$4:$D$203,"&lt;&gt;"),COUNTIFS(Components!$A$4:$A$253,F242,Components!$B$4:$B$253,E242,Components!$K$4:$K$253,"Confirmed",Components!$L$4:$L$253,"OK — verify source"))))&lt;&gt;1)),"Endpoint not source-reconciled",IF(AND(M242="Confirmed",OR(L242="",K242="",K242="Unknown",K242="Low")),"Confirmed link lacks verification","OK — verify source"))))))))))))))</f>
        <v/>
      </c>
    </row>
    <row r="243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8" t="n"/>
      <c r="M243" s="27" t="n"/>
      <c r="N243" s="27">
        <f>IF(COUNTA(A243:M243)=0,"",IF(OR(A243="",B243="",C243="",D243="",E243="",F243="",I243="",J243="",K243="",M243=""),"Required link detail missing",IF(COUNTIF($A$4:$A$1003,A243)&gt;1,"Duplicate Map Edge ID",IF(NOT(OR(AND(B243="UC",E243="CAP",D243="requires"),AND(B243="CAP",E243="AIR",D243="provided by"),AND(B243="AIR",OR(E243="MOD",E243="DATA",E243="IF",E243="AG",E243="TOOL"),D243="references"),AND(B243="AIR",E243="AIR",D243="depends on"))),"Invalid relationship",IF(AND(M243&lt;&gt;"Superseded",COUNTIFS($B$4:$B$1003,B243,$C$4:$C$1003,C243,$D$4:$D$1003,D243,$E$4:$E$1003,E243,$F$4:$F$1003,F243,$G$4:$G$1003,G243,$M$4:$M$1003,"&lt;&gt;Superseded")&gt;1),"Duplicate relationship",IF(OR(IF(B243="UC",COUNTIF('Use cases'!$A$4:$A$253,C243),IF(B243="CAP",COUNTIF(Capabilities!$A$4:$A$253,C243),IF(B243="AIR",COUNTIF('System map'!$A$4:$A$203,C243),COUNTIFS(Components!$A$4:$A$253,C243,Components!$B$4:$B$253,B243))))&lt;&gt;1,IF(E243="UC",COUNTIF('Use cases'!$A$4:$A$253,F243),IF(E243="CAP",COUNTIF(Capabilities!$A$4:$A$253,F243),IF(E243="AIR",COUNTIF('System map'!$A$4:$A$203,F243),COUNTIFS(Components!$A$4:$A$253,F243,Components!$B$4:$B$253,E243))))&lt;&gt;1),"Endpoint missing or duplicated",IF(AND(NOT(AND(B243="UC",E243="CAP")),OR(G243="",COUNTIF('System map'!$A$4:$A$203,G243)&lt;&gt;1)),"AIR context missing / unknown",IF(AND(B243="CAP",E243="AIR",G243&lt;&gt;F243),"AIR context mismatch",IF(AND(B243="AIR",G243&lt;&gt;C243),"AIR context mismatch",IF(AND(B243="AIR",E243="AIR",C243=F243),"Self-dependency",IF(AND(B243="AIR",E243="AIR",M243&lt;&gt;"Superseded",COUNTIFS($B$4:$B$1003,"AIR",$C$4:$C$1003,F243,$E$4:$E$1003,"AIR",$F$4:$F$1003,C243,$M$4:$M$1003,"&lt;&gt;Superseded")&gt;0),"Dependency cycle (A↔B) — review",IF(AND(B243="AIR",OR(E243="MOD",E243="DATA",E243="IF",E243="AG",E243="TOOL"),IFERROR(INDEX(Components!$G$4:$G$253,MATCH(F243,Components!$A$4:$A$253,0)),"")&lt;&gt;"",IFERROR(INDEX(Components!$G$4:$G$253,MATCH(F243,Components!$A$4:$A$253,0)),"")&lt;&gt;C243),"Component owned by another AIR-ID",IF(AND(M243="Confirmed",OR(IF(B243="UC",COUNTIFS('Use cases'!$A$4:$A$253,C243,'Use cases'!$I$4:$I$253,"Confirmed",'Use cases'!$J$4:$J$253,"OK — verify source"),IF(B243="CAP",COUNTIFS(Capabilities!$A$4:$A$253,C243,Capabilities!$J$4:$J$253,"Confirmed",Capabilities!$K$4:$K$253,"OK — verify source"),IF(B243="AIR",COUNTIFS('System map'!$A$4:$A$203,C243,'System map'!$B$4:$B$203,"&lt;&gt;",'System map'!$C$4:$C$203,"&lt;&gt;",'System map'!$D$4:$D$203,"&lt;&gt;"),COUNTIFS(Components!$A$4:$A$253,C243,Components!$B$4:$B$253,B243,Components!$K$4:$K$253,"Confirmed",Components!$L$4:$L$253,"OK — verify source"))))&lt;&gt;1,IF(E243="UC",COUNTIFS('Use cases'!$A$4:$A$253,F243,'Use cases'!$I$4:$I$253,"Confirmed",'Use cases'!$J$4:$J$253,"OK — verify source"),IF(E243="CAP",COUNTIFS(Capabilities!$A$4:$A$253,F243,Capabilities!$J$4:$J$253,"Confirmed",Capabilities!$K$4:$K$253,"OK — verify source"),IF(E243="AIR",COUNTIFS('System map'!$A$4:$A$203,F243,'System map'!$B$4:$B$203,"&lt;&gt;",'System map'!$C$4:$C$203,"&lt;&gt;",'System map'!$D$4:$D$203,"&lt;&gt;"),COUNTIFS(Components!$A$4:$A$253,F243,Components!$B$4:$B$253,E243,Components!$K$4:$K$253,"Confirmed",Components!$L$4:$L$253,"OK — verify source"))))&lt;&gt;1)),"Endpoint not source-reconciled",IF(AND(M243="Confirmed",OR(L243="",K243="",K243="Unknown",K243="Low")),"Confirmed link lacks verification","OK — verify source"))))))))))))))</f>
        <v/>
      </c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6" t="n"/>
      <c r="M244" s="25" t="n"/>
      <c r="N244" s="25">
        <f>IF(COUNTA(A244:M244)=0,"",IF(OR(A244="",B244="",C244="",D244="",E244="",F244="",I244="",J244="",K244="",M244=""),"Required link detail missing",IF(COUNTIF($A$4:$A$1003,A244)&gt;1,"Duplicate Map Edge ID",IF(NOT(OR(AND(B244="UC",E244="CAP",D244="requires"),AND(B244="CAP",E244="AIR",D244="provided by"),AND(B244="AIR",OR(E244="MOD",E244="DATA",E244="IF",E244="AG",E244="TOOL"),D244="references"),AND(B244="AIR",E244="AIR",D244="depends on"))),"Invalid relationship",IF(AND(M244&lt;&gt;"Superseded",COUNTIFS($B$4:$B$1003,B244,$C$4:$C$1003,C244,$D$4:$D$1003,D244,$E$4:$E$1003,E244,$F$4:$F$1003,F244,$G$4:$G$1003,G244,$M$4:$M$1003,"&lt;&gt;Superseded")&gt;1),"Duplicate relationship",IF(OR(IF(B244="UC",COUNTIF('Use cases'!$A$4:$A$253,C244),IF(B244="CAP",COUNTIF(Capabilities!$A$4:$A$253,C244),IF(B244="AIR",COUNTIF('System map'!$A$4:$A$203,C244),COUNTIFS(Components!$A$4:$A$253,C244,Components!$B$4:$B$253,B244))))&lt;&gt;1,IF(E244="UC",COUNTIF('Use cases'!$A$4:$A$253,F244),IF(E244="CAP",COUNTIF(Capabilities!$A$4:$A$253,F244),IF(E244="AIR",COUNTIF('System map'!$A$4:$A$203,F244),COUNTIFS(Components!$A$4:$A$253,F244,Components!$B$4:$B$253,E244))))&lt;&gt;1),"Endpoint missing or duplicated",IF(AND(NOT(AND(B244="UC",E244="CAP")),OR(G244="",COUNTIF('System map'!$A$4:$A$203,G244)&lt;&gt;1)),"AIR context missing / unknown",IF(AND(B244="CAP",E244="AIR",G244&lt;&gt;F244),"AIR context mismatch",IF(AND(B244="AIR",G244&lt;&gt;C244),"AIR context mismatch",IF(AND(B244="AIR",E244="AIR",C244=F244),"Self-dependency",IF(AND(B244="AIR",E244="AIR",M244&lt;&gt;"Superseded",COUNTIFS($B$4:$B$1003,"AIR",$C$4:$C$1003,F244,$E$4:$E$1003,"AIR",$F$4:$F$1003,C244,$M$4:$M$1003,"&lt;&gt;Superseded")&gt;0),"Dependency cycle (A↔B) — review",IF(AND(B244="AIR",OR(E244="MOD",E244="DATA",E244="IF",E244="AG",E244="TOOL"),IFERROR(INDEX(Components!$G$4:$G$253,MATCH(F244,Components!$A$4:$A$253,0)),"")&lt;&gt;"",IFERROR(INDEX(Components!$G$4:$G$253,MATCH(F244,Components!$A$4:$A$253,0)),"")&lt;&gt;C244),"Component owned by another AIR-ID",IF(AND(M244="Confirmed",OR(IF(B244="UC",COUNTIFS('Use cases'!$A$4:$A$253,C244,'Use cases'!$I$4:$I$253,"Confirmed",'Use cases'!$J$4:$J$253,"OK — verify source"),IF(B244="CAP",COUNTIFS(Capabilities!$A$4:$A$253,C244,Capabilities!$J$4:$J$253,"Confirmed",Capabilities!$K$4:$K$253,"OK — verify source"),IF(B244="AIR",COUNTIFS('System map'!$A$4:$A$203,C244,'System map'!$B$4:$B$203,"&lt;&gt;",'System map'!$C$4:$C$203,"&lt;&gt;",'System map'!$D$4:$D$203,"&lt;&gt;"),COUNTIFS(Components!$A$4:$A$253,C244,Components!$B$4:$B$253,B244,Components!$K$4:$K$253,"Confirmed",Components!$L$4:$L$253,"OK — verify source"))))&lt;&gt;1,IF(E244="UC",COUNTIFS('Use cases'!$A$4:$A$253,F244,'Use cases'!$I$4:$I$253,"Confirmed",'Use cases'!$J$4:$J$253,"OK — verify source"),IF(E244="CAP",COUNTIFS(Capabilities!$A$4:$A$253,F244,Capabilities!$J$4:$J$253,"Confirmed",Capabilities!$K$4:$K$253,"OK — verify source"),IF(E244="AIR",COUNTIFS('System map'!$A$4:$A$203,F244,'System map'!$B$4:$B$203,"&lt;&gt;",'System map'!$C$4:$C$203,"&lt;&gt;",'System map'!$D$4:$D$203,"&lt;&gt;"),COUNTIFS(Components!$A$4:$A$253,F244,Components!$B$4:$B$253,E244,Components!$K$4:$K$253,"Confirmed",Components!$L$4:$L$253,"OK — verify source"))))&lt;&gt;1)),"Endpoint not source-reconciled",IF(AND(M244="Confirmed",OR(L244="",K244="",K244="Unknown",K244="Low")),"Confirmed link lacks verification","OK — verify source"))))))))))))))</f>
        <v/>
      </c>
    </row>
    <row r="245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8" t="n"/>
      <c r="M245" s="27" t="n"/>
      <c r="N245" s="27">
        <f>IF(COUNTA(A245:M245)=0,"",IF(OR(A245="",B245="",C245="",D245="",E245="",F245="",I245="",J245="",K245="",M245=""),"Required link detail missing",IF(COUNTIF($A$4:$A$1003,A245)&gt;1,"Duplicate Map Edge ID",IF(NOT(OR(AND(B245="UC",E245="CAP",D245="requires"),AND(B245="CAP",E245="AIR",D245="provided by"),AND(B245="AIR",OR(E245="MOD",E245="DATA",E245="IF",E245="AG",E245="TOOL"),D245="references"),AND(B245="AIR",E245="AIR",D245="depends on"))),"Invalid relationship",IF(AND(M245&lt;&gt;"Superseded",COUNTIFS($B$4:$B$1003,B245,$C$4:$C$1003,C245,$D$4:$D$1003,D245,$E$4:$E$1003,E245,$F$4:$F$1003,F245,$G$4:$G$1003,G245,$M$4:$M$1003,"&lt;&gt;Superseded")&gt;1),"Duplicate relationship",IF(OR(IF(B245="UC",COUNTIF('Use cases'!$A$4:$A$253,C245),IF(B245="CAP",COUNTIF(Capabilities!$A$4:$A$253,C245),IF(B245="AIR",COUNTIF('System map'!$A$4:$A$203,C245),COUNTIFS(Components!$A$4:$A$253,C245,Components!$B$4:$B$253,B245))))&lt;&gt;1,IF(E245="UC",COUNTIF('Use cases'!$A$4:$A$253,F245),IF(E245="CAP",COUNTIF(Capabilities!$A$4:$A$253,F245),IF(E245="AIR",COUNTIF('System map'!$A$4:$A$203,F245),COUNTIFS(Components!$A$4:$A$253,F245,Components!$B$4:$B$253,E245))))&lt;&gt;1),"Endpoint missing or duplicated",IF(AND(NOT(AND(B245="UC",E245="CAP")),OR(G245="",COUNTIF('System map'!$A$4:$A$203,G245)&lt;&gt;1)),"AIR context missing / unknown",IF(AND(B245="CAP",E245="AIR",G245&lt;&gt;F245),"AIR context mismatch",IF(AND(B245="AIR",G245&lt;&gt;C245),"AIR context mismatch",IF(AND(B245="AIR",E245="AIR",C245=F245),"Self-dependency",IF(AND(B245="AIR",E245="AIR",M245&lt;&gt;"Superseded",COUNTIFS($B$4:$B$1003,"AIR",$C$4:$C$1003,F245,$E$4:$E$1003,"AIR",$F$4:$F$1003,C245,$M$4:$M$1003,"&lt;&gt;Superseded")&gt;0),"Dependency cycle (A↔B) — review",IF(AND(B245="AIR",OR(E245="MOD",E245="DATA",E245="IF",E245="AG",E245="TOOL"),IFERROR(INDEX(Components!$G$4:$G$253,MATCH(F245,Components!$A$4:$A$253,0)),"")&lt;&gt;"",IFERROR(INDEX(Components!$G$4:$G$253,MATCH(F245,Components!$A$4:$A$253,0)),"")&lt;&gt;C245),"Component owned by another AIR-ID",IF(AND(M245="Confirmed",OR(IF(B245="UC",COUNTIFS('Use cases'!$A$4:$A$253,C245,'Use cases'!$I$4:$I$253,"Confirmed",'Use cases'!$J$4:$J$253,"OK — verify source"),IF(B245="CAP",COUNTIFS(Capabilities!$A$4:$A$253,C245,Capabilities!$J$4:$J$253,"Confirmed",Capabilities!$K$4:$K$253,"OK — verify source"),IF(B245="AIR",COUNTIFS('System map'!$A$4:$A$203,C245,'System map'!$B$4:$B$203,"&lt;&gt;",'System map'!$C$4:$C$203,"&lt;&gt;",'System map'!$D$4:$D$203,"&lt;&gt;"),COUNTIFS(Components!$A$4:$A$253,C245,Components!$B$4:$B$253,B245,Components!$K$4:$K$253,"Confirmed",Components!$L$4:$L$253,"OK — verify source"))))&lt;&gt;1,IF(E245="UC",COUNTIFS('Use cases'!$A$4:$A$253,F245,'Use cases'!$I$4:$I$253,"Confirmed",'Use cases'!$J$4:$J$253,"OK — verify source"),IF(E245="CAP",COUNTIFS(Capabilities!$A$4:$A$253,F245,Capabilities!$J$4:$J$253,"Confirmed",Capabilities!$K$4:$K$253,"OK — verify source"),IF(E245="AIR",COUNTIFS('System map'!$A$4:$A$203,F245,'System map'!$B$4:$B$203,"&lt;&gt;",'System map'!$C$4:$C$203,"&lt;&gt;",'System map'!$D$4:$D$203,"&lt;&gt;"),COUNTIFS(Components!$A$4:$A$253,F245,Components!$B$4:$B$253,E245,Components!$K$4:$K$253,"Confirmed",Components!$L$4:$L$253,"OK — verify source"))))&lt;&gt;1)),"Endpoint not source-reconciled",IF(AND(M245="Confirmed",OR(L245="",K245="",K245="Unknown",K245="Low")),"Confirmed link lacks verification","OK — verify source"))))))))))))))</f>
        <v/>
      </c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6" t="n"/>
      <c r="M246" s="25" t="n"/>
      <c r="N246" s="25">
        <f>IF(COUNTA(A246:M246)=0,"",IF(OR(A246="",B246="",C246="",D246="",E246="",F246="",I246="",J246="",K246="",M246=""),"Required link detail missing",IF(COUNTIF($A$4:$A$1003,A246)&gt;1,"Duplicate Map Edge ID",IF(NOT(OR(AND(B246="UC",E246="CAP",D246="requires"),AND(B246="CAP",E246="AIR",D246="provided by"),AND(B246="AIR",OR(E246="MOD",E246="DATA",E246="IF",E246="AG",E246="TOOL"),D246="references"),AND(B246="AIR",E246="AIR",D246="depends on"))),"Invalid relationship",IF(AND(M246&lt;&gt;"Superseded",COUNTIFS($B$4:$B$1003,B246,$C$4:$C$1003,C246,$D$4:$D$1003,D246,$E$4:$E$1003,E246,$F$4:$F$1003,F246,$G$4:$G$1003,G246,$M$4:$M$1003,"&lt;&gt;Superseded")&gt;1),"Duplicate relationship",IF(OR(IF(B246="UC",COUNTIF('Use cases'!$A$4:$A$253,C246),IF(B246="CAP",COUNTIF(Capabilities!$A$4:$A$253,C246),IF(B246="AIR",COUNTIF('System map'!$A$4:$A$203,C246),COUNTIFS(Components!$A$4:$A$253,C246,Components!$B$4:$B$253,B246))))&lt;&gt;1,IF(E246="UC",COUNTIF('Use cases'!$A$4:$A$253,F246),IF(E246="CAP",COUNTIF(Capabilities!$A$4:$A$253,F246),IF(E246="AIR",COUNTIF('System map'!$A$4:$A$203,F246),COUNTIFS(Components!$A$4:$A$253,F246,Components!$B$4:$B$253,E246))))&lt;&gt;1),"Endpoint missing or duplicated",IF(AND(NOT(AND(B246="UC",E246="CAP")),OR(G246="",COUNTIF('System map'!$A$4:$A$203,G246)&lt;&gt;1)),"AIR context missing / unknown",IF(AND(B246="CAP",E246="AIR",G246&lt;&gt;F246),"AIR context mismatch",IF(AND(B246="AIR",G246&lt;&gt;C246),"AIR context mismatch",IF(AND(B246="AIR",E246="AIR",C246=F246),"Self-dependency",IF(AND(B246="AIR",E246="AIR",M246&lt;&gt;"Superseded",COUNTIFS($B$4:$B$1003,"AIR",$C$4:$C$1003,F246,$E$4:$E$1003,"AIR",$F$4:$F$1003,C246,$M$4:$M$1003,"&lt;&gt;Superseded")&gt;0),"Dependency cycle (A↔B) — review",IF(AND(B246="AIR",OR(E246="MOD",E246="DATA",E246="IF",E246="AG",E246="TOOL"),IFERROR(INDEX(Components!$G$4:$G$253,MATCH(F246,Components!$A$4:$A$253,0)),"")&lt;&gt;"",IFERROR(INDEX(Components!$G$4:$G$253,MATCH(F246,Components!$A$4:$A$253,0)),"")&lt;&gt;C246),"Component owned by another AIR-ID",IF(AND(M246="Confirmed",OR(IF(B246="UC",COUNTIFS('Use cases'!$A$4:$A$253,C246,'Use cases'!$I$4:$I$253,"Confirmed",'Use cases'!$J$4:$J$253,"OK — verify source"),IF(B246="CAP",COUNTIFS(Capabilities!$A$4:$A$253,C246,Capabilities!$J$4:$J$253,"Confirmed",Capabilities!$K$4:$K$253,"OK — verify source"),IF(B246="AIR",COUNTIFS('System map'!$A$4:$A$203,C246,'System map'!$B$4:$B$203,"&lt;&gt;",'System map'!$C$4:$C$203,"&lt;&gt;",'System map'!$D$4:$D$203,"&lt;&gt;"),COUNTIFS(Components!$A$4:$A$253,C246,Components!$B$4:$B$253,B246,Components!$K$4:$K$253,"Confirmed",Components!$L$4:$L$253,"OK — verify source"))))&lt;&gt;1,IF(E246="UC",COUNTIFS('Use cases'!$A$4:$A$253,F246,'Use cases'!$I$4:$I$253,"Confirmed",'Use cases'!$J$4:$J$253,"OK — verify source"),IF(E246="CAP",COUNTIFS(Capabilities!$A$4:$A$253,F246,Capabilities!$J$4:$J$253,"Confirmed",Capabilities!$K$4:$K$253,"OK — verify source"),IF(E246="AIR",COUNTIFS('System map'!$A$4:$A$203,F246,'System map'!$B$4:$B$203,"&lt;&gt;",'System map'!$C$4:$C$203,"&lt;&gt;",'System map'!$D$4:$D$203,"&lt;&gt;"),COUNTIFS(Components!$A$4:$A$253,F246,Components!$B$4:$B$253,E246,Components!$K$4:$K$253,"Confirmed",Components!$L$4:$L$253,"OK — verify source"))))&lt;&gt;1)),"Endpoint not source-reconciled",IF(AND(M246="Confirmed",OR(L246="",K246="",K246="Unknown",K246="Low")),"Confirmed link lacks verification","OK — verify source"))))))))))))))</f>
        <v/>
      </c>
    </row>
    <row r="247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8" t="n"/>
      <c r="M247" s="27" t="n"/>
      <c r="N247" s="27">
        <f>IF(COUNTA(A247:M247)=0,"",IF(OR(A247="",B247="",C247="",D247="",E247="",F247="",I247="",J247="",K247="",M247=""),"Required link detail missing",IF(COUNTIF($A$4:$A$1003,A247)&gt;1,"Duplicate Map Edge ID",IF(NOT(OR(AND(B247="UC",E247="CAP",D247="requires"),AND(B247="CAP",E247="AIR",D247="provided by"),AND(B247="AIR",OR(E247="MOD",E247="DATA",E247="IF",E247="AG",E247="TOOL"),D247="references"),AND(B247="AIR",E247="AIR",D247="depends on"))),"Invalid relationship",IF(AND(M247&lt;&gt;"Superseded",COUNTIFS($B$4:$B$1003,B247,$C$4:$C$1003,C247,$D$4:$D$1003,D247,$E$4:$E$1003,E247,$F$4:$F$1003,F247,$G$4:$G$1003,G247,$M$4:$M$1003,"&lt;&gt;Superseded")&gt;1),"Duplicate relationship",IF(OR(IF(B247="UC",COUNTIF('Use cases'!$A$4:$A$253,C247),IF(B247="CAP",COUNTIF(Capabilities!$A$4:$A$253,C247),IF(B247="AIR",COUNTIF('System map'!$A$4:$A$203,C247),COUNTIFS(Components!$A$4:$A$253,C247,Components!$B$4:$B$253,B247))))&lt;&gt;1,IF(E247="UC",COUNTIF('Use cases'!$A$4:$A$253,F247),IF(E247="CAP",COUNTIF(Capabilities!$A$4:$A$253,F247),IF(E247="AIR",COUNTIF('System map'!$A$4:$A$203,F247),COUNTIFS(Components!$A$4:$A$253,F247,Components!$B$4:$B$253,E247))))&lt;&gt;1),"Endpoint missing or duplicated",IF(AND(NOT(AND(B247="UC",E247="CAP")),OR(G247="",COUNTIF('System map'!$A$4:$A$203,G247)&lt;&gt;1)),"AIR context missing / unknown",IF(AND(B247="CAP",E247="AIR",G247&lt;&gt;F247),"AIR context mismatch",IF(AND(B247="AIR",G247&lt;&gt;C247),"AIR context mismatch",IF(AND(B247="AIR",E247="AIR",C247=F247),"Self-dependency",IF(AND(B247="AIR",E247="AIR",M247&lt;&gt;"Superseded",COUNTIFS($B$4:$B$1003,"AIR",$C$4:$C$1003,F247,$E$4:$E$1003,"AIR",$F$4:$F$1003,C247,$M$4:$M$1003,"&lt;&gt;Superseded")&gt;0),"Dependency cycle (A↔B) — review",IF(AND(B247="AIR",OR(E247="MOD",E247="DATA",E247="IF",E247="AG",E247="TOOL"),IFERROR(INDEX(Components!$G$4:$G$253,MATCH(F247,Components!$A$4:$A$253,0)),"")&lt;&gt;"",IFERROR(INDEX(Components!$G$4:$G$253,MATCH(F247,Components!$A$4:$A$253,0)),"")&lt;&gt;C247),"Component owned by another AIR-ID",IF(AND(M247="Confirmed",OR(IF(B247="UC",COUNTIFS('Use cases'!$A$4:$A$253,C247,'Use cases'!$I$4:$I$253,"Confirmed",'Use cases'!$J$4:$J$253,"OK — verify source"),IF(B247="CAP",COUNTIFS(Capabilities!$A$4:$A$253,C247,Capabilities!$J$4:$J$253,"Confirmed",Capabilities!$K$4:$K$253,"OK — verify source"),IF(B247="AIR",COUNTIFS('System map'!$A$4:$A$203,C247,'System map'!$B$4:$B$203,"&lt;&gt;",'System map'!$C$4:$C$203,"&lt;&gt;",'System map'!$D$4:$D$203,"&lt;&gt;"),COUNTIFS(Components!$A$4:$A$253,C247,Components!$B$4:$B$253,B247,Components!$K$4:$K$253,"Confirmed",Components!$L$4:$L$253,"OK — verify source"))))&lt;&gt;1,IF(E247="UC",COUNTIFS('Use cases'!$A$4:$A$253,F247,'Use cases'!$I$4:$I$253,"Confirmed",'Use cases'!$J$4:$J$253,"OK — verify source"),IF(E247="CAP",COUNTIFS(Capabilities!$A$4:$A$253,F247,Capabilities!$J$4:$J$253,"Confirmed",Capabilities!$K$4:$K$253,"OK — verify source"),IF(E247="AIR",COUNTIFS('System map'!$A$4:$A$203,F247,'System map'!$B$4:$B$203,"&lt;&gt;",'System map'!$C$4:$C$203,"&lt;&gt;",'System map'!$D$4:$D$203,"&lt;&gt;"),COUNTIFS(Components!$A$4:$A$253,F247,Components!$B$4:$B$253,E247,Components!$K$4:$K$253,"Confirmed",Components!$L$4:$L$253,"OK — verify source"))))&lt;&gt;1)),"Endpoint not source-reconciled",IF(AND(M247="Confirmed",OR(L247="",K247="",K247="Unknown",K247="Low")),"Confirmed link lacks verification","OK — verify source"))))))))))))))</f>
        <v/>
      </c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6" t="n"/>
      <c r="M248" s="25" t="n"/>
      <c r="N248" s="25">
        <f>IF(COUNTA(A248:M248)=0,"",IF(OR(A248="",B248="",C248="",D248="",E248="",F248="",I248="",J248="",K248="",M248=""),"Required link detail missing",IF(COUNTIF($A$4:$A$1003,A248)&gt;1,"Duplicate Map Edge ID",IF(NOT(OR(AND(B248="UC",E248="CAP",D248="requires"),AND(B248="CAP",E248="AIR",D248="provided by"),AND(B248="AIR",OR(E248="MOD",E248="DATA",E248="IF",E248="AG",E248="TOOL"),D248="references"),AND(B248="AIR",E248="AIR",D248="depends on"))),"Invalid relationship",IF(AND(M248&lt;&gt;"Superseded",COUNTIFS($B$4:$B$1003,B248,$C$4:$C$1003,C248,$D$4:$D$1003,D248,$E$4:$E$1003,E248,$F$4:$F$1003,F248,$G$4:$G$1003,G248,$M$4:$M$1003,"&lt;&gt;Superseded")&gt;1),"Duplicate relationship",IF(OR(IF(B248="UC",COUNTIF('Use cases'!$A$4:$A$253,C248),IF(B248="CAP",COUNTIF(Capabilities!$A$4:$A$253,C248),IF(B248="AIR",COUNTIF('System map'!$A$4:$A$203,C248),COUNTIFS(Components!$A$4:$A$253,C248,Components!$B$4:$B$253,B248))))&lt;&gt;1,IF(E248="UC",COUNTIF('Use cases'!$A$4:$A$253,F248),IF(E248="CAP",COUNTIF(Capabilities!$A$4:$A$253,F248),IF(E248="AIR",COUNTIF('System map'!$A$4:$A$203,F248),COUNTIFS(Components!$A$4:$A$253,F248,Components!$B$4:$B$253,E248))))&lt;&gt;1),"Endpoint missing or duplicated",IF(AND(NOT(AND(B248="UC",E248="CAP")),OR(G248="",COUNTIF('System map'!$A$4:$A$203,G248)&lt;&gt;1)),"AIR context missing / unknown",IF(AND(B248="CAP",E248="AIR",G248&lt;&gt;F248),"AIR context mismatch",IF(AND(B248="AIR",G248&lt;&gt;C248),"AIR context mismatch",IF(AND(B248="AIR",E248="AIR",C248=F248),"Self-dependency",IF(AND(B248="AIR",E248="AIR",M248&lt;&gt;"Superseded",COUNTIFS($B$4:$B$1003,"AIR",$C$4:$C$1003,F248,$E$4:$E$1003,"AIR",$F$4:$F$1003,C248,$M$4:$M$1003,"&lt;&gt;Superseded")&gt;0),"Dependency cycle (A↔B) — review",IF(AND(B248="AIR",OR(E248="MOD",E248="DATA",E248="IF",E248="AG",E248="TOOL"),IFERROR(INDEX(Components!$G$4:$G$253,MATCH(F248,Components!$A$4:$A$253,0)),"")&lt;&gt;"",IFERROR(INDEX(Components!$G$4:$G$253,MATCH(F248,Components!$A$4:$A$253,0)),"")&lt;&gt;C248),"Component owned by another AIR-ID",IF(AND(M248="Confirmed",OR(IF(B248="UC",COUNTIFS('Use cases'!$A$4:$A$253,C248,'Use cases'!$I$4:$I$253,"Confirmed",'Use cases'!$J$4:$J$253,"OK — verify source"),IF(B248="CAP",COUNTIFS(Capabilities!$A$4:$A$253,C248,Capabilities!$J$4:$J$253,"Confirmed",Capabilities!$K$4:$K$253,"OK — verify source"),IF(B248="AIR",COUNTIFS('System map'!$A$4:$A$203,C248,'System map'!$B$4:$B$203,"&lt;&gt;",'System map'!$C$4:$C$203,"&lt;&gt;",'System map'!$D$4:$D$203,"&lt;&gt;"),COUNTIFS(Components!$A$4:$A$253,C248,Components!$B$4:$B$253,B248,Components!$K$4:$K$253,"Confirmed",Components!$L$4:$L$253,"OK — verify source"))))&lt;&gt;1,IF(E248="UC",COUNTIFS('Use cases'!$A$4:$A$253,F248,'Use cases'!$I$4:$I$253,"Confirmed",'Use cases'!$J$4:$J$253,"OK — verify source"),IF(E248="CAP",COUNTIFS(Capabilities!$A$4:$A$253,F248,Capabilities!$J$4:$J$253,"Confirmed",Capabilities!$K$4:$K$253,"OK — verify source"),IF(E248="AIR",COUNTIFS('System map'!$A$4:$A$203,F248,'System map'!$B$4:$B$203,"&lt;&gt;",'System map'!$C$4:$C$203,"&lt;&gt;",'System map'!$D$4:$D$203,"&lt;&gt;"),COUNTIFS(Components!$A$4:$A$253,F248,Components!$B$4:$B$253,E248,Components!$K$4:$K$253,"Confirmed",Components!$L$4:$L$253,"OK — verify source"))))&lt;&gt;1)),"Endpoint not source-reconciled",IF(AND(M248="Confirmed",OR(L248="",K248="",K248="Unknown",K248="Low")),"Confirmed link lacks verification","OK — verify source"))))))))))))))</f>
        <v/>
      </c>
    </row>
    <row r="249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8" t="n"/>
      <c r="M249" s="27" t="n"/>
      <c r="N249" s="27">
        <f>IF(COUNTA(A249:M249)=0,"",IF(OR(A249="",B249="",C249="",D249="",E249="",F249="",I249="",J249="",K249="",M249=""),"Required link detail missing",IF(COUNTIF($A$4:$A$1003,A249)&gt;1,"Duplicate Map Edge ID",IF(NOT(OR(AND(B249="UC",E249="CAP",D249="requires"),AND(B249="CAP",E249="AIR",D249="provided by"),AND(B249="AIR",OR(E249="MOD",E249="DATA",E249="IF",E249="AG",E249="TOOL"),D249="references"),AND(B249="AIR",E249="AIR",D249="depends on"))),"Invalid relationship",IF(AND(M249&lt;&gt;"Superseded",COUNTIFS($B$4:$B$1003,B249,$C$4:$C$1003,C249,$D$4:$D$1003,D249,$E$4:$E$1003,E249,$F$4:$F$1003,F249,$G$4:$G$1003,G249,$M$4:$M$1003,"&lt;&gt;Superseded")&gt;1),"Duplicate relationship",IF(OR(IF(B249="UC",COUNTIF('Use cases'!$A$4:$A$253,C249),IF(B249="CAP",COUNTIF(Capabilities!$A$4:$A$253,C249),IF(B249="AIR",COUNTIF('System map'!$A$4:$A$203,C249),COUNTIFS(Components!$A$4:$A$253,C249,Components!$B$4:$B$253,B249))))&lt;&gt;1,IF(E249="UC",COUNTIF('Use cases'!$A$4:$A$253,F249),IF(E249="CAP",COUNTIF(Capabilities!$A$4:$A$253,F249),IF(E249="AIR",COUNTIF('System map'!$A$4:$A$203,F249),COUNTIFS(Components!$A$4:$A$253,F249,Components!$B$4:$B$253,E249))))&lt;&gt;1),"Endpoint missing or duplicated",IF(AND(NOT(AND(B249="UC",E249="CAP")),OR(G249="",COUNTIF('System map'!$A$4:$A$203,G249)&lt;&gt;1)),"AIR context missing / unknown",IF(AND(B249="CAP",E249="AIR",G249&lt;&gt;F249),"AIR context mismatch",IF(AND(B249="AIR",G249&lt;&gt;C249),"AIR context mismatch",IF(AND(B249="AIR",E249="AIR",C249=F249),"Self-dependency",IF(AND(B249="AIR",E249="AIR",M249&lt;&gt;"Superseded",COUNTIFS($B$4:$B$1003,"AIR",$C$4:$C$1003,F249,$E$4:$E$1003,"AIR",$F$4:$F$1003,C249,$M$4:$M$1003,"&lt;&gt;Superseded")&gt;0),"Dependency cycle (A↔B) — review",IF(AND(B249="AIR",OR(E249="MOD",E249="DATA",E249="IF",E249="AG",E249="TOOL"),IFERROR(INDEX(Components!$G$4:$G$253,MATCH(F249,Components!$A$4:$A$253,0)),"")&lt;&gt;"",IFERROR(INDEX(Components!$G$4:$G$253,MATCH(F249,Components!$A$4:$A$253,0)),"")&lt;&gt;C249),"Component owned by another AIR-ID",IF(AND(M249="Confirmed",OR(IF(B249="UC",COUNTIFS('Use cases'!$A$4:$A$253,C249,'Use cases'!$I$4:$I$253,"Confirmed",'Use cases'!$J$4:$J$253,"OK — verify source"),IF(B249="CAP",COUNTIFS(Capabilities!$A$4:$A$253,C249,Capabilities!$J$4:$J$253,"Confirmed",Capabilities!$K$4:$K$253,"OK — verify source"),IF(B249="AIR",COUNTIFS('System map'!$A$4:$A$203,C249,'System map'!$B$4:$B$203,"&lt;&gt;",'System map'!$C$4:$C$203,"&lt;&gt;",'System map'!$D$4:$D$203,"&lt;&gt;"),COUNTIFS(Components!$A$4:$A$253,C249,Components!$B$4:$B$253,B249,Components!$K$4:$K$253,"Confirmed",Components!$L$4:$L$253,"OK — verify source"))))&lt;&gt;1,IF(E249="UC",COUNTIFS('Use cases'!$A$4:$A$253,F249,'Use cases'!$I$4:$I$253,"Confirmed",'Use cases'!$J$4:$J$253,"OK — verify source"),IF(E249="CAP",COUNTIFS(Capabilities!$A$4:$A$253,F249,Capabilities!$J$4:$J$253,"Confirmed",Capabilities!$K$4:$K$253,"OK — verify source"),IF(E249="AIR",COUNTIFS('System map'!$A$4:$A$203,F249,'System map'!$B$4:$B$203,"&lt;&gt;",'System map'!$C$4:$C$203,"&lt;&gt;",'System map'!$D$4:$D$203,"&lt;&gt;"),COUNTIFS(Components!$A$4:$A$253,F249,Components!$B$4:$B$253,E249,Components!$K$4:$K$253,"Confirmed",Components!$L$4:$L$253,"OK — verify source"))))&lt;&gt;1)),"Endpoint not source-reconciled",IF(AND(M249="Confirmed",OR(L249="",K249="",K249="Unknown",K249="Low")),"Confirmed link lacks verification","OK — verify source"))))))))))))))</f>
        <v/>
      </c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6" t="n"/>
      <c r="M250" s="25" t="n"/>
      <c r="N250" s="25">
        <f>IF(COUNTA(A250:M250)=0,"",IF(OR(A250="",B250="",C250="",D250="",E250="",F250="",I250="",J250="",K250="",M250=""),"Required link detail missing",IF(COUNTIF($A$4:$A$1003,A250)&gt;1,"Duplicate Map Edge ID",IF(NOT(OR(AND(B250="UC",E250="CAP",D250="requires"),AND(B250="CAP",E250="AIR",D250="provided by"),AND(B250="AIR",OR(E250="MOD",E250="DATA",E250="IF",E250="AG",E250="TOOL"),D250="references"),AND(B250="AIR",E250="AIR",D250="depends on"))),"Invalid relationship",IF(AND(M250&lt;&gt;"Superseded",COUNTIFS($B$4:$B$1003,B250,$C$4:$C$1003,C250,$D$4:$D$1003,D250,$E$4:$E$1003,E250,$F$4:$F$1003,F250,$G$4:$G$1003,G250,$M$4:$M$1003,"&lt;&gt;Superseded")&gt;1),"Duplicate relationship",IF(OR(IF(B250="UC",COUNTIF('Use cases'!$A$4:$A$253,C250),IF(B250="CAP",COUNTIF(Capabilities!$A$4:$A$253,C250),IF(B250="AIR",COUNTIF('System map'!$A$4:$A$203,C250),COUNTIFS(Components!$A$4:$A$253,C250,Components!$B$4:$B$253,B250))))&lt;&gt;1,IF(E250="UC",COUNTIF('Use cases'!$A$4:$A$253,F250),IF(E250="CAP",COUNTIF(Capabilities!$A$4:$A$253,F250),IF(E250="AIR",COUNTIF('System map'!$A$4:$A$203,F250),COUNTIFS(Components!$A$4:$A$253,F250,Components!$B$4:$B$253,E250))))&lt;&gt;1),"Endpoint missing or duplicated",IF(AND(NOT(AND(B250="UC",E250="CAP")),OR(G250="",COUNTIF('System map'!$A$4:$A$203,G250)&lt;&gt;1)),"AIR context missing / unknown",IF(AND(B250="CAP",E250="AIR",G250&lt;&gt;F250),"AIR context mismatch",IF(AND(B250="AIR",G250&lt;&gt;C250),"AIR context mismatch",IF(AND(B250="AIR",E250="AIR",C250=F250),"Self-dependency",IF(AND(B250="AIR",E250="AIR",M250&lt;&gt;"Superseded",COUNTIFS($B$4:$B$1003,"AIR",$C$4:$C$1003,F250,$E$4:$E$1003,"AIR",$F$4:$F$1003,C250,$M$4:$M$1003,"&lt;&gt;Superseded")&gt;0),"Dependency cycle (A↔B) — review",IF(AND(B250="AIR",OR(E250="MOD",E250="DATA",E250="IF",E250="AG",E250="TOOL"),IFERROR(INDEX(Components!$G$4:$G$253,MATCH(F250,Components!$A$4:$A$253,0)),"")&lt;&gt;"",IFERROR(INDEX(Components!$G$4:$G$253,MATCH(F250,Components!$A$4:$A$253,0)),"")&lt;&gt;C250),"Component owned by another AIR-ID",IF(AND(M250="Confirmed",OR(IF(B250="UC",COUNTIFS('Use cases'!$A$4:$A$253,C250,'Use cases'!$I$4:$I$253,"Confirmed",'Use cases'!$J$4:$J$253,"OK — verify source"),IF(B250="CAP",COUNTIFS(Capabilities!$A$4:$A$253,C250,Capabilities!$J$4:$J$253,"Confirmed",Capabilities!$K$4:$K$253,"OK — verify source"),IF(B250="AIR",COUNTIFS('System map'!$A$4:$A$203,C250,'System map'!$B$4:$B$203,"&lt;&gt;",'System map'!$C$4:$C$203,"&lt;&gt;",'System map'!$D$4:$D$203,"&lt;&gt;"),COUNTIFS(Components!$A$4:$A$253,C250,Components!$B$4:$B$253,B250,Components!$K$4:$K$253,"Confirmed",Components!$L$4:$L$253,"OK — verify source"))))&lt;&gt;1,IF(E250="UC",COUNTIFS('Use cases'!$A$4:$A$253,F250,'Use cases'!$I$4:$I$253,"Confirmed",'Use cases'!$J$4:$J$253,"OK — verify source"),IF(E250="CAP",COUNTIFS(Capabilities!$A$4:$A$253,F250,Capabilities!$J$4:$J$253,"Confirmed",Capabilities!$K$4:$K$253,"OK — verify source"),IF(E250="AIR",COUNTIFS('System map'!$A$4:$A$203,F250,'System map'!$B$4:$B$203,"&lt;&gt;",'System map'!$C$4:$C$203,"&lt;&gt;",'System map'!$D$4:$D$203,"&lt;&gt;"),COUNTIFS(Components!$A$4:$A$253,F250,Components!$B$4:$B$253,E250,Components!$K$4:$K$253,"Confirmed",Components!$L$4:$L$253,"OK — verify source"))))&lt;&gt;1)),"Endpoint not source-reconciled",IF(AND(M250="Confirmed",OR(L250="",K250="",K250="Unknown",K250="Low")),"Confirmed link lacks verification","OK — verify source"))))))))))))))</f>
        <v/>
      </c>
    </row>
    <row r="25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8" t="n"/>
      <c r="M251" s="27" t="n"/>
      <c r="N251" s="27">
        <f>IF(COUNTA(A251:M251)=0,"",IF(OR(A251="",B251="",C251="",D251="",E251="",F251="",I251="",J251="",K251="",M251=""),"Required link detail missing",IF(COUNTIF($A$4:$A$1003,A251)&gt;1,"Duplicate Map Edge ID",IF(NOT(OR(AND(B251="UC",E251="CAP",D251="requires"),AND(B251="CAP",E251="AIR",D251="provided by"),AND(B251="AIR",OR(E251="MOD",E251="DATA",E251="IF",E251="AG",E251="TOOL"),D251="references"),AND(B251="AIR",E251="AIR",D251="depends on"))),"Invalid relationship",IF(AND(M251&lt;&gt;"Superseded",COUNTIFS($B$4:$B$1003,B251,$C$4:$C$1003,C251,$D$4:$D$1003,D251,$E$4:$E$1003,E251,$F$4:$F$1003,F251,$G$4:$G$1003,G251,$M$4:$M$1003,"&lt;&gt;Superseded")&gt;1),"Duplicate relationship",IF(OR(IF(B251="UC",COUNTIF('Use cases'!$A$4:$A$253,C251),IF(B251="CAP",COUNTIF(Capabilities!$A$4:$A$253,C251),IF(B251="AIR",COUNTIF('System map'!$A$4:$A$203,C251),COUNTIFS(Components!$A$4:$A$253,C251,Components!$B$4:$B$253,B251))))&lt;&gt;1,IF(E251="UC",COUNTIF('Use cases'!$A$4:$A$253,F251),IF(E251="CAP",COUNTIF(Capabilities!$A$4:$A$253,F251),IF(E251="AIR",COUNTIF('System map'!$A$4:$A$203,F251),COUNTIFS(Components!$A$4:$A$253,F251,Components!$B$4:$B$253,E251))))&lt;&gt;1),"Endpoint missing or duplicated",IF(AND(NOT(AND(B251="UC",E251="CAP")),OR(G251="",COUNTIF('System map'!$A$4:$A$203,G251)&lt;&gt;1)),"AIR context missing / unknown",IF(AND(B251="CAP",E251="AIR",G251&lt;&gt;F251),"AIR context mismatch",IF(AND(B251="AIR",G251&lt;&gt;C251),"AIR context mismatch",IF(AND(B251="AIR",E251="AIR",C251=F251),"Self-dependency",IF(AND(B251="AIR",E251="AIR",M251&lt;&gt;"Superseded",COUNTIFS($B$4:$B$1003,"AIR",$C$4:$C$1003,F251,$E$4:$E$1003,"AIR",$F$4:$F$1003,C251,$M$4:$M$1003,"&lt;&gt;Superseded")&gt;0),"Dependency cycle (A↔B) — review",IF(AND(B251="AIR",OR(E251="MOD",E251="DATA",E251="IF",E251="AG",E251="TOOL"),IFERROR(INDEX(Components!$G$4:$G$253,MATCH(F251,Components!$A$4:$A$253,0)),"")&lt;&gt;"",IFERROR(INDEX(Components!$G$4:$G$253,MATCH(F251,Components!$A$4:$A$253,0)),"")&lt;&gt;C251),"Component owned by another AIR-ID",IF(AND(M251="Confirmed",OR(IF(B251="UC",COUNTIFS('Use cases'!$A$4:$A$253,C251,'Use cases'!$I$4:$I$253,"Confirmed",'Use cases'!$J$4:$J$253,"OK — verify source"),IF(B251="CAP",COUNTIFS(Capabilities!$A$4:$A$253,C251,Capabilities!$J$4:$J$253,"Confirmed",Capabilities!$K$4:$K$253,"OK — verify source"),IF(B251="AIR",COUNTIFS('System map'!$A$4:$A$203,C251,'System map'!$B$4:$B$203,"&lt;&gt;",'System map'!$C$4:$C$203,"&lt;&gt;",'System map'!$D$4:$D$203,"&lt;&gt;"),COUNTIFS(Components!$A$4:$A$253,C251,Components!$B$4:$B$253,B251,Components!$K$4:$K$253,"Confirmed",Components!$L$4:$L$253,"OK — verify source"))))&lt;&gt;1,IF(E251="UC",COUNTIFS('Use cases'!$A$4:$A$253,F251,'Use cases'!$I$4:$I$253,"Confirmed",'Use cases'!$J$4:$J$253,"OK — verify source"),IF(E251="CAP",COUNTIFS(Capabilities!$A$4:$A$253,F251,Capabilities!$J$4:$J$253,"Confirmed",Capabilities!$K$4:$K$253,"OK — verify source"),IF(E251="AIR",COUNTIFS('System map'!$A$4:$A$203,F251,'System map'!$B$4:$B$203,"&lt;&gt;",'System map'!$C$4:$C$203,"&lt;&gt;",'System map'!$D$4:$D$203,"&lt;&gt;"),COUNTIFS(Components!$A$4:$A$253,F251,Components!$B$4:$B$253,E251,Components!$K$4:$K$253,"Confirmed",Components!$L$4:$L$253,"OK — verify source"))))&lt;&gt;1)),"Endpoint not source-reconciled",IF(AND(M251="Confirmed",OR(L251="",K251="",K251="Unknown",K251="Low")),"Confirmed link lacks verification","OK — verify source"))))))))))))))</f>
        <v/>
      </c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6" t="n"/>
      <c r="M252" s="25" t="n"/>
      <c r="N252" s="25">
        <f>IF(COUNTA(A252:M252)=0,"",IF(OR(A252="",B252="",C252="",D252="",E252="",F252="",I252="",J252="",K252="",M252=""),"Required link detail missing",IF(COUNTIF($A$4:$A$1003,A252)&gt;1,"Duplicate Map Edge ID",IF(NOT(OR(AND(B252="UC",E252="CAP",D252="requires"),AND(B252="CAP",E252="AIR",D252="provided by"),AND(B252="AIR",OR(E252="MOD",E252="DATA",E252="IF",E252="AG",E252="TOOL"),D252="references"),AND(B252="AIR",E252="AIR",D252="depends on"))),"Invalid relationship",IF(AND(M252&lt;&gt;"Superseded",COUNTIFS($B$4:$B$1003,B252,$C$4:$C$1003,C252,$D$4:$D$1003,D252,$E$4:$E$1003,E252,$F$4:$F$1003,F252,$G$4:$G$1003,G252,$M$4:$M$1003,"&lt;&gt;Superseded")&gt;1),"Duplicate relationship",IF(OR(IF(B252="UC",COUNTIF('Use cases'!$A$4:$A$253,C252),IF(B252="CAP",COUNTIF(Capabilities!$A$4:$A$253,C252),IF(B252="AIR",COUNTIF('System map'!$A$4:$A$203,C252),COUNTIFS(Components!$A$4:$A$253,C252,Components!$B$4:$B$253,B252))))&lt;&gt;1,IF(E252="UC",COUNTIF('Use cases'!$A$4:$A$253,F252),IF(E252="CAP",COUNTIF(Capabilities!$A$4:$A$253,F252),IF(E252="AIR",COUNTIF('System map'!$A$4:$A$203,F252),COUNTIFS(Components!$A$4:$A$253,F252,Components!$B$4:$B$253,E252))))&lt;&gt;1),"Endpoint missing or duplicated",IF(AND(NOT(AND(B252="UC",E252="CAP")),OR(G252="",COUNTIF('System map'!$A$4:$A$203,G252)&lt;&gt;1)),"AIR context missing / unknown",IF(AND(B252="CAP",E252="AIR",G252&lt;&gt;F252),"AIR context mismatch",IF(AND(B252="AIR",G252&lt;&gt;C252),"AIR context mismatch",IF(AND(B252="AIR",E252="AIR",C252=F252),"Self-dependency",IF(AND(B252="AIR",E252="AIR",M252&lt;&gt;"Superseded",COUNTIFS($B$4:$B$1003,"AIR",$C$4:$C$1003,F252,$E$4:$E$1003,"AIR",$F$4:$F$1003,C252,$M$4:$M$1003,"&lt;&gt;Superseded")&gt;0),"Dependency cycle (A↔B) — review",IF(AND(B252="AIR",OR(E252="MOD",E252="DATA",E252="IF",E252="AG",E252="TOOL"),IFERROR(INDEX(Components!$G$4:$G$253,MATCH(F252,Components!$A$4:$A$253,0)),"")&lt;&gt;"",IFERROR(INDEX(Components!$G$4:$G$253,MATCH(F252,Components!$A$4:$A$253,0)),"")&lt;&gt;C252),"Component owned by another AIR-ID",IF(AND(M252="Confirmed",OR(IF(B252="UC",COUNTIFS('Use cases'!$A$4:$A$253,C252,'Use cases'!$I$4:$I$253,"Confirmed",'Use cases'!$J$4:$J$253,"OK — verify source"),IF(B252="CAP",COUNTIFS(Capabilities!$A$4:$A$253,C252,Capabilities!$J$4:$J$253,"Confirmed",Capabilities!$K$4:$K$253,"OK — verify source"),IF(B252="AIR",COUNTIFS('System map'!$A$4:$A$203,C252,'System map'!$B$4:$B$203,"&lt;&gt;",'System map'!$C$4:$C$203,"&lt;&gt;",'System map'!$D$4:$D$203,"&lt;&gt;"),COUNTIFS(Components!$A$4:$A$253,C252,Components!$B$4:$B$253,B252,Components!$K$4:$K$253,"Confirmed",Components!$L$4:$L$253,"OK — verify source"))))&lt;&gt;1,IF(E252="UC",COUNTIFS('Use cases'!$A$4:$A$253,F252,'Use cases'!$I$4:$I$253,"Confirmed",'Use cases'!$J$4:$J$253,"OK — verify source"),IF(E252="CAP",COUNTIFS(Capabilities!$A$4:$A$253,F252,Capabilities!$J$4:$J$253,"Confirmed",Capabilities!$K$4:$K$253,"OK — verify source"),IF(E252="AIR",COUNTIFS('System map'!$A$4:$A$203,F252,'System map'!$B$4:$B$203,"&lt;&gt;",'System map'!$C$4:$C$203,"&lt;&gt;",'System map'!$D$4:$D$203,"&lt;&gt;"),COUNTIFS(Components!$A$4:$A$253,F252,Components!$B$4:$B$253,E252,Components!$K$4:$K$253,"Confirmed",Components!$L$4:$L$253,"OK — verify source"))))&lt;&gt;1)),"Endpoint not source-reconciled",IF(AND(M252="Confirmed",OR(L252="",K252="",K252="Unknown",K252="Low")),"Confirmed link lacks verification","OK — verify source"))))))))))))))</f>
        <v/>
      </c>
    </row>
    <row r="253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8" t="n"/>
      <c r="M253" s="27" t="n"/>
      <c r="N253" s="27">
        <f>IF(COUNTA(A253:M253)=0,"",IF(OR(A253="",B253="",C253="",D253="",E253="",F253="",I253="",J253="",K253="",M253=""),"Required link detail missing",IF(COUNTIF($A$4:$A$1003,A253)&gt;1,"Duplicate Map Edge ID",IF(NOT(OR(AND(B253="UC",E253="CAP",D253="requires"),AND(B253="CAP",E253="AIR",D253="provided by"),AND(B253="AIR",OR(E253="MOD",E253="DATA",E253="IF",E253="AG",E253="TOOL"),D253="references"),AND(B253="AIR",E253="AIR",D253="depends on"))),"Invalid relationship",IF(AND(M253&lt;&gt;"Superseded",COUNTIFS($B$4:$B$1003,B253,$C$4:$C$1003,C253,$D$4:$D$1003,D253,$E$4:$E$1003,E253,$F$4:$F$1003,F253,$G$4:$G$1003,G253,$M$4:$M$1003,"&lt;&gt;Superseded")&gt;1),"Duplicate relationship",IF(OR(IF(B253="UC",COUNTIF('Use cases'!$A$4:$A$253,C253),IF(B253="CAP",COUNTIF(Capabilities!$A$4:$A$253,C253),IF(B253="AIR",COUNTIF('System map'!$A$4:$A$203,C253),COUNTIFS(Components!$A$4:$A$253,C253,Components!$B$4:$B$253,B253))))&lt;&gt;1,IF(E253="UC",COUNTIF('Use cases'!$A$4:$A$253,F253),IF(E253="CAP",COUNTIF(Capabilities!$A$4:$A$253,F253),IF(E253="AIR",COUNTIF('System map'!$A$4:$A$203,F253),COUNTIFS(Components!$A$4:$A$253,F253,Components!$B$4:$B$253,E253))))&lt;&gt;1),"Endpoint missing or duplicated",IF(AND(NOT(AND(B253="UC",E253="CAP")),OR(G253="",COUNTIF('System map'!$A$4:$A$203,G253)&lt;&gt;1)),"AIR context missing / unknown",IF(AND(B253="CAP",E253="AIR",G253&lt;&gt;F253),"AIR context mismatch",IF(AND(B253="AIR",G253&lt;&gt;C253),"AIR context mismatch",IF(AND(B253="AIR",E253="AIR",C253=F253),"Self-dependency",IF(AND(B253="AIR",E253="AIR",M253&lt;&gt;"Superseded",COUNTIFS($B$4:$B$1003,"AIR",$C$4:$C$1003,F253,$E$4:$E$1003,"AIR",$F$4:$F$1003,C253,$M$4:$M$1003,"&lt;&gt;Superseded")&gt;0),"Dependency cycle (A↔B) — review",IF(AND(B253="AIR",OR(E253="MOD",E253="DATA",E253="IF",E253="AG",E253="TOOL"),IFERROR(INDEX(Components!$G$4:$G$253,MATCH(F253,Components!$A$4:$A$253,0)),"")&lt;&gt;"",IFERROR(INDEX(Components!$G$4:$G$253,MATCH(F253,Components!$A$4:$A$253,0)),"")&lt;&gt;C253),"Component owned by another AIR-ID",IF(AND(M253="Confirmed",OR(IF(B253="UC",COUNTIFS('Use cases'!$A$4:$A$253,C253,'Use cases'!$I$4:$I$253,"Confirmed",'Use cases'!$J$4:$J$253,"OK — verify source"),IF(B253="CAP",COUNTIFS(Capabilities!$A$4:$A$253,C253,Capabilities!$J$4:$J$253,"Confirmed",Capabilities!$K$4:$K$253,"OK — verify source"),IF(B253="AIR",COUNTIFS('System map'!$A$4:$A$203,C253,'System map'!$B$4:$B$203,"&lt;&gt;",'System map'!$C$4:$C$203,"&lt;&gt;",'System map'!$D$4:$D$203,"&lt;&gt;"),COUNTIFS(Components!$A$4:$A$253,C253,Components!$B$4:$B$253,B253,Components!$K$4:$K$253,"Confirmed",Components!$L$4:$L$253,"OK — verify source"))))&lt;&gt;1,IF(E253="UC",COUNTIFS('Use cases'!$A$4:$A$253,F253,'Use cases'!$I$4:$I$253,"Confirmed",'Use cases'!$J$4:$J$253,"OK — verify source"),IF(E253="CAP",COUNTIFS(Capabilities!$A$4:$A$253,F253,Capabilities!$J$4:$J$253,"Confirmed",Capabilities!$K$4:$K$253,"OK — verify source"),IF(E253="AIR",COUNTIFS('System map'!$A$4:$A$203,F253,'System map'!$B$4:$B$203,"&lt;&gt;",'System map'!$C$4:$C$203,"&lt;&gt;",'System map'!$D$4:$D$203,"&lt;&gt;"),COUNTIFS(Components!$A$4:$A$253,F253,Components!$B$4:$B$253,E253,Components!$K$4:$K$253,"Confirmed",Components!$L$4:$L$253,"OK — verify source"))))&lt;&gt;1)),"Endpoint not source-reconciled",IF(AND(M253="Confirmed",OR(L253="",K253="",K253="Unknown",K253="Low")),"Confirmed link lacks verification","OK — verify source"))))))))))))))</f>
        <v/>
      </c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6" t="n"/>
      <c r="M254" s="25" t="n"/>
      <c r="N254" s="25">
        <f>IF(COUNTA(A254:M254)=0,"",IF(OR(A254="",B254="",C254="",D254="",E254="",F254="",I254="",J254="",K254="",M254=""),"Required link detail missing",IF(COUNTIF($A$4:$A$1003,A254)&gt;1,"Duplicate Map Edge ID",IF(NOT(OR(AND(B254="UC",E254="CAP",D254="requires"),AND(B254="CAP",E254="AIR",D254="provided by"),AND(B254="AIR",OR(E254="MOD",E254="DATA",E254="IF",E254="AG",E254="TOOL"),D254="references"),AND(B254="AIR",E254="AIR",D254="depends on"))),"Invalid relationship",IF(AND(M254&lt;&gt;"Superseded",COUNTIFS($B$4:$B$1003,B254,$C$4:$C$1003,C254,$D$4:$D$1003,D254,$E$4:$E$1003,E254,$F$4:$F$1003,F254,$G$4:$G$1003,G254,$M$4:$M$1003,"&lt;&gt;Superseded")&gt;1),"Duplicate relationship",IF(OR(IF(B254="UC",COUNTIF('Use cases'!$A$4:$A$253,C254),IF(B254="CAP",COUNTIF(Capabilities!$A$4:$A$253,C254),IF(B254="AIR",COUNTIF('System map'!$A$4:$A$203,C254),COUNTIFS(Components!$A$4:$A$253,C254,Components!$B$4:$B$253,B254))))&lt;&gt;1,IF(E254="UC",COUNTIF('Use cases'!$A$4:$A$253,F254),IF(E254="CAP",COUNTIF(Capabilities!$A$4:$A$253,F254),IF(E254="AIR",COUNTIF('System map'!$A$4:$A$203,F254),COUNTIFS(Components!$A$4:$A$253,F254,Components!$B$4:$B$253,E254))))&lt;&gt;1),"Endpoint missing or duplicated",IF(AND(NOT(AND(B254="UC",E254="CAP")),OR(G254="",COUNTIF('System map'!$A$4:$A$203,G254)&lt;&gt;1)),"AIR context missing / unknown",IF(AND(B254="CAP",E254="AIR",G254&lt;&gt;F254),"AIR context mismatch",IF(AND(B254="AIR",G254&lt;&gt;C254),"AIR context mismatch",IF(AND(B254="AIR",E254="AIR",C254=F254),"Self-dependency",IF(AND(B254="AIR",E254="AIR",M254&lt;&gt;"Superseded",COUNTIFS($B$4:$B$1003,"AIR",$C$4:$C$1003,F254,$E$4:$E$1003,"AIR",$F$4:$F$1003,C254,$M$4:$M$1003,"&lt;&gt;Superseded")&gt;0),"Dependency cycle (A↔B) — review",IF(AND(B254="AIR",OR(E254="MOD",E254="DATA",E254="IF",E254="AG",E254="TOOL"),IFERROR(INDEX(Components!$G$4:$G$253,MATCH(F254,Components!$A$4:$A$253,0)),"")&lt;&gt;"",IFERROR(INDEX(Components!$G$4:$G$253,MATCH(F254,Components!$A$4:$A$253,0)),"")&lt;&gt;C254),"Component owned by another AIR-ID",IF(AND(M254="Confirmed",OR(IF(B254="UC",COUNTIFS('Use cases'!$A$4:$A$253,C254,'Use cases'!$I$4:$I$253,"Confirmed",'Use cases'!$J$4:$J$253,"OK — verify source"),IF(B254="CAP",COUNTIFS(Capabilities!$A$4:$A$253,C254,Capabilities!$J$4:$J$253,"Confirmed",Capabilities!$K$4:$K$253,"OK — verify source"),IF(B254="AIR",COUNTIFS('System map'!$A$4:$A$203,C254,'System map'!$B$4:$B$203,"&lt;&gt;",'System map'!$C$4:$C$203,"&lt;&gt;",'System map'!$D$4:$D$203,"&lt;&gt;"),COUNTIFS(Components!$A$4:$A$253,C254,Components!$B$4:$B$253,B254,Components!$K$4:$K$253,"Confirmed",Components!$L$4:$L$253,"OK — verify source"))))&lt;&gt;1,IF(E254="UC",COUNTIFS('Use cases'!$A$4:$A$253,F254,'Use cases'!$I$4:$I$253,"Confirmed",'Use cases'!$J$4:$J$253,"OK — verify source"),IF(E254="CAP",COUNTIFS(Capabilities!$A$4:$A$253,F254,Capabilities!$J$4:$J$253,"Confirmed",Capabilities!$K$4:$K$253,"OK — verify source"),IF(E254="AIR",COUNTIFS('System map'!$A$4:$A$203,F254,'System map'!$B$4:$B$203,"&lt;&gt;",'System map'!$C$4:$C$203,"&lt;&gt;",'System map'!$D$4:$D$203,"&lt;&gt;"),COUNTIFS(Components!$A$4:$A$253,F254,Components!$B$4:$B$253,E254,Components!$K$4:$K$253,"Confirmed",Components!$L$4:$L$253,"OK — verify source"))))&lt;&gt;1)),"Endpoint not source-reconciled",IF(AND(M254="Confirmed",OR(L254="",K254="",K254="Unknown",K254="Low")),"Confirmed link lacks verification","OK — verify source"))))))))))))))</f>
        <v/>
      </c>
    </row>
    <row r="255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8" t="n"/>
      <c r="M255" s="27" t="n"/>
      <c r="N255" s="27">
        <f>IF(COUNTA(A255:M255)=0,"",IF(OR(A255="",B255="",C255="",D255="",E255="",F255="",I255="",J255="",K255="",M255=""),"Required link detail missing",IF(COUNTIF($A$4:$A$1003,A255)&gt;1,"Duplicate Map Edge ID",IF(NOT(OR(AND(B255="UC",E255="CAP",D255="requires"),AND(B255="CAP",E255="AIR",D255="provided by"),AND(B255="AIR",OR(E255="MOD",E255="DATA",E255="IF",E255="AG",E255="TOOL"),D255="references"),AND(B255="AIR",E255="AIR",D255="depends on"))),"Invalid relationship",IF(AND(M255&lt;&gt;"Superseded",COUNTIFS($B$4:$B$1003,B255,$C$4:$C$1003,C255,$D$4:$D$1003,D255,$E$4:$E$1003,E255,$F$4:$F$1003,F255,$G$4:$G$1003,G255,$M$4:$M$1003,"&lt;&gt;Superseded")&gt;1),"Duplicate relationship",IF(OR(IF(B255="UC",COUNTIF('Use cases'!$A$4:$A$253,C255),IF(B255="CAP",COUNTIF(Capabilities!$A$4:$A$253,C255),IF(B255="AIR",COUNTIF('System map'!$A$4:$A$203,C255),COUNTIFS(Components!$A$4:$A$253,C255,Components!$B$4:$B$253,B255))))&lt;&gt;1,IF(E255="UC",COUNTIF('Use cases'!$A$4:$A$253,F255),IF(E255="CAP",COUNTIF(Capabilities!$A$4:$A$253,F255),IF(E255="AIR",COUNTIF('System map'!$A$4:$A$203,F255),COUNTIFS(Components!$A$4:$A$253,F255,Components!$B$4:$B$253,E255))))&lt;&gt;1),"Endpoint missing or duplicated",IF(AND(NOT(AND(B255="UC",E255="CAP")),OR(G255="",COUNTIF('System map'!$A$4:$A$203,G255)&lt;&gt;1)),"AIR context missing / unknown",IF(AND(B255="CAP",E255="AIR",G255&lt;&gt;F255),"AIR context mismatch",IF(AND(B255="AIR",G255&lt;&gt;C255),"AIR context mismatch",IF(AND(B255="AIR",E255="AIR",C255=F255),"Self-dependency",IF(AND(B255="AIR",E255="AIR",M255&lt;&gt;"Superseded",COUNTIFS($B$4:$B$1003,"AIR",$C$4:$C$1003,F255,$E$4:$E$1003,"AIR",$F$4:$F$1003,C255,$M$4:$M$1003,"&lt;&gt;Superseded")&gt;0),"Dependency cycle (A↔B) — review",IF(AND(B255="AIR",OR(E255="MOD",E255="DATA",E255="IF",E255="AG",E255="TOOL"),IFERROR(INDEX(Components!$G$4:$G$253,MATCH(F255,Components!$A$4:$A$253,0)),"")&lt;&gt;"",IFERROR(INDEX(Components!$G$4:$G$253,MATCH(F255,Components!$A$4:$A$253,0)),"")&lt;&gt;C255),"Component owned by another AIR-ID",IF(AND(M255="Confirmed",OR(IF(B255="UC",COUNTIFS('Use cases'!$A$4:$A$253,C255,'Use cases'!$I$4:$I$253,"Confirmed",'Use cases'!$J$4:$J$253,"OK — verify source"),IF(B255="CAP",COUNTIFS(Capabilities!$A$4:$A$253,C255,Capabilities!$J$4:$J$253,"Confirmed",Capabilities!$K$4:$K$253,"OK — verify source"),IF(B255="AIR",COUNTIFS('System map'!$A$4:$A$203,C255,'System map'!$B$4:$B$203,"&lt;&gt;",'System map'!$C$4:$C$203,"&lt;&gt;",'System map'!$D$4:$D$203,"&lt;&gt;"),COUNTIFS(Components!$A$4:$A$253,C255,Components!$B$4:$B$253,B255,Components!$K$4:$K$253,"Confirmed",Components!$L$4:$L$253,"OK — verify source"))))&lt;&gt;1,IF(E255="UC",COUNTIFS('Use cases'!$A$4:$A$253,F255,'Use cases'!$I$4:$I$253,"Confirmed",'Use cases'!$J$4:$J$253,"OK — verify source"),IF(E255="CAP",COUNTIFS(Capabilities!$A$4:$A$253,F255,Capabilities!$J$4:$J$253,"Confirmed",Capabilities!$K$4:$K$253,"OK — verify source"),IF(E255="AIR",COUNTIFS('System map'!$A$4:$A$203,F255,'System map'!$B$4:$B$203,"&lt;&gt;",'System map'!$C$4:$C$203,"&lt;&gt;",'System map'!$D$4:$D$203,"&lt;&gt;"),COUNTIFS(Components!$A$4:$A$253,F255,Components!$B$4:$B$253,E255,Components!$K$4:$K$253,"Confirmed",Components!$L$4:$L$253,"OK — verify source"))))&lt;&gt;1)),"Endpoint not source-reconciled",IF(AND(M255="Confirmed",OR(L255="",K255="",K255="Unknown",K255="Low")),"Confirmed link lacks verification","OK — verify source"))))))))))))))</f>
        <v/>
      </c>
    </row>
    <row r="256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6" t="n"/>
      <c r="M256" s="25" t="n"/>
      <c r="N256" s="25">
        <f>IF(COUNTA(A256:M256)=0,"",IF(OR(A256="",B256="",C256="",D256="",E256="",F256="",I256="",J256="",K256="",M256=""),"Required link detail missing",IF(COUNTIF($A$4:$A$1003,A256)&gt;1,"Duplicate Map Edge ID",IF(NOT(OR(AND(B256="UC",E256="CAP",D256="requires"),AND(B256="CAP",E256="AIR",D256="provided by"),AND(B256="AIR",OR(E256="MOD",E256="DATA",E256="IF",E256="AG",E256="TOOL"),D256="references"),AND(B256="AIR",E256="AIR",D256="depends on"))),"Invalid relationship",IF(AND(M256&lt;&gt;"Superseded",COUNTIFS($B$4:$B$1003,B256,$C$4:$C$1003,C256,$D$4:$D$1003,D256,$E$4:$E$1003,E256,$F$4:$F$1003,F256,$G$4:$G$1003,G256,$M$4:$M$1003,"&lt;&gt;Superseded")&gt;1),"Duplicate relationship",IF(OR(IF(B256="UC",COUNTIF('Use cases'!$A$4:$A$253,C256),IF(B256="CAP",COUNTIF(Capabilities!$A$4:$A$253,C256),IF(B256="AIR",COUNTIF('System map'!$A$4:$A$203,C256),COUNTIFS(Components!$A$4:$A$253,C256,Components!$B$4:$B$253,B256))))&lt;&gt;1,IF(E256="UC",COUNTIF('Use cases'!$A$4:$A$253,F256),IF(E256="CAP",COUNTIF(Capabilities!$A$4:$A$253,F256),IF(E256="AIR",COUNTIF('System map'!$A$4:$A$203,F256),COUNTIFS(Components!$A$4:$A$253,F256,Components!$B$4:$B$253,E256))))&lt;&gt;1),"Endpoint missing or duplicated",IF(AND(NOT(AND(B256="UC",E256="CAP")),OR(G256="",COUNTIF('System map'!$A$4:$A$203,G256)&lt;&gt;1)),"AIR context missing / unknown",IF(AND(B256="CAP",E256="AIR",G256&lt;&gt;F256),"AIR context mismatch",IF(AND(B256="AIR",G256&lt;&gt;C256),"AIR context mismatch",IF(AND(B256="AIR",E256="AIR",C256=F256),"Self-dependency",IF(AND(B256="AIR",E256="AIR",M256&lt;&gt;"Superseded",COUNTIFS($B$4:$B$1003,"AIR",$C$4:$C$1003,F256,$E$4:$E$1003,"AIR",$F$4:$F$1003,C256,$M$4:$M$1003,"&lt;&gt;Superseded")&gt;0),"Dependency cycle (A↔B) — review",IF(AND(B256="AIR",OR(E256="MOD",E256="DATA",E256="IF",E256="AG",E256="TOOL"),IFERROR(INDEX(Components!$G$4:$G$253,MATCH(F256,Components!$A$4:$A$253,0)),"")&lt;&gt;"",IFERROR(INDEX(Components!$G$4:$G$253,MATCH(F256,Components!$A$4:$A$253,0)),"")&lt;&gt;C256),"Component owned by another AIR-ID",IF(AND(M256="Confirmed",OR(IF(B256="UC",COUNTIFS('Use cases'!$A$4:$A$253,C256,'Use cases'!$I$4:$I$253,"Confirmed",'Use cases'!$J$4:$J$253,"OK — verify source"),IF(B256="CAP",COUNTIFS(Capabilities!$A$4:$A$253,C256,Capabilities!$J$4:$J$253,"Confirmed",Capabilities!$K$4:$K$253,"OK — verify source"),IF(B256="AIR",COUNTIFS('System map'!$A$4:$A$203,C256,'System map'!$B$4:$B$203,"&lt;&gt;",'System map'!$C$4:$C$203,"&lt;&gt;",'System map'!$D$4:$D$203,"&lt;&gt;"),COUNTIFS(Components!$A$4:$A$253,C256,Components!$B$4:$B$253,B256,Components!$K$4:$K$253,"Confirmed",Components!$L$4:$L$253,"OK — verify source"))))&lt;&gt;1,IF(E256="UC",COUNTIFS('Use cases'!$A$4:$A$253,F256,'Use cases'!$I$4:$I$253,"Confirmed",'Use cases'!$J$4:$J$253,"OK — verify source"),IF(E256="CAP",COUNTIFS(Capabilities!$A$4:$A$253,F256,Capabilities!$J$4:$J$253,"Confirmed",Capabilities!$K$4:$K$253,"OK — verify source"),IF(E256="AIR",COUNTIFS('System map'!$A$4:$A$203,F256,'System map'!$B$4:$B$203,"&lt;&gt;",'System map'!$C$4:$C$203,"&lt;&gt;",'System map'!$D$4:$D$203,"&lt;&gt;"),COUNTIFS(Components!$A$4:$A$253,F256,Components!$B$4:$B$253,E256,Components!$K$4:$K$253,"Confirmed",Components!$L$4:$L$253,"OK — verify source"))))&lt;&gt;1)),"Endpoint not source-reconciled",IF(AND(M256="Confirmed",OR(L256="",K256="",K256="Unknown",K256="Low")),"Confirmed link lacks verification","OK — verify source"))))))))))))))</f>
        <v/>
      </c>
    </row>
    <row r="257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8" t="n"/>
      <c r="M257" s="27" t="n"/>
      <c r="N257" s="27">
        <f>IF(COUNTA(A257:M257)=0,"",IF(OR(A257="",B257="",C257="",D257="",E257="",F257="",I257="",J257="",K257="",M257=""),"Required link detail missing",IF(COUNTIF($A$4:$A$1003,A257)&gt;1,"Duplicate Map Edge ID",IF(NOT(OR(AND(B257="UC",E257="CAP",D257="requires"),AND(B257="CAP",E257="AIR",D257="provided by"),AND(B257="AIR",OR(E257="MOD",E257="DATA",E257="IF",E257="AG",E257="TOOL"),D257="references"),AND(B257="AIR",E257="AIR",D257="depends on"))),"Invalid relationship",IF(AND(M257&lt;&gt;"Superseded",COUNTIFS($B$4:$B$1003,B257,$C$4:$C$1003,C257,$D$4:$D$1003,D257,$E$4:$E$1003,E257,$F$4:$F$1003,F257,$G$4:$G$1003,G257,$M$4:$M$1003,"&lt;&gt;Superseded")&gt;1),"Duplicate relationship",IF(OR(IF(B257="UC",COUNTIF('Use cases'!$A$4:$A$253,C257),IF(B257="CAP",COUNTIF(Capabilities!$A$4:$A$253,C257),IF(B257="AIR",COUNTIF('System map'!$A$4:$A$203,C257),COUNTIFS(Components!$A$4:$A$253,C257,Components!$B$4:$B$253,B257))))&lt;&gt;1,IF(E257="UC",COUNTIF('Use cases'!$A$4:$A$253,F257),IF(E257="CAP",COUNTIF(Capabilities!$A$4:$A$253,F257),IF(E257="AIR",COUNTIF('System map'!$A$4:$A$203,F257),COUNTIFS(Components!$A$4:$A$253,F257,Components!$B$4:$B$253,E257))))&lt;&gt;1),"Endpoint missing or duplicated",IF(AND(NOT(AND(B257="UC",E257="CAP")),OR(G257="",COUNTIF('System map'!$A$4:$A$203,G257)&lt;&gt;1)),"AIR context missing / unknown",IF(AND(B257="CAP",E257="AIR",G257&lt;&gt;F257),"AIR context mismatch",IF(AND(B257="AIR",G257&lt;&gt;C257),"AIR context mismatch",IF(AND(B257="AIR",E257="AIR",C257=F257),"Self-dependency",IF(AND(B257="AIR",E257="AIR",M257&lt;&gt;"Superseded",COUNTIFS($B$4:$B$1003,"AIR",$C$4:$C$1003,F257,$E$4:$E$1003,"AIR",$F$4:$F$1003,C257,$M$4:$M$1003,"&lt;&gt;Superseded")&gt;0),"Dependency cycle (A↔B) — review",IF(AND(B257="AIR",OR(E257="MOD",E257="DATA",E257="IF",E257="AG",E257="TOOL"),IFERROR(INDEX(Components!$G$4:$G$253,MATCH(F257,Components!$A$4:$A$253,0)),"")&lt;&gt;"",IFERROR(INDEX(Components!$G$4:$G$253,MATCH(F257,Components!$A$4:$A$253,0)),"")&lt;&gt;C257),"Component owned by another AIR-ID",IF(AND(M257="Confirmed",OR(IF(B257="UC",COUNTIFS('Use cases'!$A$4:$A$253,C257,'Use cases'!$I$4:$I$253,"Confirmed",'Use cases'!$J$4:$J$253,"OK — verify source"),IF(B257="CAP",COUNTIFS(Capabilities!$A$4:$A$253,C257,Capabilities!$J$4:$J$253,"Confirmed",Capabilities!$K$4:$K$253,"OK — verify source"),IF(B257="AIR",COUNTIFS('System map'!$A$4:$A$203,C257,'System map'!$B$4:$B$203,"&lt;&gt;",'System map'!$C$4:$C$203,"&lt;&gt;",'System map'!$D$4:$D$203,"&lt;&gt;"),COUNTIFS(Components!$A$4:$A$253,C257,Components!$B$4:$B$253,B257,Components!$K$4:$K$253,"Confirmed",Components!$L$4:$L$253,"OK — verify source"))))&lt;&gt;1,IF(E257="UC",COUNTIFS('Use cases'!$A$4:$A$253,F257,'Use cases'!$I$4:$I$253,"Confirmed",'Use cases'!$J$4:$J$253,"OK — verify source"),IF(E257="CAP",COUNTIFS(Capabilities!$A$4:$A$253,F257,Capabilities!$J$4:$J$253,"Confirmed",Capabilities!$K$4:$K$253,"OK — verify source"),IF(E257="AIR",COUNTIFS('System map'!$A$4:$A$203,F257,'System map'!$B$4:$B$203,"&lt;&gt;",'System map'!$C$4:$C$203,"&lt;&gt;",'System map'!$D$4:$D$203,"&lt;&gt;"),COUNTIFS(Components!$A$4:$A$253,F257,Components!$B$4:$B$253,E257,Components!$K$4:$K$253,"Confirmed",Components!$L$4:$L$253,"OK — verify source"))))&lt;&gt;1)),"Endpoint not source-reconciled",IF(AND(M257="Confirmed",OR(L257="",K257="",K257="Unknown",K257="Low")),"Confirmed link lacks verification","OK — verify source"))))))))))))))</f>
        <v/>
      </c>
    </row>
    <row r="258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6" t="n"/>
      <c r="M258" s="25" t="n"/>
      <c r="N258" s="25">
        <f>IF(COUNTA(A258:M258)=0,"",IF(OR(A258="",B258="",C258="",D258="",E258="",F258="",I258="",J258="",K258="",M258=""),"Required link detail missing",IF(COUNTIF($A$4:$A$1003,A258)&gt;1,"Duplicate Map Edge ID",IF(NOT(OR(AND(B258="UC",E258="CAP",D258="requires"),AND(B258="CAP",E258="AIR",D258="provided by"),AND(B258="AIR",OR(E258="MOD",E258="DATA",E258="IF",E258="AG",E258="TOOL"),D258="references"),AND(B258="AIR",E258="AIR",D258="depends on"))),"Invalid relationship",IF(AND(M258&lt;&gt;"Superseded",COUNTIFS($B$4:$B$1003,B258,$C$4:$C$1003,C258,$D$4:$D$1003,D258,$E$4:$E$1003,E258,$F$4:$F$1003,F258,$G$4:$G$1003,G258,$M$4:$M$1003,"&lt;&gt;Superseded")&gt;1),"Duplicate relationship",IF(OR(IF(B258="UC",COUNTIF('Use cases'!$A$4:$A$253,C258),IF(B258="CAP",COUNTIF(Capabilities!$A$4:$A$253,C258),IF(B258="AIR",COUNTIF('System map'!$A$4:$A$203,C258),COUNTIFS(Components!$A$4:$A$253,C258,Components!$B$4:$B$253,B258))))&lt;&gt;1,IF(E258="UC",COUNTIF('Use cases'!$A$4:$A$253,F258),IF(E258="CAP",COUNTIF(Capabilities!$A$4:$A$253,F258),IF(E258="AIR",COUNTIF('System map'!$A$4:$A$203,F258),COUNTIFS(Components!$A$4:$A$253,F258,Components!$B$4:$B$253,E258))))&lt;&gt;1),"Endpoint missing or duplicated",IF(AND(NOT(AND(B258="UC",E258="CAP")),OR(G258="",COUNTIF('System map'!$A$4:$A$203,G258)&lt;&gt;1)),"AIR context missing / unknown",IF(AND(B258="CAP",E258="AIR",G258&lt;&gt;F258),"AIR context mismatch",IF(AND(B258="AIR",G258&lt;&gt;C258),"AIR context mismatch",IF(AND(B258="AIR",E258="AIR",C258=F258),"Self-dependency",IF(AND(B258="AIR",E258="AIR",M258&lt;&gt;"Superseded",COUNTIFS($B$4:$B$1003,"AIR",$C$4:$C$1003,F258,$E$4:$E$1003,"AIR",$F$4:$F$1003,C258,$M$4:$M$1003,"&lt;&gt;Superseded")&gt;0),"Dependency cycle (A↔B) — review",IF(AND(B258="AIR",OR(E258="MOD",E258="DATA",E258="IF",E258="AG",E258="TOOL"),IFERROR(INDEX(Components!$G$4:$G$253,MATCH(F258,Components!$A$4:$A$253,0)),"")&lt;&gt;"",IFERROR(INDEX(Components!$G$4:$G$253,MATCH(F258,Components!$A$4:$A$253,0)),"")&lt;&gt;C258),"Component owned by another AIR-ID",IF(AND(M258="Confirmed",OR(IF(B258="UC",COUNTIFS('Use cases'!$A$4:$A$253,C258,'Use cases'!$I$4:$I$253,"Confirmed",'Use cases'!$J$4:$J$253,"OK — verify source"),IF(B258="CAP",COUNTIFS(Capabilities!$A$4:$A$253,C258,Capabilities!$J$4:$J$253,"Confirmed",Capabilities!$K$4:$K$253,"OK — verify source"),IF(B258="AIR",COUNTIFS('System map'!$A$4:$A$203,C258,'System map'!$B$4:$B$203,"&lt;&gt;",'System map'!$C$4:$C$203,"&lt;&gt;",'System map'!$D$4:$D$203,"&lt;&gt;"),COUNTIFS(Components!$A$4:$A$253,C258,Components!$B$4:$B$253,B258,Components!$K$4:$K$253,"Confirmed",Components!$L$4:$L$253,"OK — verify source"))))&lt;&gt;1,IF(E258="UC",COUNTIFS('Use cases'!$A$4:$A$253,F258,'Use cases'!$I$4:$I$253,"Confirmed",'Use cases'!$J$4:$J$253,"OK — verify source"),IF(E258="CAP",COUNTIFS(Capabilities!$A$4:$A$253,F258,Capabilities!$J$4:$J$253,"Confirmed",Capabilities!$K$4:$K$253,"OK — verify source"),IF(E258="AIR",COUNTIFS('System map'!$A$4:$A$203,F258,'System map'!$B$4:$B$203,"&lt;&gt;",'System map'!$C$4:$C$203,"&lt;&gt;",'System map'!$D$4:$D$203,"&lt;&gt;"),COUNTIFS(Components!$A$4:$A$253,F258,Components!$B$4:$B$253,E258,Components!$K$4:$K$253,"Confirmed",Components!$L$4:$L$253,"OK — verify source"))))&lt;&gt;1)),"Endpoint not source-reconciled",IF(AND(M258="Confirmed",OR(L258="",K258="",K258="Unknown",K258="Low")),"Confirmed link lacks verification","OK — verify source"))))))))))))))</f>
        <v/>
      </c>
    </row>
    <row r="259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8" t="n"/>
      <c r="M259" s="27" t="n"/>
      <c r="N259" s="27">
        <f>IF(COUNTA(A259:M259)=0,"",IF(OR(A259="",B259="",C259="",D259="",E259="",F259="",I259="",J259="",K259="",M259=""),"Required link detail missing",IF(COUNTIF($A$4:$A$1003,A259)&gt;1,"Duplicate Map Edge ID",IF(NOT(OR(AND(B259="UC",E259="CAP",D259="requires"),AND(B259="CAP",E259="AIR",D259="provided by"),AND(B259="AIR",OR(E259="MOD",E259="DATA",E259="IF",E259="AG",E259="TOOL"),D259="references"),AND(B259="AIR",E259="AIR",D259="depends on"))),"Invalid relationship",IF(AND(M259&lt;&gt;"Superseded",COUNTIFS($B$4:$B$1003,B259,$C$4:$C$1003,C259,$D$4:$D$1003,D259,$E$4:$E$1003,E259,$F$4:$F$1003,F259,$G$4:$G$1003,G259,$M$4:$M$1003,"&lt;&gt;Superseded")&gt;1),"Duplicate relationship",IF(OR(IF(B259="UC",COUNTIF('Use cases'!$A$4:$A$253,C259),IF(B259="CAP",COUNTIF(Capabilities!$A$4:$A$253,C259),IF(B259="AIR",COUNTIF('System map'!$A$4:$A$203,C259),COUNTIFS(Components!$A$4:$A$253,C259,Components!$B$4:$B$253,B259))))&lt;&gt;1,IF(E259="UC",COUNTIF('Use cases'!$A$4:$A$253,F259),IF(E259="CAP",COUNTIF(Capabilities!$A$4:$A$253,F259),IF(E259="AIR",COUNTIF('System map'!$A$4:$A$203,F259),COUNTIFS(Components!$A$4:$A$253,F259,Components!$B$4:$B$253,E259))))&lt;&gt;1),"Endpoint missing or duplicated",IF(AND(NOT(AND(B259="UC",E259="CAP")),OR(G259="",COUNTIF('System map'!$A$4:$A$203,G259)&lt;&gt;1)),"AIR context missing / unknown",IF(AND(B259="CAP",E259="AIR",G259&lt;&gt;F259),"AIR context mismatch",IF(AND(B259="AIR",G259&lt;&gt;C259),"AIR context mismatch",IF(AND(B259="AIR",E259="AIR",C259=F259),"Self-dependency",IF(AND(B259="AIR",E259="AIR",M259&lt;&gt;"Superseded",COUNTIFS($B$4:$B$1003,"AIR",$C$4:$C$1003,F259,$E$4:$E$1003,"AIR",$F$4:$F$1003,C259,$M$4:$M$1003,"&lt;&gt;Superseded")&gt;0),"Dependency cycle (A↔B) — review",IF(AND(B259="AIR",OR(E259="MOD",E259="DATA",E259="IF",E259="AG",E259="TOOL"),IFERROR(INDEX(Components!$G$4:$G$253,MATCH(F259,Components!$A$4:$A$253,0)),"")&lt;&gt;"",IFERROR(INDEX(Components!$G$4:$G$253,MATCH(F259,Components!$A$4:$A$253,0)),"")&lt;&gt;C259),"Component owned by another AIR-ID",IF(AND(M259="Confirmed",OR(IF(B259="UC",COUNTIFS('Use cases'!$A$4:$A$253,C259,'Use cases'!$I$4:$I$253,"Confirmed",'Use cases'!$J$4:$J$253,"OK — verify source"),IF(B259="CAP",COUNTIFS(Capabilities!$A$4:$A$253,C259,Capabilities!$J$4:$J$253,"Confirmed",Capabilities!$K$4:$K$253,"OK — verify source"),IF(B259="AIR",COUNTIFS('System map'!$A$4:$A$203,C259,'System map'!$B$4:$B$203,"&lt;&gt;",'System map'!$C$4:$C$203,"&lt;&gt;",'System map'!$D$4:$D$203,"&lt;&gt;"),COUNTIFS(Components!$A$4:$A$253,C259,Components!$B$4:$B$253,B259,Components!$K$4:$K$253,"Confirmed",Components!$L$4:$L$253,"OK — verify source"))))&lt;&gt;1,IF(E259="UC",COUNTIFS('Use cases'!$A$4:$A$253,F259,'Use cases'!$I$4:$I$253,"Confirmed",'Use cases'!$J$4:$J$253,"OK — verify source"),IF(E259="CAP",COUNTIFS(Capabilities!$A$4:$A$253,F259,Capabilities!$J$4:$J$253,"Confirmed",Capabilities!$K$4:$K$253,"OK — verify source"),IF(E259="AIR",COUNTIFS('System map'!$A$4:$A$203,F259,'System map'!$B$4:$B$203,"&lt;&gt;",'System map'!$C$4:$C$203,"&lt;&gt;",'System map'!$D$4:$D$203,"&lt;&gt;"),COUNTIFS(Components!$A$4:$A$253,F259,Components!$B$4:$B$253,E259,Components!$K$4:$K$253,"Confirmed",Components!$L$4:$L$253,"OK — verify source"))))&lt;&gt;1)),"Endpoint not source-reconciled",IF(AND(M259="Confirmed",OR(L259="",K259="",K259="Unknown",K259="Low")),"Confirmed link lacks verification","OK — verify source"))))))))))))))</f>
        <v/>
      </c>
    </row>
    <row r="260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6" t="n"/>
      <c r="M260" s="25" t="n"/>
      <c r="N260" s="25">
        <f>IF(COUNTA(A260:M260)=0,"",IF(OR(A260="",B260="",C260="",D260="",E260="",F260="",I260="",J260="",K260="",M260=""),"Required link detail missing",IF(COUNTIF($A$4:$A$1003,A260)&gt;1,"Duplicate Map Edge ID",IF(NOT(OR(AND(B260="UC",E260="CAP",D260="requires"),AND(B260="CAP",E260="AIR",D260="provided by"),AND(B260="AIR",OR(E260="MOD",E260="DATA",E260="IF",E260="AG",E260="TOOL"),D260="references"),AND(B260="AIR",E260="AIR",D260="depends on"))),"Invalid relationship",IF(AND(M260&lt;&gt;"Superseded",COUNTIFS($B$4:$B$1003,B260,$C$4:$C$1003,C260,$D$4:$D$1003,D260,$E$4:$E$1003,E260,$F$4:$F$1003,F260,$G$4:$G$1003,G260,$M$4:$M$1003,"&lt;&gt;Superseded")&gt;1),"Duplicate relationship",IF(OR(IF(B260="UC",COUNTIF('Use cases'!$A$4:$A$253,C260),IF(B260="CAP",COUNTIF(Capabilities!$A$4:$A$253,C260),IF(B260="AIR",COUNTIF('System map'!$A$4:$A$203,C260),COUNTIFS(Components!$A$4:$A$253,C260,Components!$B$4:$B$253,B260))))&lt;&gt;1,IF(E260="UC",COUNTIF('Use cases'!$A$4:$A$253,F260),IF(E260="CAP",COUNTIF(Capabilities!$A$4:$A$253,F260),IF(E260="AIR",COUNTIF('System map'!$A$4:$A$203,F260),COUNTIFS(Components!$A$4:$A$253,F260,Components!$B$4:$B$253,E260))))&lt;&gt;1),"Endpoint missing or duplicated",IF(AND(NOT(AND(B260="UC",E260="CAP")),OR(G260="",COUNTIF('System map'!$A$4:$A$203,G260)&lt;&gt;1)),"AIR context missing / unknown",IF(AND(B260="CAP",E260="AIR",G260&lt;&gt;F260),"AIR context mismatch",IF(AND(B260="AIR",G260&lt;&gt;C260),"AIR context mismatch",IF(AND(B260="AIR",E260="AIR",C260=F260),"Self-dependency",IF(AND(B260="AIR",E260="AIR",M260&lt;&gt;"Superseded",COUNTIFS($B$4:$B$1003,"AIR",$C$4:$C$1003,F260,$E$4:$E$1003,"AIR",$F$4:$F$1003,C260,$M$4:$M$1003,"&lt;&gt;Superseded")&gt;0),"Dependency cycle (A↔B) — review",IF(AND(B260="AIR",OR(E260="MOD",E260="DATA",E260="IF",E260="AG",E260="TOOL"),IFERROR(INDEX(Components!$G$4:$G$253,MATCH(F260,Components!$A$4:$A$253,0)),"")&lt;&gt;"",IFERROR(INDEX(Components!$G$4:$G$253,MATCH(F260,Components!$A$4:$A$253,0)),"")&lt;&gt;C260),"Component owned by another AIR-ID",IF(AND(M260="Confirmed",OR(IF(B260="UC",COUNTIFS('Use cases'!$A$4:$A$253,C260,'Use cases'!$I$4:$I$253,"Confirmed",'Use cases'!$J$4:$J$253,"OK — verify source"),IF(B260="CAP",COUNTIFS(Capabilities!$A$4:$A$253,C260,Capabilities!$J$4:$J$253,"Confirmed",Capabilities!$K$4:$K$253,"OK — verify source"),IF(B260="AIR",COUNTIFS('System map'!$A$4:$A$203,C260,'System map'!$B$4:$B$203,"&lt;&gt;",'System map'!$C$4:$C$203,"&lt;&gt;",'System map'!$D$4:$D$203,"&lt;&gt;"),COUNTIFS(Components!$A$4:$A$253,C260,Components!$B$4:$B$253,B260,Components!$K$4:$K$253,"Confirmed",Components!$L$4:$L$253,"OK — verify source"))))&lt;&gt;1,IF(E260="UC",COUNTIFS('Use cases'!$A$4:$A$253,F260,'Use cases'!$I$4:$I$253,"Confirmed",'Use cases'!$J$4:$J$253,"OK — verify source"),IF(E260="CAP",COUNTIFS(Capabilities!$A$4:$A$253,F260,Capabilities!$J$4:$J$253,"Confirmed",Capabilities!$K$4:$K$253,"OK — verify source"),IF(E260="AIR",COUNTIFS('System map'!$A$4:$A$203,F260,'System map'!$B$4:$B$203,"&lt;&gt;",'System map'!$C$4:$C$203,"&lt;&gt;",'System map'!$D$4:$D$203,"&lt;&gt;"),COUNTIFS(Components!$A$4:$A$253,F260,Components!$B$4:$B$253,E260,Components!$K$4:$K$253,"Confirmed",Components!$L$4:$L$253,"OK — verify source"))))&lt;&gt;1)),"Endpoint not source-reconciled",IF(AND(M260="Confirmed",OR(L260="",K260="",K260="Unknown",K260="Low")),"Confirmed link lacks verification","OK — verify source"))))))))))))))</f>
        <v/>
      </c>
    </row>
    <row r="261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8" t="n"/>
      <c r="M261" s="27" t="n"/>
      <c r="N261" s="27">
        <f>IF(COUNTA(A261:M261)=0,"",IF(OR(A261="",B261="",C261="",D261="",E261="",F261="",I261="",J261="",K261="",M261=""),"Required link detail missing",IF(COUNTIF($A$4:$A$1003,A261)&gt;1,"Duplicate Map Edge ID",IF(NOT(OR(AND(B261="UC",E261="CAP",D261="requires"),AND(B261="CAP",E261="AIR",D261="provided by"),AND(B261="AIR",OR(E261="MOD",E261="DATA",E261="IF",E261="AG",E261="TOOL"),D261="references"),AND(B261="AIR",E261="AIR",D261="depends on"))),"Invalid relationship",IF(AND(M261&lt;&gt;"Superseded",COUNTIFS($B$4:$B$1003,B261,$C$4:$C$1003,C261,$D$4:$D$1003,D261,$E$4:$E$1003,E261,$F$4:$F$1003,F261,$G$4:$G$1003,G261,$M$4:$M$1003,"&lt;&gt;Superseded")&gt;1),"Duplicate relationship",IF(OR(IF(B261="UC",COUNTIF('Use cases'!$A$4:$A$253,C261),IF(B261="CAP",COUNTIF(Capabilities!$A$4:$A$253,C261),IF(B261="AIR",COUNTIF('System map'!$A$4:$A$203,C261),COUNTIFS(Components!$A$4:$A$253,C261,Components!$B$4:$B$253,B261))))&lt;&gt;1,IF(E261="UC",COUNTIF('Use cases'!$A$4:$A$253,F261),IF(E261="CAP",COUNTIF(Capabilities!$A$4:$A$253,F261),IF(E261="AIR",COUNTIF('System map'!$A$4:$A$203,F261),COUNTIFS(Components!$A$4:$A$253,F261,Components!$B$4:$B$253,E261))))&lt;&gt;1),"Endpoint missing or duplicated",IF(AND(NOT(AND(B261="UC",E261="CAP")),OR(G261="",COUNTIF('System map'!$A$4:$A$203,G261)&lt;&gt;1)),"AIR context missing / unknown",IF(AND(B261="CAP",E261="AIR",G261&lt;&gt;F261),"AIR context mismatch",IF(AND(B261="AIR",G261&lt;&gt;C261),"AIR context mismatch",IF(AND(B261="AIR",E261="AIR",C261=F261),"Self-dependency",IF(AND(B261="AIR",E261="AIR",M261&lt;&gt;"Superseded",COUNTIFS($B$4:$B$1003,"AIR",$C$4:$C$1003,F261,$E$4:$E$1003,"AIR",$F$4:$F$1003,C261,$M$4:$M$1003,"&lt;&gt;Superseded")&gt;0),"Dependency cycle (A↔B) — review",IF(AND(B261="AIR",OR(E261="MOD",E261="DATA",E261="IF",E261="AG",E261="TOOL"),IFERROR(INDEX(Components!$G$4:$G$253,MATCH(F261,Components!$A$4:$A$253,0)),"")&lt;&gt;"",IFERROR(INDEX(Components!$G$4:$G$253,MATCH(F261,Components!$A$4:$A$253,0)),"")&lt;&gt;C261),"Component owned by another AIR-ID",IF(AND(M261="Confirmed",OR(IF(B261="UC",COUNTIFS('Use cases'!$A$4:$A$253,C261,'Use cases'!$I$4:$I$253,"Confirmed",'Use cases'!$J$4:$J$253,"OK — verify source"),IF(B261="CAP",COUNTIFS(Capabilities!$A$4:$A$253,C261,Capabilities!$J$4:$J$253,"Confirmed",Capabilities!$K$4:$K$253,"OK — verify source"),IF(B261="AIR",COUNTIFS('System map'!$A$4:$A$203,C261,'System map'!$B$4:$B$203,"&lt;&gt;",'System map'!$C$4:$C$203,"&lt;&gt;",'System map'!$D$4:$D$203,"&lt;&gt;"),COUNTIFS(Components!$A$4:$A$253,C261,Components!$B$4:$B$253,B261,Components!$K$4:$K$253,"Confirmed",Components!$L$4:$L$253,"OK — verify source"))))&lt;&gt;1,IF(E261="UC",COUNTIFS('Use cases'!$A$4:$A$253,F261,'Use cases'!$I$4:$I$253,"Confirmed",'Use cases'!$J$4:$J$253,"OK — verify source"),IF(E261="CAP",COUNTIFS(Capabilities!$A$4:$A$253,F261,Capabilities!$J$4:$J$253,"Confirmed",Capabilities!$K$4:$K$253,"OK — verify source"),IF(E261="AIR",COUNTIFS('System map'!$A$4:$A$203,F261,'System map'!$B$4:$B$203,"&lt;&gt;",'System map'!$C$4:$C$203,"&lt;&gt;",'System map'!$D$4:$D$203,"&lt;&gt;"),COUNTIFS(Components!$A$4:$A$253,F261,Components!$B$4:$B$253,E261,Components!$K$4:$K$253,"Confirmed",Components!$L$4:$L$253,"OK — verify source"))))&lt;&gt;1)),"Endpoint not source-reconciled",IF(AND(M261="Confirmed",OR(L261="",K261="",K261="Unknown",K261="Low")),"Confirmed link lacks verification","OK — verify source"))))))))))))))</f>
        <v/>
      </c>
    </row>
    <row r="262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6" t="n"/>
      <c r="M262" s="25" t="n"/>
      <c r="N262" s="25">
        <f>IF(COUNTA(A262:M262)=0,"",IF(OR(A262="",B262="",C262="",D262="",E262="",F262="",I262="",J262="",K262="",M262=""),"Required link detail missing",IF(COUNTIF($A$4:$A$1003,A262)&gt;1,"Duplicate Map Edge ID",IF(NOT(OR(AND(B262="UC",E262="CAP",D262="requires"),AND(B262="CAP",E262="AIR",D262="provided by"),AND(B262="AIR",OR(E262="MOD",E262="DATA",E262="IF",E262="AG",E262="TOOL"),D262="references"),AND(B262="AIR",E262="AIR",D262="depends on"))),"Invalid relationship",IF(AND(M262&lt;&gt;"Superseded",COUNTIFS($B$4:$B$1003,B262,$C$4:$C$1003,C262,$D$4:$D$1003,D262,$E$4:$E$1003,E262,$F$4:$F$1003,F262,$G$4:$G$1003,G262,$M$4:$M$1003,"&lt;&gt;Superseded")&gt;1),"Duplicate relationship",IF(OR(IF(B262="UC",COUNTIF('Use cases'!$A$4:$A$253,C262),IF(B262="CAP",COUNTIF(Capabilities!$A$4:$A$253,C262),IF(B262="AIR",COUNTIF('System map'!$A$4:$A$203,C262),COUNTIFS(Components!$A$4:$A$253,C262,Components!$B$4:$B$253,B262))))&lt;&gt;1,IF(E262="UC",COUNTIF('Use cases'!$A$4:$A$253,F262),IF(E262="CAP",COUNTIF(Capabilities!$A$4:$A$253,F262),IF(E262="AIR",COUNTIF('System map'!$A$4:$A$203,F262),COUNTIFS(Components!$A$4:$A$253,F262,Components!$B$4:$B$253,E262))))&lt;&gt;1),"Endpoint missing or duplicated",IF(AND(NOT(AND(B262="UC",E262="CAP")),OR(G262="",COUNTIF('System map'!$A$4:$A$203,G262)&lt;&gt;1)),"AIR context missing / unknown",IF(AND(B262="CAP",E262="AIR",G262&lt;&gt;F262),"AIR context mismatch",IF(AND(B262="AIR",G262&lt;&gt;C262),"AIR context mismatch",IF(AND(B262="AIR",E262="AIR",C262=F262),"Self-dependency",IF(AND(B262="AIR",E262="AIR",M262&lt;&gt;"Superseded",COUNTIFS($B$4:$B$1003,"AIR",$C$4:$C$1003,F262,$E$4:$E$1003,"AIR",$F$4:$F$1003,C262,$M$4:$M$1003,"&lt;&gt;Superseded")&gt;0),"Dependency cycle (A↔B) — review",IF(AND(B262="AIR",OR(E262="MOD",E262="DATA",E262="IF",E262="AG",E262="TOOL"),IFERROR(INDEX(Components!$G$4:$G$253,MATCH(F262,Components!$A$4:$A$253,0)),"")&lt;&gt;"",IFERROR(INDEX(Components!$G$4:$G$253,MATCH(F262,Components!$A$4:$A$253,0)),"")&lt;&gt;C262),"Component owned by another AIR-ID",IF(AND(M262="Confirmed",OR(IF(B262="UC",COUNTIFS('Use cases'!$A$4:$A$253,C262,'Use cases'!$I$4:$I$253,"Confirmed",'Use cases'!$J$4:$J$253,"OK — verify source"),IF(B262="CAP",COUNTIFS(Capabilities!$A$4:$A$253,C262,Capabilities!$J$4:$J$253,"Confirmed",Capabilities!$K$4:$K$253,"OK — verify source"),IF(B262="AIR",COUNTIFS('System map'!$A$4:$A$203,C262,'System map'!$B$4:$B$203,"&lt;&gt;",'System map'!$C$4:$C$203,"&lt;&gt;",'System map'!$D$4:$D$203,"&lt;&gt;"),COUNTIFS(Components!$A$4:$A$253,C262,Components!$B$4:$B$253,B262,Components!$K$4:$K$253,"Confirmed",Components!$L$4:$L$253,"OK — verify source"))))&lt;&gt;1,IF(E262="UC",COUNTIFS('Use cases'!$A$4:$A$253,F262,'Use cases'!$I$4:$I$253,"Confirmed",'Use cases'!$J$4:$J$253,"OK — verify source"),IF(E262="CAP",COUNTIFS(Capabilities!$A$4:$A$253,F262,Capabilities!$J$4:$J$253,"Confirmed",Capabilities!$K$4:$K$253,"OK — verify source"),IF(E262="AIR",COUNTIFS('System map'!$A$4:$A$203,F262,'System map'!$B$4:$B$203,"&lt;&gt;",'System map'!$C$4:$C$203,"&lt;&gt;",'System map'!$D$4:$D$203,"&lt;&gt;"),COUNTIFS(Components!$A$4:$A$253,F262,Components!$B$4:$B$253,E262,Components!$K$4:$K$253,"Confirmed",Components!$L$4:$L$253,"OK — verify source"))))&lt;&gt;1)),"Endpoint not source-reconciled",IF(AND(M262="Confirmed",OR(L262="",K262="",K262="Unknown",K262="Low")),"Confirmed link lacks verification","OK — verify source"))))))))))))))</f>
        <v/>
      </c>
    </row>
    <row r="263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8" t="n"/>
      <c r="M263" s="27" t="n"/>
      <c r="N263" s="27">
        <f>IF(COUNTA(A263:M263)=0,"",IF(OR(A263="",B263="",C263="",D263="",E263="",F263="",I263="",J263="",K263="",M263=""),"Required link detail missing",IF(COUNTIF($A$4:$A$1003,A263)&gt;1,"Duplicate Map Edge ID",IF(NOT(OR(AND(B263="UC",E263="CAP",D263="requires"),AND(B263="CAP",E263="AIR",D263="provided by"),AND(B263="AIR",OR(E263="MOD",E263="DATA",E263="IF",E263="AG",E263="TOOL"),D263="references"),AND(B263="AIR",E263="AIR",D263="depends on"))),"Invalid relationship",IF(AND(M263&lt;&gt;"Superseded",COUNTIFS($B$4:$B$1003,B263,$C$4:$C$1003,C263,$D$4:$D$1003,D263,$E$4:$E$1003,E263,$F$4:$F$1003,F263,$G$4:$G$1003,G263,$M$4:$M$1003,"&lt;&gt;Superseded")&gt;1),"Duplicate relationship",IF(OR(IF(B263="UC",COUNTIF('Use cases'!$A$4:$A$253,C263),IF(B263="CAP",COUNTIF(Capabilities!$A$4:$A$253,C263),IF(B263="AIR",COUNTIF('System map'!$A$4:$A$203,C263),COUNTIFS(Components!$A$4:$A$253,C263,Components!$B$4:$B$253,B263))))&lt;&gt;1,IF(E263="UC",COUNTIF('Use cases'!$A$4:$A$253,F263),IF(E263="CAP",COUNTIF(Capabilities!$A$4:$A$253,F263),IF(E263="AIR",COUNTIF('System map'!$A$4:$A$203,F263),COUNTIFS(Components!$A$4:$A$253,F263,Components!$B$4:$B$253,E263))))&lt;&gt;1),"Endpoint missing or duplicated",IF(AND(NOT(AND(B263="UC",E263="CAP")),OR(G263="",COUNTIF('System map'!$A$4:$A$203,G263)&lt;&gt;1)),"AIR context missing / unknown",IF(AND(B263="CAP",E263="AIR",G263&lt;&gt;F263),"AIR context mismatch",IF(AND(B263="AIR",G263&lt;&gt;C263),"AIR context mismatch",IF(AND(B263="AIR",E263="AIR",C263=F263),"Self-dependency",IF(AND(B263="AIR",E263="AIR",M263&lt;&gt;"Superseded",COUNTIFS($B$4:$B$1003,"AIR",$C$4:$C$1003,F263,$E$4:$E$1003,"AIR",$F$4:$F$1003,C263,$M$4:$M$1003,"&lt;&gt;Superseded")&gt;0),"Dependency cycle (A↔B) — review",IF(AND(B263="AIR",OR(E263="MOD",E263="DATA",E263="IF",E263="AG",E263="TOOL"),IFERROR(INDEX(Components!$G$4:$G$253,MATCH(F263,Components!$A$4:$A$253,0)),"")&lt;&gt;"",IFERROR(INDEX(Components!$G$4:$G$253,MATCH(F263,Components!$A$4:$A$253,0)),"")&lt;&gt;C263),"Component owned by another AIR-ID",IF(AND(M263="Confirmed",OR(IF(B263="UC",COUNTIFS('Use cases'!$A$4:$A$253,C263,'Use cases'!$I$4:$I$253,"Confirmed",'Use cases'!$J$4:$J$253,"OK — verify source"),IF(B263="CAP",COUNTIFS(Capabilities!$A$4:$A$253,C263,Capabilities!$J$4:$J$253,"Confirmed",Capabilities!$K$4:$K$253,"OK — verify source"),IF(B263="AIR",COUNTIFS('System map'!$A$4:$A$203,C263,'System map'!$B$4:$B$203,"&lt;&gt;",'System map'!$C$4:$C$203,"&lt;&gt;",'System map'!$D$4:$D$203,"&lt;&gt;"),COUNTIFS(Components!$A$4:$A$253,C263,Components!$B$4:$B$253,B263,Components!$K$4:$K$253,"Confirmed",Components!$L$4:$L$253,"OK — verify source"))))&lt;&gt;1,IF(E263="UC",COUNTIFS('Use cases'!$A$4:$A$253,F263,'Use cases'!$I$4:$I$253,"Confirmed",'Use cases'!$J$4:$J$253,"OK — verify source"),IF(E263="CAP",COUNTIFS(Capabilities!$A$4:$A$253,F263,Capabilities!$J$4:$J$253,"Confirmed",Capabilities!$K$4:$K$253,"OK — verify source"),IF(E263="AIR",COUNTIFS('System map'!$A$4:$A$203,F263,'System map'!$B$4:$B$203,"&lt;&gt;",'System map'!$C$4:$C$203,"&lt;&gt;",'System map'!$D$4:$D$203,"&lt;&gt;"),COUNTIFS(Components!$A$4:$A$253,F263,Components!$B$4:$B$253,E263,Components!$K$4:$K$253,"Confirmed",Components!$L$4:$L$253,"OK — verify source"))))&lt;&gt;1)),"Endpoint not source-reconciled",IF(AND(M263="Confirmed",OR(L263="",K263="",K263="Unknown",K263="Low")),"Confirmed link lacks verification","OK — verify source"))))))))))))))</f>
        <v/>
      </c>
    </row>
    <row r="2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6" t="n"/>
      <c r="M264" s="25" t="n"/>
      <c r="N264" s="25">
        <f>IF(COUNTA(A264:M264)=0,"",IF(OR(A264="",B264="",C264="",D264="",E264="",F264="",I264="",J264="",K264="",M264=""),"Required link detail missing",IF(COUNTIF($A$4:$A$1003,A264)&gt;1,"Duplicate Map Edge ID",IF(NOT(OR(AND(B264="UC",E264="CAP",D264="requires"),AND(B264="CAP",E264="AIR",D264="provided by"),AND(B264="AIR",OR(E264="MOD",E264="DATA",E264="IF",E264="AG",E264="TOOL"),D264="references"),AND(B264="AIR",E264="AIR",D264="depends on"))),"Invalid relationship",IF(AND(M264&lt;&gt;"Superseded",COUNTIFS($B$4:$B$1003,B264,$C$4:$C$1003,C264,$D$4:$D$1003,D264,$E$4:$E$1003,E264,$F$4:$F$1003,F264,$G$4:$G$1003,G264,$M$4:$M$1003,"&lt;&gt;Superseded")&gt;1),"Duplicate relationship",IF(OR(IF(B264="UC",COUNTIF('Use cases'!$A$4:$A$253,C264),IF(B264="CAP",COUNTIF(Capabilities!$A$4:$A$253,C264),IF(B264="AIR",COUNTIF('System map'!$A$4:$A$203,C264),COUNTIFS(Components!$A$4:$A$253,C264,Components!$B$4:$B$253,B264))))&lt;&gt;1,IF(E264="UC",COUNTIF('Use cases'!$A$4:$A$253,F264),IF(E264="CAP",COUNTIF(Capabilities!$A$4:$A$253,F264),IF(E264="AIR",COUNTIF('System map'!$A$4:$A$203,F264),COUNTIFS(Components!$A$4:$A$253,F264,Components!$B$4:$B$253,E264))))&lt;&gt;1),"Endpoint missing or duplicated",IF(AND(NOT(AND(B264="UC",E264="CAP")),OR(G264="",COUNTIF('System map'!$A$4:$A$203,G264)&lt;&gt;1)),"AIR context missing / unknown",IF(AND(B264="CAP",E264="AIR",G264&lt;&gt;F264),"AIR context mismatch",IF(AND(B264="AIR",G264&lt;&gt;C264),"AIR context mismatch",IF(AND(B264="AIR",E264="AIR",C264=F264),"Self-dependency",IF(AND(B264="AIR",E264="AIR",M264&lt;&gt;"Superseded",COUNTIFS($B$4:$B$1003,"AIR",$C$4:$C$1003,F264,$E$4:$E$1003,"AIR",$F$4:$F$1003,C264,$M$4:$M$1003,"&lt;&gt;Superseded")&gt;0),"Dependency cycle (A↔B) — review",IF(AND(B264="AIR",OR(E264="MOD",E264="DATA",E264="IF",E264="AG",E264="TOOL"),IFERROR(INDEX(Components!$G$4:$G$253,MATCH(F264,Components!$A$4:$A$253,0)),"")&lt;&gt;"",IFERROR(INDEX(Components!$G$4:$G$253,MATCH(F264,Components!$A$4:$A$253,0)),"")&lt;&gt;C264),"Component owned by another AIR-ID",IF(AND(M264="Confirmed",OR(IF(B264="UC",COUNTIFS('Use cases'!$A$4:$A$253,C264,'Use cases'!$I$4:$I$253,"Confirmed",'Use cases'!$J$4:$J$253,"OK — verify source"),IF(B264="CAP",COUNTIFS(Capabilities!$A$4:$A$253,C264,Capabilities!$J$4:$J$253,"Confirmed",Capabilities!$K$4:$K$253,"OK — verify source"),IF(B264="AIR",COUNTIFS('System map'!$A$4:$A$203,C264,'System map'!$B$4:$B$203,"&lt;&gt;",'System map'!$C$4:$C$203,"&lt;&gt;",'System map'!$D$4:$D$203,"&lt;&gt;"),COUNTIFS(Components!$A$4:$A$253,C264,Components!$B$4:$B$253,B264,Components!$K$4:$K$253,"Confirmed",Components!$L$4:$L$253,"OK — verify source"))))&lt;&gt;1,IF(E264="UC",COUNTIFS('Use cases'!$A$4:$A$253,F264,'Use cases'!$I$4:$I$253,"Confirmed",'Use cases'!$J$4:$J$253,"OK — verify source"),IF(E264="CAP",COUNTIFS(Capabilities!$A$4:$A$253,F264,Capabilities!$J$4:$J$253,"Confirmed",Capabilities!$K$4:$K$253,"OK — verify source"),IF(E264="AIR",COUNTIFS('System map'!$A$4:$A$203,F264,'System map'!$B$4:$B$203,"&lt;&gt;",'System map'!$C$4:$C$203,"&lt;&gt;",'System map'!$D$4:$D$203,"&lt;&gt;"),COUNTIFS(Components!$A$4:$A$253,F264,Components!$B$4:$B$253,E264,Components!$K$4:$K$253,"Confirmed",Components!$L$4:$L$253,"OK — verify source"))))&lt;&gt;1)),"Endpoint not source-reconciled",IF(AND(M264="Confirmed",OR(L264="",K264="",K264="Unknown",K264="Low")),"Confirmed link lacks verification","OK — verify source"))))))))))))))</f>
        <v/>
      </c>
    </row>
    <row r="265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8" t="n"/>
      <c r="M265" s="27" t="n"/>
      <c r="N265" s="27">
        <f>IF(COUNTA(A265:M265)=0,"",IF(OR(A265="",B265="",C265="",D265="",E265="",F265="",I265="",J265="",K265="",M265=""),"Required link detail missing",IF(COUNTIF($A$4:$A$1003,A265)&gt;1,"Duplicate Map Edge ID",IF(NOT(OR(AND(B265="UC",E265="CAP",D265="requires"),AND(B265="CAP",E265="AIR",D265="provided by"),AND(B265="AIR",OR(E265="MOD",E265="DATA",E265="IF",E265="AG",E265="TOOL"),D265="references"),AND(B265="AIR",E265="AIR",D265="depends on"))),"Invalid relationship",IF(AND(M265&lt;&gt;"Superseded",COUNTIFS($B$4:$B$1003,B265,$C$4:$C$1003,C265,$D$4:$D$1003,D265,$E$4:$E$1003,E265,$F$4:$F$1003,F265,$G$4:$G$1003,G265,$M$4:$M$1003,"&lt;&gt;Superseded")&gt;1),"Duplicate relationship",IF(OR(IF(B265="UC",COUNTIF('Use cases'!$A$4:$A$253,C265),IF(B265="CAP",COUNTIF(Capabilities!$A$4:$A$253,C265),IF(B265="AIR",COUNTIF('System map'!$A$4:$A$203,C265),COUNTIFS(Components!$A$4:$A$253,C265,Components!$B$4:$B$253,B265))))&lt;&gt;1,IF(E265="UC",COUNTIF('Use cases'!$A$4:$A$253,F265),IF(E265="CAP",COUNTIF(Capabilities!$A$4:$A$253,F265),IF(E265="AIR",COUNTIF('System map'!$A$4:$A$203,F265),COUNTIFS(Components!$A$4:$A$253,F265,Components!$B$4:$B$253,E265))))&lt;&gt;1),"Endpoint missing or duplicated",IF(AND(NOT(AND(B265="UC",E265="CAP")),OR(G265="",COUNTIF('System map'!$A$4:$A$203,G265)&lt;&gt;1)),"AIR context missing / unknown",IF(AND(B265="CAP",E265="AIR",G265&lt;&gt;F265),"AIR context mismatch",IF(AND(B265="AIR",G265&lt;&gt;C265),"AIR context mismatch",IF(AND(B265="AIR",E265="AIR",C265=F265),"Self-dependency",IF(AND(B265="AIR",E265="AIR",M265&lt;&gt;"Superseded",COUNTIFS($B$4:$B$1003,"AIR",$C$4:$C$1003,F265,$E$4:$E$1003,"AIR",$F$4:$F$1003,C265,$M$4:$M$1003,"&lt;&gt;Superseded")&gt;0),"Dependency cycle (A↔B) — review",IF(AND(B265="AIR",OR(E265="MOD",E265="DATA",E265="IF",E265="AG",E265="TOOL"),IFERROR(INDEX(Components!$G$4:$G$253,MATCH(F265,Components!$A$4:$A$253,0)),"")&lt;&gt;"",IFERROR(INDEX(Components!$G$4:$G$253,MATCH(F265,Components!$A$4:$A$253,0)),"")&lt;&gt;C265),"Component owned by another AIR-ID",IF(AND(M265="Confirmed",OR(IF(B265="UC",COUNTIFS('Use cases'!$A$4:$A$253,C265,'Use cases'!$I$4:$I$253,"Confirmed",'Use cases'!$J$4:$J$253,"OK — verify source"),IF(B265="CAP",COUNTIFS(Capabilities!$A$4:$A$253,C265,Capabilities!$J$4:$J$253,"Confirmed",Capabilities!$K$4:$K$253,"OK — verify source"),IF(B265="AIR",COUNTIFS('System map'!$A$4:$A$203,C265,'System map'!$B$4:$B$203,"&lt;&gt;",'System map'!$C$4:$C$203,"&lt;&gt;",'System map'!$D$4:$D$203,"&lt;&gt;"),COUNTIFS(Components!$A$4:$A$253,C265,Components!$B$4:$B$253,B265,Components!$K$4:$K$253,"Confirmed",Components!$L$4:$L$253,"OK — verify source"))))&lt;&gt;1,IF(E265="UC",COUNTIFS('Use cases'!$A$4:$A$253,F265,'Use cases'!$I$4:$I$253,"Confirmed",'Use cases'!$J$4:$J$253,"OK — verify source"),IF(E265="CAP",COUNTIFS(Capabilities!$A$4:$A$253,F265,Capabilities!$J$4:$J$253,"Confirmed",Capabilities!$K$4:$K$253,"OK — verify source"),IF(E265="AIR",COUNTIFS('System map'!$A$4:$A$203,F265,'System map'!$B$4:$B$203,"&lt;&gt;",'System map'!$C$4:$C$203,"&lt;&gt;",'System map'!$D$4:$D$203,"&lt;&gt;"),COUNTIFS(Components!$A$4:$A$253,F265,Components!$B$4:$B$253,E265,Components!$K$4:$K$253,"Confirmed",Components!$L$4:$L$253,"OK — verify source"))))&lt;&gt;1)),"Endpoint not source-reconciled",IF(AND(M265="Confirmed",OR(L265="",K265="",K265="Unknown",K265="Low")),"Confirmed link lacks verification","OK — verify source"))))))))))))))</f>
        <v/>
      </c>
    </row>
    <row r="266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6" t="n"/>
      <c r="M266" s="25" t="n"/>
      <c r="N266" s="25">
        <f>IF(COUNTA(A266:M266)=0,"",IF(OR(A266="",B266="",C266="",D266="",E266="",F266="",I266="",J266="",K266="",M266=""),"Required link detail missing",IF(COUNTIF($A$4:$A$1003,A266)&gt;1,"Duplicate Map Edge ID",IF(NOT(OR(AND(B266="UC",E266="CAP",D266="requires"),AND(B266="CAP",E266="AIR",D266="provided by"),AND(B266="AIR",OR(E266="MOD",E266="DATA",E266="IF",E266="AG",E266="TOOL"),D266="references"),AND(B266="AIR",E266="AIR",D266="depends on"))),"Invalid relationship",IF(AND(M266&lt;&gt;"Superseded",COUNTIFS($B$4:$B$1003,B266,$C$4:$C$1003,C266,$D$4:$D$1003,D266,$E$4:$E$1003,E266,$F$4:$F$1003,F266,$G$4:$G$1003,G266,$M$4:$M$1003,"&lt;&gt;Superseded")&gt;1),"Duplicate relationship",IF(OR(IF(B266="UC",COUNTIF('Use cases'!$A$4:$A$253,C266),IF(B266="CAP",COUNTIF(Capabilities!$A$4:$A$253,C266),IF(B266="AIR",COUNTIF('System map'!$A$4:$A$203,C266),COUNTIFS(Components!$A$4:$A$253,C266,Components!$B$4:$B$253,B266))))&lt;&gt;1,IF(E266="UC",COUNTIF('Use cases'!$A$4:$A$253,F266),IF(E266="CAP",COUNTIF(Capabilities!$A$4:$A$253,F266),IF(E266="AIR",COUNTIF('System map'!$A$4:$A$203,F266),COUNTIFS(Components!$A$4:$A$253,F266,Components!$B$4:$B$253,E266))))&lt;&gt;1),"Endpoint missing or duplicated",IF(AND(NOT(AND(B266="UC",E266="CAP")),OR(G266="",COUNTIF('System map'!$A$4:$A$203,G266)&lt;&gt;1)),"AIR context missing / unknown",IF(AND(B266="CAP",E266="AIR",G266&lt;&gt;F266),"AIR context mismatch",IF(AND(B266="AIR",G266&lt;&gt;C266),"AIR context mismatch",IF(AND(B266="AIR",E266="AIR",C266=F266),"Self-dependency",IF(AND(B266="AIR",E266="AIR",M266&lt;&gt;"Superseded",COUNTIFS($B$4:$B$1003,"AIR",$C$4:$C$1003,F266,$E$4:$E$1003,"AIR",$F$4:$F$1003,C266,$M$4:$M$1003,"&lt;&gt;Superseded")&gt;0),"Dependency cycle (A↔B) — review",IF(AND(B266="AIR",OR(E266="MOD",E266="DATA",E266="IF",E266="AG",E266="TOOL"),IFERROR(INDEX(Components!$G$4:$G$253,MATCH(F266,Components!$A$4:$A$253,0)),"")&lt;&gt;"",IFERROR(INDEX(Components!$G$4:$G$253,MATCH(F266,Components!$A$4:$A$253,0)),"")&lt;&gt;C266),"Component owned by another AIR-ID",IF(AND(M266="Confirmed",OR(IF(B266="UC",COUNTIFS('Use cases'!$A$4:$A$253,C266,'Use cases'!$I$4:$I$253,"Confirmed",'Use cases'!$J$4:$J$253,"OK — verify source"),IF(B266="CAP",COUNTIFS(Capabilities!$A$4:$A$253,C266,Capabilities!$J$4:$J$253,"Confirmed",Capabilities!$K$4:$K$253,"OK — verify source"),IF(B266="AIR",COUNTIFS('System map'!$A$4:$A$203,C266,'System map'!$B$4:$B$203,"&lt;&gt;",'System map'!$C$4:$C$203,"&lt;&gt;",'System map'!$D$4:$D$203,"&lt;&gt;"),COUNTIFS(Components!$A$4:$A$253,C266,Components!$B$4:$B$253,B266,Components!$K$4:$K$253,"Confirmed",Components!$L$4:$L$253,"OK — verify source"))))&lt;&gt;1,IF(E266="UC",COUNTIFS('Use cases'!$A$4:$A$253,F266,'Use cases'!$I$4:$I$253,"Confirmed",'Use cases'!$J$4:$J$253,"OK — verify source"),IF(E266="CAP",COUNTIFS(Capabilities!$A$4:$A$253,F266,Capabilities!$J$4:$J$253,"Confirmed",Capabilities!$K$4:$K$253,"OK — verify source"),IF(E266="AIR",COUNTIFS('System map'!$A$4:$A$203,F266,'System map'!$B$4:$B$203,"&lt;&gt;",'System map'!$C$4:$C$203,"&lt;&gt;",'System map'!$D$4:$D$203,"&lt;&gt;"),COUNTIFS(Components!$A$4:$A$253,F266,Components!$B$4:$B$253,E266,Components!$K$4:$K$253,"Confirmed",Components!$L$4:$L$253,"OK — verify source"))))&lt;&gt;1)),"Endpoint not source-reconciled",IF(AND(M266="Confirmed",OR(L266="",K266="",K266="Unknown",K266="Low")),"Confirmed link lacks verification","OK — verify source"))))))))))))))</f>
        <v/>
      </c>
    </row>
    <row r="267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8" t="n"/>
      <c r="M267" s="27" t="n"/>
      <c r="N267" s="27">
        <f>IF(COUNTA(A267:M267)=0,"",IF(OR(A267="",B267="",C267="",D267="",E267="",F267="",I267="",J267="",K267="",M267=""),"Required link detail missing",IF(COUNTIF($A$4:$A$1003,A267)&gt;1,"Duplicate Map Edge ID",IF(NOT(OR(AND(B267="UC",E267="CAP",D267="requires"),AND(B267="CAP",E267="AIR",D267="provided by"),AND(B267="AIR",OR(E267="MOD",E267="DATA",E267="IF",E267="AG",E267="TOOL"),D267="references"),AND(B267="AIR",E267="AIR",D267="depends on"))),"Invalid relationship",IF(AND(M267&lt;&gt;"Superseded",COUNTIFS($B$4:$B$1003,B267,$C$4:$C$1003,C267,$D$4:$D$1003,D267,$E$4:$E$1003,E267,$F$4:$F$1003,F267,$G$4:$G$1003,G267,$M$4:$M$1003,"&lt;&gt;Superseded")&gt;1),"Duplicate relationship",IF(OR(IF(B267="UC",COUNTIF('Use cases'!$A$4:$A$253,C267),IF(B267="CAP",COUNTIF(Capabilities!$A$4:$A$253,C267),IF(B267="AIR",COUNTIF('System map'!$A$4:$A$203,C267),COUNTIFS(Components!$A$4:$A$253,C267,Components!$B$4:$B$253,B267))))&lt;&gt;1,IF(E267="UC",COUNTIF('Use cases'!$A$4:$A$253,F267),IF(E267="CAP",COUNTIF(Capabilities!$A$4:$A$253,F267),IF(E267="AIR",COUNTIF('System map'!$A$4:$A$203,F267),COUNTIFS(Components!$A$4:$A$253,F267,Components!$B$4:$B$253,E267))))&lt;&gt;1),"Endpoint missing or duplicated",IF(AND(NOT(AND(B267="UC",E267="CAP")),OR(G267="",COUNTIF('System map'!$A$4:$A$203,G267)&lt;&gt;1)),"AIR context missing / unknown",IF(AND(B267="CAP",E267="AIR",G267&lt;&gt;F267),"AIR context mismatch",IF(AND(B267="AIR",G267&lt;&gt;C267),"AIR context mismatch",IF(AND(B267="AIR",E267="AIR",C267=F267),"Self-dependency",IF(AND(B267="AIR",E267="AIR",M267&lt;&gt;"Superseded",COUNTIFS($B$4:$B$1003,"AIR",$C$4:$C$1003,F267,$E$4:$E$1003,"AIR",$F$4:$F$1003,C267,$M$4:$M$1003,"&lt;&gt;Superseded")&gt;0),"Dependency cycle (A↔B) — review",IF(AND(B267="AIR",OR(E267="MOD",E267="DATA",E267="IF",E267="AG",E267="TOOL"),IFERROR(INDEX(Components!$G$4:$G$253,MATCH(F267,Components!$A$4:$A$253,0)),"")&lt;&gt;"",IFERROR(INDEX(Components!$G$4:$G$253,MATCH(F267,Components!$A$4:$A$253,0)),"")&lt;&gt;C267),"Component owned by another AIR-ID",IF(AND(M267="Confirmed",OR(IF(B267="UC",COUNTIFS('Use cases'!$A$4:$A$253,C267,'Use cases'!$I$4:$I$253,"Confirmed",'Use cases'!$J$4:$J$253,"OK — verify source"),IF(B267="CAP",COUNTIFS(Capabilities!$A$4:$A$253,C267,Capabilities!$J$4:$J$253,"Confirmed",Capabilities!$K$4:$K$253,"OK — verify source"),IF(B267="AIR",COUNTIFS('System map'!$A$4:$A$203,C267,'System map'!$B$4:$B$203,"&lt;&gt;",'System map'!$C$4:$C$203,"&lt;&gt;",'System map'!$D$4:$D$203,"&lt;&gt;"),COUNTIFS(Components!$A$4:$A$253,C267,Components!$B$4:$B$253,B267,Components!$K$4:$K$253,"Confirmed",Components!$L$4:$L$253,"OK — verify source"))))&lt;&gt;1,IF(E267="UC",COUNTIFS('Use cases'!$A$4:$A$253,F267,'Use cases'!$I$4:$I$253,"Confirmed",'Use cases'!$J$4:$J$253,"OK — verify source"),IF(E267="CAP",COUNTIFS(Capabilities!$A$4:$A$253,F267,Capabilities!$J$4:$J$253,"Confirmed",Capabilities!$K$4:$K$253,"OK — verify source"),IF(E267="AIR",COUNTIFS('System map'!$A$4:$A$203,F267,'System map'!$B$4:$B$203,"&lt;&gt;",'System map'!$C$4:$C$203,"&lt;&gt;",'System map'!$D$4:$D$203,"&lt;&gt;"),COUNTIFS(Components!$A$4:$A$253,F267,Components!$B$4:$B$253,E267,Components!$K$4:$K$253,"Confirmed",Components!$L$4:$L$253,"OK — verify source"))))&lt;&gt;1)),"Endpoint not source-reconciled",IF(AND(M267="Confirmed",OR(L267="",K267="",K267="Unknown",K267="Low")),"Confirmed link lacks verification","OK — verify source"))))))))))))))</f>
        <v/>
      </c>
    </row>
    <row r="268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6" t="n"/>
      <c r="M268" s="25" t="n"/>
      <c r="N268" s="25">
        <f>IF(COUNTA(A268:M268)=0,"",IF(OR(A268="",B268="",C268="",D268="",E268="",F268="",I268="",J268="",K268="",M268=""),"Required link detail missing",IF(COUNTIF($A$4:$A$1003,A268)&gt;1,"Duplicate Map Edge ID",IF(NOT(OR(AND(B268="UC",E268="CAP",D268="requires"),AND(B268="CAP",E268="AIR",D268="provided by"),AND(B268="AIR",OR(E268="MOD",E268="DATA",E268="IF",E268="AG",E268="TOOL"),D268="references"),AND(B268="AIR",E268="AIR",D268="depends on"))),"Invalid relationship",IF(AND(M268&lt;&gt;"Superseded",COUNTIFS($B$4:$B$1003,B268,$C$4:$C$1003,C268,$D$4:$D$1003,D268,$E$4:$E$1003,E268,$F$4:$F$1003,F268,$G$4:$G$1003,G268,$M$4:$M$1003,"&lt;&gt;Superseded")&gt;1),"Duplicate relationship",IF(OR(IF(B268="UC",COUNTIF('Use cases'!$A$4:$A$253,C268),IF(B268="CAP",COUNTIF(Capabilities!$A$4:$A$253,C268),IF(B268="AIR",COUNTIF('System map'!$A$4:$A$203,C268),COUNTIFS(Components!$A$4:$A$253,C268,Components!$B$4:$B$253,B268))))&lt;&gt;1,IF(E268="UC",COUNTIF('Use cases'!$A$4:$A$253,F268),IF(E268="CAP",COUNTIF(Capabilities!$A$4:$A$253,F268),IF(E268="AIR",COUNTIF('System map'!$A$4:$A$203,F268),COUNTIFS(Components!$A$4:$A$253,F268,Components!$B$4:$B$253,E268))))&lt;&gt;1),"Endpoint missing or duplicated",IF(AND(NOT(AND(B268="UC",E268="CAP")),OR(G268="",COUNTIF('System map'!$A$4:$A$203,G268)&lt;&gt;1)),"AIR context missing / unknown",IF(AND(B268="CAP",E268="AIR",G268&lt;&gt;F268),"AIR context mismatch",IF(AND(B268="AIR",G268&lt;&gt;C268),"AIR context mismatch",IF(AND(B268="AIR",E268="AIR",C268=F268),"Self-dependency",IF(AND(B268="AIR",E268="AIR",M268&lt;&gt;"Superseded",COUNTIFS($B$4:$B$1003,"AIR",$C$4:$C$1003,F268,$E$4:$E$1003,"AIR",$F$4:$F$1003,C268,$M$4:$M$1003,"&lt;&gt;Superseded")&gt;0),"Dependency cycle (A↔B) — review",IF(AND(B268="AIR",OR(E268="MOD",E268="DATA",E268="IF",E268="AG",E268="TOOL"),IFERROR(INDEX(Components!$G$4:$G$253,MATCH(F268,Components!$A$4:$A$253,0)),"")&lt;&gt;"",IFERROR(INDEX(Components!$G$4:$G$253,MATCH(F268,Components!$A$4:$A$253,0)),"")&lt;&gt;C268),"Component owned by another AIR-ID",IF(AND(M268="Confirmed",OR(IF(B268="UC",COUNTIFS('Use cases'!$A$4:$A$253,C268,'Use cases'!$I$4:$I$253,"Confirmed",'Use cases'!$J$4:$J$253,"OK — verify source"),IF(B268="CAP",COUNTIFS(Capabilities!$A$4:$A$253,C268,Capabilities!$J$4:$J$253,"Confirmed",Capabilities!$K$4:$K$253,"OK — verify source"),IF(B268="AIR",COUNTIFS('System map'!$A$4:$A$203,C268,'System map'!$B$4:$B$203,"&lt;&gt;",'System map'!$C$4:$C$203,"&lt;&gt;",'System map'!$D$4:$D$203,"&lt;&gt;"),COUNTIFS(Components!$A$4:$A$253,C268,Components!$B$4:$B$253,B268,Components!$K$4:$K$253,"Confirmed",Components!$L$4:$L$253,"OK — verify source"))))&lt;&gt;1,IF(E268="UC",COUNTIFS('Use cases'!$A$4:$A$253,F268,'Use cases'!$I$4:$I$253,"Confirmed",'Use cases'!$J$4:$J$253,"OK — verify source"),IF(E268="CAP",COUNTIFS(Capabilities!$A$4:$A$253,F268,Capabilities!$J$4:$J$253,"Confirmed",Capabilities!$K$4:$K$253,"OK — verify source"),IF(E268="AIR",COUNTIFS('System map'!$A$4:$A$203,F268,'System map'!$B$4:$B$203,"&lt;&gt;",'System map'!$C$4:$C$203,"&lt;&gt;",'System map'!$D$4:$D$203,"&lt;&gt;"),COUNTIFS(Components!$A$4:$A$253,F268,Components!$B$4:$B$253,E268,Components!$K$4:$K$253,"Confirmed",Components!$L$4:$L$253,"OK — verify source"))))&lt;&gt;1)),"Endpoint not source-reconciled",IF(AND(M268="Confirmed",OR(L268="",K268="",K268="Unknown",K268="Low")),"Confirmed link lacks verification","OK — verify source"))))))))))))))</f>
        <v/>
      </c>
    </row>
    <row r="269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8" t="n"/>
      <c r="M269" s="27" t="n"/>
      <c r="N269" s="27">
        <f>IF(COUNTA(A269:M269)=0,"",IF(OR(A269="",B269="",C269="",D269="",E269="",F269="",I269="",J269="",K269="",M269=""),"Required link detail missing",IF(COUNTIF($A$4:$A$1003,A269)&gt;1,"Duplicate Map Edge ID",IF(NOT(OR(AND(B269="UC",E269="CAP",D269="requires"),AND(B269="CAP",E269="AIR",D269="provided by"),AND(B269="AIR",OR(E269="MOD",E269="DATA",E269="IF",E269="AG",E269="TOOL"),D269="references"),AND(B269="AIR",E269="AIR",D269="depends on"))),"Invalid relationship",IF(AND(M269&lt;&gt;"Superseded",COUNTIFS($B$4:$B$1003,B269,$C$4:$C$1003,C269,$D$4:$D$1003,D269,$E$4:$E$1003,E269,$F$4:$F$1003,F269,$G$4:$G$1003,G269,$M$4:$M$1003,"&lt;&gt;Superseded")&gt;1),"Duplicate relationship",IF(OR(IF(B269="UC",COUNTIF('Use cases'!$A$4:$A$253,C269),IF(B269="CAP",COUNTIF(Capabilities!$A$4:$A$253,C269),IF(B269="AIR",COUNTIF('System map'!$A$4:$A$203,C269),COUNTIFS(Components!$A$4:$A$253,C269,Components!$B$4:$B$253,B269))))&lt;&gt;1,IF(E269="UC",COUNTIF('Use cases'!$A$4:$A$253,F269),IF(E269="CAP",COUNTIF(Capabilities!$A$4:$A$253,F269),IF(E269="AIR",COUNTIF('System map'!$A$4:$A$203,F269),COUNTIFS(Components!$A$4:$A$253,F269,Components!$B$4:$B$253,E269))))&lt;&gt;1),"Endpoint missing or duplicated",IF(AND(NOT(AND(B269="UC",E269="CAP")),OR(G269="",COUNTIF('System map'!$A$4:$A$203,G269)&lt;&gt;1)),"AIR context missing / unknown",IF(AND(B269="CAP",E269="AIR",G269&lt;&gt;F269),"AIR context mismatch",IF(AND(B269="AIR",G269&lt;&gt;C269),"AIR context mismatch",IF(AND(B269="AIR",E269="AIR",C269=F269),"Self-dependency",IF(AND(B269="AIR",E269="AIR",M269&lt;&gt;"Superseded",COUNTIFS($B$4:$B$1003,"AIR",$C$4:$C$1003,F269,$E$4:$E$1003,"AIR",$F$4:$F$1003,C269,$M$4:$M$1003,"&lt;&gt;Superseded")&gt;0),"Dependency cycle (A↔B) — review",IF(AND(B269="AIR",OR(E269="MOD",E269="DATA",E269="IF",E269="AG",E269="TOOL"),IFERROR(INDEX(Components!$G$4:$G$253,MATCH(F269,Components!$A$4:$A$253,0)),"")&lt;&gt;"",IFERROR(INDEX(Components!$G$4:$G$253,MATCH(F269,Components!$A$4:$A$253,0)),"")&lt;&gt;C269),"Component owned by another AIR-ID",IF(AND(M269="Confirmed",OR(IF(B269="UC",COUNTIFS('Use cases'!$A$4:$A$253,C269,'Use cases'!$I$4:$I$253,"Confirmed",'Use cases'!$J$4:$J$253,"OK — verify source"),IF(B269="CAP",COUNTIFS(Capabilities!$A$4:$A$253,C269,Capabilities!$J$4:$J$253,"Confirmed",Capabilities!$K$4:$K$253,"OK — verify source"),IF(B269="AIR",COUNTIFS('System map'!$A$4:$A$203,C269,'System map'!$B$4:$B$203,"&lt;&gt;",'System map'!$C$4:$C$203,"&lt;&gt;",'System map'!$D$4:$D$203,"&lt;&gt;"),COUNTIFS(Components!$A$4:$A$253,C269,Components!$B$4:$B$253,B269,Components!$K$4:$K$253,"Confirmed",Components!$L$4:$L$253,"OK — verify source"))))&lt;&gt;1,IF(E269="UC",COUNTIFS('Use cases'!$A$4:$A$253,F269,'Use cases'!$I$4:$I$253,"Confirmed",'Use cases'!$J$4:$J$253,"OK — verify source"),IF(E269="CAP",COUNTIFS(Capabilities!$A$4:$A$253,F269,Capabilities!$J$4:$J$253,"Confirmed",Capabilities!$K$4:$K$253,"OK — verify source"),IF(E269="AIR",COUNTIFS('System map'!$A$4:$A$203,F269,'System map'!$B$4:$B$203,"&lt;&gt;",'System map'!$C$4:$C$203,"&lt;&gt;",'System map'!$D$4:$D$203,"&lt;&gt;"),COUNTIFS(Components!$A$4:$A$253,F269,Components!$B$4:$B$253,E269,Components!$K$4:$K$253,"Confirmed",Components!$L$4:$L$253,"OK — verify source"))))&lt;&gt;1)),"Endpoint not source-reconciled",IF(AND(M269="Confirmed",OR(L269="",K269="",K269="Unknown",K269="Low")),"Confirmed link lacks verification","OK — verify source"))))))))))))))</f>
        <v/>
      </c>
    </row>
    <row r="270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6" t="n"/>
      <c r="M270" s="25" t="n"/>
      <c r="N270" s="25">
        <f>IF(COUNTA(A270:M270)=0,"",IF(OR(A270="",B270="",C270="",D270="",E270="",F270="",I270="",J270="",K270="",M270=""),"Required link detail missing",IF(COUNTIF($A$4:$A$1003,A270)&gt;1,"Duplicate Map Edge ID",IF(NOT(OR(AND(B270="UC",E270="CAP",D270="requires"),AND(B270="CAP",E270="AIR",D270="provided by"),AND(B270="AIR",OR(E270="MOD",E270="DATA",E270="IF",E270="AG",E270="TOOL"),D270="references"),AND(B270="AIR",E270="AIR",D270="depends on"))),"Invalid relationship",IF(AND(M270&lt;&gt;"Superseded",COUNTIFS($B$4:$B$1003,B270,$C$4:$C$1003,C270,$D$4:$D$1003,D270,$E$4:$E$1003,E270,$F$4:$F$1003,F270,$G$4:$G$1003,G270,$M$4:$M$1003,"&lt;&gt;Superseded")&gt;1),"Duplicate relationship",IF(OR(IF(B270="UC",COUNTIF('Use cases'!$A$4:$A$253,C270),IF(B270="CAP",COUNTIF(Capabilities!$A$4:$A$253,C270),IF(B270="AIR",COUNTIF('System map'!$A$4:$A$203,C270),COUNTIFS(Components!$A$4:$A$253,C270,Components!$B$4:$B$253,B270))))&lt;&gt;1,IF(E270="UC",COUNTIF('Use cases'!$A$4:$A$253,F270),IF(E270="CAP",COUNTIF(Capabilities!$A$4:$A$253,F270),IF(E270="AIR",COUNTIF('System map'!$A$4:$A$203,F270),COUNTIFS(Components!$A$4:$A$253,F270,Components!$B$4:$B$253,E270))))&lt;&gt;1),"Endpoint missing or duplicated",IF(AND(NOT(AND(B270="UC",E270="CAP")),OR(G270="",COUNTIF('System map'!$A$4:$A$203,G270)&lt;&gt;1)),"AIR context missing / unknown",IF(AND(B270="CAP",E270="AIR",G270&lt;&gt;F270),"AIR context mismatch",IF(AND(B270="AIR",G270&lt;&gt;C270),"AIR context mismatch",IF(AND(B270="AIR",E270="AIR",C270=F270),"Self-dependency",IF(AND(B270="AIR",E270="AIR",M270&lt;&gt;"Superseded",COUNTIFS($B$4:$B$1003,"AIR",$C$4:$C$1003,F270,$E$4:$E$1003,"AIR",$F$4:$F$1003,C270,$M$4:$M$1003,"&lt;&gt;Superseded")&gt;0),"Dependency cycle (A↔B) — review",IF(AND(B270="AIR",OR(E270="MOD",E270="DATA",E270="IF",E270="AG",E270="TOOL"),IFERROR(INDEX(Components!$G$4:$G$253,MATCH(F270,Components!$A$4:$A$253,0)),"")&lt;&gt;"",IFERROR(INDEX(Components!$G$4:$G$253,MATCH(F270,Components!$A$4:$A$253,0)),"")&lt;&gt;C270),"Component owned by another AIR-ID",IF(AND(M270="Confirmed",OR(IF(B270="UC",COUNTIFS('Use cases'!$A$4:$A$253,C270,'Use cases'!$I$4:$I$253,"Confirmed",'Use cases'!$J$4:$J$253,"OK — verify source"),IF(B270="CAP",COUNTIFS(Capabilities!$A$4:$A$253,C270,Capabilities!$J$4:$J$253,"Confirmed",Capabilities!$K$4:$K$253,"OK — verify source"),IF(B270="AIR",COUNTIFS('System map'!$A$4:$A$203,C270,'System map'!$B$4:$B$203,"&lt;&gt;",'System map'!$C$4:$C$203,"&lt;&gt;",'System map'!$D$4:$D$203,"&lt;&gt;"),COUNTIFS(Components!$A$4:$A$253,C270,Components!$B$4:$B$253,B270,Components!$K$4:$K$253,"Confirmed",Components!$L$4:$L$253,"OK — verify source"))))&lt;&gt;1,IF(E270="UC",COUNTIFS('Use cases'!$A$4:$A$253,F270,'Use cases'!$I$4:$I$253,"Confirmed",'Use cases'!$J$4:$J$253,"OK — verify source"),IF(E270="CAP",COUNTIFS(Capabilities!$A$4:$A$253,F270,Capabilities!$J$4:$J$253,"Confirmed",Capabilities!$K$4:$K$253,"OK — verify source"),IF(E270="AIR",COUNTIFS('System map'!$A$4:$A$203,F270,'System map'!$B$4:$B$203,"&lt;&gt;",'System map'!$C$4:$C$203,"&lt;&gt;",'System map'!$D$4:$D$203,"&lt;&gt;"),COUNTIFS(Components!$A$4:$A$253,F270,Components!$B$4:$B$253,E270,Components!$K$4:$K$253,"Confirmed",Components!$L$4:$L$253,"OK — verify source"))))&lt;&gt;1)),"Endpoint not source-reconciled",IF(AND(M270="Confirmed",OR(L270="",K270="",K270="Unknown",K270="Low")),"Confirmed link lacks verification","OK — verify source"))))))))))))))</f>
        <v/>
      </c>
    </row>
    <row r="271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8" t="n"/>
      <c r="M271" s="27" t="n"/>
      <c r="N271" s="27">
        <f>IF(COUNTA(A271:M271)=0,"",IF(OR(A271="",B271="",C271="",D271="",E271="",F271="",I271="",J271="",K271="",M271=""),"Required link detail missing",IF(COUNTIF($A$4:$A$1003,A271)&gt;1,"Duplicate Map Edge ID",IF(NOT(OR(AND(B271="UC",E271="CAP",D271="requires"),AND(B271="CAP",E271="AIR",D271="provided by"),AND(B271="AIR",OR(E271="MOD",E271="DATA",E271="IF",E271="AG",E271="TOOL"),D271="references"),AND(B271="AIR",E271="AIR",D271="depends on"))),"Invalid relationship",IF(AND(M271&lt;&gt;"Superseded",COUNTIFS($B$4:$B$1003,B271,$C$4:$C$1003,C271,$D$4:$D$1003,D271,$E$4:$E$1003,E271,$F$4:$F$1003,F271,$G$4:$G$1003,G271,$M$4:$M$1003,"&lt;&gt;Superseded")&gt;1),"Duplicate relationship",IF(OR(IF(B271="UC",COUNTIF('Use cases'!$A$4:$A$253,C271),IF(B271="CAP",COUNTIF(Capabilities!$A$4:$A$253,C271),IF(B271="AIR",COUNTIF('System map'!$A$4:$A$203,C271),COUNTIFS(Components!$A$4:$A$253,C271,Components!$B$4:$B$253,B271))))&lt;&gt;1,IF(E271="UC",COUNTIF('Use cases'!$A$4:$A$253,F271),IF(E271="CAP",COUNTIF(Capabilities!$A$4:$A$253,F271),IF(E271="AIR",COUNTIF('System map'!$A$4:$A$203,F271),COUNTIFS(Components!$A$4:$A$253,F271,Components!$B$4:$B$253,E271))))&lt;&gt;1),"Endpoint missing or duplicated",IF(AND(NOT(AND(B271="UC",E271="CAP")),OR(G271="",COUNTIF('System map'!$A$4:$A$203,G271)&lt;&gt;1)),"AIR context missing / unknown",IF(AND(B271="CAP",E271="AIR",G271&lt;&gt;F271),"AIR context mismatch",IF(AND(B271="AIR",G271&lt;&gt;C271),"AIR context mismatch",IF(AND(B271="AIR",E271="AIR",C271=F271),"Self-dependency",IF(AND(B271="AIR",E271="AIR",M271&lt;&gt;"Superseded",COUNTIFS($B$4:$B$1003,"AIR",$C$4:$C$1003,F271,$E$4:$E$1003,"AIR",$F$4:$F$1003,C271,$M$4:$M$1003,"&lt;&gt;Superseded")&gt;0),"Dependency cycle (A↔B) — review",IF(AND(B271="AIR",OR(E271="MOD",E271="DATA",E271="IF",E271="AG",E271="TOOL"),IFERROR(INDEX(Components!$G$4:$G$253,MATCH(F271,Components!$A$4:$A$253,0)),"")&lt;&gt;"",IFERROR(INDEX(Components!$G$4:$G$253,MATCH(F271,Components!$A$4:$A$253,0)),"")&lt;&gt;C271),"Component owned by another AIR-ID",IF(AND(M271="Confirmed",OR(IF(B271="UC",COUNTIFS('Use cases'!$A$4:$A$253,C271,'Use cases'!$I$4:$I$253,"Confirmed",'Use cases'!$J$4:$J$253,"OK — verify source"),IF(B271="CAP",COUNTIFS(Capabilities!$A$4:$A$253,C271,Capabilities!$J$4:$J$253,"Confirmed",Capabilities!$K$4:$K$253,"OK — verify source"),IF(B271="AIR",COUNTIFS('System map'!$A$4:$A$203,C271,'System map'!$B$4:$B$203,"&lt;&gt;",'System map'!$C$4:$C$203,"&lt;&gt;",'System map'!$D$4:$D$203,"&lt;&gt;"),COUNTIFS(Components!$A$4:$A$253,C271,Components!$B$4:$B$253,B271,Components!$K$4:$K$253,"Confirmed",Components!$L$4:$L$253,"OK — verify source"))))&lt;&gt;1,IF(E271="UC",COUNTIFS('Use cases'!$A$4:$A$253,F271,'Use cases'!$I$4:$I$253,"Confirmed",'Use cases'!$J$4:$J$253,"OK — verify source"),IF(E271="CAP",COUNTIFS(Capabilities!$A$4:$A$253,F271,Capabilities!$J$4:$J$253,"Confirmed",Capabilities!$K$4:$K$253,"OK — verify source"),IF(E271="AIR",COUNTIFS('System map'!$A$4:$A$203,F271,'System map'!$B$4:$B$203,"&lt;&gt;",'System map'!$C$4:$C$203,"&lt;&gt;",'System map'!$D$4:$D$203,"&lt;&gt;"),COUNTIFS(Components!$A$4:$A$253,F271,Components!$B$4:$B$253,E271,Components!$K$4:$K$253,"Confirmed",Components!$L$4:$L$253,"OK — verify source"))))&lt;&gt;1)),"Endpoint not source-reconciled",IF(AND(M271="Confirmed",OR(L271="",K271="",K271="Unknown",K271="Low")),"Confirmed link lacks verification","OK — verify source"))))))))))))))</f>
        <v/>
      </c>
    </row>
    <row r="272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6" t="n"/>
      <c r="M272" s="25" t="n"/>
      <c r="N272" s="25">
        <f>IF(COUNTA(A272:M272)=0,"",IF(OR(A272="",B272="",C272="",D272="",E272="",F272="",I272="",J272="",K272="",M272=""),"Required link detail missing",IF(COUNTIF($A$4:$A$1003,A272)&gt;1,"Duplicate Map Edge ID",IF(NOT(OR(AND(B272="UC",E272="CAP",D272="requires"),AND(B272="CAP",E272="AIR",D272="provided by"),AND(B272="AIR",OR(E272="MOD",E272="DATA",E272="IF",E272="AG",E272="TOOL"),D272="references"),AND(B272="AIR",E272="AIR",D272="depends on"))),"Invalid relationship",IF(AND(M272&lt;&gt;"Superseded",COUNTIFS($B$4:$B$1003,B272,$C$4:$C$1003,C272,$D$4:$D$1003,D272,$E$4:$E$1003,E272,$F$4:$F$1003,F272,$G$4:$G$1003,G272,$M$4:$M$1003,"&lt;&gt;Superseded")&gt;1),"Duplicate relationship",IF(OR(IF(B272="UC",COUNTIF('Use cases'!$A$4:$A$253,C272),IF(B272="CAP",COUNTIF(Capabilities!$A$4:$A$253,C272),IF(B272="AIR",COUNTIF('System map'!$A$4:$A$203,C272),COUNTIFS(Components!$A$4:$A$253,C272,Components!$B$4:$B$253,B272))))&lt;&gt;1,IF(E272="UC",COUNTIF('Use cases'!$A$4:$A$253,F272),IF(E272="CAP",COUNTIF(Capabilities!$A$4:$A$253,F272),IF(E272="AIR",COUNTIF('System map'!$A$4:$A$203,F272),COUNTIFS(Components!$A$4:$A$253,F272,Components!$B$4:$B$253,E272))))&lt;&gt;1),"Endpoint missing or duplicated",IF(AND(NOT(AND(B272="UC",E272="CAP")),OR(G272="",COUNTIF('System map'!$A$4:$A$203,G272)&lt;&gt;1)),"AIR context missing / unknown",IF(AND(B272="CAP",E272="AIR",G272&lt;&gt;F272),"AIR context mismatch",IF(AND(B272="AIR",G272&lt;&gt;C272),"AIR context mismatch",IF(AND(B272="AIR",E272="AIR",C272=F272),"Self-dependency",IF(AND(B272="AIR",E272="AIR",M272&lt;&gt;"Superseded",COUNTIFS($B$4:$B$1003,"AIR",$C$4:$C$1003,F272,$E$4:$E$1003,"AIR",$F$4:$F$1003,C272,$M$4:$M$1003,"&lt;&gt;Superseded")&gt;0),"Dependency cycle (A↔B) — review",IF(AND(B272="AIR",OR(E272="MOD",E272="DATA",E272="IF",E272="AG",E272="TOOL"),IFERROR(INDEX(Components!$G$4:$G$253,MATCH(F272,Components!$A$4:$A$253,0)),"")&lt;&gt;"",IFERROR(INDEX(Components!$G$4:$G$253,MATCH(F272,Components!$A$4:$A$253,0)),"")&lt;&gt;C272),"Component owned by another AIR-ID",IF(AND(M272="Confirmed",OR(IF(B272="UC",COUNTIFS('Use cases'!$A$4:$A$253,C272,'Use cases'!$I$4:$I$253,"Confirmed",'Use cases'!$J$4:$J$253,"OK — verify source"),IF(B272="CAP",COUNTIFS(Capabilities!$A$4:$A$253,C272,Capabilities!$J$4:$J$253,"Confirmed",Capabilities!$K$4:$K$253,"OK — verify source"),IF(B272="AIR",COUNTIFS('System map'!$A$4:$A$203,C272,'System map'!$B$4:$B$203,"&lt;&gt;",'System map'!$C$4:$C$203,"&lt;&gt;",'System map'!$D$4:$D$203,"&lt;&gt;"),COUNTIFS(Components!$A$4:$A$253,C272,Components!$B$4:$B$253,B272,Components!$K$4:$K$253,"Confirmed",Components!$L$4:$L$253,"OK — verify source"))))&lt;&gt;1,IF(E272="UC",COUNTIFS('Use cases'!$A$4:$A$253,F272,'Use cases'!$I$4:$I$253,"Confirmed",'Use cases'!$J$4:$J$253,"OK — verify source"),IF(E272="CAP",COUNTIFS(Capabilities!$A$4:$A$253,F272,Capabilities!$J$4:$J$253,"Confirmed",Capabilities!$K$4:$K$253,"OK — verify source"),IF(E272="AIR",COUNTIFS('System map'!$A$4:$A$203,F272,'System map'!$B$4:$B$203,"&lt;&gt;",'System map'!$C$4:$C$203,"&lt;&gt;",'System map'!$D$4:$D$203,"&lt;&gt;"),COUNTIFS(Components!$A$4:$A$253,F272,Components!$B$4:$B$253,E272,Components!$K$4:$K$253,"Confirmed",Components!$L$4:$L$253,"OK — verify source"))))&lt;&gt;1)),"Endpoint not source-reconciled",IF(AND(M272="Confirmed",OR(L272="",K272="",K272="Unknown",K272="Low")),"Confirmed link lacks verification","OK — verify source"))))))))))))))</f>
        <v/>
      </c>
    </row>
    <row r="273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8" t="n"/>
      <c r="M273" s="27" t="n"/>
      <c r="N273" s="27">
        <f>IF(COUNTA(A273:M273)=0,"",IF(OR(A273="",B273="",C273="",D273="",E273="",F273="",I273="",J273="",K273="",M273=""),"Required link detail missing",IF(COUNTIF($A$4:$A$1003,A273)&gt;1,"Duplicate Map Edge ID",IF(NOT(OR(AND(B273="UC",E273="CAP",D273="requires"),AND(B273="CAP",E273="AIR",D273="provided by"),AND(B273="AIR",OR(E273="MOD",E273="DATA",E273="IF",E273="AG",E273="TOOL"),D273="references"),AND(B273="AIR",E273="AIR",D273="depends on"))),"Invalid relationship",IF(AND(M273&lt;&gt;"Superseded",COUNTIFS($B$4:$B$1003,B273,$C$4:$C$1003,C273,$D$4:$D$1003,D273,$E$4:$E$1003,E273,$F$4:$F$1003,F273,$G$4:$G$1003,G273,$M$4:$M$1003,"&lt;&gt;Superseded")&gt;1),"Duplicate relationship",IF(OR(IF(B273="UC",COUNTIF('Use cases'!$A$4:$A$253,C273),IF(B273="CAP",COUNTIF(Capabilities!$A$4:$A$253,C273),IF(B273="AIR",COUNTIF('System map'!$A$4:$A$203,C273),COUNTIFS(Components!$A$4:$A$253,C273,Components!$B$4:$B$253,B273))))&lt;&gt;1,IF(E273="UC",COUNTIF('Use cases'!$A$4:$A$253,F273),IF(E273="CAP",COUNTIF(Capabilities!$A$4:$A$253,F273),IF(E273="AIR",COUNTIF('System map'!$A$4:$A$203,F273),COUNTIFS(Components!$A$4:$A$253,F273,Components!$B$4:$B$253,E273))))&lt;&gt;1),"Endpoint missing or duplicated",IF(AND(NOT(AND(B273="UC",E273="CAP")),OR(G273="",COUNTIF('System map'!$A$4:$A$203,G273)&lt;&gt;1)),"AIR context missing / unknown",IF(AND(B273="CAP",E273="AIR",G273&lt;&gt;F273),"AIR context mismatch",IF(AND(B273="AIR",G273&lt;&gt;C273),"AIR context mismatch",IF(AND(B273="AIR",E273="AIR",C273=F273),"Self-dependency",IF(AND(B273="AIR",E273="AIR",M273&lt;&gt;"Superseded",COUNTIFS($B$4:$B$1003,"AIR",$C$4:$C$1003,F273,$E$4:$E$1003,"AIR",$F$4:$F$1003,C273,$M$4:$M$1003,"&lt;&gt;Superseded")&gt;0),"Dependency cycle (A↔B) — review",IF(AND(B273="AIR",OR(E273="MOD",E273="DATA",E273="IF",E273="AG",E273="TOOL"),IFERROR(INDEX(Components!$G$4:$G$253,MATCH(F273,Components!$A$4:$A$253,0)),"")&lt;&gt;"",IFERROR(INDEX(Components!$G$4:$G$253,MATCH(F273,Components!$A$4:$A$253,0)),"")&lt;&gt;C273),"Component owned by another AIR-ID",IF(AND(M273="Confirmed",OR(IF(B273="UC",COUNTIFS('Use cases'!$A$4:$A$253,C273,'Use cases'!$I$4:$I$253,"Confirmed",'Use cases'!$J$4:$J$253,"OK — verify source"),IF(B273="CAP",COUNTIFS(Capabilities!$A$4:$A$253,C273,Capabilities!$J$4:$J$253,"Confirmed",Capabilities!$K$4:$K$253,"OK — verify source"),IF(B273="AIR",COUNTIFS('System map'!$A$4:$A$203,C273,'System map'!$B$4:$B$203,"&lt;&gt;",'System map'!$C$4:$C$203,"&lt;&gt;",'System map'!$D$4:$D$203,"&lt;&gt;"),COUNTIFS(Components!$A$4:$A$253,C273,Components!$B$4:$B$253,B273,Components!$K$4:$K$253,"Confirmed",Components!$L$4:$L$253,"OK — verify source"))))&lt;&gt;1,IF(E273="UC",COUNTIFS('Use cases'!$A$4:$A$253,F273,'Use cases'!$I$4:$I$253,"Confirmed",'Use cases'!$J$4:$J$253,"OK — verify source"),IF(E273="CAP",COUNTIFS(Capabilities!$A$4:$A$253,F273,Capabilities!$J$4:$J$253,"Confirmed",Capabilities!$K$4:$K$253,"OK — verify source"),IF(E273="AIR",COUNTIFS('System map'!$A$4:$A$203,F273,'System map'!$B$4:$B$203,"&lt;&gt;",'System map'!$C$4:$C$203,"&lt;&gt;",'System map'!$D$4:$D$203,"&lt;&gt;"),COUNTIFS(Components!$A$4:$A$253,F273,Components!$B$4:$B$253,E273,Components!$K$4:$K$253,"Confirmed",Components!$L$4:$L$253,"OK — verify source"))))&lt;&gt;1)),"Endpoint not source-reconciled",IF(AND(M273="Confirmed",OR(L273="",K273="",K273="Unknown",K273="Low")),"Confirmed link lacks verification","OK — verify source"))))))))))))))</f>
        <v/>
      </c>
    </row>
    <row r="27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6" t="n"/>
      <c r="M274" s="25" t="n"/>
      <c r="N274" s="25">
        <f>IF(COUNTA(A274:M274)=0,"",IF(OR(A274="",B274="",C274="",D274="",E274="",F274="",I274="",J274="",K274="",M274=""),"Required link detail missing",IF(COUNTIF($A$4:$A$1003,A274)&gt;1,"Duplicate Map Edge ID",IF(NOT(OR(AND(B274="UC",E274="CAP",D274="requires"),AND(B274="CAP",E274="AIR",D274="provided by"),AND(B274="AIR",OR(E274="MOD",E274="DATA",E274="IF",E274="AG",E274="TOOL"),D274="references"),AND(B274="AIR",E274="AIR",D274="depends on"))),"Invalid relationship",IF(AND(M274&lt;&gt;"Superseded",COUNTIFS($B$4:$B$1003,B274,$C$4:$C$1003,C274,$D$4:$D$1003,D274,$E$4:$E$1003,E274,$F$4:$F$1003,F274,$G$4:$G$1003,G274,$M$4:$M$1003,"&lt;&gt;Superseded")&gt;1),"Duplicate relationship",IF(OR(IF(B274="UC",COUNTIF('Use cases'!$A$4:$A$253,C274),IF(B274="CAP",COUNTIF(Capabilities!$A$4:$A$253,C274),IF(B274="AIR",COUNTIF('System map'!$A$4:$A$203,C274),COUNTIFS(Components!$A$4:$A$253,C274,Components!$B$4:$B$253,B274))))&lt;&gt;1,IF(E274="UC",COUNTIF('Use cases'!$A$4:$A$253,F274),IF(E274="CAP",COUNTIF(Capabilities!$A$4:$A$253,F274),IF(E274="AIR",COUNTIF('System map'!$A$4:$A$203,F274),COUNTIFS(Components!$A$4:$A$253,F274,Components!$B$4:$B$253,E274))))&lt;&gt;1),"Endpoint missing or duplicated",IF(AND(NOT(AND(B274="UC",E274="CAP")),OR(G274="",COUNTIF('System map'!$A$4:$A$203,G274)&lt;&gt;1)),"AIR context missing / unknown",IF(AND(B274="CAP",E274="AIR",G274&lt;&gt;F274),"AIR context mismatch",IF(AND(B274="AIR",G274&lt;&gt;C274),"AIR context mismatch",IF(AND(B274="AIR",E274="AIR",C274=F274),"Self-dependency",IF(AND(B274="AIR",E274="AIR",M274&lt;&gt;"Superseded",COUNTIFS($B$4:$B$1003,"AIR",$C$4:$C$1003,F274,$E$4:$E$1003,"AIR",$F$4:$F$1003,C274,$M$4:$M$1003,"&lt;&gt;Superseded")&gt;0),"Dependency cycle (A↔B) — review",IF(AND(B274="AIR",OR(E274="MOD",E274="DATA",E274="IF",E274="AG",E274="TOOL"),IFERROR(INDEX(Components!$G$4:$G$253,MATCH(F274,Components!$A$4:$A$253,0)),"")&lt;&gt;"",IFERROR(INDEX(Components!$G$4:$G$253,MATCH(F274,Components!$A$4:$A$253,0)),"")&lt;&gt;C274),"Component owned by another AIR-ID",IF(AND(M274="Confirmed",OR(IF(B274="UC",COUNTIFS('Use cases'!$A$4:$A$253,C274,'Use cases'!$I$4:$I$253,"Confirmed",'Use cases'!$J$4:$J$253,"OK — verify source"),IF(B274="CAP",COUNTIFS(Capabilities!$A$4:$A$253,C274,Capabilities!$J$4:$J$253,"Confirmed",Capabilities!$K$4:$K$253,"OK — verify source"),IF(B274="AIR",COUNTIFS('System map'!$A$4:$A$203,C274,'System map'!$B$4:$B$203,"&lt;&gt;",'System map'!$C$4:$C$203,"&lt;&gt;",'System map'!$D$4:$D$203,"&lt;&gt;"),COUNTIFS(Components!$A$4:$A$253,C274,Components!$B$4:$B$253,B274,Components!$K$4:$K$253,"Confirmed",Components!$L$4:$L$253,"OK — verify source"))))&lt;&gt;1,IF(E274="UC",COUNTIFS('Use cases'!$A$4:$A$253,F274,'Use cases'!$I$4:$I$253,"Confirmed",'Use cases'!$J$4:$J$253,"OK — verify source"),IF(E274="CAP",COUNTIFS(Capabilities!$A$4:$A$253,F274,Capabilities!$J$4:$J$253,"Confirmed",Capabilities!$K$4:$K$253,"OK — verify source"),IF(E274="AIR",COUNTIFS('System map'!$A$4:$A$203,F274,'System map'!$B$4:$B$203,"&lt;&gt;",'System map'!$C$4:$C$203,"&lt;&gt;",'System map'!$D$4:$D$203,"&lt;&gt;"),COUNTIFS(Components!$A$4:$A$253,F274,Components!$B$4:$B$253,E274,Components!$K$4:$K$253,"Confirmed",Components!$L$4:$L$253,"OK — verify source"))))&lt;&gt;1)),"Endpoint not source-reconciled",IF(AND(M274="Confirmed",OR(L274="",K274="",K274="Unknown",K274="Low")),"Confirmed link lacks verification","OK — verify source"))))))))))))))</f>
        <v/>
      </c>
    </row>
    <row r="275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8" t="n"/>
      <c r="M275" s="27" t="n"/>
      <c r="N275" s="27">
        <f>IF(COUNTA(A275:M275)=0,"",IF(OR(A275="",B275="",C275="",D275="",E275="",F275="",I275="",J275="",K275="",M275=""),"Required link detail missing",IF(COUNTIF($A$4:$A$1003,A275)&gt;1,"Duplicate Map Edge ID",IF(NOT(OR(AND(B275="UC",E275="CAP",D275="requires"),AND(B275="CAP",E275="AIR",D275="provided by"),AND(B275="AIR",OR(E275="MOD",E275="DATA",E275="IF",E275="AG",E275="TOOL"),D275="references"),AND(B275="AIR",E275="AIR",D275="depends on"))),"Invalid relationship",IF(AND(M275&lt;&gt;"Superseded",COUNTIFS($B$4:$B$1003,B275,$C$4:$C$1003,C275,$D$4:$D$1003,D275,$E$4:$E$1003,E275,$F$4:$F$1003,F275,$G$4:$G$1003,G275,$M$4:$M$1003,"&lt;&gt;Superseded")&gt;1),"Duplicate relationship",IF(OR(IF(B275="UC",COUNTIF('Use cases'!$A$4:$A$253,C275),IF(B275="CAP",COUNTIF(Capabilities!$A$4:$A$253,C275),IF(B275="AIR",COUNTIF('System map'!$A$4:$A$203,C275),COUNTIFS(Components!$A$4:$A$253,C275,Components!$B$4:$B$253,B275))))&lt;&gt;1,IF(E275="UC",COUNTIF('Use cases'!$A$4:$A$253,F275),IF(E275="CAP",COUNTIF(Capabilities!$A$4:$A$253,F275),IF(E275="AIR",COUNTIF('System map'!$A$4:$A$203,F275),COUNTIFS(Components!$A$4:$A$253,F275,Components!$B$4:$B$253,E275))))&lt;&gt;1),"Endpoint missing or duplicated",IF(AND(NOT(AND(B275="UC",E275="CAP")),OR(G275="",COUNTIF('System map'!$A$4:$A$203,G275)&lt;&gt;1)),"AIR context missing / unknown",IF(AND(B275="CAP",E275="AIR",G275&lt;&gt;F275),"AIR context mismatch",IF(AND(B275="AIR",G275&lt;&gt;C275),"AIR context mismatch",IF(AND(B275="AIR",E275="AIR",C275=F275),"Self-dependency",IF(AND(B275="AIR",E275="AIR",M275&lt;&gt;"Superseded",COUNTIFS($B$4:$B$1003,"AIR",$C$4:$C$1003,F275,$E$4:$E$1003,"AIR",$F$4:$F$1003,C275,$M$4:$M$1003,"&lt;&gt;Superseded")&gt;0),"Dependency cycle (A↔B) — review",IF(AND(B275="AIR",OR(E275="MOD",E275="DATA",E275="IF",E275="AG",E275="TOOL"),IFERROR(INDEX(Components!$G$4:$G$253,MATCH(F275,Components!$A$4:$A$253,0)),"")&lt;&gt;"",IFERROR(INDEX(Components!$G$4:$G$253,MATCH(F275,Components!$A$4:$A$253,0)),"")&lt;&gt;C275),"Component owned by another AIR-ID",IF(AND(M275="Confirmed",OR(IF(B275="UC",COUNTIFS('Use cases'!$A$4:$A$253,C275,'Use cases'!$I$4:$I$253,"Confirmed",'Use cases'!$J$4:$J$253,"OK — verify source"),IF(B275="CAP",COUNTIFS(Capabilities!$A$4:$A$253,C275,Capabilities!$J$4:$J$253,"Confirmed",Capabilities!$K$4:$K$253,"OK — verify source"),IF(B275="AIR",COUNTIFS('System map'!$A$4:$A$203,C275,'System map'!$B$4:$B$203,"&lt;&gt;",'System map'!$C$4:$C$203,"&lt;&gt;",'System map'!$D$4:$D$203,"&lt;&gt;"),COUNTIFS(Components!$A$4:$A$253,C275,Components!$B$4:$B$253,B275,Components!$K$4:$K$253,"Confirmed",Components!$L$4:$L$253,"OK — verify source"))))&lt;&gt;1,IF(E275="UC",COUNTIFS('Use cases'!$A$4:$A$253,F275,'Use cases'!$I$4:$I$253,"Confirmed",'Use cases'!$J$4:$J$253,"OK — verify source"),IF(E275="CAP",COUNTIFS(Capabilities!$A$4:$A$253,F275,Capabilities!$J$4:$J$253,"Confirmed",Capabilities!$K$4:$K$253,"OK — verify source"),IF(E275="AIR",COUNTIFS('System map'!$A$4:$A$203,F275,'System map'!$B$4:$B$203,"&lt;&gt;",'System map'!$C$4:$C$203,"&lt;&gt;",'System map'!$D$4:$D$203,"&lt;&gt;"),COUNTIFS(Components!$A$4:$A$253,F275,Components!$B$4:$B$253,E275,Components!$K$4:$K$253,"Confirmed",Components!$L$4:$L$253,"OK — verify source"))))&lt;&gt;1)),"Endpoint not source-reconciled",IF(AND(M275="Confirmed",OR(L275="",K275="",K275="Unknown",K275="Low")),"Confirmed link lacks verification","OK — verify source"))))))))))))))</f>
        <v/>
      </c>
    </row>
    <row r="276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6" t="n"/>
      <c r="M276" s="25" t="n"/>
      <c r="N276" s="25">
        <f>IF(COUNTA(A276:M276)=0,"",IF(OR(A276="",B276="",C276="",D276="",E276="",F276="",I276="",J276="",K276="",M276=""),"Required link detail missing",IF(COUNTIF($A$4:$A$1003,A276)&gt;1,"Duplicate Map Edge ID",IF(NOT(OR(AND(B276="UC",E276="CAP",D276="requires"),AND(B276="CAP",E276="AIR",D276="provided by"),AND(B276="AIR",OR(E276="MOD",E276="DATA",E276="IF",E276="AG",E276="TOOL"),D276="references"),AND(B276="AIR",E276="AIR",D276="depends on"))),"Invalid relationship",IF(AND(M276&lt;&gt;"Superseded",COUNTIFS($B$4:$B$1003,B276,$C$4:$C$1003,C276,$D$4:$D$1003,D276,$E$4:$E$1003,E276,$F$4:$F$1003,F276,$G$4:$G$1003,G276,$M$4:$M$1003,"&lt;&gt;Superseded")&gt;1),"Duplicate relationship",IF(OR(IF(B276="UC",COUNTIF('Use cases'!$A$4:$A$253,C276),IF(B276="CAP",COUNTIF(Capabilities!$A$4:$A$253,C276),IF(B276="AIR",COUNTIF('System map'!$A$4:$A$203,C276),COUNTIFS(Components!$A$4:$A$253,C276,Components!$B$4:$B$253,B276))))&lt;&gt;1,IF(E276="UC",COUNTIF('Use cases'!$A$4:$A$253,F276),IF(E276="CAP",COUNTIF(Capabilities!$A$4:$A$253,F276),IF(E276="AIR",COUNTIF('System map'!$A$4:$A$203,F276),COUNTIFS(Components!$A$4:$A$253,F276,Components!$B$4:$B$253,E276))))&lt;&gt;1),"Endpoint missing or duplicated",IF(AND(NOT(AND(B276="UC",E276="CAP")),OR(G276="",COUNTIF('System map'!$A$4:$A$203,G276)&lt;&gt;1)),"AIR context missing / unknown",IF(AND(B276="CAP",E276="AIR",G276&lt;&gt;F276),"AIR context mismatch",IF(AND(B276="AIR",G276&lt;&gt;C276),"AIR context mismatch",IF(AND(B276="AIR",E276="AIR",C276=F276),"Self-dependency",IF(AND(B276="AIR",E276="AIR",M276&lt;&gt;"Superseded",COUNTIFS($B$4:$B$1003,"AIR",$C$4:$C$1003,F276,$E$4:$E$1003,"AIR",$F$4:$F$1003,C276,$M$4:$M$1003,"&lt;&gt;Superseded")&gt;0),"Dependency cycle (A↔B) — review",IF(AND(B276="AIR",OR(E276="MOD",E276="DATA",E276="IF",E276="AG",E276="TOOL"),IFERROR(INDEX(Components!$G$4:$G$253,MATCH(F276,Components!$A$4:$A$253,0)),"")&lt;&gt;"",IFERROR(INDEX(Components!$G$4:$G$253,MATCH(F276,Components!$A$4:$A$253,0)),"")&lt;&gt;C276),"Component owned by another AIR-ID",IF(AND(M276="Confirmed",OR(IF(B276="UC",COUNTIFS('Use cases'!$A$4:$A$253,C276,'Use cases'!$I$4:$I$253,"Confirmed",'Use cases'!$J$4:$J$253,"OK — verify source"),IF(B276="CAP",COUNTIFS(Capabilities!$A$4:$A$253,C276,Capabilities!$J$4:$J$253,"Confirmed",Capabilities!$K$4:$K$253,"OK — verify source"),IF(B276="AIR",COUNTIFS('System map'!$A$4:$A$203,C276,'System map'!$B$4:$B$203,"&lt;&gt;",'System map'!$C$4:$C$203,"&lt;&gt;",'System map'!$D$4:$D$203,"&lt;&gt;"),COUNTIFS(Components!$A$4:$A$253,C276,Components!$B$4:$B$253,B276,Components!$K$4:$K$253,"Confirmed",Components!$L$4:$L$253,"OK — verify source"))))&lt;&gt;1,IF(E276="UC",COUNTIFS('Use cases'!$A$4:$A$253,F276,'Use cases'!$I$4:$I$253,"Confirmed",'Use cases'!$J$4:$J$253,"OK — verify source"),IF(E276="CAP",COUNTIFS(Capabilities!$A$4:$A$253,F276,Capabilities!$J$4:$J$253,"Confirmed",Capabilities!$K$4:$K$253,"OK — verify source"),IF(E276="AIR",COUNTIFS('System map'!$A$4:$A$203,F276,'System map'!$B$4:$B$203,"&lt;&gt;",'System map'!$C$4:$C$203,"&lt;&gt;",'System map'!$D$4:$D$203,"&lt;&gt;"),COUNTIFS(Components!$A$4:$A$253,F276,Components!$B$4:$B$253,E276,Components!$K$4:$K$253,"Confirmed",Components!$L$4:$L$253,"OK — verify source"))))&lt;&gt;1)),"Endpoint not source-reconciled",IF(AND(M276="Confirmed",OR(L276="",K276="",K276="Unknown",K276="Low")),"Confirmed link lacks verification","OK — verify source"))))))))))))))</f>
        <v/>
      </c>
    </row>
    <row r="277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8" t="n"/>
      <c r="M277" s="27" t="n"/>
      <c r="N277" s="27">
        <f>IF(COUNTA(A277:M277)=0,"",IF(OR(A277="",B277="",C277="",D277="",E277="",F277="",I277="",J277="",K277="",M277=""),"Required link detail missing",IF(COUNTIF($A$4:$A$1003,A277)&gt;1,"Duplicate Map Edge ID",IF(NOT(OR(AND(B277="UC",E277="CAP",D277="requires"),AND(B277="CAP",E277="AIR",D277="provided by"),AND(B277="AIR",OR(E277="MOD",E277="DATA",E277="IF",E277="AG",E277="TOOL"),D277="references"),AND(B277="AIR",E277="AIR",D277="depends on"))),"Invalid relationship",IF(AND(M277&lt;&gt;"Superseded",COUNTIFS($B$4:$B$1003,B277,$C$4:$C$1003,C277,$D$4:$D$1003,D277,$E$4:$E$1003,E277,$F$4:$F$1003,F277,$G$4:$G$1003,G277,$M$4:$M$1003,"&lt;&gt;Superseded")&gt;1),"Duplicate relationship",IF(OR(IF(B277="UC",COUNTIF('Use cases'!$A$4:$A$253,C277),IF(B277="CAP",COUNTIF(Capabilities!$A$4:$A$253,C277),IF(B277="AIR",COUNTIF('System map'!$A$4:$A$203,C277),COUNTIFS(Components!$A$4:$A$253,C277,Components!$B$4:$B$253,B277))))&lt;&gt;1,IF(E277="UC",COUNTIF('Use cases'!$A$4:$A$253,F277),IF(E277="CAP",COUNTIF(Capabilities!$A$4:$A$253,F277),IF(E277="AIR",COUNTIF('System map'!$A$4:$A$203,F277),COUNTIFS(Components!$A$4:$A$253,F277,Components!$B$4:$B$253,E277))))&lt;&gt;1),"Endpoint missing or duplicated",IF(AND(NOT(AND(B277="UC",E277="CAP")),OR(G277="",COUNTIF('System map'!$A$4:$A$203,G277)&lt;&gt;1)),"AIR context missing / unknown",IF(AND(B277="CAP",E277="AIR",G277&lt;&gt;F277),"AIR context mismatch",IF(AND(B277="AIR",G277&lt;&gt;C277),"AIR context mismatch",IF(AND(B277="AIR",E277="AIR",C277=F277),"Self-dependency",IF(AND(B277="AIR",E277="AIR",M277&lt;&gt;"Superseded",COUNTIFS($B$4:$B$1003,"AIR",$C$4:$C$1003,F277,$E$4:$E$1003,"AIR",$F$4:$F$1003,C277,$M$4:$M$1003,"&lt;&gt;Superseded")&gt;0),"Dependency cycle (A↔B) — review",IF(AND(B277="AIR",OR(E277="MOD",E277="DATA",E277="IF",E277="AG",E277="TOOL"),IFERROR(INDEX(Components!$G$4:$G$253,MATCH(F277,Components!$A$4:$A$253,0)),"")&lt;&gt;"",IFERROR(INDEX(Components!$G$4:$G$253,MATCH(F277,Components!$A$4:$A$253,0)),"")&lt;&gt;C277),"Component owned by another AIR-ID",IF(AND(M277="Confirmed",OR(IF(B277="UC",COUNTIFS('Use cases'!$A$4:$A$253,C277,'Use cases'!$I$4:$I$253,"Confirmed",'Use cases'!$J$4:$J$253,"OK — verify source"),IF(B277="CAP",COUNTIFS(Capabilities!$A$4:$A$253,C277,Capabilities!$J$4:$J$253,"Confirmed",Capabilities!$K$4:$K$253,"OK — verify source"),IF(B277="AIR",COUNTIFS('System map'!$A$4:$A$203,C277,'System map'!$B$4:$B$203,"&lt;&gt;",'System map'!$C$4:$C$203,"&lt;&gt;",'System map'!$D$4:$D$203,"&lt;&gt;"),COUNTIFS(Components!$A$4:$A$253,C277,Components!$B$4:$B$253,B277,Components!$K$4:$K$253,"Confirmed",Components!$L$4:$L$253,"OK — verify source"))))&lt;&gt;1,IF(E277="UC",COUNTIFS('Use cases'!$A$4:$A$253,F277,'Use cases'!$I$4:$I$253,"Confirmed",'Use cases'!$J$4:$J$253,"OK — verify source"),IF(E277="CAP",COUNTIFS(Capabilities!$A$4:$A$253,F277,Capabilities!$J$4:$J$253,"Confirmed",Capabilities!$K$4:$K$253,"OK — verify source"),IF(E277="AIR",COUNTIFS('System map'!$A$4:$A$203,F277,'System map'!$B$4:$B$203,"&lt;&gt;",'System map'!$C$4:$C$203,"&lt;&gt;",'System map'!$D$4:$D$203,"&lt;&gt;"),COUNTIFS(Components!$A$4:$A$253,F277,Components!$B$4:$B$253,E277,Components!$K$4:$K$253,"Confirmed",Components!$L$4:$L$253,"OK — verify source"))))&lt;&gt;1)),"Endpoint not source-reconciled",IF(AND(M277="Confirmed",OR(L277="",K277="",K277="Unknown",K277="Low")),"Confirmed link lacks verification","OK — verify source"))))))))))))))</f>
        <v/>
      </c>
    </row>
    <row r="278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6" t="n"/>
      <c r="M278" s="25" t="n"/>
      <c r="N278" s="25">
        <f>IF(COUNTA(A278:M278)=0,"",IF(OR(A278="",B278="",C278="",D278="",E278="",F278="",I278="",J278="",K278="",M278=""),"Required link detail missing",IF(COUNTIF($A$4:$A$1003,A278)&gt;1,"Duplicate Map Edge ID",IF(NOT(OR(AND(B278="UC",E278="CAP",D278="requires"),AND(B278="CAP",E278="AIR",D278="provided by"),AND(B278="AIR",OR(E278="MOD",E278="DATA",E278="IF",E278="AG",E278="TOOL"),D278="references"),AND(B278="AIR",E278="AIR",D278="depends on"))),"Invalid relationship",IF(AND(M278&lt;&gt;"Superseded",COUNTIFS($B$4:$B$1003,B278,$C$4:$C$1003,C278,$D$4:$D$1003,D278,$E$4:$E$1003,E278,$F$4:$F$1003,F278,$G$4:$G$1003,G278,$M$4:$M$1003,"&lt;&gt;Superseded")&gt;1),"Duplicate relationship",IF(OR(IF(B278="UC",COUNTIF('Use cases'!$A$4:$A$253,C278),IF(B278="CAP",COUNTIF(Capabilities!$A$4:$A$253,C278),IF(B278="AIR",COUNTIF('System map'!$A$4:$A$203,C278),COUNTIFS(Components!$A$4:$A$253,C278,Components!$B$4:$B$253,B278))))&lt;&gt;1,IF(E278="UC",COUNTIF('Use cases'!$A$4:$A$253,F278),IF(E278="CAP",COUNTIF(Capabilities!$A$4:$A$253,F278),IF(E278="AIR",COUNTIF('System map'!$A$4:$A$203,F278),COUNTIFS(Components!$A$4:$A$253,F278,Components!$B$4:$B$253,E278))))&lt;&gt;1),"Endpoint missing or duplicated",IF(AND(NOT(AND(B278="UC",E278="CAP")),OR(G278="",COUNTIF('System map'!$A$4:$A$203,G278)&lt;&gt;1)),"AIR context missing / unknown",IF(AND(B278="CAP",E278="AIR",G278&lt;&gt;F278),"AIR context mismatch",IF(AND(B278="AIR",G278&lt;&gt;C278),"AIR context mismatch",IF(AND(B278="AIR",E278="AIR",C278=F278),"Self-dependency",IF(AND(B278="AIR",E278="AIR",M278&lt;&gt;"Superseded",COUNTIFS($B$4:$B$1003,"AIR",$C$4:$C$1003,F278,$E$4:$E$1003,"AIR",$F$4:$F$1003,C278,$M$4:$M$1003,"&lt;&gt;Superseded")&gt;0),"Dependency cycle (A↔B) — review",IF(AND(B278="AIR",OR(E278="MOD",E278="DATA",E278="IF",E278="AG",E278="TOOL"),IFERROR(INDEX(Components!$G$4:$G$253,MATCH(F278,Components!$A$4:$A$253,0)),"")&lt;&gt;"",IFERROR(INDEX(Components!$G$4:$G$253,MATCH(F278,Components!$A$4:$A$253,0)),"")&lt;&gt;C278),"Component owned by another AIR-ID",IF(AND(M278="Confirmed",OR(IF(B278="UC",COUNTIFS('Use cases'!$A$4:$A$253,C278,'Use cases'!$I$4:$I$253,"Confirmed",'Use cases'!$J$4:$J$253,"OK — verify source"),IF(B278="CAP",COUNTIFS(Capabilities!$A$4:$A$253,C278,Capabilities!$J$4:$J$253,"Confirmed",Capabilities!$K$4:$K$253,"OK — verify source"),IF(B278="AIR",COUNTIFS('System map'!$A$4:$A$203,C278,'System map'!$B$4:$B$203,"&lt;&gt;",'System map'!$C$4:$C$203,"&lt;&gt;",'System map'!$D$4:$D$203,"&lt;&gt;"),COUNTIFS(Components!$A$4:$A$253,C278,Components!$B$4:$B$253,B278,Components!$K$4:$K$253,"Confirmed",Components!$L$4:$L$253,"OK — verify source"))))&lt;&gt;1,IF(E278="UC",COUNTIFS('Use cases'!$A$4:$A$253,F278,'Use cases'!$I$4:$I$253,"Confirmed",'Use cases'!$J$4:$J$253,"OK — verify source"),IF(E278="CAP",COUNTIFS(Capabilities!$A$4:$A$253,F278,Capabilities!$J$4:$J$253,"Confirmed",Capabilities!$K$4:$K$253,"OK — verify source"),IF(E278="AIR",COUNTIFS('System map'!$A$4:$A$203,F278,'System map'!$B$4:$B$203,"&lt;&gt;",'System map'!$C$4:$C$203,"&lt;&gt;",'System map'!$D$4:$D$203,"&lt;&gt;"),COUNTIFS(Components!$A$4:$A$253,F278,Components!$B$4:$B$253,E278,Components!$K$4:$K$253,"Confirmed",Components!$L$4:$L$253,"OK — verify source"))))&lt;&gt;1)),"Endpoint not source-reconciled",IF(AND(M278="Confirmed",OR(L278="",K278="",K278="Unknown",K278="Low")),"Confirmed link lacks verification","OK — verify source"))))))))))))))</f>
        <v/>
      </c>
    </row>
    <row r="279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8" t="n"/>
      <c r="M279" s="27" t="n"/>
      <c r="N279" s="27">
        <f>IF(COUNTA(A279:M279)=0,"",IF(OR(A279="",B279="",C279="",D279="",E279="",F279="",I279="",J279="",K279="",M279=""),"Required link detail missing",IF(COUNTIF($A$4:$A$1003,A279)&gt;1,"Duplicate Map Edge ID",IF(NOT(OR(AND(B279="UC",E279="CAP",D279="requires"),AND(B279="CAP",E279="AIR",D279="provided by"),AND(B279="AIR",OR(E279="MOD",E279="DATA",E279="IF",E279="AG",E279="TOOL"),D279="references"),AND(B279="AIR",E279="AIR",D279="depends on"))),"Invalid relationship",IF(AND(M279&lt;&gt;"Superseded",COUNTIFS($B$4:$B$1003,B279,$C$4:$C$1003,C279,$D$4:$D$1003,D279,$E$4:$E$1003,E279,$F$4:$F$1003,F279,$G$4:$G$1003,G279,$M$4:$M$1003,"&lt;&gt;Superseded")&gt;1),"Duplicate relationship",IF(OR(IF(B279="UC",COUNTIF('Use cases'!$A$4:$A$253,C279),IF(B279="CAP",COUNTIF(Capabilities!$A$4:$A$253,C279),IF(B279="AIR",COUNTIF('System map'!$A$4:$A$203,C279),COUNTIFS(Components!$A$4:$A$253,C279,Components!$B$4:$B$253,B279))))&lt;&gt;1,IF(E279="UC",COUNTIF('Use cases'!$A$4:$A$253,F279),IF(E279="CAP",COUNTIF(Capabilities!$A$4:$A$253,F279),IF(E279="AIR",COUNTIF('System map'!$A$4:$A$203,F279),COUNTIFS(Components!$A$4:$A$253,F279,Components!$B$4:$B$253,E279))))&lt;&gt;1),"Endpoint missing or duplicated",IF(AND(NOT(AND(B279="UC",E279="CAP")),OR(G279="",COUNTIF('System map'!$A$4:$A$203,G279)&lt;&gt;1)),"AIR context missing / unknown",IF(AND(B279="CAP",E279="AIR",G279&lt;&gt;F279),"AIR context mismatch",IF(AND(B279="AIR",G279&lt;&gt;C279),"AIR context mismatch",IF(AND(B279="AIR",E279="AIR",C279=F279),"Self-dependency",IF(AND(B279="AIR",E279="AIR",M279&lt;&gt;"Superseded",COUNTIFS($B$4:$B$1003,"AIR",$C$4:$C$1003,F279,$E$4:$E$1003,"AIR",$F$4:$F$1003,C279,$M$4:$M$1003,"&lt;&gt;Superseded")&gt;0),"Dependency cycle (A↔B) — review",IF(AND(B279="AIR",OR(E279="MOD",E279="DATA",E279="IF",E279="AG",E279="TOOL"),IFERROR(INDEX(Components!$G$4:$G$253,MATCH(F279,Components!$A$4:$A$253,0)),"")&lt;&gt;"",IFERROR(INDEX(Components!$G$4:$G$253,MATCH(F279,Components!$A$4:$A$253,0)),"")&lt;&gt;C279),"Component owned by another AIR-ID",IF(AND(M279="Confirmed",OR(IF(B279="UC",COUNTIFS('Use cases'!$A$4:$A$253,C279,'Use cases'!$I$4:$I$253,"Confirmed",'Use cases'!$J$4:$J$253,"OK — verify source"),IF(B279="CAP",COUNTIFS(Capabilities!$A$4:$A$253,C279,Capabilities!$J$4:$J$253,"Confirmed",Capabilities!$K$4:$K$253,"OK — verify source"),IF(B279="AIR",COUNTIFS('System map'!$A$4:$A$203,C279,'System map'!$B$4:$B$203,"&lt;&gt;",'System map'!$C$4:$C$203,"&lt;&gt;",'System map'!$D$4:$D$203,"&lt;&gt;"),COUNTIFS(Components!$A$4:$A$253,C279,Components!$B$4:$B$253,B279,Components!$K$4:$K$253,"Confirmed",Components!$L$4:$L$253,"OK — verify source"))))&lt;&gt;1,IF(E279="UC",COUNTIFS('Use cases'!$A$4:$A$253,F279,'Use cases'!$I$4:$I$253,"Confirmed",'Use cases'!$J$4:$J$253,"OK — verify source"),IF(E279="CAP",COUNTIFS(Capabilities!$A$4:$A$253,F279,Capabilities!$J$4:$J$253,"Confirmed",Capabilities!$K$4:$K$253,"OK — verify source"),IF(E279="AIR",COUNTIFS('System map'!$A$4:$A$203,F279,'System map'!$B$4:$B$203,"&lt;&gt;",'System map'!$C$4:$C$203,"&lt;&gt;",'System map'!$D$4:$D$203,"&lt;&gt;"),COUNTIFS(Components!$A$4:$A$253,F279,Components!$B$4:$B$253,E279,Components!$K$4:$K$253,"Confirmed",Components!$L$4:$L$253,"OK — verify source"))))&lt;&gt;1)),"Endpoint not source-reconciled",IF(AND(M279="Confirmed",OR(L279="",K279="",K279="Unknown",K279="Low")),"Confirmed link lacks verification","OK — verify source"))))))))))))))</f>
        <v/>
      </c>
    </row>
    <row r="280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6" t="n"/>
      <c r="M280" s="25" t="n"/>
      <c r="N280" s="25">
        <f>IF(COUNTA(A280:M280)=0,"",IF(OR(A280="",B280="",C280="",D280="",E280="",F280="",I280="",J280="",K280="",M280=""),"Required link detail missing",IF(COUNTIF($A$4:$A$1003,A280)&gt;1,"Duplicate Map Edge ID",IF(NOT(OR(AND(B280="UC",E280="CAP",D280="requires"),AND(B280="CAP",E280="AIR",D280="provided by"),AND(B280="AIR",OR(E280="MOD",E280="DATA",E280="IF",E280="AG",E280="TOOL"),D280="references"),AND(B280="AIR",E280="AIR",D280="depends on"))),"Invalid relationship",IF(AND(M280&lt;&gt;"Superseded",COUNTIFS($B$4:$B$1003,B280,$C$4:$C$1003,C280,$D$4:$D$1003,D280,$E$4:$E$1003,E280,$F$4:$F$1003,F280,$G$4:$G$1003,G280,$M$4:$M$1003,"&lt;&gt;Superseded")&gt;1),"Duplicate relationship",IF(OR(IF(B280="UC",COUNTIF('Use cases'!$A$4:$A$253,C280),IF(B280="CAP",COUNTIF(Capabilities!$A$4:$A$253,C280),IF(B280="AIR",COUNTIF('System map'!$A$4:$A$203,C280),COUNTIFS(Components!$A$4:$A$253,C280,Components!$B$4:$B$253,B280))))&lt;&gt;1,IF(E280="UC",COUNTIF('Use cases'!$A$4:$A$253,F280),IF(E280="CAP",COUNTIF(Capabilities!$A$4:$A$253,F280),IF(E280="AIR",COUNTIF('System map'!$A$4:$A$203,F280),COUNTIFS(Components!$A$4:$A$253,F280,Components!$B$4:$B$253,E280))))&lt;&gt;1),"Endpoint missing or duplicated",IF(AND(NOT(AND(B280="UC",E280="CAP")),OR(G280="",COUNTIF('System map'!$A$4:$A$203,G280)&lt;&gt;1)),"AIR context missing / unknown",IF(AND(B280="CAP",E280="AIR",G280&lt;&gt;F280),"AIR context mismatch",IF(AND(B280="AIR",G280&lt;&gt;C280),"AIR context mismatch",IF(AND(B280="AIR",E280="AIR",C280=F280),"Self-dependency",IF(AND(B280="AIR",E280="AIR",M280&lt;&gt;"Superseded",COUNTIFS($B$4:$B$1003,"AIR",$C$4:$C$1003,F280,$E$4:$E$1003,"AIR",$F$4:$F$1003,C280,$M$4:$M$1003,"&lt;&gt;Superseded")&gt;0),"Dependency cycle (A↔B) — review",IF(AND(B280="AIR",OR(E280="MOD",E280="DATA",E280="IF",E280="AG",E280="TOOL"),IFERROR(INDEX(Components!$G$4:$G$253,MATCH(F280,Components!$A$4:$A$253,0)),"")&lt;&gt;"",IFERROR(INDEX(Components!$G$4:$G$253,MATCH(F280,Components!$A$4:$A$253,0)),"")&lt;&gt;C280),"Component owned by another AIR-ID",IF(AND(M280="Confirmed",OR(IF(B280="UC",COUNTIFS('Use cases'!$A$4:$A$253,C280,'Use cases'!$I$4:$I$253,"Confirmed",'Use cases'!$J$4:$J$253,"OK — verify source"),IF(B280="CAP",COUNTIFS(Capabilities!$A$4:$A$253,C280,Capabilities!$J$4:$J$253,"Confirmed",Capabilities!$K$4:$K$253,"OK — verify source"),IF(B280="AIR",COUNTIFS('System map'!$A$4:$A$203,C280,'System map'!$B$4:$B$203,"&lt;&gt;",'System map'!$C$4:$C$203,"&lt;&gt;",'System map'!$D$4:$D$203,"&lt;&gt;"),COUNTIFS(Components!$A$4:$A$253,C280,Components!$B$4:$B$253,B280,Components!$K$4:$K$253,"Confirmed",Components!$L$4:$L$253,"OK — verify source"))))&lt;&gt;1,IF(E280="UC",COUNTIFS('Use cases'!$A$4:$A$253,F280,'Use cases'!$I$4:$I$253,"Confirmed",'Use cases'!$J$4:$J$253,"OK — verify source"),IF(E280="CAP",COUNTIFS(Capabilities!$A$4:$A$253,F280,Capabilities!$J$4:$J$253,"Confirmed",Capabilities!$K$4:$K$253,"OK — verify source"),IF(E280="AIR",COUNTIFS('System map'!$A$4:$A$203,F280,'System map'!$B$4:$B$203,"&lt;&gt;",'System map'!$C$4:$C$203,"&lt;&gt;",'System map'!$D$4:$D$203,"&lt;&gt;"),COUNTIFS(Components!$A$4:$A$253,F280,Components!$B$4:$B$253,E280,Components!$K$4:$K$253,"Confirmed",Components!$L$4:$L$253,"OK — verify source"))))&lt;&gt;1)),"Endpoint not source-reconciled",IF(AND(M280="Confirmed",OR(L280="",K280="",K280="Unknown",K280="Low")),"Confirmed link lacks verification","OK — verify source"))))))))))))))</f>
        <v/>
      </c>
    </row>
    <row r="281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8" t="n"/>
      <c r="M281" s="27" t="n"/>
      <c r="N281" s="27">
        <f>IF(COUNTA(A281:M281)=0,"",IF(OR(A281="",B281="",C281="",D281="",E281="",F281="",I281="",J281="",K281="",M281=""),"Required link detail missing",IF(COUNTIF($A$4:$A$1003,A281)&gt;1,"Duplicate Map Edge ID",IF(NOT(OR(AND(B281="UC",E281="CAP",D281="requires"),AND(B281="CAP",E281="AIR",D281="provided by"),AND(B281="AIR",OR(E281="MOD",E281="DATA",E281="IF",E281="AG",E281="TOOL"),D281="references"),AND(B281="AIR",E281="AIR",D281="depends on"))),"Invalid relationship",IF(AND(M281&lt;&gt;"Superseded",COUNTIFS($B$4:$B$1003,B281,$C$4:$C$1003,C281,$D$4:$D$1003,D281,$E$4:$E$1003,E281,$F$4:$F$1003,F281,$G$4:$G$1003,G281,$M$4:$M$1003,"&lt;&gt;Superseded")&gt;1),"Duplicate relationship",IF(OR(IF(B281="UC",COUNTIF('Use cases'!$A$4:$A$253,C281),IF(B281="CAP",COUNTIF(Capabilities!$A$4:$A$253,C281),IF(B281="AIR",COUNTIF('System map'!$A$4:$A$203,C281),COUNTIFS(Components!$A$4:$A$253,C281,Components!$B$4:$B$253,B281))))&lt;&gt;1,IF(E281="UC",COUNTIF('Use cases'!$A$4:$A$253,F281),IF(E281="CAP",COUNTIF(Capabilities!$A$4:$A$253,F281),IF(E281="AIR",COUNTIF('System map'!$A$4:$A$203,F281),COUNTIFS(Components!$A$4:$A$253,F281,Components!$B$4:$B$253,E281))))&lt;&gt;1),"Endpoint missing or duplicated",IF(AND(NOT(AND(B281="UC",E281="CAP")),OR(G281="",COUNTIF('System map'!$A$4:$A$203,G281)&lt;&gt;1)),"AIR context missing / unknown",IF(AND(B281="CAP",E281="AIR",G281&lt;&gt;F281),"AIR context mismatch",IF(AND(B281="AIR",G281&lt;&gt;C281),"AIR context mismatch",IF(AND(B281="AIR",E281="AIR",C281=F281),"Self-dependency",IF(AND(B281="AIR",E281="AIR",M281&lt;&gt;"Superseded",COUNTIFS($B$4:$B$1003,"AIR",$C$4:$C$1003,F281,$E$4:$E$1003,"AIR",$F$4:$F$1003,C281,$M$4:$M$1003,"&lt;&gt;Superseded")&gt;0),"Dependency cycle (A↔B) — review",IF(AND(B281="AIR",OR(E281="MOD",E281="DATA",E281="IF",E281="AG",E281="TOOL"),IFERROR(INDEX(Components!$G$4:$G$253,MATCH(F281,Components!$A$4:$A$253,0)),"")&lt;&gt;"",IFERROR(INDEX(Components!$G$4:$G$253,MATCH(F281,Components!$A$4:$A$253,0)),"")&lt;&gt;C281),"Component owned by another AIR-ID",IF(AND(M281="Confirmed",OR(IF(B281="UC",COUNTIFS('Use cases'!$A$4:$A$253,C281,'Use cases'!$I$4:$I$253,"Confirmed",'Use cases'!$J$4:$J$253,"OK — verify source"),IF(B281="CAP",COUNTIFS(Capabilities!$A$4:$A$253,C281,Capabilities!$J$4:$J$253,"Confirmed",Capabilities!$K$4:$K$253,"OK — verify source"),IF(B281="AIR",COUNTIFS('System map'!$A$4:$A$203,C281,'System map'!$B$4:$B$203,"&lt;&gt;",'System map'!$C$4:$C$203,"&lt;&gt;",'System map'!$D$4:$D$203,"&lt;&gt;"),COUNTIFS(Components!$A$4:$A$253,C281,Components!$B$4:$B$253,B281,Components!$K$4:$K$253,"Confirmed",Components!$L$4:$L$253,"OK — verify source"))))&lt;&gt;1,IF(E281="UC",COUNTIFS('Use cases'!$A$4:$A$253,F281,'Use cases'!$I$4:$I$253,"Confirmed",'Use cases'!$J$4:$J$253,"OK — verify source"),IF(E281="CAP",COUNTIFS(Capabilities!$A$4:$A$253,F281,Capabilities!$J$4:$J$253,"Confirmed",Capabilities!$K$4:$K$253,"OK — verify source"),IF(E281="AIR",COUNTIFS('System map'!$A$4:$A$203,F281,'System map'!$B$4:$B$203,"&lt;&gt;",'System map'!$C$4:$C$203,"&lt;&gt;",'System map'!$D$4:$D$203,"&lt;&gt;"),COUNTIFS(Components!$A$4:$A$253,F281,Components!$B$4:$B$253,E281,Components!$K$4:$K$253,"Confirmed",Components!$L$4:$L$253,"OK — verify source"))))&lt;&gt;1)),"Endpoint not source-reconciled",IF(AND(M281="Confirmed",OR(L281="",K281="",K281="Unknown",K281="Low")),"Confirmed link lacks verification","OK — verify source"))))))))))))))</f>
        <v/>
      </c>
    </row>
    <row r="282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6" t="n"/>
      <c r="M282" s="25" t="n"/>
      <c r="N282" s="25">
        <f>IF(COUNTA(A282:M282)=0,"",IF(OR(A282="",B282="",C282="",D282="",E282="",F282="",I282="",J282="",K282="",M282=""),"Required link detail missing",IF(COUNTIF($A$4:$A$1003,A282)&gt;1,"Duplicate Map Edge ID",IF(NOT(OR(AND(B282="UC",E282="CAP",D282="requires"),AND(B282="CAP",E282="AIR",D282="provided by"),AND(B282="AIR",OR(E282="MOD",E282="DATA",E282="IF",E282="AG",E282="TOOL"),D282="references"),AND(B282="AIR",E282="AIR",D282="depends on"))),"Invalid relationship",IF(AND(M282&lt;&gt;"Superseded",COUNTIFS($B$4:$B$1003,B282,$C$4:$C$1003,C282,$D$4:$D$1003,D282,$E$4:$E$1003,E282,$F$4:$F$1003,F282,$G$4:$G$1003,G282,$M$4:$M$1003,"&lt;&gt;Superseded")&gt;1),"Duplicate relationship",IF(OR(IF(B282="UC",COUNTIF('Use cases'!$A$4:$A$253,C282),IF(B282="CAP",COUNTIF(Capabilities!$A$4:$A$253,C282),IF(B282="AIR",COUNTIF('System map'!$A$4:$A$203,C282),COUNTIFS(Components!$A$4:$A$253,C282,Components!$B$4:$B$253,B282))))&lt;&gt;1,IF(E282="UC",COUNTIF('Use cases'!$A$4:$A$253,F282),IF(E282="CAP",COUNTIF(Capabilities!$A$4:$A$253,F282),IF(E282="AIR",COUNTIF('System map'!$A$4:$A$203,F282),COUNTIFS(Components!$A$4:$A$253,F282,Components!$B$4:$B$253,E282))))&lt;&gt;1),"Endpoint missing or duplicated",IF(AND(NOT(AND(B282="UC",E282="CAP")),OR(G282="",COUNTIF('System map'!$A$4:$A$203,G282)&lt;&gt;1)),"AIR context missing / unknown",IF(AND(B282="CAP",E282="AIR",G282&lt;&gt;F282),"AIR context mismatch",IF(AND(B282="AIR",G282&lt;&gt;C282),"AIR context mismatch",IF(AND(B282="AIR",E282="AIR",C282=F282),"Self-dependency",IF(AND(B282="AIR",E282="AIR",M282&lt;&gt;"Superseded",COUNTIFS($B$4:$B$1003,"AIR",$C$4:$C$1003,F282,$E$4:$E$1003,"AIR",$F$4:$F$1003,C282,$M$4:$M$1003,"&lt;&gt;Superseded")&gt;0),"Dependency cycle (A↔B) — review",IF(AND(B282="AIR",OR(E282="MOD",E282="DATA",E282="IF",E282="AG",E282="TOOL"),IFERROR(INDEX(Components!$G$4:$G$253,MATCH(F282,Components!$A$4:$A$253,0)),"")&lt;&gt;"",IFERROR(INDEX(Components!$G$4:$G$253,MATCH(F282,Components!$A$4:$A$253,0)),"")&lt;&gt;C282),"Component owned by another AIR-ID",IF(AND(M282="Confirmed",OR(IF(B282="UC",COUNTIFS('Use cases'!$A$4:$A$253,C282,'Use cases'!$I$4:$I$253,"Confirmed",'Use cases'!$J$4:$J$253,"OK — verify source"),IF(B282="CAP",COUNTIFS(Capabilities!$A$4:$A$253,C282,Capabilities!$J$4:$J$253,"Confirmed",Capabilities!$K$4:$K$253,"OK — verify source"),IF(B282="AIR",COUNTIFS('System map'!$A$4:$A$203,C282,'System map'!$B$4:$B$203,"&lt;&gt;",'System map'!$C$4:$C$203,"&lt;&gt;",'System map'!$D$4:$D$203,"&lt;&gt;"),COUNTIFS(Components!$A$4:$A$253,C282,Components!$B$4:$B$253,B282,Components!$K$4:$K$253,"Confirmed",Components!$L$4:$L$253,"OK — verify source"))))&lt;&gt;1,IF(E282="UC",COUNTIFS('Use cases'!$A$4:$A$253,F282,'Use cases'!$I$4:$I$253,"Confirmed",'Use cases'!$J$4:$J$253,"OK — verify source"),IF(E282="CAP",COUNTIFS(Capabilities!$A$4:$A$253,F282,Capabilities!$J$4:$J$253,"Confirmed",Capabilities!$K$4:$K$253,"OK — verify source"),IF(E282="AIR",COUNTIFS('System map'!$A$4:$A$203,F282,'System map'!$B$4:$B$203,"&lt;&gt;",'System map'!$C$4:$C$203,"&lt;&gt;",'System map'!$D$4:$D$203,"&lt;&gt;"),COUNTIFS(Components!$A$4:$A$253,F282,Components!$B$4:$B$253,E282,Components!$K$4:$K$253,"Confirmed",Components!$L$4:$L$253,"OK — verify source"))))&lt;&gt;1)),"Endpoint not source-reconciled",IF(AND(M282="Confirmed",OR(L282="",K282="",K282="Unknown",K282="Low")),"Confirmed link lacks verification","OK — verify source"))))))))))))))</f>
        <v/>
      </c>
    </row>
    <row r="283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8" t="n"/>
      <c r="M283" s="27" t="n"/>
      <c r="N283" s="27">
        <f>IF(COUNTA(A283:M283)=0,"",IF(OR(A283="",B283="",C283="",D283="",E283="",F283="",I283="",J283="",K283="",M283=""),"Required link detail missing",IF(COUNTIF($A$4:$A$1003,A283)&gt;1,"Duplicate Map Edge ID",IF(NOT(OR(AND(B283="UC",E283="CAP",D283="requires"),AND(B283="CAP",E283="AIR",D283="provided by"),AND(B283="AIR",OR(E283="MOD",E283="DATA",E283="IF",E283="AG",E283="TOOL"),D283="references"),AND(B283="AIR",E283="AIR",D283="depends on"))),"Invalid relationship",IF(AND(M283&lt;&gt;"Superseded",COUNTIFS($B$4:$B$1003,B283,$C$4:$C$1003,C283,$D$4:$D$1003,D283,$E$4:$E$1003,E283,$F$4:$F$1003,F283,$G$4:$G$1003,G283,$M$4:$M$1003,"&lt;&gt;Superseded")&gt;1),"Duplicate relationship",IF(OR(IF(B283="UC",COUNTIF('Use cases'!$A$4:$A$253,C283),IF(B283="CAP",COUNTIF(Capabilities!$A$4:$A$253,C283),IF(B283="AIR",COUNTIF('System map'!$A$4:$A$203,C283),COUNTIFS(Components!$A$4:$A$253,C283,Components!$B$4:$B$253,B283))))&lt;&gt;1,IF(E283="UC",COUNTIF('Use cases'!$A$4:$A$253,F283),IF(E283="CAP",COUNTIF(Capabilities!$A$4:$A$253,F283),IF(E283="AIR",COUNTIF('System map'!$A$4:$A$203,F283),COUNTIFS(Components!$A$4:$A$253,F283,Components!$B$4:$B$253,E283))))&lt;&gt;1),"Endpoint missing or duplicated",IF(AND(NOT(AND(B283="UC",E283="CAP")),OR(G283="",COUNTIF('System map'!$A$4:$A$203,G283)&lt;&gt;1)),"AIR context missing / unknown",IF(AND(B283="CAP",E283="AIR",G283&lt;&gt;F283),"AIR context mismatch",IF(AND(B283="AIR",G283&lt;&gt;C283),"AIR context mismatch",IF(AND(B283="AIR",E283="AIR",C283=F283),"Self-dependency",IF(AND(B283="AIR",E283="AIR",M283&lt;&gt;"Superseded",COUNTIFS($B$4:$B$1003,"AIR",$C$4:$C$1003,F283,$E$4:$E$1003,"AIR",$F$4:$F$1003,C283,$M$4:$M$1003,"&lt;&gt;Superseded")&gt;0),"Dependency cycle (A↔B) — review",IF(AND(B283="AIR",OR(E283="MOD",E283="DATA",E283="IF",E283="AG",E283="TOOL"),IFERROR(INDEX(Components!$G$4:$G$253,MATCH(F283,Components!$A$4:$A$253,0)),"")&lt;&gt;"",IFERROR(INDEX(Components!$G$4:$G$253,MATCH(F283,Components!$A$4:$A$253,0)),"")&lt;&gt;C283),"Component owned by another AIR-ID",IF(AND(M283="Confirmed",OR(IF(B283="UC",COUNTIFS('Use cases'!$A$4:$A$253,C283,'Use cases'!$I$4:$I$253,"Confirmed",'Use cases'!$J$4:$J$253,"OK — verify source"),IF(B283="CAP",COUNTIFS(Capabilities!$A$4:$A$253,C283,Capabilities!$J$4:$J$253,"Confirmed",Capabilities!$K$4:$K$253,"OK — verify source"),IF(B283="AIR",COUNTIFS('System map'!$A$4:$A$203,C283,'System map'!$B$4:$B$203,"&lt;&gt;",'System map'!$C$4:$C$203,"&lt;&gt;",'System map'!$D$4:$D$203,"&lt;&gt;"),COUNTIFS(Components!$A$4:$A$253,C283,Components!$B$4:$B$253,B283,Components!$K$4:$K$253,"Confirmed",Components!$L$4:$L$253,"OK — verify source"))))&lt;&gt;1,IF(E283="UC",COUNTIFS('Use cases'!$A$4:$A$253,F283,'Use cases'!$I$4:$I$253,"Confirmed",'Use cases'!$J$4:$J$253,"OK — verify source"),IF(E283="CAP",COUNTIFS(Capabilities!$A$4:$A$253,F283,Capabilities!$J$4:$J$253,"Confirmed",Capabilities!$K$4:$K$253,"OK — verify source"),IF(E283="AIR",COUNTIFS('System map'!$A$4:$A$203,F283,'System map'!$B$4:$B$203,"&lt;&gt;",'System map'!$C$4:$C$203,"&lt;&gt;",'System map'!$D$4:$D$203,"&lt;&gt;"),COUNTIFS(Components!$A$4:$A$253,F283,Components!$B$4:$B$253,E283,Components!$K$4:$K$253,"Confirmed",Components!$L$4:$L$253,"OK — verify source"))))&lt;&gt;1)),"Endpoint not source-reconciled",IF(AND(M283="Confirmed",OR(L283="",K283="",K283="Unknown",K283="Low")),"Confirmed link lacks verification","OK — verify source"))))))))))))))</f>
        <v/>
      </c>
    </row>
    <row r="28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6" t="n"/>
      <c r="M284" s="25" t="n"/>
      <c r="N284" s="25">
        <f>IF(COUNTA(A284:M284)=0,"",IF(OR(A284="",B284="",C284="",D284="",E284="",F284="",I284="",J284="",K284="",M284=""),"Required link detail missing",IF(COUNTIF($A$4:$A$1003,A284)&gt;1,"Duplicate Map Edge ID",IF(NOT(OR(AND(B284="UC",E284="CAP",D284="requires"),AND(B284="CAP",E284="AIR",D284="provided by"),AND(B284="AIR",OR(E284="MOD",E284="DATA",E284="IF",E284="AG",E284="TOOL"),D284="references"),AND(B284="AIR",E284="AIR",D284="depends on"))),"Invalid relationship",IF(AND(M284&lt;&gt;"Superseded",COUNTIFS($B$4:$B$1003,B284,$C$4:$C$1003,C284,$D$4:$D$1003,D284,$E$4:$E$1003,E284,$F$4:$F$1003,F284,$G$4:$G$1003,G284,$M$4:$M$1003,"&lt;&gt;Superseded")&gt;1),"Duplicate relationship",IF(OR(IF(B284="UC",COUNTIF('Use cases'!$A$4:$A$253,C284),IF(B284="CAP",COUNTIF(Capabilities!$A$4:$A$253,C284),IF(B284="AIR",COUNTIF('System map'!$A$4:$A$203,C284),COUNTIFS(Components!$A$4:$A$253,C284,Components!$B$4:$B$253,B284))))&lt;&gt;1,IF(E284="UC",COUNTIF('Use cases'!$A$4:$A$253,F284),IF(E284="CAP",COUNTIF(Capabilities!$A$4:$A$253,F284),IF(E284="AIR",COUNTIF('System map'!$A$4:$A$203,F284),COUNTIFS(Components!$A$4:$A$253,F284,Components!$B$4:$B$253,E284))))&lt;&gt;1),"Endpoint missing or duplicated",IF(AND(NOT(AND(B284="UC",E284="CAP")),OR(G284="",COUNTIF('System map'!$A$4:$A$203,G284)&lt;&gt;1)),"AIR context missing / unknown",IF(AND(B284="CAP",E284="AIR",G284&lt;&gt;F284),"AIR context mismatch",IF(AND(B284="AIR",G284&lt;&gt;C284),"AIR context mismatch",IF(AND(B284="AIR",E284="AIR",C284=F284),"Self-dependency",IF(AND(B284="AIR",E284="AIR",M284&lt;&gt;"Superseded",COUNTIFS($B$4:$B$1003,"AIR",$C$4:$C$1003,F284,$E$4:$E$1003,"AIR",$F$4:$F$1003,C284,$M$4:$M$1003,"&lt;&gt;Superseded")&gt;0),"Dependency cycle (A↔B) — review",IF(AND(B284="AIR",OR(E284="MOD",E284="DATA",E284="IF",E284="AG",E284="TOOL"),IFERROR(INDEX(Components!$G$4:$G$253,MATCH(F284,Components!$A$4:$A$253,0)),"")&lt;&gt;"",IFERROR(INDEX(Components!$G$4:$G$253,MATCH(F284,Components!$A$4:$A$253,0)),"")&lt;&gt;C284),"Component owned by another AIR-ID",IF(AND(M284="Confirmed",OR(IF(B284="UC",COUNTIFS('Use cases'!$A$4:$A$253,C284,'Use cases'!$I$4:$I$253,"Confirmed",'Use cases'!$J$4:$J$253,"OK — verify source"),IF(B284="CAP",COUNTIFS(Capabilities!$A$4:$A$253,C284,Capabilities!$J$4:$J$253,"Confirmed",Capabilities!$K$4:$K$253,"OK — verify source"),IF(B284="AIR",COUNTIFS('System map'!$A$4:$A$203,C284,'System map'!$B$4:$B$203,"&lt;&gt;",'System map'!$C$4:$C$203,"&lt;&gt;",'System map'!$D$4:$D$203,"&lt;&gt;"),COUNTIFS(Components!$A$4:$A$253,C284,Components!$B$4:$B$253,B284,Components!$K$4:$K$253,"Confirmed",Components!$L$4:$L$253,"OK — verify source"))))&lt;&gt;1,IF(E284="UC",COUNTIFS('Use cases'!$A$4:$A$253,F284,'Use cases'!$I$4:$I$253,"Confirmed",'Use cases'!$J$4:$J$253,"OK — verify source"),IF(E284="CAP",COUNTIFS(Capabilities!$A$4:$A$253,F284,Capabilities!$J$4:$J$253,"Confirmed",Capabilities!$K$4:$K$253,"OK — verify source"),IF(E284="AIR",COUNTIFS('System map'!$A$4:$A$203,F284,'System map'!$B$4:$B$203,"&lt;&gt;",'System map'!$C$4:$C$203,"&lt;&gt;",'System map'!$D$4:$D$203,"&lt;&gt;"),COUNTIFS(Components!$A$4:$A$253,F284,Components!$B$4:$B$253,E284,Components!$K$4:$K$253,"Confirmed",Components!$L$4:$L$253,"OK — verify source"))))&lt;&gt;1)),"Endpoint not source-reconciled",IF(AND(M284="Confirmed",OR(L284="",K284="",K284="Unknown",K284="Low")),"Confirmed link lacks verification","OK — verify source"))))))))))))))</f>
        <v/>
      </c>
    </row>
    <row r="285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8" t="n"/>
      <c r="M285" s="27" t="n"/>
      <c r="N285" s="27">
        <f>IF(COUNTA(A285:M285)=0,"",IF(OR(A285="",B285="",C285="",D285="",E285="",F285="",I285="",J285="",K285="",M285=""),"Required link detail missing",IF(COUNTIF($A$4:$A$1003,A285)&gt;1,"Duplicate Map Edge ID",IF(NOT(OR(AND(B285="UC",E285="CAP",D285="requires"),AND(B285="CAP",E285="AIR",D285="provided by"),AND(B285="AIR",OR(E285="MOD",E285="DATA",E285="IF",E285="AG",E285="TOOL"),D285="references"),AND(B285="AIR",E285="AIR",D285="depends on"))),"Invalid relationship",IF(AND(M285&lt;&gt;"Superseded",COUNTIFS($B$4:$B$1003,B285,$C$4:$C$1003,C285,$D$4:$D$1003,D285,$E$4:$E$1003,E285,$F$4:$F$1003,F285,$G$4:$G$1003,G285,$M$4:$M$1003,"&lt;&gt;Superseded")&gt;1),"Duplicate relationship",IF(OR(IF(B285="UC",COUNTIF('Use cases'!$A$4:$A$253,C285),IF(B285="CAP",COUNTIF(Capabilities!$A$4:$A$253,C285),IF(B285="AIR",COUNTIF('System map'!$A$4:$A$203,C285),COUNTIFS(Components!$A$4:$A$253,C285,Components!$B$4:$B$253,B285))))&lt;&gt;1,IF(E285="UC",COUNTIF('Use cases'!$A$4:$A$253,F285),IF(E285="CAP",COUNTIF(Capabilities!$A$4:$A$253,F285),IF(E285="AIR",COUNTIF('System map'!$A$4:$A$203,F285),COUNTIFS(Components!$A$4:$A$253,F285,Components!$B$4:$B$253,E285))))&lt;&gt;1),"Endpoint missing or duplicated",IF(AND(NOT(AND(B285="UC",E285="CAP")),OR(G285="",COUNTIF('System map'!$A$4:$A$203,G285)&lt;&gt;1)),"AIR context missing / unknown",IF(AND(B285="CAP",E285="AIR",G285&lt;&gt;F285),"AIR context mismatch",IF(AND(B285="AIR",G285&lt;&gt;C285),"AIR context mismatch",IF(AND(B285="AIR",E285="AIR",C285=F285),"Self-dependency",IF(AND(B285="AIR",E285="AIR",M285&lt;&gt;"Superseded",COUNTIFS($B$4:$B$1003,"AIR",$C$4:$C$1003,F285,$E$4:$E$1003,"AIR",$F$4:$F$1003,C285,$M$4:$M$1003,"&lt;&gt;Superseded")&gt;0),"Dependency cycle (A↔B) — review",IF(AND(B285="AIR",OR(E285="MOD",E285="DATA",E285="IF",E285="AG",E285="TOOL"),IFERROR(INDEX(Components!$G$4:$G$253,MATCH(F285,Components!$A$4:$A$253,0)),"")&lt;&gt;"",IFERROR(INDEX(Components!$G$4:$G$253,MATCH(F285,Components!$A$4:$A$253,0)),"")&lt;&gt;C285),"Component owned by another AIR-ID",IF(AND(M285="Confirmed",OR(IF(B285="UC",COUNTIFS('Use cases'!$A$4:$A$253,C285,'Use cases'!$I$4:$I$253,"Confirmed",'Use cases'!$J$4:$J$253,"OK — verify source"),IF(B285="CAP",COUNTIFS(Capabilities!$A$4:$A$253,C285,Capabilities!$J$4:$J$253,"Confirmed",Capabilities!$K$4:$K$253,"OK — verify source"),IF(B285="AIR",COUNTIFS('System map'!$A$4:$A$203,C285,'System map'!$B$4:$B$203,"&lt;&gt;",'System map'!$C$4:$C$203,"&lt;&gt;",'System map'!$D$4:$D$203,"&lt;&gt;"),COUNTIFS(Components!$A$4:$A$253,C285,Components!$B$4:$B$253,B285,Components!$K$4:$K$253,"Confirmed",Components!$L$4:$L$253,"OK — verify source"))))&lt;&gt;1,IF(E285="UC",COUNTIFS('Use cases'!$A$4:$A$253,F285,'Use cases'!$I$4:$I$253,"Confirmed",'Use cases'!$J$4:$J$253,"OK — verify source"),IF(E285="CAP",COUNTIFS(Capabilities!$A$4:$A$253,F285,Capabilities!$J$4:$J$253,"Confirmed",Capabilities!$K$4:$K$253,"OK — verify source"),IF(E285="AIR",COUNTIFS('System map'!$A$4:$A$203,F285,'System map'!$B$4:$B$203,"&lt;&gt;",'System map'!$C$4:$C$203,"&lt;&gt;",'System map'!$D$4:$D$203,"&lt;&gt;"),COUNTIFS(Components!$A$4:$A$253,F285,Components!$B$4:$B$253,E285,Components!$K$4:$K$253,"Confirmed",Components!$L$4:$L$253,"OK — verify source"))))&lt;&gt;1)),"Endpoint not source-reconciled",IF(AND(M285="Confirmed",OR(L285="",K285="",K285="Unknown",K285="Low")),"Confirmed link lacks verification","OK — verify source"))))))))))))))</f>
        <v/>
      </c>
    </row>
    <row r="286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6" t="n"/>
      <c r="M286" s="25" t="n"/>
      <c r="N286" s="25">
        <f>IF(COUNTA(A286:M286)=0,"",IF(OR(A286="",B286="",C286="",D286="",E286="",F286="",I286="",J286="",K286="",M286=""),"Required link detail missing",IF(COUNTIF($A$4:$A$1003,A286)&gt;1,"Duplicate Map Edge ID",IF(NOT(OR(AND(B286="UC",E286="CAP",D286="requires"),AND(B286="CAP",E286="AIR",D286="provided by"),AND(B286="AIR",OR(E286="MOD",E286="DATA",E286="IF",E286="AG",E286="TOOL"),D286="references"),AND(B286="AIR",E286="AIR",D286="depends on"))),"Invalid relationship",IF(AND(M286&lt;&gt;"Superseded",COUNTIFS($B$4:$B$1003,B286,$C$4:$C$1003,C286,$D$4:$D$1003,D286,$E$4:$E$1003,E286,$F$4:$F$1003,F286,$G$4:$G$1003,G286,$M$4:$M$1003,"&lt;&gt;Superseded")&gt;1),"Duplicate relationship",IF(OR(IF(B286="UC",COUNTIF('Use cases'!$A$4:$A$253,C286),IF(B286="CAP",COUNTIF(Capabilities!$A$4:$A$253,C286),IF(B286="AIR",COUNTIF('System map'!$A$4:$A$203,C286),COUNTIFS(Components!$A$4:$A$253,C286,Components!$B$4:$B$253,B286))))&lt;&gt;1,IF(E286="UC",COUNTIF('Use cases'!$A$4:$A$253,F286),IF(E286="CAP",COUNTIF(Capabilities!$A$4:$A$253,F286),IF(E286="AIR",COUNTIF('System map'!$A$4:$A$203,F286),COUNTIFS(Components!$A$4:$A$253,F286,Components!$B$4:$B$253,E286))))&lt;&gt;1),"Endpoint missing or duplicated",IF(AND(NOT(AND(B286="UC",E286="CAP")),OR(G286="",COUNTIF('System map'!$A$4:$A$203,G286)&lt;&gt;1)),"AIR context missing / unknown",IF(AND(B286="CAP",E286="AIR",G286&lt;&gt;F286),"AIR context mismatch",IF(AND(B286="AIR",G286&lt;&gt;C286),"AIR context mismatch",IF(AND(B286="AIR",E286="AIR",C286=F286),"Self-dependency",IF(AND(B286="AIR",E286="AIR",M286&lt;&gt;"Superseded",COUNTIFS($B$4:$B$1003,"AIR",$C$4:$C$1003,F286,$E$4:$E$1003,"AIR",$F$4:$F$1003,C286,$M$4:$M$1003,"&lt;&gt;Superseded")&gt;0),"Dependency cycle (A↔B) — review",IF(AND(B286="AIR",OR(E286="MOD",E286="DATA",E286="IF",E286="AG",E286="TOOL"),IFERROR(INDEX(Components!$G$4:$G$253,MATCH(F286,Components!$A$4:$A$253,0)),"")&lt;&gt;"",IFERROR(INDEX(Components!$G$4:$G$253,MATCH(F286,Components!$A$4:$A$253,0)),"")&lt;&gt;C286),"Component owned by another AIR-ID",IF(AND(M286="Confirmed",OR(IF(B286="UC",COUNTIFS('Use cases'!$A$4:$A$253,C286,'Use cases'!$I$4:$I$253,"Confirmed",'Use cases'!$J$4:$J$253,"OK — verify source"),IF(B286="CAP",COUNTIFS(Capabilities!$A$4:$A$253,C286,Capabilities!$J$4:$J$253,"Confirmed",Capabilities!$K$4:$K$253,"OK — verify source"),IF(B286="AIR",COUNTIFS('System map'!$A$4:$A$203,C286,'System map'!$B$4:$B$203,"&lt;&gt;",'System map'!$C$4:$C$203,"&lt;&gt;",'System map'!$D$4:$D$203,"&lt;&gt;"),COUNTIFS(Components!$A$4:$A$253,C286,Components!$B$4:$B$253,B286,Components!$K$4:$K$253,"Confirmed",Components!$L$4:$L$253,"OK — verify source"))))&lt;&gt;1,IF(E286="UC",COUNTIFS('Use cases'!$A$4:$A$253,F286,'Use cases'!$I$4:$I$253,"Confirmed",'Use cases'!$J$4:$J$253,"OK — verify source"),IF(E286="CAP",COUNTIFS(Capabilities!$A$4:$A$253,F286,Capabilities!$J$4:$J$253,"Confirmed",Capabilities!$K$4:$K$253,"OK — verify source"),IF(E286="AIR",COUNTIFS('System map'!$A$4:$A$203,F286,'System map'!$B$4:$B$203,"&lt;&gt;",'System map'!$C$4:$C$203,"&lt;&gt;",'System map'!$D$4:$D$203,"&lt;&gt;"),COUNTIFS(Components!$A$4:$A$253,F286,Components!$B$4:$B$253,E286,Components!$K$4:$K$253,"Confirmed",Components!$L$4:$L$253,"OK — verify source"))))&lt;&gt;1)),"Endpoint not source-reconciled",IF(AND(M286="Confirmed",OR(L286="",K286="",K286="Unknown",K286="Low")),"Confirmed link lacks verification","OK — verify source"))))))))))))))</f>
        <v/>
      </c>
    </row>
    <row r="287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8" t="n"/>
      <c r="M287" s="27" t="n"/>
      <c r="N287" s="27">
        <f>IF(COUNTA(A287:M287)=0,"",IF(OR(A287="",B287="",C287="",D287="",E287="",F287="",I287="",J287="",K287="",M287=""),"Required link detail missing",IF(COUNTIF($A$4:$A$1003,A287)&gt;1,"Duplicate Map Edge ID",IF(NOT(OR(AND(B287="UC",E287="CAP",D287="requires"),AND(B287="CAP",E287="AIR",D287="provided by"),AND(B287="AIR",OR(E287="MOD",E287="DATA",E287="IF",E287="AG",E287="TOOL"),D287="references"),AND(B287="AIR",E287="AIR",D287="depends on"))),"Invalid relationship",IF(AND(M287&lt;&gt;"Superseded",COUNTIFS($B$4:$B$1003,B287,$C$4:$C$1003,C287,$D$4:$D$1003,D287,$E$4:$E$1003,E287,$F$4:$F$1003,F287,$G$4:$G$1003,G287,$M$4:$M$1003,"&lt;&gt;Superseded")&gt;1),"Duplicate relationship",IF(OR(IF(B287="UC",COUNTIF('Use cases'!$A$4:$A$253,C287),IF(B287="CAP",COUNTIF(Capabilities!$A$4:$A$253,C287),IF(B287="AIR",COUNTIF('System map'!$A$4:$A$203,C287),COUNTIFS(Components!$A$4:$A$253,C287,Components!$B$4:$B$253,B287))))&lt;&gt;1,IF(E287="UC",COUNTIF('Use cases'!$A$4:$A$253,F287),IF(E287="CAP",COUNTIF(Capabilities!$A$4:$A$253,F287),IF(E287="AIR",COUNTIF('System map'!$A$4:$A$203,F287),COUNTIFS(Components!$A$4:$A$253,F287,Components!$B$4:$B$253,E287))))&lt;&gt;1),"Endpoint missing or duplicated",IF(AND(NOT(AND(B287="UC",E287="CAP")),OR(G287="",COUNTIF('System map'!$A$4:$A$203,G287)&lt;&gt;1)),"AIR context missing / unknown",IF(AND(B287="CAP",E287="AIR",G287&lt;&gt;F287),"AIR context mismatch",IF(AND(B287="AIR",G287&lt;&gt;C287),"AIR context mismatch",IF(AND(B287="AIR",E287="AIR",C287=F287),"Self-dependency",IF(AND(B287="AIR",E287="AIR",M287&lt;&gt;"Superseded",COUNTIFS($B$4:$B$1003,"AIR",$C$4:$C$1003,F287,$E$4:$E$1003,"AIR",$F$4:$F$1003,C287,$M$4:$M$1003,"&lt;&gt;Superseded")&gt;0),"Dependency cycle (A↔B) — review",IF(AND(B287="AIR",OR(E287="MOD",E287="DATA",E287="IF",E287="AG",E287="TOOL"),IFERROR(INDEX(Components!$G$4:$G$253,MATCH(F287,Components!$A$4:$A$253,0)),"")&lt;&gt;"",IFERROR(INDEX(Components!$G$4:$G$253,MATCH(F287,Components!$A$4:$A$253,0)),"")&lt;&gt;C287),"Component owned by another AIR-ID",IF(AND(M287="Confirmed",OR(IF(B287="UC",COUNTIFS('Use cases'!$A$4:$A$253,C287,'Use cases'!$I$4:$I$253,"Confirmed",'Use cases'!$J$4:$J$253,"OK — verify source"),IF(B287="CAP",COUNTIFS(Capabilities!$A$4:$A$253,C287,Capabilities!$J$4:$J$253,"Confirmed",Capabilities!$K$4:$K$253,"OK — verify source"),IF(B287="AIR",COUNTIFS('System map'!$A$4:$A$203,C287,'System map'!$B$4:$B$203,"&lt;&gt;",'System map'!$C$4:$C$203,"&lt;&gt;",'System map'!$D$4:$D$203,"&lt;&gt;"),COUNTIFS(Components!$A$4:$A$253,C287,Components!$B$4:$B$253,B287,Components!$K$4:$K$253,"Confirmed",Components!$L$4:$L$253,"OK — verify source"))))&lt;&gt;1,IF(E287="UC",COUNTIFS('Use cases'!$A$4:$A$253,F287,'Use cases'!$I$4:$I$253,"Confirmed",'Use cases'!$J$4:$J$253,"OK — verify source"),IF(E287="CAP",COUNTIFS(Capabilities!$A$4:$A$253,F287,Capabilities!$J$4:$J$253,"Confirmed",Capabilities!$K$4:$K$253,"OK — verify source"),IF(E287="AIR",COUNTIFS('System map'!$A$4:$A$203,F287,'System map'!$B$4:$B$203,"&lt;&gt;",'System map'!$C$4:$C$203,"&lt;&gt;",'System map'!$D$4:$D$203,"&lt;&gt;"),COUNTIFS(Components!$A$4:$A$253,F287,Components!$B$4:$B$253,E287,Components!$K$4:$K$253,"Confirmed",Components!$L$4:$L$253,"OK — verify source"))))&lt;&gt;1)),"Endpoint not source-reconciled",IF(AND(M287="Confirmed",OR(L287="",K287="",K287="Unknown",K287="Low")),"Confirmed link lacks verification","OK — verify source"))))))))))))))</f>
        <v/>
      </c>
    </row>
    <row r="288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6" t="n"/>
      <c r="M288" s="25" t="n"/>
      <c r="N288" s="25">
        <f>IF(COUNTA(A288:M288)=0,"",IF(OR(A288="",B288="",C288="",D288="",E288="",F288="",I288="",J288="",K288="",M288=""),"Required link detail missing",IF(COUNTIF($A$4:$A$1003,A288)&gt;1,"Duplicate Map Edge ID",IF(NOT(OR(AND(B288="UC",E288="CAP",D288="requires"),AND(B288="CAP",E288="AIR",D288="provided by"),AND(B288="AIR",OR(E288="MOD",E288="DATA",E288="IF",E288="AG",E288="TOOL"),D288="references"),AND(B288="AIR",E288="AIR",D288="depends on"))),"Invalid relationship",IF(AND(M288&lt;&gt;"Superseded",COUNTIFS($B$4:$B$1003,B288,$C$4:$C$1003,C288,$D$4:$D$1003,D288,$E$4:$E$1003,E288,$F$4:$F$1003,F288,$G$4:$G$1003,G288,$M$4:$M$1003,"&lt;&gt;Superseded")&gt;1),"Duplicate relationship",IF(OR(IF(B288="UC",COUNTIF('Use cases'!$A$4:$A$253,C288),IF(B288="CAP",COUNTIF(Capabilities!$A$4:$A$253,C288),IF(B288="AIR",COUNTIF('System map'!$A$4:$A$203,C288),COUNTIFS(Components!$A$4:$A$253,C288,Components!$B$4:$B$253,B288))))&lt;&gt;1,IF(E288="UC",COUNTIF('Use cases'!$A$4:$A$253,F288),IF(E288="CAP",COUNTIF(Capabilities!$A$4:$A$253,F288),IF(E288="AIR",COUNTIF('System map'!$A$4:$A$203,F288),COUNTIFS(Components!$A$4:$A$253,F288,Components!$B$4:$B$253,E288))))&lt;&gt;1),"Endpoint missing or duplicated",IF(AND(NOT(AND(B288="UC",E288="CAP")),OR(G288="",COUNTIF('System map'!$A$4:$A$203,G288)&lt;&gt;1)),"AIR context missing / unknown",IF(AND(B288="CAP",E288="AIR",G288&lt;&gt;F288),"AIR context mismatch",IF(AND(B288="AIR",G288&lt;&gt;C288),"AIR context mismatch",IF(AND(B288="AIR",E288="AIR",C288=F288),"Self-dependency",IF(AND(B288="AIR",E288="AIR",M288&lt;&gt;"Superseded",COUNTIFS($B$4:$B$1003,"AIR",$C$4:$C$1003,F288,$E$4:$E$1003,"AIR",$F$4:$F$1003,C288,$M$4:$M$1003,"&lt;&gt;Superseded")&gt;0),"Dependency cycle (A↔B) — review",IF(AND(B288="AIR",OR(E288="MOD",E288="DATA",E288="IF",E288="AG",E288="TOOL"),IFERROR(INDEX(Components!$G$4:$G$253,MATCH(F288,Components!$A$4:$A$253,0)),"")&lt;&gt;"",IFERROR(INDEX(Components!$G$4:$G$253,MATCH(F288,Components!$A$4:$A$253,0)),"")&lt;&gt;C288),"Component owned by another AIR-ID",IF(AND(M288="Confirmed",OR(IF(B288="UC",COUNTIFS('Use cases'!$A$4:$A$253,C288,'Use cases'!$I$4:$I$253,"Confirmed",'Use cases'!$J$4:$J$253,"OK — verify source"),IF(B288="CAP",COUNTIFS(Capabilities!$A$4:$A$253,C288,Capabilities!$J$4:$J$253,"Confirmed",Capabilities!$K$4:$K$253,"OK — verify source"),IF(B288="AIR",COUNTIFS('System map'!$A$4:$A$203,C288,'System map'!$B$4:$B$203,"&lt;&gt;",'System map'!$C$4:$C$203,"&lt;&gt;",'System map'!$D$4:$D$203,"&lt;&gt;"),COUNTIFS(Components!$A$4:$A$253,C288,Components!$B$4:$B$253,B288,Components!$K$4:$K$253,"Confirmed",Components!$L$4:$L$253,"OK — verify source"))))&lt;&gt;1,IF(E288="UC",COUNTIFS('Use cases'!$A$4:$A$253,F288,'Use cases'!$I$4:$I$253,"Confirmed",'Use cases'!$J$4:$J$253,"OK — verify source"),IF(E288="CAP",COUNTIFS(Capabilities!$A$4:$A$253,F288,Capabilities!$J$4:$J$253,"Confirmed",Capabilities!$K$4:$K$253,"OK — verify source"),IF(E288="AIR",COUNTIFS('System map'!$A$4:$A$203,F288,'System map'!$B$4:$B$203,"&lt;&gt;",'System map'!$C$4:$C$203,"&lt;&gt;",'System map'!$D$4:$D$203,"&lt;&gt;"),COUNTIFS(Components!$A$4:$A$253,F288,Components!$B$4:$B$253,E288,Components!$K$4:$K$253,"Confirmed",Components!$L$4:$L$253,"OK — verify source"))))&lt;&gt;1)),"Endpoint not source-reconciled",IF(AND(M288="Confirmed",OR(L288="",K288="",K288="Unknown",K288="Low")),"Confirmed link lacks verification","OK — verify source"))))))))))))))</f>
        <v/>
      </c>
    </row>
    <row r="289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8" t="n"/>
      <c r="M289" s="27" t="n"/>
      <c r="N289" s="27">
        <f>IF(COUNTA(A289:M289)=0,"",IF(OR(A289="",B289="",C289="",D289="",E289="",F289="",I289="",J289="",K289="",M289=""),"Required link detail missing",IF(COUNTIF($A$4:$A$1003,A289)&gt;1,"Duplicate Map Edge ID",IF(NOT(OR(AND(B289="UC",E289="CAP",D289="requires"),AND(B289="CAP",E289="AIR",D289="provided by"),AND(B289="AIR",OR(E289="MOD",E289="DATA",E289="IF",E289="AG",E289="TOOL"),D289="references"),AND(B289="AIR",E289="AIR",D289="depends on"))),"Invalid relationship",IF(AND(M289&lt;&gt;"Superseded",COUNTIFS($B$4:$B$1003,B289,$C$4:$C$1003,C289,$D$4:$D$1003,D289,$E$4:$E$1003,E289,$F$4:$F$1003,F289,$G$4:$G$1003,G289,$M$4:$M$1003,"&lt;&gt;Superseded")&gt;1),"Duplicate relationship",IF(OR(IF(B289="UC",COUNTIF('Use cases'!$A$4:$A$253,C289),IF(B289="CAP",COUNTIF(Capabilities!$A$4:$A$253,C289),IF(B289="AIR",COUNTIF('System map'!$A$4:$A$203,C289),COUNTIFS(Components!$A$4:$A$253,C289,Components!$B$4:$B$253,B289))))&lt;&gt;1,IF(E289="UC",COUNTIF('Use cases'!$A$4:$A$253,F289),IF(E289="CAP",COUNTIF(Capabilities!$A$4:$A$253,F289),IF(E289="AIR",COUNTIF('System map'!$A$4:$A$203,F289),COUNTIFS(Components!$A$4:$A$253,F289,Components!$B$4:$B$253,E289))))&lt;&gt;1),"Endpoint missing or duplicated",IF(AND(NOT(AND(B289="UC",E289="CAP")),OR(G289="",COUNTIF('System map'!$A$4:$A$203,G289)&lt;&gt;1)),"AIR context missing / unknown",IF(AND(B289="CAP",E289="AIR",G289&lt;&gt;F289),"AIR context mismatch",IF(AND(B289="AIR",G289&lt;&gt;C289),"AIR context mismatch",IF(AND(B289="AIR",E289="AIR",C289=F289),"Self-dependency",IF(AND(B289="AIR",E289="AIR",M289&lt;&gt;"Superseded",COUNTIFS($B$4:$B$1003,"AIR",$C$4:$C$1003,F289,$E$4:$E$1003,"AIR",$F$4:$F$1003,C289,$M$4:$M$1003,"&lt;&gt;Superseded")&gt;0),"Dependency cycle (A↔B) — review",IF(AND(B289="AIR",OR(E289="MOD",E289="DATA",E289="IF",E289="AG",E289="TOOL"),IFERROR(INDEX(Components!$G$4:$G$253,MATCH(F289,Components!$A$4:$A$253,0)),"")&lt;&gt;"",IFERROR(INDEX(Components!$G$4:$G$253,MATCH(F289,Components!$A$4:$A$253,0)),"")&lt;&gt;C289),"Component owned by another AIR-ID",IF(AND(M289="Confirmed",OR(IF(B289="UC",COUNTIFS('Use cases'!$A$4:$A$253,C289,'Use cases'!$I$4:$I$253,"Confirmed",'Use cases'!$J$4:$J$253,"OK — verify source"),IF(B289="CAP",COUNTIFS(Capabilities!$A$4:$A$253,C289,Capabilities!$J$4:$J$253,"Confirmed",Capabilities!$K$4:$K$253,"OK — verify source"),IF(B289="AIR",COUNTIFS('System map'!$A$4:$A$203,C289,'System map'!$B$4:$B$203,"&lt;&gt;",'System map'!$C$4:$C$203,"&lt;&gt;",'System map'!$D$4:$D$203,"&lt;&gt;"),COUNTIFS(Components!$A$4:$A$253,C289,Components!$B$4:$B$253,B289,Components!$K$4:$K$253,"Confirmed",Components!$L$4:$L$253,"OK — verify source"))))&lt;&gt;1,IF(E289="UC",COUNTIFS('Use cases'!$A$4:$A$253,F289,'Use cases'!$I$4:$I$253,"Confirmed",'Use cases'!$J$4:$J$253,"OK — verify source"),IF(E289="CAP",COUNTIFS(Capabilities!$A$4:$A$253,F289,Capabilities!$J$4:$J$253,"Confirmed",Capabilities!$K$4:$K$253,"OK — verify source"),IF(E289="AIR",COUNTIFS('System map'!$A$4:$A$203,F289,'System map'!$B$4:$B$203,"&lt;&gt;",'System map'!$C$4:$C$203,"&lt;&gt;",'System map'!$D$4:$D$203,"&lt;&gt;"),COUNTIFS(Components!$A$4:$A$253,F289,Components!$B$4:$B$253,E289,Components!$K$4:$K$253,"Confirmed",Components!$L$4:$L$253,"OK — verify source"))))&lt;&gt;1)),"Endpoint not source-reconciled",IF(AND(M289="Confirmed",OR(L289="",K289="",K289="Unknown",K289="Low")),"Confirmed link lacks verification","OK — verify source"))))))))))))))</f>
        <v/>
      </c>
    </row>
    <row r="290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6" t="n"/>
      <c r="M290" s="25" t="n"/>
      <c r="N290" s="25">
        <f>IF(COUNTA(A290:M290)=0,"",IF(OR(A290="",B290="",C290="",D290="",E290="",F290="",I290="",J290="",K290="",M290=""),"Required link detail missing",IF(COUNTIF($A$4:$A$1003,A290)&gt;1,"Duplicate Map Edge ID",IF(NOT(OR(AND(B290="UC",E290="CAP",D290="requires"),AND(B290="CAP",E290="AIR",D290="provided by"),AND(B290="AIR",OR(E290="MOD",E290="DATA",E290="IF",E290="AG",E290="TOOL"),D290="references"),AND(B290="AIR",E290="AIR",D290="depends on"))),"Invalid relationship",IF(AND(M290&lt;&gt;"Superseded",COUNTIFS($B$4:$B$1003,B290,$C$4:$C$1003,C290,$D$4:$D$1003,D290,$E$4:$E$1003,E290,$F$4:$F$1003,F290,$G$4:$G$1003,G290,$M$4:$M$1003,"&lt;&gt;Superseded")&gt;1),"Duplicate relationship",IF(OR(IF(B290="UC",COUNTIF('Use cases'!$A$4:$A$253,C290),IF(B290="CAP",COUNTIF(Capabilities!$A$4:$A$253,C290),IF(B290="AIR",COUNTIF('System map'!$A$4:$A$203,C290),COUNTIFS(Components!$A$4:$A$253,C290,Components!$B$4:$B$253,B290))))&lt;&gt;1,IF(E290="UC",COUNTIF('Use cases'!$A$4:$A$253,F290),IF(E290="CAP",COUNTIF(Capabilities!$A$4:$A$253,F290),IF(E290="AIR",COUNTIF('System map'!$A$4:$A$203,F290),COUNTIFS(Components!$A$4:$A$253,F290,Components!$B$4:$B$253,E290))))&lt;&gt;1),"Endpoint missing or duplicated",IF(AND(NOT(AND(B290="UC",E290="CAP")),OR(G290="",COUNTIF('System map'!$A$4:$A$203,G290)&lt;&gt;1)),"AIR context missing / unknown",IF(AND(B290="CAP",E290="AIR",G290&lt;&gt;F290),"AIR context mismatch",IF(AND(B290="AIR",G290&lt;&gt;C290),"AIR context mismatch",IF(AND(B290="AIR",E290="AIR",C290=F290),"Self-dependency",IF(AND(B290="AIR",E290="AIR",M290&lt;&gt;"Superseded",COUNTIFS($B$4:$B$1003,"AIR",$C$4:$C$1003,F290,$E$4:$E$1003,"AIR",$F$4:$F$1003,C290,$M$4:$M$1003,"&lt;&gt;Superseded")&gt;0),"Dependency cycle (A↔B) — review",IF(AND(B290="AIR",OR(E290="MOD",E290="DATA",E290="IF",E290="AG",E290="TOOL"),IFERROR(INDEX(Components!$G$4:$G$253,MATCH(F290,Components!$A$4:$A$253,0)),"")&lt;&gt;"",IFERROR(INDEX(Components!$G$4:$G$253,MATCH(F290,Components!$A$4:$A$253,0)),"")&lt;&gt;C290),"Component owned by another AIR-ID",IF(AND(M290="Confirmed",OR(IF(B290="UC",COUNTIFS('Use cases'!$A$4:$A$253,C290,'Use cases'!$I$4:$I$253,"Confirmed",'Use cases'!$J$4:$J$253,"OK — verify source"),IF(B290="CAP",COUNTIFS(Capabilities!$A$4:$A$253,C290,Capabilities!$J$4:$J$253,"Confirmed",Capabilities!$K$4:$K$253,"OK — verify source"),IF(B290="AIR",COUNTIFS('System map'!$A$4:$A$203,C290,'System map'!$B$4:$B$203,"&lt;&gt;",'System map'!$C$4:$C$203,"&lt;&gt;",'System map'!$D$4:$D$203,"&lt;&gt;"),COUNTIFS(Components!$A$4:$A$253,C290,Components!$B$4:$B$253,B290,Components!$K$4:$K$253,"Confirmed",Components!$L$4:$L$253,"OK — verify source"))))&lt;&gt;1,IF(E290="UC",COUNTIFS('Use cases'!$A$4:$A$253,F290,'Use cases'!$I$4:$I$253,"Confirmed",'Use cases'!$J$4:$J$253,"OK — verify source"),IF(E290="CAP",COUNTIFS(Capabilities!$A$4:$A$253,F290,Capabilities!$J$4:$J$253,"Confirmed",Capabilities!$K$4:$K$253,"OK — verify source"),IF(E290="AIR",COUNTIFS('System map'!$A$4:$A$203,F290,'System map'!$B$4:$B$203,"&lt;&gt;",'System map'!$C$4:$C$203,"&lt;&gt;",'System map'!$D$4:$D$203,"&lt;&gt;"),COUNTIFS(Components!$A$4:$A$253,F290,Components!$B$4:$B$253,E290,Components!$K$4:$K$253,"Confirmed",Components!$L$4:$L$253,"OK — verify source"))))&lt;&gt;1)),"Endpoint not source-reconciled",IF(AND(M290="Confirmed",OR(L290="",K290="",K290="Unknown",K290="Low")),"Confirmed link lacks verification","OK — verify source"))))))))))))))</f>
        <v/>
      </c>
    </row>
    <row r="291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8" t="n"/>
      <c r="M291" s="27" t="n"/>
      <c r="N291" s="27">
        <f>IF(COUNTA(A291:M291)=0,"",IF(OR(A291="",B291="",C291="",D291="",E291="",F291="",I291="",J291="",K291="",M291=""),"Required link detail missing",IF(COUNTIF($A$4:$A$1003,A291)&gt;1,"Duplicate Map Edge ID",IF(NOT(OR(AND(B291="UC",E291="CAP",D291="requires"),AND(B291="CAP",E291="AIR",D291="provided by"),AND(B291="AIR",OR(E291="MOD",E291="DATA",E291="IF",E291="AG",E291="TOOL"),D291="references"),AND(B291="AIR",E291="AIR",D291="depends on"))),"Invalid relationship",IF(AND(M291&lt;&gt;"Superseded",COUNTIFS($B$4:$B$1003,B291,$C$4:$C$1003,C291,$D$4:$D$1003,D291,$E$4:$E$1003,E291,$F$4:$F$1003,F291,$G$4:$G$1003,G291,$M$4:$M$1003,"&lt;&gt;Superseded")&gt;1),"Duplicate relationship",IF(OR(IF(B291="UC",COUNTIF('Use cases'!$A$4:$A$253,C291),IF(B291="CAP",COUNTIF(Capabilities!$A$4:$A$253,C291),IF(B291="AIR",COUNTIF('System map'!$A$4:$A$203,C291),COUNTIFS(Components!$A$4:$A$253,C291,Components!$B$4:$B$253,B291))))&lt;&gt;1,IF(E291="UC",COUNTIF('Use cases'!$A$4:$A$253,F291),IF(E291="CAP",COUNTIF(Capabilities!$A$4:$A$253,F291),IF(E291="AIR",COUNTIF('System map'!$A$4:$A$203,F291),COUNTIFS(Components!$A$4:$A$253,F291,Components!$B$4:$B$253,E291))))&lt;&gt;1),"Endpoint missing or duplicated",IF(AND(NOT(AND(B291="UC",E291="CAP")),OR(G291="",COUNTIF('System map'!$A$4:$A$203,G291)&lt;&gt;1)),"AIR context missing / unknown",IF(AND(B291="CAP",E291="AIR",G291&lt;&gt;F291),"AIR context mismatch",IF(AND(B291="AIR",G291&lt;&gt;C291),"AIR context mismatch",IF(AND(B291="AIR",E291="AIR",C291=F291),"Self-dependency",IF(AND(B291="AIR",E291="AIR",M291&lt;&gt;"Superseded",COUNTIFS($B$4:$B$1003,"AIR",$C$4:$C$1003,F291,$E$4:$E$1003,"AIR",$F$4:$F$1003,C291,$M$4:$M$1003,"&lt;&gt;Superseded")&gt;0),"Dependency cycle (A↔B) — review",IF(AND(B291="AIR",OR(E291="MOD",E291="DATA",E291="IF",E291="AG",E291="TOOL"),IFERROR(INDEX(Components!$G$4:$G$253,MATCH(F291,Components!$A$4:$A$253,0)),"")&lt;&gt;"",IFERROR(INDEX(Components!$G$4:$G$253,MATCH(F291,Components!$A$4:$A$253,0)),"")&lt;&gt;C291),"Component owned by another AIR-ID",IF(AND(M291="Confirmed",OR(IF(B291="UC",COUNTIFS('Use cases'!$A$4:$A$253,C291,'Use cases'!$I$4:$I$253,"Confirmed",'Use cases'!$J$4:$J$253,"OK — verify source"),IF(B291="CAP",COUNTIFS(Capabilities!$A$4:$A$253,C291,Capabilities!$J$4:$J$253,"Confirmed",Capabilities!$K$4:$K$253,"OK — verify source"),IF(B291="AIR",COUNTIFS('System map'!$A$4:$A$203,C291,'System map'!$B$4:$B$203,"&lt;&gt;",'System map'!$C$4:$C$203,"&lt;&gt;",'System map'!$D$4:$D$203,"&lt;&gt;"),COUNTIFS(Components!$A$4:$A$253,C291,Components!$B$4:$B$253,B291,Components!$K$4:$K$253,"Confirmed",Components!$L$4:$L$253,"OK — verify source"))))&lt;&gt;1,IF(E291="UC",COUNTIFS('Use cases'!$A$4:$A$253,F291,'Use cases'!$I$4:$I$253,"Confirmed",'Use cases'!$J$4:$J$253,"OK — verify source"),IF(E291="CAP",COUNTIFS(Capabilities!$A$4:$A$253,F291,Capabilities!$J$4:$J$253,"Confirmed",Capabilities!$K$4:$K$253,"OK — verify source"),IF(E291="AIR",COUNTIFS('System map'!$A$4:$A$203,F291,'System map'!$B$4:$B$203,"&lt;&gt;",'System map'!$C$4:$C$203,"&lt;&gt;",'System map'!$D$4:$D$203,"&lt;&gt;"),COUNTIFS(Components!$A$4:$A$253,F291,Components!$B$4:$B$253,E291,Components!$K$4:$K$253,"Confirmed",Components!$L$4:$L$253,"OK — verify source"))))&lt;&gt;1)),"Endpoint not source-reconciled",IF(AND(M291="Confirmed",OR(L291="",K291="",K291="Unknown",K291="Low")),"Confirmed link lacks verification","OK — verify source"))))))))))))))</f>
        <v/>
      </c>
    </row>
    <row r="292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6" t="n"/>
      <c r="M292" s="25" t="n"/>
      <c r="N292" s="25">
        <f>IF(COUNTA(A292:M292)=0,"",IF(OR(A292="",B292="",C292="",D292="",E292="",F292="",I292="",J292="",K292="",M292=""),"Required link detail missing",IF(COUNTIF($A$4:$A$1003,A292)&gt;1,"Duplicate Map Edge ID",IF(NOT(OR(AND(B292="UC",E292="CAP",D292="requires"),AND(B292="CAP",E292="AIR",D292="provided by"),AND(B292="AIR",OR(E292="MOD",E292="DATA",E292="IF",E292="AG",E292="TOOL"),D292="references"),AND(B292="AIR",E292="AIR",D292="depends on"))),"Invalid relationship",IF(AND(M292&lt;&gt;"Superseded",COUNTIFS($B$4:$B$1003,B292,$C$4:$C$1003,C292,$D$4:$D$1003,D292,$E$4:$E$1003,E292,$F$4:$F$1003,F292,$G$4:$G$1003,G292,$M$4:$M$1003,"&lt;&gt;Superseded")&gt;1),"Duplicate relationship",IF(OR(IF(B292="UC",COUNTIF('Use cases'!$A$4:$A$253,C292),IF(B292="CAP",COUNTIF(Capabilities!$A$4:$A$253,C292),IF(B292="AIR",COUNTIF('System map'!$A$4:$A$203,C292),COUNTIFS(Components!$A$4:$A$253,C292,Components!$B$4:$B$253,B292))))&lt;&gt;1,IF(E292="UC",COUNTIF('Use cases'!$A$4:$A$253,F292),IF(E292="CAP",COUNTIF(Capabilities!$A$4:$A$253,F292),IF(E292="AIR",COUNTIF('System map'!$A$4:$A$203,F292),COUNTIFS(Components!$A$4:$A$253,F292,Components!$B$4:$B$253,E292))))&lt;&gt;1),"Endpoint missing or duplicated",IF(AND(NOT(AND(B292="UC",E292="CAP")),OR(G292="",COUNTIF('System map'!$A$4:$A$203,G292)&lt;&gt;1)),"AIR context missing / unknown",IF(AND(B292="CAP",E292="AIR",G292&lt;&gt;F292),"AIR context mismatch",IF(AND(B292="AIR",G292&lt;&gt;C292),"AIR context mismatch",IF(AND(B292="AIR",E292="AIR",C292=F292),"Self-dependency",IF(AND(B292="AIR",E292="AIR",M292&lt;&gt;"Superseded",COUNTIFS($B$4:$B$1003,"AIR",$C$4:$C$1003,F292,$E$4:$E$1003,"AIR",$F$4:$F$1003,C292,$M$4:$M$1003,"&lt;&gt;Superseded")&gt;0),"Dependency cycle (A↔B) — review",IF(AND(B292="AIR",OR(E292="MOD",E292="DATA",E292="IF",E292="AG",E292="TOOL"),IFERROR(INDEX(Components!$G$4:$G$253,MATCH(F292,Components!$A$4:$A$253,0)),"")&lt;&gt;"",IFERROR(INDEX(Components!$G$4:$G$253,MATCH(F292,Components!$A$4:$A$253,0)),"")&lt;&gt;C292),"Component owned by another AIR-ID",IF(AND(M292="Confirmed",OR(IF(B292="UC",COUNTIFS('Use cases'!$A$4:$A$253,C292,'Use cases'!$I$4:$I$253,"Confirmed",'Use cases'!$J$4:$J$253,"OK — verify source"),IF(B292="CAP",COUNTIFS(Capabilities!$A$4:$A$253,C292,Capabilities!$J$4:$J$253,"Confirmed",Capabilities!$K$4:$K$253,"OK — verify source"),IF(B292="AIR",COUNTIFS('System map'!$A$4:$A$203,C292,'System map'!$B$4:$B$203,"&lt;&gt;",'System map'!$C$4:$C$203,"&lt;&gt;",'System map'!$D$4:$D$203,"&lt;&gt;"),COUNTIFS(Components!$A$4:$A$253,C292,Components!$B$4:$B$253,B292,Components!$K$4:$K$253,"Confirmed",Components!$L$4:$L$253,"OK — verify source"))))&lt;&gt;1,IF(E292="UC",COUNTIFS('Use cases'!$A$4:$A$253,F292,'Use cases'!$I$4:$I$253,"Confirmed",'Use cases'!$J$4:$J$253,"OK — verify source"),IF(E292="CAP",COUNTIFS(Capabilities!$A$4:$A$253,F292,Capabilities!$J$4:$J$253,"Confirmed",Capabilities!$K$4:$K$253,"OK — verify source"),IF(E292="AIR",COUNTIFS('System map'!$A$4:$A$203,F292,'System map'!$B$4:$B$203,"&lt;&gt;",'System map'!$C$4:$C$203,"&lt;&gt;",'System map'!$D$4:$D$203,"&lt;&gt;"),COUNTIFS(Components!$A$4:$A$253,F292,Components!$B$4:$B$253,E292,Components!$K$4:$K$253,"Confirmed",Components!$L$4:$L$253,"OK — verify source"))))&lt;&gt;1)),"Endpoint not source-reconciled",IF(AND(M292="Confirmed",OR(L292="",K292="",K292="Unknown",K292="Low")),"Confirmed link lacks verification","OK — verify source"))))))))))))))</f>
        <v/>
      </c>
    </row>
    <row r="293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8" t="n"/>
      <c r="M293" s="27" t="n"/>
      <c r="N293" s="27">
        <f>IF(COUNTA(A293:M293)=0,"",IF(OR(A293="",B293="",C293="",D293="",E293="",F293="",I293="",J293="",K293="",M293=""),"Required link detail missing",IF(COUNTIF($A$4:$A$1003,A293)&gt;1,"Duplicate Map Edge ID",IF(NOT(OR(AND(B293="UC",E293="CAP",D293="requires"),AND(B293="CAP",E293="AIR",D293="provided by"),AND(B293="AIR",OR(E293="MOD",E293="DATA",E293="IF",E293="AG",E293="TOOL"),D293="references"),AND(B293="AIR",E293="AIR",D293="depends on"))),"Invalid relationship",IF(AND(M293&lt;&gt;"Superseded",COUNTIFS($B$4:$B$1003,B293,$C$4:$C$1003,C293,$D$4:$D$1003,D293,$E$4:$E$1003,E293,$F$4:$F$1003,F293,$G$4:$G$1003,G293,$M$4:$M$1003,"&lt;&gt;Superseded")&gt;1),"Duplicate relationship",IF(OR(IF(B293="UC",COUNTIF('Use cases'!$A$4:$A$253,C293),IF(B293="CAP",COUNTIF(Capabilities!$A$4:$A$253,C293),IF(B293="AIR",COUNTIF('System map'!$A$4:$A$203,C293),COUNTIFS(Components!$A$4:$A$253,C293,Components!$B$4:$B$253,B293))))&lt;&gt;1,IF(E293="UC",COUNTIF('Use cases'!$A$4:$A$253,F293),IF(E293="CAP",COUNTIF(Capabilities!$A$4:$A$253,F293),IF(E293="AIR",COUNTIF('System map'!$A$4:$A$203,F293),COUNTIFS(Components!$A$4:$A$253,F293,Components!$B$4:$B$253,E293))))&lt;&gt;1),"Endpoint missing or duplicated",IF(AND(NOT(AND(B293="UC",E293="CAP")),OR(G293="",COUNTIF('System map'!$A$4:$A$203,G293)&lt;&gt;1)),"AIR context missing / unknown",IF(AND(B293="CAP",E293="AIR",G293&lt;&gt;F293),"AIR context mismatch",IF(AND(B293="AIR",G293&lt;&gt;C293),"AIR context mismatch",IF(AND(B293="AIR",E293="AIR",C293=F293),"Self-dependency",IF(AND(B293="AIR",E293="AIR",M293&lt;&gt;"Superseded",COUNTIFS($B$4:$B$1003,"AIR",$C$4:$C$1003,F293,$E$4:$E$1003,"AIR",$F$4:$F$1003,C293,$M$4:$M$1003,"&lt;&gt;Superseded")&gt;0),"Dependency cycle (A↔B) — review",IF(AND(B293="AIR",OR(E293="MOD",E293="DATA",E293="IF",E293="AG",E293="TOOL"),IFERROR(INDEX(Components!$G$4:$G$253,MATCH(F293,Components!$A$4:$A$253,0)),"")&lt;&gt;"",IFERROR(INDEX(Components!$G$4:$G$253,MATCH(F293,Components!$A$4:$A$253,0)),"")&lt;&gt;C293),"Component owned by another AIR-ID",IF(AND(M293="Confirmed",OR(IF(B293="UC",COUNTIFS('Use cases'!$A$4:$A$253,C293,'Use cases'!$I$4:$I$253,"Confirmed",'Use cases'!$J$4:$J$253,"OK — verify source"),IF(B293="CAP",COUNTIFS(Capabilities!$A$4:$A$253,C293,Capabilities!$J$4:$J$253,"Confirmed",Capabilities!$K$4:$K$253,"OK — verify source"),IF(B293="AIR",COUNTIFS('System map'!$A$4:$A$203,C293,'System map'!$B$4:$B$203,"&lt;&gt;",'System map'!$C$4:$C$203,"&lt;&gt;",'System map'!$D$4:$D$203,"&lt;&gt;"),COUNTIFS(Components!$A$4:$A$253,C293,Components!$B$4:$B$253,B293,Components!$K$4:$K$253,"Confirmed",Components!$L$4:$L$253,"OK — verify source"))))&lt;&gt;1,IF(E293="UC",COUNTIFS('Use cases'!$A$4:$A$253,F293,'Use cases'!$I$4:$I$253,"Confirmed",'Use cases'!$J$4:$J$253,"OK — verify source"),IF(E293="CAP",COUNTIFS(Capabilities!$A$4:$A$253,F293,Capabilities!$J$4:$J$253,"Confirmed",Capabilities!$K$4:$K$253,"OK — verify source"),IF(E293="AIR",COUNTIFS('System map'!$A$4:$A$203,F293,'System map'!$B$4:$B$203,"&lt;&gt;",'System map'!$C$4:$C$203,"&lt;&gt;",'System map'!$D$4:$D$203,"&lt;&gt;"),COUNTIFS(Components!$A$4:$A$253,F293,Components!$B$4:$B$253,E293,Components!$K$4:$K$253,"Confirmed",Components!$L$4:$L$253,"OK — verify source"))))&lt;&gt;1)),"Endpoint not source-reconciled",IF(AND(M293="Confirmed",OR(L293="",K293="",K293="Unknown",K293="Low")),"Confirmed link lacks verification","OK — verify source"))))))))))))))</f>
        <v/>
      </c>
    </row>
    <row r="29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6" t="n"/>
      <c r="M294" s="25" t="n"/>
      <c r="N294" s="25">
        <f>IF(COUNTA(A294:M294)=0,"",IF(OR(A294="",B294="",C294="",D294="",E294="",F294="",I294="",J294="",K294="",M294=""),"Required link detail missing",IF(COUNTIF($A$4:$A$1003,A294)&gt;1,"Duplicate Map Edge ID",IF(NOT(OR(AND(B294="UC",E294="CAP",D294="requires"),AND(B294="CAP",E294="AIR",D294="provided by"),AND(B294="AIR",OR(E294="MOD",E294="DATA",E294="IF",E294="AG",E294="TOOL"),D294="references"),AND(B294="AIR",E294="AIR",D294="depends on"))),"Invalid relationship",IF(AND(M294&lt;&gt;"Superseded",COUNTIFS($B$4:$B$1003,B294,$C$4:$C$1003,C294,$D$4:$D$1003,D294,$E$4:$E$1003,E294,$F$4:$F$1003,F294,$G$4:$G$1003,G294,$M$4:$M$1003,"&lt;&gt;Superseded")&gt;1),"Duplicate relationship",IF(OR(IF(B294="UC",COUNTIF('Use cases'!$A$4:$A$253,C294),IF(B294="CAP",COUNTIF(Capabilities!$A$4:$A$253,C294),IF(B294="AIR",COUNTIF('System map'!$A$4:$A$203,C294),COUNTIFS(Components!$A$4:$A$253,C294,Components!$B$4:$B$253,B294))))&lt;&gt;1,IF(E294="UC",COUNTIF('Use cases'!$A$4:$A$253,F294),IF(E294="CAP",COUNTIF(Capabilities!$A$4:$A$253,F294),IF(E294="AIR",COUNTIF('System map'!$A$4:$A$203,F294),COUNTIFS(Components!$A$4:$A$253,F294,Components!$B$4:$B$253,E294))))&lt;&gt;1),"Endpoint missing or duplicated",IF(AND(NOT(AND(B294="UC",E294="CAP")),OR(G294="",COUNTIF('System map'!$A$4:$A$203,G294)&lt;&gt;1)),"AIR context missing / unknown",IF(AND(B294="CAP",E294="AIR",G294&lt;&gt;F294),"AIR context mismatch",IF(AND(B294="AIR",G294&lt;&gt;C294),"AIR context mismatch",IF(AND(B294="AIR",E294="AIR",C294=F294),"Self-dependency",IF(AND(B294="AIR",E294="AIR",M294&lt;&gt;"Superseded",COUNTIFS($B$4:$B$1003,"AIR",$C$4:$C$1003,F294,$E$4:$E$1003,"AIR",$F$4:$F$1003,C294,$M$4:$M$1003,"&lt;&gt;Superseded")&gt;0),"Dependency cycle (A↔B) — review",IF(AND(B294="AIR",OR(E294="MOD",E294="DATA",E294="IF",E294="AG",E294="TOOL"),IFERROR(INDEX(Components!$G$4:$G$253,MATCH(F294,Components!$A$4:$A$253,0)),"")&lt;&gt;"",IFERROR(INDEX(Components!$G$4:$G$253,MATCH(F294,Components!$A$4:$A$253,0)),"")&lt;&gt;C294),"Component owned by another AIR-ID",IF(AND(M294="Confirmed",OR(IF(B294="UC",COUNTIFS('Use cases'!$A$4:$A$253,C294,'Use cases'!$I$4:$I$253,"Confirmed",'Use cases'!$J$4:$J$253,"OK — verify source"),IF(B294="CAP",COUNTIFS(Capabilities!$A$4:$A$253,C294,Capabilities!$J$4:$J$253,"Confirmed",Capabilities!$K$4:$K$253,"OK — verify source"),IF(B294="AIR",COUNTIFS('System map'!$A$4:$A$203,C294,'System map'!$B$4:$B$203,"&lt;&gt;",'System map'!$C$4:$C$203,"&lt;&gt;",'System map'!$D$4:$D$203,"&lt;&gt;"),COUNTIFS(Components!$A$4:$A$253,C294,Components!$B$4:$B$253,B294,Components!$K$4:$K$253,"Confirmed",Components!$L$4:$L$253,"OK — verify source"))))&lt;&gt;1,IF(E294="UC",COUNTIFS('Use cases'!$A$4:$A$253,F294,'Use cases'!$I$4:$I$253,"Confirmed",'Use cases'!$J$4:$J$253,"OK — verify source"),IF(E294="CAP",COUNTIFS(Capabilities!$A$4:$A$253,F294,Capabilities!$J$4:$J$253,"Confirmed",Capabilities!$K$4:$K$253,"OK — verify source"),IF(E294="AIR",COUNTIFS('System map'!$A$4:$A$203,F294,'System map'!$B$4:$B$203,"&lt;&gt;",'System map'!$C$4:$C$203,"&lt;&gt;",'System map'!$D$4:$D$203,"&lt;&gt;"),COUNTIFS(Components!$A$4:$A$253,F294,Components!$B$4:$B$253,E294,Components!$K$4:$K$253,"Confirmed",Components!$L$4:$L$253,"OK — verify source"))))&lt;&gt;1)),"Endpoint not source-reconciled",IF(AND(M294="Confirmed",OR(L294="",K294="",K294="Unknown",K294="Low")),"Confirmed link lacks verification","OK — verify source"))))))))))))))</f>
        <v/>
      </c>
    </row>
    <row r="295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8" t="n"/>
      <c r="M295" s="27" t="n"/>
      <c r="N295" s="27">
        <f>IF(COUNTA(A295:M295)=0,"",IF(OR(A295="",B295="",C295="",D295="",E295="",F295="",I295="",J295="",K295="",M295=""),"Required link detail missing",IF(COUNTIF($A$4:$A$1003,A295)&gt;1,"Duplicate Map Edge ID",IF(NOT(OR(AND(B295="UC",E295="CAP",D295="requires"),AND(B295="CAP",E295="AIR",D295="provided by"),AND(B295="AIR",OR(E295="MOD",E295="DATA",E295="IF",E295="AG",E295="TOOL"),D295="references"),AND(B295="AIR",E295="AIR",D295="depends on"))),"Invalid relationship",IF(AND(M295&lt;&gt;"Superseded",COUNTIFS($B$4:$B$1003,B295,$C$4:$C$1003,C295,$D$4:$D$1003,D295,$E$4:$E$1003,E295,$F$4:$F$1003,F295,$G$4:$G$1003,G295,$M$4:$M$1003,"&lt;&gt;Superseded")&gt;1),"Duplicate relationship",IF(OR(IF(B295="UC",COUNTIF('Use cases'!$A$4:$A$253,C295),IF(B295="CAP",COUNTIF(Capabilities!$A$4:$A$253,C295),IF(B295="AIR",COUNTIF('System map'!$A$4:$A$203,C295),COUNTIFS(Components!$A$4:$A$253,C295,Components!$B$4:$B$253,B295))))&lt;&gt;1,IF(E295="UC",COUNTIF('Use cases'!$A$4:$A$253,F295),IF(E295="CAP",COUNTIF(Capabilities!$A$4:$A$253,F295),IF(E295="AIR",COUNTIF('System map'!$A$4:$A$203,F295),COUNTIFS(Components!$A$4:$A$253,F295,Components!$B$4:$B$253,E295))))&lt;&gt;1),"Endpoint missing or duplicated",IF(AND(NOT(AND(B295="UC",E295="CAP")),OR(G295="",COUNTIF('System map'!$A$4:$A$203,G295)&lt;&gt;1)),"AIR context missing / unknown",IF(AND(B295="CAP",E295="AIR",G295&lt;&gt;F295),"AIR context mismatch",IF(AND(B295="AIR",G295&lt;&gt;C295),"AIR context mismatch",IF(AND(B295="AIR",E295="AIR",C295=F295),"Self-dependency",IF(AND(B295="AIR",E295="AIR",M295&lt;&gt;"Superseded",COUNTIFS($B$4:$B$1003,"AIR",$C$4:$C$1003,F295,$E$4:$E$1003,"AIR",$F$4:$F$1003,C295,$M$4:$M$1003,"&lt;&gt;Superseded")&gt;0),"Dependency cycle (A↔B) — review",IF(AND(B295="AIR",OR(E295="MOD",E295="DATA",E295="IF",E295="AG",E295="TOOL"),IFERROR(INDEX(Components!$G$4:$G$253,MATCH(F295,Components!$A$4:$A$253,0)),"")&lt;&gt;"",IFERROR(INDEX(Components!$G$4:$G$253,MATCH(F295,Components!$A$4:$A$253,0)),"")&lt;&gt;C295),"Component owned by another AIR-ID",IF(AND(M295="Confirmed",OR(IF(B295="UC",COUNTIFS('Use cases'!$A$4:$A$253,C295,'Use cases'!$I$4:$I$253,"Confirmed",'Use cases'!$J$4:$J$253,"OK — verify source"),IF(B295="CAP",COUNTIFS(Capabilities!$A$4:$A$253,C295,Capabilities!$J$4:$J$253,"Confirmed",Capabilities!$K$4:$K$253,"OK — verify source"),IF(B295="AIR",COUNTIFS('System map'!$A$4:$A$203,C295,'System map'!$B$4:$B$203,"&lt;&gt;",'System map'!$C$4:$C$203,"&lt;&gt;",'System map'!$D$4:$D$203,"&lt;&gt;"),COUNTIFS(Components!$A$4:$A$253,C295,Components!$B$4:$B$253,B295,Components!$K$4:$K$253,"Confirmed",Components!$L$4:$L$253,"OK — verify source"))))&lt;&gt;1,IF(E295="UC",COUNTIFS('Use cases'!$A$4:$A$253,F295,'Use cases'!$I$4:$I$253,"Confirmed",'Use cases'!$J$4:$J$253,"OK — verify source"),IF(E295="CAP",COUNTIFS(Capabilities!$A$4:$A$253,F295,Capabilities!$J$4:$J$253,"Confirmed",Capabilities!$K$4:$K$253,"OK — verify source"),IF(E295="AIR",COUNTIFS('System map'!$A$4:$A$203,F295,'System map'!$B$4:$B$203,"&lt;&gt;",'System map'!$C$4:$C$203,"&lt;&gt;",'System map'!$D$4:$D$203,"&lt;&gt;"),COUNTIFS(Components!$A$4:$A$253,F295,Components!$B$4:$B$253,E295,Components!$K$4:$K$253,"Confirmed",Components!$L$4:$L$253,"OK — verify source"))))&lt;&gt;1)),"Endpoint not source-reconciled",IF(AND(M295="Confirmed",OR(L295="",K295="",K295="Unknown",K295="Low")),"Confirmed link lacks verification","OK — verify source"))))))))))))))</f>
        <v/>
      </c>
    </row>
    <row r="296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6" t="n"/>
      <c r="M296" s="25" t="n"/>
      <c r="N296" s="25">
        <f>IF(COUNTA(A296:M296)=0,"",IF(OR(A296="",B296="",C296="",D296="",E296="",F296="",I296="",J296="",K296="",M296=""),"Required link detail missing",IF(COUNTIF($A$4:$A$1003,A296)&gt;1,"Duplicate Map Edge ID",IF(NOT(OR(AND(B296="UC",E296="CAP",D296="requires"),AND(B296="CAP",E296="AIR",D296="provided by"),AND(B296="AIR",OR(E296="MOD",E296="DATA",E296="IF",E296="AG",E296="TOOL"),D296="references"),AND(B296="AIR",E296="AIR",D296="depends on"))),"Invalid relationship",IF(AND(M296&lt;&gt;"Superseded",COUNTIFS($B$4:$B$1003,B296,$C$4:$C$1003,C296,$D$4:$D$1003,D296,$E$4:$E$1003,E296,$F$4:$F$1003,F296,$G$4:$G$1003,G296,$M$4:$M$1003,"&lt;&gt;Superseded")&gt;1),"Duplicate relationship",IF(OR(IF(B296="UC",COUNTIF('Use cases'!$A$4:$A$253,C296),IF(B296="CAP",COUNTIF(Capabilities!$A$4:$A$253,C296),IF(B296="AIR",COUNTIF('System map'!$A$4:$A$203,C296),COUNTIFS(Components!$A$4:$A$253,C296,Components!$B$4:$B$253,B296))))&lt;&gt;1,IF(E296="UC",COUNTIF('Use cases'!$A$4:$A$253,F296),IF(E296="CAP",COUNTIF(Capabilities!$A$4:$A$253,F296),IF(E296="AIR",COUNTIF('System map'!$A$4:$A$203,F296),COUNTIFS(Components!$A$4:$A$253,F296,Components!$B$4:$B$253,E296))))&lt;&gt;1),"Endpoint missing or duplicated",IF(AND(NOT(AND(B296="UC",E296="CAP")),OR(G296="",COUNTIF('System map'!$A$4:$A$203,G296)&lt;&gt;1)),"AIR context missing / unknown",IF(AND(B296="CAP",E296="AIR",G296&lt;&gt;F296),"AIR context mismatch",IF(AND(B296="AIR",G296&lt;&gt;C296),"AIR context mismatch",IF(AND(B296="AIR",E296="AIR",C296=F296),"Self-dependency",IF(AND(B296="AIR",E296="AIR",M296&lt;&gt;"Superseded",COUNTIFS($B$4:$B$1003,"AIR",$C$4:$C$1003,F296,$E$4:$E$1003,"AIR",$F$4:$F$1003,C296,$M$4:$M$1003,"&lt;&gt;Superseded")&gt;0),"Dependency cycle (A↔B) — review",IF(AND(B296="AIR",OR(E296="MOD",E296="DATA",E296="IF",E296="AG",E296="TOOL"),IFERROR(INDEX(Components!$G$4:$G$253,MATCH(F296,Components!$A$4:$A$253,0)),"")&lt;&gt;"",IFERROR(INDEX(Components!$G$4:$G$253,MATCH(F296,Components!$A$4:$A$253,0)),"")&lt;&gt;C296),"Component owned by another AIR-ID",IF(AND(M296="Confirmed",OR(IF(B296="UC",COUNTIFS('Use cases'!$A$4:$A$253,C296,'Use cases'!$I$4:$I$253,"Confirmed",'Use cases'!$J$4:$J$253,"OK — verify source"),IF(B296="CAP",COUNTIFS(Capabilities!$A$4:$A$253,C296,Capabilities!$J$4:$J$253,"Confirmed",Capabilities!$K$4:$K$253,"OK — verify source"),IF(B296="AIR",COUNTIFS('System map'!$A$4:$A$203,C296,'System map'!$B$4:$B$203,"&lt;&gt;",'System map'!$C$4:$C$203,"&lt;&gt;",'System map'!$D$4:$D$203,"&lt;&gt;"),COUNTIFS(Components!$A$4:$A$253,C296,Components!$B$4:$B$253,B296,Components!$K$4:$K$253,"Confirmed",Components!$L$4:$L$253,"OK — verify source"))))&lt;&gt;1,IF(E296="UC",COUNTIFS('Use cases'!$A$4:$A$253,F296,'Use cases'!$I$4:$I$253,"Confirmed",'Use cases'!$J$4:$J$253,"OK — verify source"),IF(E296="CAP",COUNTIFS(Capabilities!$A$4:$A$253,F296,Capabilities!$J$4:$J$253,"Confirmed",Capabilities!$K$4:$K$253,"OK — verify source"),IF(E296="AIR",COUNTIFS('System map'!$A$4:$A$203,F296,'System map'!$B$4:$B$203,"&lt;&gt;",'System map'!$C$4:$C$203,"&lt;&gt;",'System map'!$D$4:$D$203,"&lt;&gt;"),COUNTIFS(Components!$A$4:$A$253,F296,Components!$B$4:$B$253,E296,Components!$K$4:$K$253,"Confirmed",Components!$L$4:$L$253,"OK — verify source"))))&lt;&gt;1)),"Endpoint not source-reconciled",IF(AND(M296="Confirmed",OR(L296="",K296="",K296="Unknown",K296="Low")),"Confirmed link lacks verification","OK — verify source"))))))))))))))</f>
        <v/>
      </c>
    </row>
    <row r="297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8" t="n"/>
      <c r="M297" s="27" t="n"/>
      <c r="N297" s="27">
        <f>IF(COUNTA(A297:M297)=0,"",IF(OR(A297="",B297="",C297="",D297="",E297="",F297="",I297="",J297="",K297="",M297=""),"Required link detail missing",IF(COUNTIF($A$4:$A$1003,A297)&gt;1,"Duplicate Map Edge ID",IF(NOT(OR(AND(B297="UC",E297="CAP",D297="requires"),AND(B297="CAP",E297="AIR",D297="provided by"),AND(B297="AIR",OR(E297="MOD",E297="DATA",E297="IF",E297="AG",E297="TOOL"),D297="references"),AND(B297="AIR",E297="AIR",D297="depends on"))),"Invalid relationship",IF(AND(M297&lt;&gt;"Superseded",COUNTIFS($B$4:$B$1003,B297,$C$4:$C$1003,C297,$D$4:$D$1003,D297,$E$4:$E$1003,E297,$F$4:$F$1003,F297,$G$4:$G$1003,G297,$M$4:$M$1003,"&lt;&gt;Superseded")&gt;1),"Duplicate relationship",IF(OR(IF(B297="UC",COUNTIF('Use cases'!$A$4:$A$253,C297),IF(B297="CAP",COUNTIF(Capabilities!$A$4:$A$253,C297),IF(B297="AIR",COUNTIF('System map'!$A$4:$A$203,C297),COUNTIFS(Components!$A$4:$A$253,C297,Components!$B$4:$B$253,B297))))&lt;&gt;1,IF(E297="UC",COUNTIF('Use cases'!$A$4:$A$253,F297),IF(E297="CAP",COUNTIF(Capabilities!$A$4:$A$253,F297),IF(E297="AIR",COUNTIF('System map'!$A$4:$A$203,F297),COUNTIFS(Components!$A$4:$A$253,F297,Components!$B$4:$B$253,E297))))&lt;&gt;1),"Endpoint missing or duplicated",IF(AND(NOT(AND(B297="UC",E297="CAP")),OR(G297="",COUNTIF('System map'!$A$4:$A$203,G297)&lt;&gt;1)),"AIR context missing / unknown",IF(AND(B297="CAP",E297="AIR",G297&lt;&gt;F297),"AIR context mismatch",IF(AND(B297="AIR",G297&lt;&gt;C297),"AIR context mismatch",IF(AND(B297="AIR",E297="AIR",C297=F297),"Self-dependency",IF(AND(B297="AIR",E297="AIR",M297&lt;&gt;"Superseded",COUNTIFS($B$4:$B$1003,"AIR",$C$4:$C$1003,F297,$E$4:$E$1003,"AIR",$F$4:$F$1003,C297,$M$4:$M$1003,"&lt;&gt;Superseded")&gt;0),"Dependency cycle (A↔B) — review",IF(AND(B297="AIR",OR(E297="MOD",E297="DATA",E297="IF",E297="AG",E297="TOOL"),IFERROR(INDEX(Components!$G$4:$G$253,MATCH(F297,Components!$A$4:$A$253,0)),"")&lt;&gt;"",IFERROR(INDEX(Components!$G$4:$G$253,MATCH(F297,Components!$A$4:$A$253,0)),"")&lt;&gt;C297),"Component owned by another AIR-ID",IF(AND(M297="Confirmed",OR(IF(B297="UC",COUNTIFS('Use cases'!$A$4:$A$253,C297,'Use cases'!$I$4:$I$253,"Confirmed",'Use cases'!$J$4:$J$253,"OK — verify source"),IF(B297="CAP",COUNTIFS(Capabilities!$A$4:$A$253,C297,Capabilities!$J$4:$J$253,"Confirmed",Capabilities!$K$4:$K$253,"OK — verify source"),IF(B297="AIR",COUNTIFS('System map'!$A$4:$A$203,C297,'System map'!$B$4:$B$203,"&lt;&gt;",'System map'!$C$4:$C$203,"&lt;&gt;",'System map'!$D$4:$D$203,"&lt;&gt;"),COUNTIFS(Components!$A$4:$A$253,C297,Components!$B$4:$B$253,B297,Components!$K$4:$K$253,"Confirmed",Components!$L$4:$L$253,"OK — verify source"))))&lt;&gt;1,IF(E297="UC",COUNTIFS('Use cases'!$A$4:$A$253,F297,'Use cases'!$I$4:$I$253,"Confirmed",'Use cases'!$J$4:$J$253,"OK — verify source"),IF(E297="CAP",COUNTIFS(Capabilities!$A$4:$A$253,F297,Capabilities!$J$4:$J$253,"Confirmed",Capabilities!$K$4:$K$253,"OK — verify source"),IF(E297="AIR",COUNTIFS('System map'!$A$4:$A$203,F297,'System map'!$B$4:$B$203,"&lt;&gt;",'System map'!$C$4:$C$203,"&lt;&gt;",'System map'!$D$4:$D$203,"&lt;&gt;"),COUNTIFS(Components!$A$4:$A$253,F297,Components!$B$4:$B$253,E297,Components!$K$4:$K$253,"Confirmed",Components!$L$4:$L$253,"OK — verify source"))))&lt;&gt;1)),"Endpoint not source-reconciled",IF(AND(M297="Confirmed",OR(L297="",K297="",K297="Unknown",K297="Low")),"Confirmed link lacks verification","OK — verify source"))))))))))))))</f>
        <v/>
      </c>
    </row>
    <row r="298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6" t="n"/>
      <c r="M298" s="25" t="n"/>
      <c r="N298" s="25">
        <f>IF(COUNTA(A298:M298)=0,"",IF(OR(A298="",B298="",C298="",D298="",E298="",F298="",I298="",J298="",K298="",M298=""),"Required link detail missing",IF(COUNTIF($A$4:$A$1003,A298)&gt;1,"Duplicate Map Edge ID",IF(NOT(OR(AND(B298="UC",E298="CAP",D298="requires"),AND(B298="CAP",E298="AIR",D298="provided by"),AND(B298="AIR",OR(E298="MOD",E298="DATA",E298="IF",E298="AG",E298="TOOL"),D298="references"),AND(B298="AIR",E298="AIR",D298="depends on"))),"Invalid relationship",IF(AND(M298&lt;&gt;"Superseded",COUNTIFS($B$4:$B$1003,B298,$C$4:$C$1003,C298,$D$4:$D$1003,D298,$E$4:$E$1003,E298,$F$4:$F$1003,F298,$G$4:$G$1003,G298,$M$4:$M$1003,"&lt;&gt;Superseded")&gt;1),"Duplicate relationship",IF(OR(IF(B298="UC",COUNTIF('Use cases'!$A$4:$A$253,C298),IF(B298="CAP",COUNTIF(Capabilities!$A$4:$A$253,C298),IF(B298="AIR",COUNTIF('System map'!$A$4:$A$203,C298),COUNTIFS(Components!$A$4:$A$253,C298,Components!$B$4:$B$253,B298))))&lt;&gt;1,IF(E298="UC",COUNTIF('Use cases'!$A$4:$A$253,F298),IF(E298="CAP",COUNTIF(Capabilities!$A$4:$A$253,F298),IF(E298="AIR",COUNTIF('System map'!$A$4:$A$203,F298),COUNTIFS(Components!$A$4:$A$253,F298,Components!$B$4:$B$253,E298))))&lt;&gt;1),"Endpoint missing or duplicated",IF(AND(NOT(AND(B298="UC",E298="CAP")),OR(G298="",COUNTIF('System map'!$A$4:$A$203,G298)&lt;&gt;1)),"AIR context missing / unknown",IF(AND(B298="CAP",E298="AIR",G298&lt;&gt;F298),"AIR context mismatch",IF(AND(B298="AIR",G298&lt;&gt;C298),"AIR context mismatch",IF(AND(B298="AIR",E298="AIR",C298=F298),"Self-dependency",IF(AND(B298="AIR",E298="AIR",M298&lt;&gt;"Superseded",COUNTIFS($B$4:$B$1003,"AIR",$C$4:$C$1003,F298,$E$4:$E$1003,"AIR",$F$4:$F$1003,C298,$M$4:$M$1003,"&lt;&gt;Superseded")&gt;0),"Dependency cycle (A↔B) — review",IF(AND(B298="AIR",OR(E298="MOD",E298="DATA",E298="IF",E298="AG",E298="TOOL"),IFERROR(INDEX(Components!$G$4:$G$253,MATCH(F298,Components!$A$4:$A$253,0)),"")&lt;&gt;"",IFERROR(INDEX(Components!$G$4:$G$253,MATCH(F298,Components!$A$4:$A$253,0)),"")&lt;&gt;C298),"Component owned by another AIR-ID",IF(AND(M298="Confirmed",OR(IF(B298="UC",COUNTIFS('Use cases'!$A$4:$A$253,C298,'Use cases'!$I$4:$I$253,"Confirmed",'Use cases'!$J$4:$J$253,"OK — verify source"),IF(B298="CAP",COUNTIFS(Capabilities!$A$4:$A$253,C298,Capabilities!$J$4:$J$253,"Confirmed",Capabilities!$K$4:$K$253,"OK — verify source"),IF(B298="AIR",COUNTIFS('System map'!$A$4:$A$203,C298,'System map'!$B$4:$B$203,"&lt;&gt;",'System map'!$C$4:$C$203,"&lt;&gt;",'System map'!$D$4:$D$203,"&lt;&gt;"),COUNTIFS(Components!$A$4:$A$253,C298,Components!$B$4:$B$253,B298,Components!$K$4:$K$253,"Confirmed",Components!$L$4:$L$253,"OK — verify source"))))&lt;&gt;1,IF(E298="UC",COUNTIFS('Use cases'!$A$4:$A$253,F298,'Use cases'!$I$4:$I$253,"Confirmed",'Use cases'!$J$4:$J$253,"OK — verify source"),IF(E298="CAP",COUNTIFS(Capabilities!$A$4:$A$253,F298,Capabilities!$J$4:$J$253,"Confirmed",Capabilities!$K$4:$K$253,"OK — verify source"),IF(E298="AIR",COUNTIFS('System map'!$A$4:$A$203,F298,'System map'!$B$4:$B$203,"&lt;&gt;",'System map'!$C$4:$C$203,"&lt;&gt;",'System map'!$D$4:$D$203,"&lt;&gt;"),COUNTIFS(Components!$A$4:$A$253,F298,Components!$B$4:$B$253,E298,Components!$K$4:$K$253,"Confirmed",Components!$L$4:$L$253,"OK — verify source"))))&lt;&gt;1)),"Endpoint not source-reconciled",IF(AND(M298="Confirmed",OR(L298="",K298="",K298="Unknown",K298="Low")),"Confirmed link lacks verification","OK — verify source"))))))))))))))</f>
        <v/>
      </c>
    </row>
    <row r="299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8" t="n"/>
      <c r="M299" s="27" t="n"/>
      <c r="N299" s="27">
        <f>IF(COUNTA(A299:M299)=0,"",IF(OR(A299="",B299="",C299="",D299="",E299="",F299="",I299="",J299="",K299="",M299=""),"Required link detail missing",IF(COUNTIF($A$4:$A$1003,A299)&gt;1,"Duplicate Map Edge ID",IF(NOT(OR(AND(B299="UC",E299="CAP",D299="requires"),AND(B299="CAP",E299="AIR",D299="provided by"),AND(B299="AIR",OR(E299="MOD",E299="DATA",E299="IF",E299="AG",E299="TOOL"),D299="references"),AND(B299="AIR",E299="AIR",D299="depends on"))),"Invalid relationship",IF(AND(M299&lt;&gt;"Superseded",COUNTIFS($B$4:$B$1003,B299,$C$4:$C$1003,C299,$D$4:$D$1003,D299,$E$4:$E$1003,E299,$F$4:$F$1003,F299,$G$4:$G$1003,G299,$M$4:$M$1003,"&lt;&gt;Superseded")&gt;1),"Duplicate relationship",IF(OR(IF(B299="UC",COUNTIF('Use cases'!$A$4:$A$253,C299),IF(B299="CAP",COUNTIF(Capabilities!$A$4:$A$253,C299),IF(B299="AIR",COUNTIF('System map'!$A$4:$A$203,C299),COUNTIFS(Components!$A$4:$A$253,C299,Components!$B$4:$B$253,B299))))&lt;&gt;1,IF(E299="UC",COUNTIF('Use cases'!$A$4:$A$253,F299),IF(E299="CAP",COUNTIF(Capabilities!$A$4:$A$253,F299),IF(E299="AIR",COUNTIF('System map'!$A$4:$A$203,F299),COUNTIFS(Components!$A$4:$A$253,F299,Components!$B$4:$B$253,E299))))&lt;&gt;1),"Endpoint missing or duplicated",IF(AND(NOT(AND(B299="UC",E299="CAP")),OR(G299="",COUNTIF('System map'!$A$4:$A$203,G299)&lt;&gt;1)),"AIR context missing / unknown",IF(AND(B299="CAP",E299="AIR",G299&lt;&gt;F299),"AIR context mismatch",IF(AND(B299="AIR",G299&lt;&gt;C299),"AIR context mismatch",IF(AND(B299="AIR",E299="AIR",C299=F299),"Self-dependency",IF(AND(B299="AIR",E299="AIR",M299&lt;&gt;"Superseded",COUNTIFS($B$4:$B$1003,"AIR",$C$4:$C$1003,F299,$E$4:$E$1003,"AIR",$F$4:$F$1003,C299,$M$4:$M$1003,"&lt;&gt;Superseded")&gt;0),"Dependency cycle (A↔B) — review",IF(AND(B299="AIR",OR(E299="MOD",E299="DATA",E299="IF",E299="AG",E299="TOOL"),IFERROR(INDEX(Components!$G$4:$G$253,MATCH(F299,Components!$A$4:$A$253,0)),"")&lt;&gt;"",IFERROR(INDEX(Components!$G$4:$G$253,MATCH(F299,Components!$A$4:$A$253,0)),"")&lt;&gt;C299),"Component owned by another AIR-ID",IF(AND(M299="Confirmed",OR(IF(B299="UC",COUNTIFS('Use cases'!$A$4:$A$253,C299,'Use cases'!$I$4:$I$253,"Confirmed",'Use cases'!$J$4:$J$253,"OK — verify source"),IF(B299="CAP",COUNTIFS(Capabilities!$A$4:$A$253,C299,Capabilities!$J$4:$J$253,"Confirmed",Capabilities!$K$4:$K$253,"OK — verify source"),IF(B299="AIR",COUNTIFS('System map'!$A$4:$A$203,C299,'System map'!$B$4:$B$203,"&lt;&gt;",'System map'!$C$4:$C$203,"&lt;&gt;",'System map'!$D$4:$D$203,"&lt;&gt;"),COUNTIFS(Components!$A$4:$A$253,C299,Components!$B$4:$B$253,B299,Components!$K$4:$K$253,"Confirmed",Components!$L$4:$L$253,"OK — verify source"))))&lt;&gt;1,IF(E299="UC",COUNTIFS('Use cases'!$A$4:$A$253,F299,'Use cases'!$I$4:$I$253,"Confirmed",'Use cases'!$J$4:$J$253,"OK — verify source"),IF(E299="CAP",COUNTIFS(Capabilities!$A$4:$A$253,F299,Capabilities!$J$4:$J$253,"Confirmed",Capabilities!$K$4:$K$253,"OK — verify source"),IF(E299="AIR",COUNTIFS('System map'!$A$4:$A$203,F299,'System map'!$B$4:$B$203,"&lt;&gt;",'System map'!$C$4:$C$203,"&lt;&gt;",'System map'!$D$4:$D$203,"&lt;&gt;"),COUNTIFS(Components!$A$4:$A$253,F299,Components!$B$4:$B$253,E299,Components!$K$4:$K$253,"Confirmed",Components!$L$4:$L$253,"OK — verify source"))))&lt;&gt;1)),"Endpoint not source-reconciled",IF(AND(M299="Confirmed",OR(L299="",K299="",K299="Unknown",K299="Low")),"Confirmed link lacks verification","OK — verify source"))))))))))))))</f>
        <v/>
      </c>
    </row>
    <row r="300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6" t="n"/>
      <c r="M300" s="25" t="n"/>
      <c r="N300" s="25">
        <f>IF(COUNTA(A300:M300)=0,"",IF(OR(A300="",B300="",C300="",D300="",E300="",F300="",I300="",J300="",K300="",M300=""),"Required link detail missing",IF(COUNTIF($A$4:$A$1003,A300)&gt;1,"Duplicate Map Edge ID",IF(NOT(OR(AND(B300="UC",E300="CAP",D300="requires"),AND(B300="CAP",E300="AIR",D300="provided by"),AND(B300="AIR",OR(E300="MOD",E300="DATA",E300="IF",E300="AG",E300="TOOL"),D300="references"),AND(B300="AIR",E300="AIR",D300="depends on"))),"Invalid relationship",IF(AND(M300&lt;&gt;"Superseded",COUNTIFS($B$4:$B$1003,B300,$C$4:$C$1003,C300,$D$4:$D$1003,D300,$E$4:$E$1003,E300,$F$4:$F$1003,F300,$G$4:$G$1003,G300,$M$4:$M$1003,"&lt;&gt;Superseded")&gt;1),"Duplicate relationship",IF(OR(IF(B300="UC",COUNTIF('Use cases'!$A$4:$A$253,C300),IF(B300="CAP",COUNTIF(Capabilities!$A$4:$A$253,C300),IF(B300="AIR",COUNTIF('System map'!$A$4:$A$203,C300),COUNTIFS(Components!$A$4:$A$253,C300,Components!$B$4:$B$253,B300))))&lt;&gt;1,IF(E300="UC",COUNTIF('Use cases'!$A$4:$A$253,F300),IF(E300="CAP",COUNTIF(Capabilities!$A$4:$A$253,F300),IF(E300="AIR",COUNTIF('System map'!$A$4:$A$203,F300),COUNTIFS(Components!$A$4:$A$253,F300,Components!$B$4:$B$253,E300))))&lt;&gt;1),"Endpoint missing or duplicated",IF(AND(NOT(AND(B300="UC",E300="CAP")),OR(G300="",COUNTIF('System map'!$A$4:$A$203,G300)&lt;&gt;1)),"AIR context missing / unknown",IF(AND(B300="CAP",E300="AIR",G300&lt;&gt;F300),"AIR context mismatch",IF(AND(B300="AIR",G300&lt;&gt;C300),"AIR context mismatch",IF(AND(B300="AIR",E300="AIR",C300=F300),"Self-dependency",IF(AND(B300="AIR",E300="AIR",M300&lt;&gt;"Superseded",COUNTIFS($B$4:$B$1003,"AIR",$C$4:$C$1003,F300,$E$4:$E$1003,"AIR",$F$4:$F$1003,C300,$M$4:$M$1003,"&lt;&gt;Superseded")&gt;0),"Dependency cycle (A↔B) — review",IF(AND(B300="AIR",OR(E300="MOD",E300="DATA",E300="IF",E300="AG",E300="TOOL"),IFERROR(INDEX(Components!$G$4:$G$253,MATCH(F300,Components!$A$4:$A$253,0)),"")&lt;&gt;"",IFERROR(INDEX(Components!$G$4:$G$253,MATCH(F300,Components!$A$4:$A$253,0)),"")&lt;&gt;C300),"Component owned by another AIR-ID",IF(AND(M300="Confirmed",OR(IF(B300="UC",COUNTIFS('Use cases'!$A$4:$A$253,C300,'Use cases'!$I$4:$I$253,"Confirmed",'Use cases'!$J$4:$J$253,"OK — verify source"),IF(B300="CAP",COUNTIFS(Capabilities!$A$4:$A$253,C300,Capabilities!$J$4:$J$253,"Confirmed",Capabilities!$K$4:$K$253,"OK — verify source"),IF(B300="AIR",COUNTIFS('System map'!$A$4:$A$203,C300,'System map'!$B$4:$B$203,"&lt;&gt;",'System map'!$C$4:$C$203,"&lt;&gt;",'System map'!$D$4:$D$203,"&lt;&gt;"),COUNTIFS(Components!$A$4:$A$253,C300,Components!$B$4:$B$253,B300,Components!$K$4:$K$253,"Confirmed",Components!$L$4:$L$253,"OK — verify source"))))&lt;&gt;1,IF(E300="UC",COUNTIFS('Use cases'!$A$4:$A$253,F300,'Use cases'!$I$4:$I$253,"Confirmed",'Use cases'!$J$4:$J$253,"OK — verify source"),IF(E300="CAP",COUNTIFS(Capabilities!$A$4:$A$253,F300,Capabilities!$J$4:$J$253,"Confirmed",Capabilities!$K$4:$K$253,"OK — verify source"),IF(E300="AIR",COUNTIFS('System map'!$A$4:$A$203,F300,'System map'!$B$4:$B$203,"&lt;&gt;",'System map'!$C$4:$C$203,"&lt;&gt;",'System map'!$D$4:$D$203,"&lt;&gt;"),COUNTIFS(Components!$A$4:$A$253,F300,Components!$B$4:$B$253,E300,Components!$K$4:$K$253,"Confirmed",Components!$L$4:$L$253,"OK — verify source"))))&lt;&gt;1)),"Endpoint not source-reconciled",IF(AND(M300="Confirmed",OR(L300="",K300="",K300="Unknown",K300="Low")),"Confirmed link lacks verification","OK — verify source"))))))))))))))</f>
        <v/>
      </c>
    </row>
    <row r="301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8" t="n"/>
      <c r="M301" s="27" t="n"/>
      <c r="N301" s="27">
        <f>IF(COUNTA(A301:M301)=0,"",IF(OR(A301="",B301="",C301="",D301="",E301="",F301="",I301="",J301="",K301="",M301=""),"Required link detail missing",IF(COUNTIF($A$4:$A$1003,A301)&gt;1,"Duplicate Map Edge ID",IF(NOT(OR(AND(B301="UC",E301="CAP",D301="requires"),AND(B301="CAP",E301="AIR",D301="provided by"),AND(B301="AIR",OR(E301="MOD",E301="DATA",E301="IF",E301="AG",E301="TOOL"),D301="references"),AND(B301="AIR",E301="AIR",D301="depends on"))),"Invalid relationship",IF(AND(M301&lt;&gt;"Superseded",COUNTIFS($B$4:$B$1003,B301,$C$4:$C$1003,C301,$D$4:$D$1003,D301,$E$4:$E$1003,E301,$F$4:$F$1003,F301,$G$4:$G$1003,G301,$M$4:$M$1003,"&lt;&gt;Superseded")&gt;1),"Duplicate relationship",IF(OR(IF(B301="UC",COUNTIF('Use cases'!$A$4:$A$253,C301),IF(B301="CAP",COUNTIF(Capabilities!$A$4:$A$253,C301),IF(B301="AIR",COUNTIF('System map'!$A$4:$A$203,C301),COUNTIFS(Components!$A$4:$A$253,C301,Components!$B$4:$B$253,B301))))&lt;&gt;1,IF(E301="UC",COUNTIF('Use cases'!$A$4:$A$253,F301),IF(E301="CAP",COUNTIF(Capabilities!$A$4:$A$253,F301),IF(E301="AIR",COUNTIF('System map'!$A$4:$A$203,F301),COUNTIFS(Components!$A$4:$A$253,F301,Components!$B$4:$B$253,E301))))&lt;&gt;1),"Endpoint missing or duplicated",IF(AND(NOT(AND(B301="UC",E301="CAP")),OR(G301="",COUNTIF('System map'!$A$4:$A$203,G301)&lt;&gt;1)),"AIR context missing / unknown",IF(AND(B301="CAP",E301="AIR",G301&lt;&gt;F301),"AIR context mismatch",IF(AND(B301="AIR",G301&lt;&gt;C301),"AIR context mismatch",IF(AND(B301="AIR",E301="AIR",C301=F301),"Self-dependency",IF(AND(B301="AIR",E301="AIR",M301&lt;&gt;"Superseded",COUNTIFS($B$4:$B$1003,"AIR",$C$4:$C$1003,F301,$E$4:$E$1003,"AIR",$F$4:$F$1003,C301,$M$4:$M$1003,"&lt;&gt;Superseded")&gt;0),"Dependency cycle (A↔B) — review",IF(AND(B301="AIR",OR(E301="MOD",E301="DATA",E301="IF",E301="AG",E301="TOOL"),IFERROR(INDEX(Components!$G$4:$G$253,MATCH(F301,Components!$A$4:$A$253,0)),"")&lt;&gt;"",IFERROR(INDEX(Components!$G$4:$G$253,MATCH(F301,Components!$A$4:$A$253,0)),"")&lt;&gt;C301),"Component owned by another AIR-ID",IF(AND(M301="Confirmed",OR(IF(B301="UC",COUNTIFS('Use cases'!$A$4:$A$253,C301,'Use cases'!$I$4:$I$253,"Confirmed",'Use cases'!$J$4:$J$253,"OK — verify source"),IF(B301="CAP",COUNTIFS(Capabilities!$A$4:$A$253,C301,Capabilities!$J$4:$J$253,"Confirmed",Capabilities!$K$4:$K$253,"OK — verify source"),IF(B301="AIR",COUNTIFS('System map'!$A$4:$A$203,C301,'System map'!$B$4:$B$203,"&lt;&gt;",'System map'!$C$4:$C$203,"&lt;&gt;",'System map'!$D$4:$D$203,"&lt;&gt;"),COUNTIFS(Components!$A$4:$A$253,C301,Components!$B$4:$B$253,B301,Components!$K$4:$K$253,"Confirmed",Components!$L$4:$L$253,"OK — verify source"))))&lt;&gt;1,IF(E301="UC",COUNTIFS('Use cases'!$A$4:$A$253,F301,'Use cases'!$I$4:$I$253,"Confirmed",'Use cases'!$J$4:$J$253,"OK — verify source"),IF(E301="CAP",COUNTIFS(Capabilities!$A$4:$A$253,F301,Capabilities!$J$4:$J$253,"Confirmed",Capabilities!$K$4:$K$253,"OK — verify source"),IF(E301="AIR",COUNTIFS('System map'!$A$4:$A$203,F301,'System map'!$B$4:$B$203,"&lt;&gt;",'System map'!$C$4:$C$203,"&lt;&gt;",'System map'!$D$4:$D$203,"&lt;&gt;"),COUNTIFS(Components!$A$4:$A$253,F301,Components!$B$4:$B$253,E301,Components!$K$4:$K$253,"Confirmed",Components!$L$4:$L$253,"OK — verify source"))))&lt;&gt;1)),"Endpoint not source-reconciled",IF(AND(M301="Confirmed",OR(L301="",K301="",K301="Unknown",K301="Low")),"Confirmed link lacks verification","OK — verify source"))))))))))))))</f>
        <v/>
      </c>
    </row>
    <row r="302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6" t="n"/>
      <c r="M302" s="25" t="n"/>
      <c r="N302" s="25">
        <f>IF(COUNTA(A302:M302)=0,"",IF(OR(A302="",B302="",C302="",D302="",E302="",F302="",I302="",J302="",K302="",M302=""),"Required link detail missing",IF(COUNTIF($A$4:$A$1003,A302)&gt;1,"Duplicate Map Edge ID",IF(NOT(OR(AND(B302="UC",E302="CAP",D302="requires"),AND(B302="CAP",E302="AIR",D302="provided by"),AND(B302="AIR",OR(E302="MOD",E302="DATA",E302="IF",E302="AG",E302="TOOL"),D302="references"),AND(B302="AIR",E302="AIR",D302="depends on"))),"Invalid relationship",IF(AND(M302&lt;&gt;"Superseded",COUNTIFS($B$4:$B$1003,B302,$C$4:$C$1003,C302,$D$4:$D$1003,D302,$E$4:$E$1003,E302,$F$4:$F$1003,F302,$G$4:$G$1003,G302,$M$4:$M$1003,"&lt;&gt;Superseded")&gt;1),"Duplicate relationship",IF(OR(IF(B302="UC",COUNTIF('Use cases'!$A$4:$A$253,C302),IF(B302="CAP",COUNTIF(Capabilities!$A$4:$A$253,C302),IF(B302="AIR",COUNTIF('System map'!$A$4:$A$203,C302),COUNTIFS(Components!$A$4:$A$253,C302,Components!$B$4:$B$253,B302))))&lt;&gt;1,IF(E302="UC",COUNTIF('Use cases'!$A$4:$A$253,F302),IF(E302="CAP",COUNTIF(Capabilities!$A$4:$A$253,F302),IF(E302="AIR",COUNTIF('System map'!$A$4:$A$203,F302),COUNTIFS(Components!$A$4:$A$253,F302,Components!$B$4:$B$253,E302))))&lt;&gt;1),"Endpoint missing or duplicated",IF(AND(NOT(AND(B302="UC",E302="CAP")),OR(G302="",COUNTIF('System map'!$A$4:$A$203,G302)&lt;&gt;1)),"AIR context missing / unknown",IF(AND(B302="CAP",E302="AIR",G302&lt;&gt;F302),"AIR context mismatch",IF(AND(B302="AIR",G302&lt;&gt;C302),"AIR context mismatch",IF(AND(B302="AIR",E302="AIR",C302=F302),"Self-dependency",IF(AND(B302="AIR",E302="AIR",M302&lt;&gt;"Superseded",COUNTIFS($B$4:$B$1003,"AIR",$C$4:$C$1003,F302,$E$4:$E$1003,"AIR",$F$4:$F$1003,C302,$M$4:$M$1003,"&lt;&gt;Superseded")&gt;0),"Dependency cycle (A↔B) — review",IF(AND(B302="AIR",OR(E302="MOD",E302="DATA",E302="IF",E302="AG",E302="TOOL"),IFERROR(INDEX(Components!$G$4:$G$253,MATCH(F302,Components!$A$4:$A$253,0)),"")&lt;&gt;"",IFERROR(INDEX(Components!$G$4:$G$253,MATCH(F302,Components!$A$4:$A$253,0)),"")&lt;&gt;C302),"Component owned by another AIR-ID",IF(AND(M302="Confirmed",OR(IF(B302="UC",COUNTIFS('Use cases'!$A$4:$A$253,C302,'Use cases'!$I$4:$I$253,"Confirmed",'Use cases'!$J$4:$J$253,"OK — verify source"),IF(B302="CAP",COUNTIFS(Capabilities!$A$4:$A$253,C302,Capabilities!$J$4:$J$253,"Confirmed",Capabilities!$K$4:$K$253,"OK — verify source"),IF(B302="AIR",COUNTIFS('System map'!$A$4:$A$203,C302,'System map'!$B$4:$B$203,"&lt;&gt;",'System map'!$C$4:$C$203,"&lt;&gt;",'System map'!$D$4:$D$203,"&lt;&gt;"),COUNTIFS(Components!$A$4:$A$253,C302,Components!$B$4:$B$253,B302,Components!$K$4:$K$253,"Confirmed",Components!$L$4:$L$253,"OK — verify source"))))&lt;&gt;1,IF(E302="UC",COUNTIFS('Use cases'!$A$4:$A$253,F302,'Use cases'!$I$4:$I$253,"Confirmed",'Use cases'!$J$4:$J$253,"OK — verify source"),IF(E302="CAP",COUNTIFS(Capabilities!$A$4:$A$253,F302,Capabilities!$J$4:$J$253,"Confirmed",Capabilities!$K$4:$K$253,"OK — verify source"),IF(E302="AIR",COUNTIFS('System map'!$A$4:$A$203,F302,'System map'!$B$4:$B$203,"&lt;&gt;",'System map'!$C$4:$C$203,"&lt;&gt;",'System map'!$D$4:$D$203,"&lt;&gt;"),COUNTIFS(Components!$A$4:$A$253,F302,Components!$B$4:$B$253,E302,Components!$K$4:$K$253,"Confirmed",Components!$L$4:$L$253,"OK — verify source"))))&lt;&gt;1)),"Endpoint not source-reconciled",IF(AND(M302="Confirmed",OR(L302="",K302="",K302="Unknown",K302="Low")),"Confirmed link lacks verification","OK — verify source"))))))))))))))</f>
        <v/>
      </c>
    </row>
    <row r="303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8" t="n"/>
      <c r="M303" s="27" t="n"/>
      <c r="N303" s="27">
        <f>IF(COUNTA(A303:M303)=0,"",IF(OR(A303="",B303="",C303="",D303="",E303="",F303="",I303="",J303="",K303="",M303=""),"Required link detail missing",IF(COUNTIF($A$4:$A$1003,A303)&gt;1,"Duplicate Map Edge ID",IF(NOT(OR(AND(B303="UC",E303="CAP",D303="requires"),AND(B303="CAP",E303="AIR",D303="provided by"),AND(B303="AIR",OR(E303="MOD",E303="DATA",E303="IF",E303="AG",E303="TOOL"),D303="references"),AND(B303="AIR",E303="AIR",D303="depends on"))),"Invalid relationship",IF(AND(M303&lt;&gt;"Superseded",COUNTIFS($B$4:$B$1003,B303,$C$4:$C$1003,C303,$D$4:$D$1003,D303,$E$4:$E$1003,E303,$F$4:$F$1003,F303,$G$4:$G$1003,G303,$M$4:$M$1003,"&lt;&gt;Superseded")&gt;1),"Duplicate relationship",IF(OR(IF(B303="UC",COUNTIF('Use cases'!$A$4:$A$253,C303),IF(B303="CAP",COUNTIF(Capabilities!$A$4:$A$253,C303),IF(B303="AIR",COUNTIF('System map'!$A$4:$A$203,C303),COUNTIFS(Components!$A$4:$A$253,C303,Components!$B$4:$B$253,B303))))&lt;&gt;1,IF(E303="UC",COUNTIF('Use cases'!$A$4:$A$253,F303),IF(E303="CAP",COUNTIF(Capabilities!$A$4:$A$253,F303),IF(E303="AIR",COUNTIF('System map'!$A$4:$A$203,F303),COUNTIFS(Components!$A$4:$A$253,F303,Components!$B$4:$B$253,E303))))&lt;&gt;1),"Endpoint missing or duplicated",IF(AND(NOT(AND(B303="UC",E303="CAP")),OR(G303="",COUNTIF('System map'!$A$4:$A$203,G303)&lt;&gt;1)),"AIR context missing / unknown",IF(AND(B303="CAP",E303="AIR",G303&lt;&gt;F303),"AIR context mismatch",IF(AND(B303="AIR",G303&lt;&gt;C303),"AIR context mismatch",IF(AND(B303="AIR",E303="AIR",C303=F303),"Self-dependency",IF(AND(B303="AIR",E303="AIR",M303&lt;&gt;"Superseded",COUNTIFS($B$4:$B$1003,"AIR",$C$4:$C$1003,F303,$E$4:$E$1003,"AIR",$F$4:$F$1003,C303,$M$4:$M$1003,"&lt;&gt;Superseded")&gt;0),"Dependency cycle (A↔B) — review",IF(AND(B303="AIR",OR(E303="MOD",E303="DATA",E303="IF",E303="AG",E303="TOOL"),IFERROR(INDEX(Components!$G$4:$G$253,MATCH(F303,Components!$A$4:$A$253,0)),"")&lt;&gt;"",IFERROR(INDEX(Components!$G$4:$G$253,MATCH(F303,Components!$A$4:$A$253,0)),"")&lt;&gt;C303),"Component owned by another AIR-ID",IF(AND(M303="Confirmed",OR(IF(B303="UC",COUNTIFS('Use cases'!$A$4:$A$253,C303,'Use cases'!$I$4:$I$253,"Confirmed",'Use cases'!$J$4:$J$253,"OK — verify source"),IF(B303="CAP",COUNTIFS(Capabilities!$A$4:$A$253,C303,Capabilities!$J$4:$J$253,"Confirmed",Capabilities!$K$4:$K$253,"OK — verify source"),IF(B303="AIR",COUNTIFS('System map'!$A$4:$A$203,C303,'System map'!$B$4:$B$203,"&lt;&gt;",'System map'!$C$4:$C$203,"&lt;&gt;",'System map'!$D$4:$D$203,"&lt;&gt;"),COUNTIFS(Components!$A$4:$A$253,C303,Components!$B$4:$B$253,B303,Components!$K$4:$K$253,"Confirmed",Components!$L$4:$L$253,"OK — verify source"))))&lt;&gt;1,IF(E303="UC",COUNTIFS('Use cases'!$A$4:$A$253,F303,'Use cases'!$I$4:$I$253,"Confirmed",'Use cases'!$J$4:$J$253,"OK — verify source"),IF(E303="CAP",COUNTIFS(Capabilities!$A$4:$A$253,F303,Capabilities!$J$4:$J$253,"Confirmed",Capabilities!$K$4:$K$253,"OK — verify source"),IF(E303="AIR",COUNTIFS('System map'!$A$4:$A$203,F303,'System map'!$B$4:$B$203,"&lt;&gt;",'System map'!$C$4:$C$203,"&lt;&gt;",'System map'!$D$4:$D$203,"&lt;&gt;"),COUNTIFS(Components!$A$4:$A$253,F303,Components!$B$4:$B$253,E303,Components!$K$4:$K$253,"Confirmed",Components!$L$4:$L$253,"OK — verify source"))))&lt;&gt;1)),"Endpoint not source-reconciled",IF(AND(M303="Confirmed",OR(L303="",K303="",K303="Unknown",K303="Low")),"Confirmed link lacks verification","OK — verify source"))))))))))))))</f>
        <v/>
      </c>
    </row>
    <row r="30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6" t="n"/>
      <c r="M304" s="25" t="n"/>
      <c r="N304" s="25">
        <f>IF(COUNTA(A304:M304)=0,"",IF(OR(A304="",B304="",C304="",D304="",E304="",F304="",I304="",J304="",K304="",M304=""),"Required link detail missing",IF(COUNTIF($A$4:$A$1003,A304)&gt;1,"Duplicate Map Edge ID",IF(NOT(OR(AND(B304="UC",E304="CAP",D304="requires"),AND(B304="CAP",E304="AIR",D304="provided by"),AND(B304="AIR",OR(E304="MOD",E304="DATA",E304="IF",E304="AG",E304="TOOL"),D304="references"),AND(B304="AIR",E304="AIR",D304="depends on"))),"Invalid relationship",IF(AND(M304&lt;&gt;"Superseded",COUNTIFS($B$4:$B$1003,B304,$C$4:$C$1003,C304,$D$4:$D$1003,D304,$E$4:$E$1003,E304,$F$4:$F$1003,F304,$G$4:$G$1003,G304,$M$4:$M$1003,"&lt;&gt;Superseded")&gt;1),"Duplicate relationship",IF(OR(IF(B304="UC",COUNTIF('Use cases'!$A$4:$A$253,C304),IF(B304="CAP",COUNTIF(Capabilities!$A$4:$A$253,C304),IF(B304="AIR",COUNTIF('System map'!$A$4:$A$203,C304),COUNTIFS(Components!$A$4:$A$253,C304,Components!$B$4:$B$253,B304))))&lt;&gt;1,IF(E304="UC",COUNTIF('Use cases'!$A$4:$A$253,F304),IF(E304="CAP",COUNTIF(Capabilities!$A$4:$A$253,F304),IF(E304="AIR",COUNTIF('System map'!$A$4:$A$203,F304),COUNTIFS(Components!$A$4:$A$253,F304,Components!$B$4:$B$253,E304))))&lt;&gt;1),"Endpoint missing or duplicated",IF(AND(NOT(AND(B304="UC",E304="CAP")),OR(G304="",COUNTIF('System map'!$A$4:$A$203,G304)&lt;&gt;1)),"AIR context missing / unknown",IF(AND(B304="CAP",E304="AIR",G304&lt;&gt;F304),"AIR context mismatch",IF(AND(B304="AIR",G304&lt;&gt;C304),"AIR context mismatch",IF(AND(B304="AIR",E304="AIR",C304=F304),"Self-dependency",IF(AND(B304="AIR",E304="AIR",M304&lt;&gt;"Superseded",COUNTIFS($B$4:$B$1003,"AIR",$C$4:$C$1003,F304,$E$4:$E$1003,"AIR",$F$4:$F$1003,C304,$M$4:$M$1003,"&lt;&gt;Superseded")&gt;0),"Dependency cycle (A↔B) — review",IF(AND(B304="AIR",OR(E304="MOD",E304="DATA",E304="IF",E304="AG",E304="TOOL"),IFERROR(INDEX(Components!$G$4:$G$253,MATCH(F304,Components!$A$4:$A$253,0)),"")&lt;&gt;"",IFERROR(INDEX(Components!$G$4:$G$253,MATCH(F304,Components!$A$4:$A$253,0)),"")&lt;&gt;C304),"Component owned by another AIR-ID",IF(AND(M304="Confirmed",OR(IF(B304="UC",COUNTIFS('Use cases'!$A$4:$A$253,C304,'Use cases'!$I$4:$I$253,"Confirmed",'Use cases'!$J$4:$J$253,"OK — verify source"),IF(B304="CAP",COUNTIFS(Capabilities!$A$4:$A$253,C304,Capabilities!$J$4:$J$253,"Confirmed",Capabilities!$K$4:$K$253,"OK — verify source"),IF(B304="AIR",COUNTIFS('System map'!$A$4:$A$203,C304,'System map'!$B$4:$B$203,"&lt;&gt;",'System map'!$C$4:$C$203,"&lt;&gt;",'System map'!$D$4:$D$203,"&lt;&gt;"),COUNTIFS(Components!$A$4:$A$253,C304,Components!$B$4:$B$253,B304,Components!$K$4:$K$253,"Confirmed",Components!$L$4:$L$253,"OK — verify source"))))&lt;&gt;1,IF(E304="UC",COUNTIFS('Use cases'!$A$4:$A$253,F304,'Use cases'!$I$4:$I$253,"Confirmed",'Use cases'!$J$4:$J$253,"OK — verify source"),IF(E304="CAP",COUNTIFS(Capabilities!$A$4:$A$253,F304,Capabilities!$J$4:$J$253,"Confirmed",Capabilities!$K$4:$K$253,"OK — verify source"),IF(E304="AIR",COUNTIFS('System map'!$A$4:$A$203,F304,'System map'!$B$4:$B$203,"&lt;&gt;",'System map'!$C$4:$C$203,"&lt;&gt;",'System map'!$D$4:$D$203,"&lt;&gt;"),COUNTIFS(Components!$A$4:$A$253,F304,Components!$B$4:$B$253,E304,Components!$K$4:$K$253,"Confirmed",Components!$L$4:$L$253,"OK — verify source"))))&lt;&gt;1)),"Endpoint not source-reconciled",IF(AND(M304="Confirmed",OR(L304="",K304="",K304="Unknown",K304="Low")),"Confirmed link lacks verification","OK — verify source"))))))))))))))</f>
        <v/>
      </c>
    </row>
    <row r="305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8" t="n"/>
      <c r="M305" s="27" t="n"/>
      <c r="N305" s="27">
        <f>IF(COUNTA(A305:M305)=0,"",IF(OR(A305="",B305="",C305="",D305="",E305="",F305="",I305="",J305="",K305="",M305=""),"Required link detail missing",IF(COUNTIF($A$4:$A$1003,A305)&gt;1,"Duplicate Map Edge ID",IF(NOT(OR(AND(B305="UC",E305="CAP",D305="requires"),AND(B305="CAP",E305="AIR",D305="provided by"),AND(B305="AIR",OR(E305="MOD",E305="DATA",E305="IF",E305="AG",E305="TOOL"),D305="references"),AND(B305="AIR",E305="AIR",D305="depends on"))),"Invalid relationship",IF(AND(M305&lt;&gt;"Superseded",COUNTIFS($B$4:$B$1003,B305,$C$4:$C$1003,C305,$D$4:$D$1003,D305,$E$4:$E$1003,E305,$F$4:$F$1003,F305,$G$4:$G$1003,G305,$M$4:$M$1003,"&lt;&gt;Superseded")&gt;1),"Duplicate relationship",IF(OR(IF(B305="UC",COUNTIF('Use cases'!$A$4:$A$253,C305),IF(B305="CAP",COUNTIF(Capabilities!$A$4:$A$253,C305),IF(B305="AIR",COUNTIF('System map'!$A$4:$A$203,C305),COUNTIFS(Components!$A$4:$A$253,C305,Components!$B$4:$B$253,B305))))&lt;&gt;1,IF(E305="UC",COUNTIF('Use cases'!$A$4:$A$253,F305),IF(E305="CAP",COUNTIF(Capabilities!$A$4:$A$253,F305),IF(E305="AIR",COUNTIF('System map'!$A$4:$A$203,F305),COUNTIFS(Components!$A$4:$A$253,F305,Components!$B$4:$B$253,E305))))&lt;&gt;1),"Endpoint missing or duplicated",IF(AND(NOT(AND(B305="UC",E305="CAP")),OR(G305="",COUNTIF('System map'!$A$4:$A$203,G305)&lt;&gt;1)),"AIR context missing / unknown",IF(AND(B305="CAP",E305="AIR",G305&lt;&gt;F305),"AIR context mismatch",IF(AND(B305="AIR",G305&lt;&gt;C305),"AIR context mismatch",IF(AND(B305="AIR",E305="AIR",C305=F305),"Self-dependency",IF(AND(B305="AIR",E305="AIR",M305&lt;&gt;"Superseded",COUNTIFS($B$4:$B$1003,"AIR",$C$4:$C$1003,F305,$E$4:$E$1003,"AIR",$F$4:$F$1003,C305,$M$4:$M$1003,"&lt;&gt;Superseded")&gt;0),"Dependency cycle (A↔B) — review",IF(AND(B305="AIR",OR(E305="MOD",E305="DATA",E305="IF",E305="AG",E305="TOOL"),IFERROR(INDEX(Components!$G$4:$G$253,MATCH(F305,Components!$A$4:$A$253,0)),"")&lt;&gt;"",IFERROR(INDEX(Components!$G$4:$G$253,MATCH(F305,Components!$A$4:$A$253,0)),"")&lt;&gt;C305),"Component owned by another AIR-ID",IF(AND(M305="Confirmed",OR(IF(B305="UC",COUNTIFS('Use cases'!$A$4:$A$253,C305,'Use cases'!$I$4:$I$253,"Confirmed",'Use cases'!$J$4:$J$253,"OK — verify source"),IF(B305="CAP",COUNTIFS(Capabilities!$A$4:$A$253,C305,Capabilities!$J$4:$J$253,"Confirmed",Capabilities!$K$4:$K$253,"OK — verify source"),IF(B305="AIR",COUNTIFS('System map'!$A$4:$A$203,C305,'System map'!$B$4:$B$203,"&lt;&gt;",'System map'!$C$4:$C$203,"&lt;&gt;",'System map'!$D$4:$D$203,"&lt;&gt;"),COUNTIFS(Components!$A$4:$A$253,C305,Components!$B$4:$B$253,B305,Components!$K$4:$K$253,"Confirmed",Components!$L$4:$L$253,"OK — verify source"))))&lt;&gt;1,IF(E305="UC",COUNTIFS('Use cases'!$A$4:$A$253,F305,'Use cases'!$I$4:$I$253,"Confirmed",'Use cases'!$J$4:$J$253,"OK — verify source"),IF(E305="CAP",COUNTIFS(Capabilities!$A$4:$A$253,F305,Capabilities!$J$4:$J$253,"Confirmed",Capabilities!$K$4:$K$253,"OK — verify source"),IF(E305="AIR",COUNTIFS('System map'!$A$4:$A$203,F305,'System map'!$B$4:$B$203,"&lt;&gt;",'System map'!$C$4:$C$203,"&lt;&gt;",'System map'!$D$4:$D$203,"&lt;&gt;"),COUNTIFS(Components!$A$4:$A$253,F305,Components!$B$4:$B$253,E305,Components!$K$4:$K$253,"Confirmed",Components!$L$4:$L$253,"OK — verify source"))))&lt;&gt;1)),"Endpoint not source-reconciled",IF(AND(M305="Confirmed",OR(L305="",K305="",K305="Unknown",K305="Low")),"Confirmed link lacks verification","OK — verify source"))))))))))))))</f>
        <v/>
      </c>
    </row>
    <row r="306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6" t="n"/>
      <c r="M306" s="25" t="n"/>
      <c r="N306" s="25">
        <f>IF(COUNTA(A306:M306)=0,"",IF(OR(A306="",B306="",C306="",D306="",E306="",F306="",I306="",J306="",K306="",M306=""),"Required link detail missing",IF(COUNTIF($A$4:$A$1003,A306)&gt;1,"Duplicate Map Edge ID",IF(NOT(OR(AND(B306="UC",E306="CAP",D306="requires"),AND(B306="CAP",E306="AIR",D306="provided by"),AND(B306="AIR",OR(E306="MOD",E306="DATA",E306="IF",E306="AG",E306="TOOL"),D306="references"),AND(B306="AIR",E306="AIR",D306="depends on"))),"Invalid relationship",IF(AND(M306&lt;&gt;"Superseded",COUNTIFS($B$4:$B$1003,B306,$C$4:$C$1003,C306,$D$4:$D$1003,D306,$E$4:$E$1003,E306,$F$4:$F$1003,F306,$G$4:$G$1003,G306,$M$4:$M$1003,"&lt;&gt;Superseded")&gt;1),"Duplicate relationship",IF(OR(IF(B306="UC",COUNTIF('Use cases'!$A$4:$A$253,C306),IF(B306="CAP",COUNTIF(Capabilities!$A$4:$A$253,C306),IF(B306="AIR",COUNTIF('System map'!$A$4:$A$203,C306),COUNTIFS(Components!$A$4:$A$253,C306,Components!$B$4:$B$253,B306))))&lt;&gt;1,IF(E306="UC",COUNTIF('Use cases'!$A$4:$A$253,F306),IF(E306="CAP",COUNTIF(Capabilities!$A$4:$A$253,F306),IF(E306="AIR",COUNTIF('System map'!$A$4:$A$203,F306),COUNTIFS(Components!$A$4:$A$253,F306,Components!$B$4:$B$253,E306))))&lt;&gt;1),"Endpoint missing or duplicated",IF(AND(NOT(AND(B306="UC",E306="CAP")),OR(G306="",COUNTIF('System map'!$A$4:$A$203,G306)&lt;&gt;1)),"AIR context missing / unknown",IF(AND(B306="CAP",E306="AIR",G306&lt;&gt;F306),"AIR context mismatch",IF(AND(B306="AIR",G306&lt;&gt;C306),"AIR context mismatch",IF(AND(B306="AIR",E306="AIR",C306=F306),"Self-dependency",IF(AND(B306="AIR",E306="AIR",M306&lt;&gt;"Superseded",COUNTIFS($B$4:$B$1003,"AIR",$C$4:$C$1003,F306,$E$4:$E$1003,"AIR",$F$4:$F$1003,C306,$M$4:$M$1003,"&lt;&gt;Superseded")&gt;0),"Dependency cycle (A↔B) — review",IF(AND(B306="AIR",OR(E306="MOD",E306="DATA",E306="IF",E306="AG",E306="TOOL"),IFERROR(INDEX(Components!$G$4:$G$253,MATCH(F306,Components!$A$4:$A$253,0)),"")&lt;&gt;"",IFERROR(INDEX(Components!$G$4:$G$253,MATCH(F306,Components!$A$4:$A$253,0)),"")&lt;&gt;C306),"Component owned by another AIR-ID",IF(AND(M306="Confirmed",OR(IF(B306="UC",COUNTIFS('Use cases'!$A$4:$A$253,C306,'Use cases'!$I$4:$I$253,"Confirmed",'Use cases'!$J$4:$J$253,"OK — verify source"),IF(B306="CAP",COUNTIFS(Capabilities!$A$4:$A$253,C306,Capabilities!$J$4:$J$253,"Confirmed",Capabilities!$K$4:$K$253,"OK — verify source"),IF(B306="AIR",COUNTIFS('System map'!$A$4:$A$203,C306,'System map'!$B$4:$B$203,"&lt;&gt;",'System map'!$C$4:$C$203,"&lt;&gt;",'System map'!$D$4:$D$203,"&lt;&gt;"),COUNTIFS(Components!$A$4:$A$253,C306,Components!$B$4:$B$253,B306,Components!$K$4:$K$253,"Confirmed",Components!$L$4:$L$253,"OK — verify source"))))&lt;&gt;1,IF(E306="UC",COUNTIFS('Use cases'!$A$4:$A$253,F306,'Use cases'!$I$4:$I$253,"Confirmed",'Use cases'!$J$4:$J$253,"OK — verify source"),IF(E306="CAP",COUNTIFS(Capabilities!$A$4:$A$253,F306,Capabilities!$J$4:$J$253,"Confirmed",Capabilities!$K$4:$K$253,"OK — verify source"),IF(E306="AIR",COUNTIFS('System map'!$A$4:$A$203,F306,'System map'!$B$4:$B$203,"&lt;&gt;",'System map'!$C$4:$C$203,"&lt;&gt;",'System map'!$D$4:$D$203,"&lt;&gt;"),COUNTIFS(Components!$A$4:$A$253,F306,Components!$B$4:$B$253,E306,Components!$K$4:$K$253,"Confirmed",Components!$L$4:$L$253,"OK — verify source"))))&lt;&gt;1)),"Endpoint not source-reconciled",IF(AND(M306="Confirmed",OR(L306="",K306="",K306="Unknown",K306="Low")),"Confirmed link lacks verification","OK — verify source"))))))))))))))</f>
        <v/>
      </c>
    </row>
    <row r="307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8" t="n"/>
      <c r="M307" s="27" t="n"/>
      <c r="N307" s="27">
        <f>IF(COUNTA(A307:M307)=0,"",IF(OR(A307="",B307="",C307="",D307="",E307="",F307="",I307="",J307="",K307="",M307=""),"Required link detail missing",IF(COUNTIF($A$4:$A$1003,A307)&gt;1,"Duplicate Map Edge ID",IF(NOT(OR(AND(B307="UC",E307="CAP",D307="requires"),AND(B307="CAP",E307="AIR",D307="provided by"),AND(B307="AIR",OR(E307="MOD",E307="DATA",E307="IF",E307="AG",E307="TOOL"),D307="references"),AND(B307="AIR",E307="AIR",D307="depends on"))),"Invalid relationship",IF(AND(M307&lt;&gt;"Superseded",COUNTIFS($B$4:$B$1003,B307,$C$4:$C$1003,C307,$D$4:$D$1003,D307,$E$4:$E$1003,E307,$F$4:$F$1003,F307,$G$4:$G$1003,G307,$M$4:$M$1003,"&lt;&gt;Superseded")&gt;1),"Duplicate relationship",IF(OR(IF(B307="UC",COUNTIF('Use cases'!$A$4:$A$253,C307),IF(B307="CAP",COUNTIF(Capabilities!$A$4:$A$253,C307),IF(B307="AIR",COUNTIF('System map'!$A$4:$A$203,C307),COUNTIFS(Components!$A$4:$A$253,C307,Components!$B$4:$B$253,B307))))&lt;&gt;1,IF(E307="UC",COUNTIF('Use cases'!$A$4:$A$253,F307),IF(E307="CAP",COUNTIF(Capabilities!$A$4:$A$253,F307),IF(E307="AIR",COUNTIF('System map'!$A$4:$A$203,F307),COUNTIFS(Components!$A$4:$A$253,F307,Components!$B$4:$B$253,E307))))&lt;&gt;1),"Endpoint missing or duplicated",IF(AND(NOT(AND(B307="UC",E307="CAP")),OR(G307="",COUNTIF('System map'!$A$4:$A$203,G307)&lt;&gt;1)),"AIR context missing / unknown",IF(AND(B307="CAP",E307="AIR",G307&lt;&gt;F307),"AIR context mismatch",IF(AND(B307="AIR",G307&lt;&gt;C307),"AIR context mismatch",IF(AND(B307="AIR",E307="AIR",C307=F307),"Self-dependency",IF(AND(B307="AIR",E307="AIR",M307&lt;&gt;"Superseded",COUNTIFS($B$4:$B$1003,"AIR",$C$4:$C$1003,F307,$E$4:$E$1003,"AIR",$F$4:$F$1003,C307,$M$4:$M$1003,"&lt;&gt;Superseded")&gt;0),"Dependency cycle (A↔B) — review",IF(AND(B307="AIR",OR(E307="MOD",E307="DATA",E307="IF",E307="AG",E307="TOOL"),IFERROR(INDEX(Components!$G$4:$G$253,MATCH(F307,Components!$A$4:$A$253,0)),"")&lt;&gt;"",IFERROR(INDEX(Components!$G$4:$G$253,MATCH(F307,Components!$A$4:$A$253,0)),"")&lt;&gt;C307),"Component owned by another AIR-ID",IF(AND(M307="Confirmed",OR(IF(B307="UC",COUNTIFS('Use cases'!$A$4:$A$253,C307,'Use cases'!$I$4:$I$253,"Confirmed",'Use cases'!$J$4:$J$253,"OK — verify source"),IF(B307="CAP",COUNTIFS(Capabilities!$A$4:$A$253,C307,Capabilities!$J$4:$J$253,"Confirmed",Capabilities!$K$4:$K$253,"OK — verify source"),IF(B307="AIR",COUNTIFS('System map'!$A$4:$A$203,C307,'System map'!$B$4:$B$203,"&lt;&gt;",'System map'!$C$4:$C$203,"&lt;&gt;",'System map'!$D$4:$D$203,"&lt;&gt;"),COUNTIFS(Components!$A$4:$A$253,C307,Components!$B$4:$B$253,B307,Components!$K$4:$K$253,"Confirmed",Components!$L$4:$L$253,"OK — verify source"))))&lt;&gt;1,IF(E307="UC",COUNTIFS('Use cases'!$A$4:$A$253,F307,'Use cases'!$I$4:$I$253,"Confirmed",'Use cases'!$J$4:$J$253,"OK — verify source"),IF(E307="CAP",COUNTIFS(Capabilities!$A$4:$A$253,F307,Capabilities!$J$4:$J$253,"Confirmed",Capabilities!$K$4:$K$253,"OK — verify source"),IF(E307="AIR",COUNTIFS('System map'!$A$4:$A$203,F307,'System map'!$B$4:$B$203,"&lt;&gt;",'System map'!$C$4:$C$203,"&lt;&gt;",'System map'!$D$4:$D$203,"&lt;&gt;"),COUNTIFS(Components!$A$4:$A$253,F307,Components!$B$4:$B$253,E307,Components!$K$4:$K$253,"Confirmed",Components!$L$4:$L$253,"OK — verify source"))))&lt;&gt;1)),"Endpoint not source-reconciled",IF(AND(M307="Confirmed",OR(L307="",K307="",K307="Unknown",K307="Low")),"Confirmed link lacks verification","OK — verify source"))))))))))))))</f>
        <v/>
      </c>
    </row>
    <row r="308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6" t="n"/>
      <c r="M308" s="25" t="n"/>
      <c r="N308" s="25">
        <f>IF(COUNTA(A308:M308)=0,"",IF(OR(A308="",B308="",C308="",D308="",E308="",F308="",I308="",J308="",K308="",M308=""),"Required link detail missing",IF(COUNTIF($A$4:$A$1003,A308)&gt;1,"Duplicate Map Edge ID",IF(NOT(OR(AND(B308="UC",E308="CAP",D308="requires"),AND(B308="CAP",E308="AIR",D308="provided by"),AND(B308="AIR",OR(E308="MOD",E308="DATA",E308="IF",E308="AG",E308="TOOL"),D308="references"),AND(B308="AIR",E308="AIR",D308="depends on"))),"Invalid relationship",IF(AND(M308&lt;&gt;"Superseded",COUNTIFS($B$4:$B$1003,B308,$C$4:$C$1003,C308,$D$4:$D$1003,D308,$E$4:$E$1003,E308,$F$4:$F$1003,F308,$G$4:$G$1003,G308,$M$4:$M$1003,"&lt;&gt;Superseded")&gt;1),"Duplicate relationship",IF(OR(IF(B308="UC",COUNTIF('Use cases'!$A$4:$A$253,C308),IF(B308="CAP",COUNTIF(Capabilities!$A$4:$A$253,C308),IF(B308="AIR",COUNTIF('System map'!$A$4:$A$203,C308),COUNTIFS(Components!$A$4:$A$253,C308,Components!$B$4:$B$253,B308))))&lt;&gt;1,IF(E308="UC",COUNTIF('Use cases'!$A$4:$A$253,F308),IF(E308="CAP",COUNTIF(Capabilities!$A$4:$A$253,F308),IF(E308="AIR",COUNTIF('System map'!$A$4:$A$203,F308),COUNTIFS(Components!$A$4:$A$253,F308,Components!$B$4:$B$253,E308))))&lt;&gt;1),"Endpoint missing or duplicated",IF(AND(NOT(AND(B308="UC",E308="CAP")),OR(G308="",COUNTIF('System map'!$A$4:$A$203,G308)&lt;&gt;1)),"AIR context missing / unknown",IF(AND(B308="CAP",E308="AIR",G308&lt;&gt;F308),"AIR context mismatch",IF(AND(B308="AIR",G308&lt;&gt;C308),"AIR context mismatch",IF(AND(B308="AIR",E308="AIR",C308=F308),"Self-dependency",IF(AND(B308="AIR",E308="AIR",M308&lt;&gt;"Superseded",COUNTIFS($B$4:$B$1003,"AIR",$C$4:$C$1003,F308,$E$4:$E$1003,"AIR",$F$4:$F$1003,C308,$M$4:$M$1003,"&lt;&gt;Superseded")&gt;0),"Dependency cycle (A↔B) — review",IF(AND(B308="AIR",OR(E308="MOD",E308="DATA",E308="IF",E308="AG",E308="TOOL"),IFERROR(INDEX(Components!$G$4:$G$253,MATCH(F308,Components!$A$4:$A$253,0)),"")&lt;&gt;"",IFERROR(INDEX(Components!$G$4:$G$253,MATCH(F308,Components!$A$4:$A$253,0)),"")&lt;&gt;C308),"Component owned by another AIR-ID",IF(AND(M308="Confirmed",OR(IF(B308="UC",COUNTIFS('Use cases'!$A$4:$A$253,C308,'Use cases'!$I$4:$I$253,"Confirmed",'Use cases'!$J$4:$J$253,"OK — verify source"),IF(B308="CAP",COUNTIFS(Capabilities!$A$4:$A$253,C308,Capabilities!$J$4:$J$253,"Confirmed",Capabilities!$K$4:$K$253,"OK — verify source"),IF(B308="AIR",COUNTIFS('System map'!$A$4:$A$203,C308,'System map'!$B$4:$B$203,"&lt;&gt;",'System map'!$C$4:$C$203,"&lt;&gt;",'System map'!$D$4:$D$203,"&lt;&gt;"),COUNTIFS(Components!$A$4:$A$253,C308,Components!$B$4:$B$253,B308,Components!$K$4:$K$253,"Confirmed",Components!$L$4:$L$253,"OK — verify source"))))&lt;&gt;1,IF(E308="UC",COUNTIFS('Use cases'!$A$4:$A$253,F308,'Use cases'!$I$4:$I$253,"Confirmed",'Use cases'!$J$4:$J$253,"OK — verify source"),IF(E308="CAP",COUNTIFS(Capabilities!$A$4:$A$253,F308,Capabilities!$J$4:$J$253,"Confirmed",Capabilities!$K$4:$K$253,"OK — verify source"),IF(E308="AIR",COUNTIFS('System map'!$A$4:$A$203,F308,'System map'!$B$4:$B$203,"&lt;&gt;",'System map'!$C$4:$C$203,"&lt;&gt;",'System map'!$D$4:$D$203,"&lt;&gt;"),COUNTIFS(Components!$A$4:$A$253,F308,Components!$B$4:$B$253,E308,Components!$K$4:$K$253,"Confirmed",Components!$L$4:$L$253,"OK — verify source"))))&lt;&gt;1)),"Endpoint not source-reconciled",IF(AND(M308="Confirmed",OR(L308="",K308="",K308="Unknown",K308="Low")),"Confirmed link lacks verification","OK — verify source"))))))))))))))</f>
        <v/>
      </c>
    </row>
    <row r="309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8" t="n"/>
      <c r="M309" s="27" t="n"/>
      <c r="N309" s="27">
        <f>IF(COUNTA(A309:M309)=0,"",IF(OR(A309="",B309="",C309="",D309="",E309="",F309="",I309="",J309="",K309="",M309=""),"Required link detail missing",IF(COUNTIF($A$4:$A$1003,A309)&gt;1,"Duplicate Map Edge ID",IF(NOT(OR(AND(B309="UC",E309="CAP",D309="requires"),AND(B309="CAP",E309="AIR",D309="provided by"),AND(B309="AIR",OR(E309="MOD",E309="DATA",E309="IF",E309="AG",E309="TOOL"),D309="references"),AND(B309="AIR",E309="AIR",D309="depends on"))),"Invalid relationship",IF(AND(M309&lt;&gt;"Superseded",COUNTIFS($B$4:$B$1003,B309,$C$4:$C$1003,C309,$D$4:$D$1003,D309,$E$4:$E$1003,E309,$F$4:$F$1003,F309,$G$4:$G$1003,G309,$M$4:$M$1003,"&lt;&gt;Superseded")&gt;1),"Duplicate relationship",IF(OR(IF(B309="UC",COUNTIF('Use cases'!$A$4:$A$253,C309),IF(B309="CAP",COUNTIF(Capabilities!$A$4:$A$253,C309),IF(B309="AIR",COUNTIF('System map'!$A$4:$A$203,C309),COUNTIFS(Components!$A$4:$A$253,C309,Components!$B$4:$B$253,B309))))&lt;&gt;1,IF(E309="UC",COUNTIF('Use cases'!$A$4:$A$253,F309),IF(E309="CAP",COUNTIF(Capabilities!$A$4:$A$253,F309),IF(E309="AIR",COUNTIF('System map'!$A$4:$A$203,F309),COUNTIFS(Components!$A$4:$A$253,F309,Components!$B$4:$B$253,E309))))&lt;&gt;1),"Endpoint missing or duplicated",IF(AND(NOT(AND(B309="UC",E309="CAP")),OR(G309="",COUNTIF('System map'!$A$4:$A$203,G309)&lt;&gt;1)),"AIR context missing / unknown",IF(AND(B309="CAP",E309="AIR",G309&lt;&gt;F309),"AIR context mismatch",IF(AND(B309="AIR",G309&lt;&gt;C309),"AIR context mismatch",IF(AND(B309="AIR",E309="AIR",C309=F309),"Self-dependency",IF(AND(B309="AIR",E309="AIR",M309&lt;&gt;"Superseded",COUNTIFS($B$4:$B$1003,"AIR",$C$4:$C$1003,F309,$E$4:$E$1003,"AIR",$F$4:$F$1003,C309,$M$4:$M$1003,"&lt;&gt;Superseded")&gt;0),"Dependency cycle (A↔B) — review",IF(AND(B309="AIR",OR(E309="MOD",E309="DATA",E309="IF",E309="AG",E309="TOOL"),IFERROR(INDEX(Components!$G$4:$G$253,MATCH(F309,Components!$A$4:$A$253,0)),"")&lt;&gt;"",IFERROR(INDEX(Components!$G$4:$G$253,MATCH(F309,Components!$A$4:$A$253,0)),"")&lt;&gt;C309),"Component owned by another AIR-ID",IF(AND(M309="Confirmed",OR(IF(B309="UC",COUNTIFS('Use cases'!$A$4:$A$253,C309,'Use cases'!$I$4:$I$253,"Confirmed",'Use cases'!$J$4:$J$253,"OK — verify source"),IF(B309="CAP",COUNTIFS(Capabilities!$A$4:$A$253,C309,Capabilities!$J$4:$J$253,"Confirmed",Capabilities!$K$4:$K$253,"OK — verify source"),IF(B309="AIR",COUNTIFS('System map'!$A$4:$A$203,C309,'System map'!$B$4:$B$203,"&lt;&gt;",'System map'!$C$4:$C$203,"&lt;&gt;",'System map'!$D$4:$D$203,"&lt;&gt;"),COUNTIFS(Components!$A$4:$A$253,C309,Components!$B$4:$B$253,B309,Components!$K$4:$K$253,"Confirmed",Components!$L$4:$L$253,"OK — verify source"))))&lt;&gt;1,IF(E309="UC",COUNTIFS('Use cases'!$A$4:$A$253,F309,'Use cases'!$I$4:$I$253,"Confirmed",'Use cases'!$J$4:$J$253,"OK — verify source"),IF(E309="CAP",COUNTIFS(Capabilities!$A$4:$A$253,F309,Capabilities!$J$4:$J$253,"Confirmed",Capabilities!$K$4:$K$253,"OK — verify source"),IF(E309="AIR",COUNTIFS('System map'!$A$4:$A$203,F309,'System map'!$B$4:$B$203,"&lt;&gt;",'System map'!$C$4:$C$203,"&lt;&gt;",'System map'!$D$4:$D$203,"&lt;&gt;"),COUNTIFS(Components!$A$4:$A$253,F309,Components!$B$4:$B$253,E309,Components!$K$4:$K$253,"Confirmed",Components!$L$4:$L$253,"OK — verify source"))))&lt;&gt;1)),"Endpoint not source-reconciled",IF(AND(M309="Confirmed",OR(L309="",K309="",K309="Unknown",K309="Low")),"Confirmed link lacks verification","OK — verify source"))))))))))))))</f>
        <v/>
      </c>
    </row>
    <row r="310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6" t="n"/>
      <c r="M310" s="25" t="n"/>
      <c r="N310" s="25">
        <f>IF(COUNTA(A310:M310)=0,"",IF(OR(A310="",B310="",C310="",D310="",E310="",F310="",I310="",J310="",K310="",M310=""),"Required link detail missing",IF(COUNTIF($A$4:$A$1003,A310)&gt;1,"Duplicate Map Edge ID",IF(NOT(OR(AND(B310="UC",E310="CAP",D310="requires"),AND(B310="CAP",E310="AIR",D310="provided by"),AND(B310="AIR",OR(E310="MOD",E310="DATA",E310="IF",E310="AG",E310="TOOL"),D310="references"),AND(B310="AIR",E310="AIR",D310="depends on"))),"Invalid relationship",IF(AND(M310&lt;&gt;"Superseded",COUNTIFS($B$4:$B$1003,B310,$C$4:$C$1003,C310,$D$4:$D$1003,D310,$E$4:$E$1003,E310,$F$4:$F$1003,F310,$G$4:$G$1003,G310,$M$4:$M$1003,"&lt;&gt;Superseded")&gt;1),"Duplicate relationship",IF(OR(IF(B310="UC",COUNTIF('Use cases'!$A$4:$A$253,C310),IF(B310="CAP",COUNTIF(Capabilities!$A$4:$A$253,C310),IF(B310="AIR",COUNTIF('System map'!$A$4:$A$203,C310),COUNTIFS(Components!$A$4:$A$253,C310,Components!$B$4:$B$253,B310))))&lt;&gt;1,IF(E310="UC",COUNTIF('Use cases'!$A$4:$A$253,F310),IF(E310="CAP",COUNTIF(Capabilities!$A$4:$A$253,F310),IF(E310="AIR",COUNTIF('System map'!$A$4:$A$203,F310),COUNTIFS(Components!$A$4:$A$253,F310,Components!$B$4:$B$253,E310))))&lt;&gt;1),"Endpoint missing or duplicated",IF(AND(NOT(AND(B310="UC",E310="CAP")),OR(G310="",COUNTIF('System map'!$A$4:$A$203,G310)&lt;&gt;1)),"AIR context missing / unknown",IF(AND(B310="CAP",E310="AIR",G310&lt;&gt;F310),"AIR context mismatch",IF(AND(B310="AIR",G310&lt;&gt;C310),"AIR context mismatch",IF(AND(B310="AIR",E310="AIR",C310=F310),"Self-dependency",IF(AND(B310="AIR",E310="AIR",M310&lt;&gt;"Superseded",COUNTIFS($B$4:$B$1003,"AIR",$C$4:$C$1003,F310,$E$4:$E$1003,"AIR",$F$4:$F$1003,C310,$M$4:$M$1003,"&lt;&gt;Superseded")&gt;0),"Dependency cycle (A↔B) — review",IF(AND(B310="AIR",OR(E310="MOD",E310="DATA",E310="IF",E310="AG",E310="TOOL"),IFERROR(INDEX(Components!$G$4:$G$253,MATCH(F310,Components!$A$4:$A$253,0)),"")&lt;&gt;"",IFERROR(INDEX(Components!$G$4:$G$253,MATCH(F310,Components!$A$4:$A$253,0)),"")&lt;&gt;C310),"Component owned by another AIR-ID",IF(AND(M310="Confirmed",OR(IF(B310="UC",COUNTIFS('Use cases'!$A$4:$A$253,C310,'Use cases'!$I$4:$I$253,"Confirmed",'Use cases'!$J$4:$J$253,"OK — verify source"),IF(B310="CAP",COUNTIFS(Capabilities!$A$4:$A$253,C310,Capabilities!$J$4:$J$253,"Confirmed",Capabilities!$K$4:$K$253,"OK — verify source"),IF(B310="AIR",COUNTIFS('System map'!$A$4:$A$203,C310,'System map'!$B$4:$B$203,"&lt;&gt;",'System map'!$C$4:$C$203,"&lt;&gt;",'System map'!$D$4:$D$203,"&lt;&gt;"),COUNTIFS(Components!$A$4:$A$253,C310,Components!$B$4:$B$253,B310,Components!$K$4:$K$253,"Confirmed",Components!$L$4:$L$253,"OK — verify source"))))&lt;&gt;1,IF(E310="UC",COUNTIFS('Use cases'!$A$4:$A$253,F310,'Use cases'!$I$4:$I$253,"Confirmed",'Use cases'!$J$4:$J$253,"OK — verify source"),IF(E310="CAP",COUNTIFS(Capabilities!$A$4:$A$253,F310,Capabilities!$J$4:$J$253,"Confirmed",Capabilities!$K$4:$K$253,"OK — verify source"),IF(E310="AIR",COUNTIFS('System map'!$A$4:$A$203,F310,'System map'!$B$4:$B$203,"&lt;&gt;",'System map'!$C$4:$C$203,"&lt;&gt;",'System map'!$D$4:$D$203,"&lt;&gt;"),COUNTIFS(Components!$A$4:$A$253,F310,Components!$B$4:$B$253,E310,Components!$K$4:$K$253,"Confirmed",Components!$L$4:$L$253,"OK — verify source"))))&lt;&gt;1)),"Endpoint not source-reconciled",IF(AND(M310="Confirmed",OR(L310="",K310="",K310="Unknown",K310="Low")),"Confirmed link lacks verification","OK — verify source"))))))))))))))</f>
        <v/>
      </c>
    </row>
    <row r="311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8" t="n"/>
      <c r="M311" s="27" t="n"/>
      <c r="N311" s="27">
        <f>IF(COUNTA(A311:M311)=0,"",IF(OR(A311="",B311="",C311="",D311="",E311="",F311="",I311="",J311="",K311="",M311=""),"Required link detail missing",IF(COUNTIF($A$4:$A$1003,A311)&gt;1,"Duplicate Map Edge ID",IF(NOT(OR(AND(B311="UC",E311="CAP",D311="requires"),AND(B311="CAP",E311="AIR",D311="provided by"),AND(B311="AIR",OR(E311="MOD",E311="DATA",E311="IF",E311="AG",E311="TOOL"),D311="references"),AND(B311="AIR",E311="AIR",D311="depends on"))),"Invalid relationship",IF(AND(M311&lt;&gt;"Superseded",COUNTIFS($B$4:$B$1003,B311,$C$4:$C$1003,C311,$D$4:$D$1003,D311,$E$4:$E$1003,E311,$F$4:$F$1003,F311,$G$4:$G$1003,G311,$M$4:$M$1003,"&lt;&gt;Superseded")&gt;1),"Duplicate relationship",IF(OR(IF(B311="UC",COUNTIF('Use cases'!$A$4:$A$253,C311),IF(B311="CAP",COUNTIF(Capabilities!$A$4:$A$253,C311),IF(B311="AIR",COUNTIF('System map'!$A$4:$A$203,C311),COUNTIFS(Components!$A$4:$A$253,C311,Components!$B$4:$B$253,B311))))&lt;&gt;1,IF(E311="UC",COUNTIF('Use cases'!$A$4:$A$253,F311),IF(E311="CAP",COUNTIF(Capabilities!$A$4:$A$253,F311),IF(E311="AIR",COUNTIF('System map'!$A$4:$A$203,F311),COUNTIFS(Components!$A$4:$A$253,F311,Components!$B$4:$B$253,E311))))&lt;&gt;1),"Endpoint missing or duplicated",IF(AND(NOT(AND(B311="UC",E311="CAP")),OR(G311="",COUNTIF('System map'!$A$4:$A$203,G311)&lt;&gt;1)),"AIR context missing / unknown",IF(AND(B311="CAP",E311="AIR",G311&lt;&gt;F311),"AIR context mismatch",IF(AND(B311="AIR",G311&lt;&gt;C311),"AIR context mismatch",IF(AND(B311="AIR",E311="AIR",C311=F311),"Self-dependency",IF(AND(B311="AIR",E311="AIR",M311&lt;&gt;"Superseded",COUNTIFS($B$4:$B$1003,"AIR",$C$4:$C$1003,F311,$E$4:$E$1003,"AIR",$F$4:$F$1003,C311,$M$4:$M$1003,"&lt;&gt;Superseded")&gt;0),"Dependency cycle (A↔B) — review",IF(AND(B311="AIR",OR(E311="MOD",E311="DATA",E311="IF",E311="AG",E311="TOOL"),IFERROR(INDEX(Components!$G$4:$G$253,MATCH(F311,Components!$A$4:$A$253,0)),"")&lt;&gt;"",IFERROR(INDEX(Components!$G$4:$G$253,MATCH(F311,Components!$A$4:$A$253,0)),"")&lt;&gt;C311),"Component owned by another AIR-ID",IF(AND(M311="Confirmed",OR(IF(B311="UC",COUNTIFS('Use cases'!$A$4:$A$253,C311,'Use cases'!$I$4:$I$253,"Confirmed",'Use cases'!$J$4:$J$253,"OK — verify source"),IF(B311="CAP",COUNTIFS(Capabilities!$A$4:$A$253,C311,Capabilities!$J$4:$J$253,"Confirmed",Capabilities!$K$4:$K$253,"OK — verify source"),IF(B311="AIR",COUNTIFS('System map'!$A$4:$A$203,C311,'System map'!$B$4:$B$203,"&lt;&gt;",'System map'!$C$4:$C$203,"&lt;&gt;",'System map'!$D$4:$D$203,"&lt;&gt;"),COUNTIFS(Components!$A$4:$A$253,C311,Components!$B$4:$B$253,B311,Components!$K$4:$K$253,"Confirmed",Components!$L$4:$L$253,"OK — verify source"))))&lt;&gt;1,IF(E311="UC",COUNTIFS('Use cases'!$A$4:$A$253,F311,'Use cases'!$I$4:$I$253,"Confirmed",'Use cases'!$J$4:$J$253,"OK — verify source"),IF(E311="CAP",COUNTIFS(Capabilities!$A$4:$A$253,F311,Capabilities!$J$4:$J$253,"Confirmed",Capabilities!$K$4:$K$253,"OK — verify source"),IF(E311="AIR",COUNTIFS('System map'!$A$4:$A$203,F311,'System map'!$B$4:$B$203,"&lt;&gt;",'System map'!$C$4:$C$203,"&lt;&gt;",'System map'!$D$4:$D$203,"&lt;&gt;"),COUNTIFS(Components!$A$4:$A$253,F311,Components!$B$4:$B$253,E311,Components!$K$4:$K$253,"Confirmed",Components!$L$4:$L$253,"OK — verify source"))))&lt;&gt;1)),"Endpoint not source-reconciled",IF(AND(M311="Confirmed",OR(L311="",K311="",K311="Unknown",K311="Low")),"Confirmed link lacks verification","OK — verify source"))))))))))))))</f>
        <v/>
      </c>
    </row>
    <row r="312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6" t="n"/>
      <c r="M312" s="25" t="n"/>
      <c r="N312" s="25">
        <f>IF(COUNTA(A312:M312)=0,"",IF(OR(A312="",B312="",C312="",D312="",E312="",F312="",I312="",J312="",K312="",M312=""),"Required link detail missing",IF(COUNTIF($A$4:$A$1003,A312)&gt;1,"Duplicate Map Edge ID",IF(NOT(OR(AND(B312="UC",E312="CAP",D312="requires"),AND(B312="CAP",E312="AIR",D312="provided by"),AND(B312="AIR",OR(E312="MOD",E312="DATA",E312="IF",E312="AG",E312="TOOL"),D312="references"),AND(B312="AIR",E312="AIR",D312="depends on"))),"Invalid relationship",IF(AND(M312&lt;&gt;"Superseded",COUNTIFS($B$4:$B$1003,B312,$C$4:$C$1003,C312,$D$4:$D$1003,D312,$E$4:$E$1003,E312,$F$4:$F$1003,F312,$G$4:$G$1003,G312,$M$4:$M$1003,"&lt;&gt;Superseded")&gt;1),"Duplicate relationship",IF(OR(IF(B312="UC",COUNTIF('Use cases'!$A$4:$A$253,C312),IF(B312="CAP",COUNTIF(Capabilities!$A$4:$A$253,C312),IF(B312="AIR",COUNTIF('System map'!$A$4:$A$203,C312),COUNTIFS(Components!$A$4:$A$253,C312,Components!$B$4:$B$253,B312))))&lt;&gt;1,IF(E312="UC",COUNTIF('Use cases'!$A$4:$A$253,F312),IF(E312="CAP",COUNTIF(Capabilities!$A$4:$A$253,F312),IF(E312="AIR",COUNTIF('System map'!$A$4:$A$203,F312),COUNTIFS(Components!$A$4:$A$253,F312,Components!$B$4:$B$253,E312))))&lt;&gt;1),"Endpoint missing or duplicated",IF(AND(NOT(AND(B312="UC",E312="CAP")),OR(G312="",COUNTIF('System map'!$A$4:$A$203,G312)&lt;&gt;1)),"AIR context missing / unknown",IF(AND(B312="CAP",E312="AIR",G312&lt;&gt;F312),"AIR context mismatch",IF(AND(B312="AIR",G312&lt;&gt;C312),"AIR context mismatch",IF(AND(B312="AIR",E312="AIR",C312=F312),"Self-dependency",IF(AND(B312="AIR",E312="AIR",M312&lt;&gt;"Superseded",COUNTIFS($B$4:$B$1003,"AIR",$C$4:$C$1003,F312,$E$4:$E$1003,"AIR",$F$4:$F$1003,C312,$M$4:$M$1003,"&lt;&gt;Superseded")&gt;0),"Dependency cycle (A↔B) — review",IF(AND(B312="AIR",OR(E312="MOD",E312="DATA",E312="IF",E312="AG",E312="TOOL"),IFERROR(INDEX(Components!$G$4:$G$253,MATCH(F312,Components!$A$4:$A$253,0)),"")&lt;&gt;"",IFERROR(INDEX(Components!$G$4:$G$253,MATCH(F312,Components!$A$4:$A$253,0)),"")&lt;&gt;C312),"Component owned by another AIR-ID",IF(AND(M312="Confirmed",OR(IF(B312="UC",COUNTIFS('Use cases'!$A$4:$A$253,C312,'Use cases'!$I$4:$I$253,"Confirmed",'Use cases'!$J$4:$J$253,"OK — verify source"),IF(B312="CAP",COUNTIFS(Capabilities!$A$4:$A$253,C312,Capabilities!$J$4:$J$253,"Confirmed",Capabilities!$K$4:$K$253,"OK — verify source"),IF(B312="AIR",COUNTIFS('System map'!$A$4:$A$203,C312,'System map'!$B$4:$B$203,"&lt;&gt;",'System map'!$C$4:$C$203,"&lt;&gt;",'System map'!$D$4:$D$203,"&lt;&gt;"),COUNTIFS(Components!$A$4:$A$253,C312,Components!$B$4:$B$253,B312,Components!$K$4:$K$253,"Confirmed",Components!$L$4:$L$253,"OK — verify source"))))&lt;&gt;1,IF(E312="UC",COUNTIFS('Use cases'!$A$4:$A$253,F312,'Use cases'!$I$4:$I$253,"Confirmed",'Use cases'!$J$4:$J$253,"OK — verify source"),IF(E312="CAP",COUNTIFS(Capabilities!$A$4:$A$253,F312,Capabilities!$J$4:$J$253,"Confirmed",Capabilities!$K$4:$K$253,"OK — verify source"),IF(E312="AIR",COUNTIFS('System map'!$A$4:$A$203,F312,'System map'!$B$4:$B$203,"&lt;&gt;",'System map'!$C$4:$C$203,"&lt;&gt;",'System map'!$D$4:$D$203,"&lt;&gt;"),COUNTIFS(Components!$A$4:$A$253,F312,Components!$B$4:$B$253,E312,Components!$K$4:$K$253,"Confirmed",Components!$L$4:$L$253,"OK — verify source"))))&lt;&gt;1)),"Endpoint not source-reconciled",IF(AND(M312="Confirmed",OR(L312="",K312="",K312="Unknown",K312="Low")),"Confirmed link lacks verification","OK — verify source"))))))))))))))</f>
        <v/>
      </c>
    </row>
    <row r="313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8" t="n"/>
      <c r="M313" s="27" t="n"/>
      <c r="N313" s="27">
        <f>IF(COUNTA(A313:M313)=0,"",IF(OR(A313="",B313="",C313="",D313="",E313="",F313="",I313="",J313="",K313="",M313=""),"Required link detail missing",IF(COUNTIF($A$4:$A$1003,A313)&gt;1,"Duplicate Map Edge ID",IF(NOT(OR(AND(B313="UC",E313="CAP",D313="requires"),AND(B313="CAP",E313="AIR",D313="provided by"),AND(B313="AIR",OR(E313="MOD",E313="DATA",E313="IF",E313="AG",E313="TOOL"),D313="references"),AND(B313="AIR",E313="AIR",D313="depends on"))),"Invalid relationship",IF(AND(M313&lt;&gt;"Superseded",COUNTIFS($B$4:$B$1003,B313,$C$4:$C$1003,C313,$D$4:$D$1003,D313,$E$4:$E$1003,E313,$F$4:$F$1003,F313,$G$4:$G$1003,G313,$M$4:$M$1003,"&lt;&gt;Superseded")&gt;1),"Duplicate relationship",IF(OR(IF(B313="UC",COUNTIF('Use cases'!$A$4:$A$253,C313),IF(B313="CAP",COUNTIF(Capabilities!$A$4:$A$253,C313),IF(B313="AIR",COUNTIF('System map'!$A$4:$A$203,C313),COUNTIFS(Components!$A$4:$A$253,C313,Components!$B$4:$B$253,B313))))&lt;&gt;1,IF(E313="UC",COUNTIF('Use cases'!$A$4:$A$253,F313),IF(E313="CAP",COUNTIF(Capabilities!$A$4:$A$253,F313),IF(E313="AIR",COUNTIF('System map'!$A$4:$A$203,F313),COUNTIFS(Components!$A$4:$A$253,F313,Components!$B$4:$B$253,E313))))&lt;&gt;1),"Endpoint missing or duplicated",IF(AND(NOT(AND(B313="UC",E313="CAP")),OR(G313="",COUNTIF('System map'!$A$4:$A$203,G313)&lt;&gt;1)),"AIR context missing / unknown",IF(AND(B313="CAP",E313="AIR",G313&lt;&gt;F313),"AIR context mismatch",IF(AND(B313="AIR",G313&lt;&gt;C313),"AIR context mismatch",IF(AND(B313="AIR",E313="AIR",C313=F313),"Self-dependency",IF(AND(B313="AIR",E313="AIR",M313&lt;&gt;"Superseded",COUNTIFS($B$4:$B$1003,"AIR",$C$4:$C$1003,F313,$E$4:$E$1003,"AIR",$F$4:$F$1003,C313,$M$4:$M$1003,"&lt;&gt;Superseded")&gt;0),"Dependency cycle (A↔B) — review",IF(AND(B313="AIR",OR(E313="MOD",E313="DATA",E313="IF",E313="AG",E313="TOOL"),IFERROR(INDEX(Components!$G$4:$G$253,MATCH(F313,Components!$A$4:$A$253,0)),"")&lt;&gt;"",IFERROR(INDEX(Components!$G$4:$G$253,MATCH(F313,Components!$A$4:$A$253,0)),"")&lt;&gt;C313),"Component owned by another AIR-ID",IF(AND(M313="Confirmed",OR(IF(B313="UC",COUNTIFS('Use cases'!$A$4:$A$253,C313,'Use cases'!$I$4:$I$253,"Confirmed",'Use cases'!$J$4:$J$253,"OK — verify source"),IF(B313="CAP",COUNTIFS(Capabilities!$A$4:$A$253,C313,Capabilities!$J$4:$J$253,"Confirmed",Capabilities!$K$4:$K$253,"OK — verify source"),IF(B313="AIR",COUNTIFS('System map'!$A$4:$A$203,C313,'System map'!$B$4:$B$203,"&lt;&gt;",'System map'!$C$4:$C$203,"&lt;&gt;",'System map'!$D$4:$D$203,"&lt;&gt;"),COUNTIFS(Components!$A$4:$A$253,C313,Components!$B$4:$B$253,B313,Components!$K$4:$K$253,"Confirmed",Components!$L$4:$L$253,"OK — verify source"))))&lt;&gt;1,IF(E313="UC",COUNTIFS('Use cases'!$A$4:$A$253,F313,'Use cases'!$I$4:$I$253,"Confirmed",'Use cases'!$J$4:$J$253,"OK — verify source"),IF(E313="CAP",COUNTIFS(Capabilities!$A$4:$A$253,F313,Capabilities!$J$4:$J$253,"Confirmed",Capabilities!$K$4:$K$253,"OK — verify source"),IF(E313="AIR",COUNTIFS('System map'!$A$4:$A$203,F313,'System map'!$B$4:$B$203,"&lt;&gt;",'System map'!$C$4:$C$203,"&lt;&gt;",'System map'!$D$4:$D$203,"&lt;&gt;"),COUNTIFS(Components!$A$4:$A$253,F313,Components!$B$4:$B$253,E313,Components!$K$4:$K$253,"Confirmed",Components!$L$4:$L$253,"OK — verify source"))))&lt;&gt;1)),"Endpoint not source-reconciled",IF(AND(M313="Confirmed",OR(L313="",K313="",K313="Unknown",K313="Low")),"Confirmed link lacks verification","OK — verify source"))))))))))))))</f>
        <v/>
      </c>
    </row>
    <row r="31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6" t="n"/>
      <c r="M314" s="25" t="n"/>
      <c r="N314" s="25">
        <f>IF(COUNTA(A314:M314)=0,"",IF(OR(A314="",B314="",C314="",D314="",E314="",F314="",I314="",J314="",K314="",M314=""),"Required link detail missing",IF(COUNTIF($A$4:$A$1003,A314)&gt;1,"Duplicate Map Edge ID",IF(NOT(OR(AND(B314="UC",E314="CAP",D314="requires"),AND(B314="CAP",E314="AIR",D314="provided by"),AND(B314="AIR",OR(E314="MOD",E314="DATA",E314="IF",E314="AG",E314="TOOL"),D314="references"),AND(B314="AIR",E314="AIR",D314="depends on"))),"Invalid relationship",IF(AND(M314&lt;&gt;"Superseded",COUNTIFS($B$4:$B$1003,B314,$C$4:$C$1003,C314,$D$4:$D$1003,D314,$E$4:$E$1003,E314,$F$4:$F$1003,F314,$G$4:$G$1003,G314,$M$4:$M$1003,"&lt;&gt;Superseded")&gt;1),"Duplicate relationship",IF(OR(IF(B314="UC",COUNTIF('Use cases'!$A$4:$A$253,C314),IF(B314="CAP",COUNTIF(Capabilities!$A$4:$A$253,C314),IF(B314="AIR",COUNTIF('System map'!$A$4:$A$203,C314),COUNTIFS(Components!$A$4:$A$253,C314,Components!$B$4:$B$253,B314))))&lt;&gt;1,IF(E314="UC",COUNTIF('Use cases'!$A$4:$A$253,F314),IF(E314="CAP",COUNTIF(Capabilities!$A$4:$A$253,F314),IF(E314="AIR",COUNTIF('System map'!$A$4:$A$203,F314),COUNTIFS(Components!$A$4:$A$253,F314,Components!$B$4:$B$253,E314))))&lt;&gt;1),"Endpoint missing or duplicated",IF(AND(NOT(AND(B314="UC",E314="CAP")),OR(G314="",COUNTIF('System map'!$A$4:$A$203,G314)&lt;&gt;1)),"AIR context missing / unknown",IF(AND(B314="CAP",E314="AIR",G314&lt;&gt;F314),"AIR context mismatch",IF(AND(B314="AIR",G314&lt;&gt;C314),"AIR context mismatch",IF(AND(B314="AIR",E314="AIR",C314=F314),"Self-dependency",IF(AND(B314="AIR",E314="AIR",M314&lt;&gt;"Superseded",COUNTIFS($B$4:$B$1003,"AIR",$C$4:$C$1003,F314,$E$4:$E$1003,"AIR",$F$4:$F$1003,C314,$M$4:$M$1003,"&lt;&gt;Superseded")&gt;0),"Dependency cycle (A↔B) — review",IF(AND(B314="AIR",OR(E314="MOD",E314="DATA",E314="IF",E314="AG",E314="TOOL"),IFERROR(INDEX(Components!$G$4:$G$253,MATCH(F314,Components!$A$4:$A$253,0)),"")&lt;&gt;"",IFERROR(INDEX(Components!$G$4:$G$253,MATCH(F314,Components!$A$4:$A$253,0)),"")&lt;&gt;C314),"Component owned by another AIR-ID",IF(AND(M314="Confirmed",OR(IF(B314="UC",COUNTIFS('Use cases'!$A$4:$A$253,C314,'Use cases'!$I$4:$I$253,"Confirmed",'Use cases'!$J$4:$J$253,"OK — verify source"),IF(B314="CAP",COUNTIFS(Capabilities!$A$4:$A$253,C314,Capabilities!$J$4:$J$253,"Confirmed",Capabilities!$K$4:$K$253,"OK — verify source"),IF(B314="AIR",COUNTIFS('System map'!$A$4:$A$203,C314,'System map'!$B$4:$B$203,"&lt;&gt;",'System map'!$C$4:$C$203,"&lt;&gt;",'System map'!$D$4:$D$203,"&lt;&gt;"),COUNTIFS(Components!$A$4:$A$253,C314,Components!$B$4:$B$253,B314,Components!$K$4:$K$253,"Confirmed",Components!$L$4:$L$253,"OK — verify source"))))&lt;&gt;1,IF(E314="UC",COUNTIFS('Use cases'!$A$4:$A$253,F314,'Use cases'!$I$4:$I$253,"Confirmed",'Use cases'!$J$4:$J$253,"OK — verify source"),IF(E314="CAP",COUNTIFS(Capabilities!$A$4:$A$253,F314,Capabilities!$J$4:$J$253,"Confirmed",Capabilities!$K$4:$K$253,"OK — verify source"),IF(E314="AIR",COUNTIFS('System map'!$A$4:$A$203,F314,'System map'!$B$4:$B$203,"&lt;&gt;",'System map'!$C$4:$C$203,"&lt;&gt;",'System map'!$D$4:$D$203,"&lt;&gt;"),COUNTIFS(Components!$A$4:$A$253,F314,Components!$B$4:$B$253,E314,Components!$K$4:$K$253,"Confirmed",Components!$L$4:$L$253,"OK — verify source"))))&lt;&gt;1)),"Endpoint not source-reconciled",IF(AND(M314="Confirmed",OR(L314="",K314="",K314="Unknown",K314="Low")),"Confirmed link lacks verification","OK — verify source"))))))))))))))</f>
        <v/>
      </c>
    </row>
    <row r="315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8" t="n"/>
      <c r="M315" s="27" t="n"/>
      <c r="N315" s="27">
        <f>IF(COUNTA(A315:M315)=0,"",IF(OR(A315="",B315="",C315="",D315="",E315="",F315="",I315="",J315="",K315="",M315=""),"Required link detail missing",IF(COUNTIF($A$4:$A$1003,A315)&gt;1,"Duplicate Map Edge ID",IF(NOT(OR(AND(B315="UC",E315="CAP",D315="requires"),AND(B315="CAP",E315="AIR",D315="provided by"),AND(B315="AIR",OR(E315="MOD",E315="DATA",E315="IF",E315="AG",E315="TOOL"),D315="references"),AND(B315="AIR",E315="AIR",D315="depends on"))),"Invalid relationship",IF(AND(M315&lt;&gt;"Superseded",COUNTIFS($B$4:$B$1003,B315,$C$4:$C$1003,C315,$D$4:$D$1003,D315,$E$4:$E$1003,E315,$F$4:$F$1003,F315,$G$4:$G$1003,G315,$M$4:$M$1003,"&lt;&gt;Superseded")&gt;1),"Duplicate relationship",IF(OR(IF(B315="UC",COUNTIF('Use cases'!$A$4:$A$253,C315),IF(B315="CAP",COUNTIF(Capabilities!$A$4:$A$253,C315),IF(B315="AIR",COUNTIF('System map'!$A$4:$A$203,C315),COUNTIFS(Components!$A$4:$A$253,C315,Components!$B$4:$B$253,B315))))&lt;&gt;1,IF(E315="UC",COUNTIF('Use cases'!$A$4:$A$253,F315),IF(E315="CAP",COUNTIF(Capabilities!$A$4:$A$253,F315),IF(E315="AIR",COUNTIF('System map'!$A$4:$A$203,F315),COUNTIFS(Components!$A$4:$A$253,F315,Components!$B$4:$B$253,E315))))&lt;&gt;1),"Endpoint missing or duplicated",IF(AND(NOT(AND(B315="UC",E315="CAP")),OR(G315="",COUNTIF('System map'!$A$4:$A$203,G315)&lt;&gt;1)),"AIR context missing / unknown",IF(AND(B315="CAP",E315="AIR",G315&lt;&gt;F315),"AIR context mismatch",IF(AND(B315="AIR",G315&lt;&gt;C315),"AIR context mismatch",IF(AND(B315="AIR",E315="AIR",C315=F315),"Self-dependency",IF(AND(B315="AIR",E315="AIR",M315&lt;&gt;"Superseded",COUNTIFS($B$4:$B$1003,"AIR",$C$4:$C$1003,F315,$E$4:$E$1003,"AIR",$F$4:$F$1003,C315,$M$4:$M$1003,"&lt;&gt;Superseded")&gt;0),"Dependency cycle (A↔B) — review",IF(AND(B315="AIR",OR(E315="MOD",E315="DATA",E315="IF",E315="AG",E315="TOOL"),IFERROR(INDEX(Components!$G$4:$G$253,MATCH(F315,Components!$A$4:$A$253,0)),"")&lt;&gt;"",IFERROR(INDEX(Components!$G$4:$G$253,MATCH(F315,Components!$A$4:$A$253,0)),"")&lt;&gt;C315),"Component owned by another AIR-ID",IF(AND(M315="Confirmed",OR(IF(B315="UC",COUNTIFS('Use cases'!$A$4:$A$253,C315,'Use cases'!$I$4:$I$253,"Confirmed",'Use cases'!$J$4:$J$253,"OK — verify source"),IF(B315="CAP",COUNTIFS(Capabilities!$A$4:$A$253,C315,Capabilities!$J$4:$J$253,"Confirmed",Capabilities!$K$4:$K$253,"OK — verify source"),IF(B315="AIR",COUNTIFS('System map'!$A$4:$A$203,C315,'System map'!$B$4:$B$203,"&lt;&gt;",'System map'!$C$4:$C$203,"&lt;&gt;",'System map'!$D$4:$D$203,"&lt;&gt;"),COUNTIFS(Components!$A$4:$A$253,C315,Components!$B$4:$B$253,B315,Components!$K$4:$K$253,"Confirmed",Components!$L$4:$L$253,"OK — verify source"))))&lt;&gt;1,IF(E315="UC",COUNTIFS('Use cases'!$A$4:$A$253,F315,'Use cases'!$I$4:$I$253,"Confirmed",'Use cases'!$J$4:$J$253,"OK — verify source"),IF(E315="CAP",COUNTIFS(Capabilities!$A$4:$A$253,F315,Capabilities!$J$4:$J$253,"Confirmed",Capabilities!$K$4:$K$253,"OK — verify source"),IF(E315="AIR",COUNTIFS('System map'!$A$4:$A$203,F315,'System map'!$B$4:$B$203,"&lt;&gt;",'System map'!$C$4:$C$203,"&lt;&gt;",'System map'!$D$4:$D$203,"&lt;&gt;"),COUNTIFS(Components!$A$4:$A$253,F315,Components!$B$4:$B$253,E315,Components!$K$4:$K$253,"Confirmed",Components!$L$4:$L$253,"OK — verify source"))))&lt;&gt;1)),"Endpoint not source-reconciled",IF(AND(M315="Confirmed",OR(L315="",K315="",K315="Unknown",K315="Low")),"Confirmed link lacks verification","OK — verify source"))))))))))))))</f>
        <v/>
      </c>
    </row>
    <row r="316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6" t="n"/>
      <c r="M316" s="25" t="n"/>
      <c r="N316" s="25">
        <f>IF(COUNTA(A316:M316)=0,"",IF(OR(A316="",B316="",C316="",D316="",E316="",F316="",I316="",J316="",K316="",M316=""),"Required link detail missing",IF(COUNTIF($A$4:$A$1003,A316)&gt;1,"Duplicate Map Edge ID",IF(NOT(OR(AND(B316="UC",E316="CAP",D316="requires"),AND(B316="CAP",E316="AIR",D316="provided by"),AND(B316="AIR",OR(E316="MOD",E316="DATA",E316="IF",E316="AG",E316="TOOL"),D316="references"),AND(B316="AIR",E316="AIR",D316="depends on"))),"Invalid relationship",IF(AND(M316&lt;&gt;"Superseded",COUNTIFS($B$4:$B$1003,B316,$C$4:$C$1003,C316,$D$4:$D$1003,D316,$E$4:$E$1003,E316,$F$4:$F$1003,F316,$G$4:$G$1003,G316,$M$4:$M$1003,"&lt;&gt;Superseded")&gt;1),"Duplicate relationship",IF(OR(IF(B316="UC",COUNTIF('Use cases'!$A$4:$A$253,C316),IF(B316="CAP",COUNTIF(Capabilities!$A$4:$A$253,C316),IF(B316="AIR",COUNTIF('System map'!$A$4:$A$203,C316),COUNTIFS(Components!$A$4:$A$253,C316,Components!$B$4:$B$253,B316))))&lt;&gt;1,IF(E316="UC",COUNTIF('Use cases'!$A$4:$A$253,F316),IF(E316="CAP",COUNTIF(Capabilities!$A$4:$A$253,F316),IF(E316="AIR",COUNTIF('System map'!$A$4:$A$203,F316),COUNTIFS(Components!$A$4:$A$253,F316,Components!$B$4:$B$253,E316))))&lt;&gt;1),"Endpoint missing or duplicated",IF(AND(NOT(AND(B316="UC",E316="CAP")),OR(G316="",COUNTIF('System map'!$A$4:$A$203,G316)&lt;&gt;1)),"AIR context missing / unknown",IF(AND(B316="CAP",E316="AIR",G316&lt;&gt;F316),"AIR context mismatch",IF(AND(B316="AIR",G316&lt;&gt;C316),"AIR context mismatch",IF(AND(B316="AIR",E316="AIR",C316=F316),"Self-dependency",IF(AND(B316="AIR",E316="AIR",M316&lt;&gt;"Superseded",COUNTIFS($B$4:$B$1003,"AIR",$C$4:$C$1003,F316,$E$4:$E$1003,"AIR",$F$4:$F$1003,C316,$M$4:$M$1003,"&lt;&gt;Superseded")&gt;0),"Dependency cycle (A↔B) — review",IF(AND(B316="AIR",OR(E316="MOD",E316="DATA",E316="IF",E316="AG",E316="TOOL"),IFERROR(INDEX(Components!$G$4:$G$253,MATCH(F316,Components!$A$4:$A$253,0)),"")&lt;&gt;"",IFERROR(INDEX(Components!$G$4:$G$253,MATCH(F316,Components!$A$4:$A$253,0)),"")&lt;&gt;C316),"Component owned by another AIR-ID",IF(AND(M316="Confirmed",OR(IF(B316="UC",COUNTIFS('Use cases'!$A$4:$A$253,C316,'Use cases'!$I$4:$I$253,"Confirmed",'Use cases'!$J$4:$J$253,"OK — verify source"),IF(B316="CAP",COUNTIFS(Capabilities!$A$4:$A$253,C316,Capabilities!$J$4:$J$253,"Confirmed",Capabilities!$K$4:$K$253,"OK — verify source"),IF(B316="AIR",COUNTIFS('System map'!$A$4:$A$203,C316,'System map'!$B$4:$B$203,"&lt;&gt;",'System map'!$C$4:$C$203,"&lt;&gt;",'System map'!$D$4:$D$203,"&lt;&gt;"),COUNTIFS(Components!$A$4:$A$253,C316,Components!$B$4:$B$253,B316,Components!$K$4:$K$253,"Confirmed",Components!$L$4:$L$253,"OK — verify source"))))&lt;&gt;1,IF(E316="UC",COUNTIFS('Use cases'!$A$4:$A$253,F316,'Use cases'!$I$4:$I$253,"Confirmed",'Use cases'!$J$4:$J$253,"OK — verify source"),IF(E316="CAP",COUNTIFS(Capabilities!$A$4:$A$253,F316,Capabilities!$J$4:$J$253,"Confirmed",Capabilities!$K$4:$K$253,"OK — verify source"),IF(E316="AIR",COUNTIFS('System map'!$A$4:$A$203,F316,'System map'!$B$4:$B$203,"&lt;&gt;",'System map'!$C$4:$C$203,"&lt;&gt;",'System map'!$D$4:$D$203,"&lt;&gt;"),COUNTIFS(Components!$A$4:$A$253,F316,Components!$B$4:$B$253,E316,Components!$K$4:$K$253,"Confirmed",Components!$L$4:$L$253,"OK — verify source"))))&lt;&gt;1)),"Endpoint not source-reconciled",IF(AND(M316="Confirmed",OR(L316="",K316="",K316="Unknown",K316="Low")),"Confirmed link lacks verification","OK — verify source"))))))))))))))</f>
        <v/>
      </c>
    </row>
    <row r="317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8" t="n"/>
      <c r="M317" s="27" t="n"/>
      <c r="N317" s="27">
        <f>IF(COUNTA(A317:M317)=0,"",IF(OR(A317="",B317="",C317="",D317="",E317="",F317="",I317="",J317="",K317="",M317=""),"Required link detail missing",IF(COUNTIF($A$4:$A$1003,A317)&gt;1,"Duplicate Map Edge ID",IF(NOT(OR(AND(B317="UC",E317="CAP",D317="requires"),AND(B317="CAP",E317="AIR",D317="provided by"),AND(B317="AIR",OR(E317="MOD",E317="DATA",E317="IF",E317="AG",E317="TOOL"),D317="references"),AND(B317="AIR",E317="AIR",D317="depends on"))),"Invalid relationship",IF(AND(M317&lt;&gt;"Superseded",COUNTIFS($B$4:$B$1003,B317,$C$4:$C$1003,C317,$D$4:$D$1003,D317,$E$4:$E$1003,E317,$F$4:$F$1003,F317,$G$4:$G$1003,G317,$M$4:$M$1003,"&lt;&gt;Superseded")&gt;1),"Duplicate relationship",IF(OR(IF(B317="UC",COUNTIF('Use cases'!$A$4:$A$253,C317),IF(B317="CAP",COUNTIF(Capabilities!$A$4:$A$253,C317),IF(B317="AIR",COUNTIF('System map'!$A$4:$A$203,C317),COUNTIFS(Components!$A$4:$A$253,C317,Components!$B$4:$B$253,B317))))&lt;&gt;1,IF(E317="UC",COUNTIF('Use cases'!$A$4:$A$253,F317),IF(E317="CAP",COUNTIF(Capabilities!$A$4:$A$253,F317),IF(E317="AIR",COUNTIF('System map'!$A$4:$A$203,F317),COUNTIFS(Components!$A$4:$A$253,F317,Components!$B$4:$B$253,E317))))&lt;&gt;1),"Endpoint missing or duplicated",IF(AND(NOT(AND(B317="UC",E317="CAP")),OR(G317="",COUNTIF('System map'!$A$4:$A$203,G317)&lt;&gt;1)),"AIR context missing / unknown",IF(AND(B317="CAP",E317="AIR",G317&lt;&gt;F317),"AIR context mismatch",IF(AND(B317="AIR",G317&lt;&gt;C317),"AIR context mismatch",IF(AND(B317="AIR",E317="AIR",C317=F317),"Self-dependency",IF(AND(B317="AIR",E317="AIR",M317&lt;&gt;"Superseded",COUNTIFS($B$4:$B$1003,"AIR",$C$4:$C$1003,F317,$E$4:$E$1003,"AIR",$F$4:$F$1003,C317,$M$4:$M$1003,"&lt;&gt;Superseded")&gt;0),"Dependency cycle (A↔B) — review",IF(AND(B317="AIR",OR(E317="MOD",E317="DATA",E317="IF",E317="AG",E317="TOOL"),IFERROR(INDEX(Components!$G$4:$G$253,MATCH(F317,Components!$A$4:$A$253,0)),"")&lt;&gt;"",IFERROR(INDEX(Components!$G$4:$G$253,MATCH(F317,Components!$A$4:$A$253,0)),"")&lt;&gt;C317),"Component owned by another AIR-ID",IF(AND(M317="Confirmed",OR(IF(B317="UC",COUNTIFS('Use cases'!$A$4:$A$253,C317,'Use cases'!$I$4:$I$253,"Confirmed",'Use cases'!$J$4:$J$253,"OK — verify source"),IF(B317="CAP",COUNTIFS(Capabilities!$A$4:$A$253,C317,Capabilities!$J$4:$J$253,"Confirmed",Capabilities!$K$4:$K$253,"OK — verify source"),IF(B317="AIR",COUNTIFS('System map'!$A$4:$A$203,C317,'System map'!$B$4:$B$203,"&lt;&gt;",'System map'!$C$4:$C$203,"&lt;&gt;",'System map'!$D$4:$D$203,"&lt;&gt;"),COUNTIFS(Components!$A$4:$A$253,C317,Components!$B$4:$B$253,B317,Components!$K$4:$K$253,"Confirmed",Components!$L$4:$L$253,"OK — verify source"))))&lt;&gt;1,IF(E317="UC",COUNTIFS('Use cases'!$A$4:$A$253,F317,'Use cases'!$I$4:$I$253,"Confirmed",'Use cases'!$J$4:$J$253,"OK — verify source"),IF(E317="CAP",COUNTIFS(Capabilities!$A$4:$A$253,F317,Capabilities!$J$4:$J$253,"Confirmed",Capabilities!$K$4:$K$253,"OK — verify source"),IF(E317="AIR",COUNTIFS('System map'!$A$4:$A$203,F317,'System map'!$B$4:$B$203,"&lt;&gt;",'System map'!$C$4:$C$203,"&lt;&gt;",'System map'!$D$4:$D$203,"&lt;&gt;"),COUNTIFS(Components!$A$4:$A$253,F317,Components!$B$4:$B$253,E317,Components!$K$4:$K$253,"Confirmed",Components!$L$4:$L$253,"OK — verify source"))))&lt;&gt;1)),"Endpoint not source-reconciled",IF(AND(M317="Confirmed",OR(L317="",K317="",K317="Unknown",K317="Low")),"Confirmed link lacks verification","OK — verify source"))))))))))))))</f>
        <v/>
      </c>
    </row>
    <row r="318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6" t="n"/>
      <c r="M318" s="25" t="n"/>
      <c r="N318" s="25">
        <f>IF(COUNTA(A318:M318)=0,"",IF(OR(A318="",B318="",C318="",D318="",E318="",F318="",I318="",J318="",K318="",M318=""),"Required link detail missing",IF(COUNTIF($A$4:$A$1003,A318)&gt;1,"Duplicate Map Edge ID",IF(NOT(OR(AND(B318="UC",E318="CAP",D318="requires"),AND(B318="CAP",E318="AIR",D318="provided by"),AND(B318="AIR",OR(E318="MOD",E318="DATA",E318="IF",E318="AG",E318="TOOL"),D318="references"),AND(B318="AIR",E318="AIR",D318="depends on"))),"Invalid relationship",IF(AND(M318&lt;&gt;"Superseded",COUNTIFS($B$4:$B$1003,B318,$C$4:$C$1003,C318,$D$4:$D$1003,D318,$E$4:$E$1003,E318,$F$4:$F$1003,F318,$G$4:$G$1003,G318,$M$4:$M$1003,"&lt;&gt;Superseded")&gt;1),"Duplicate relationship",IF(OR(IF(B318="UC",COUNTIF('Use cases'!$A$4:$A$253,C318),IF(B318="CAP",COUNTIF(Capabilities!$A$4:$A$253,C318),IF(B318="AIR",COUNTIF('System map'!$A$4:$A$203,C318),COUNTIFS(Components!$A$4:$A$253,C318,Components!$B$4:$B$253,B318))))&lt;&gt;1,IF(E318="UC",COUNTIF('Use cases'!$A$4:$A$253,F318),IF(E318="CAP",COUNTIF(Capabilities!$A$4:$A$253,F318),IF(E318="AIR",COUNTIF('System map'!$A$4:$A$203,F318),COUNTIFS(Components!$A$4:$A$253,F318,Components!$B$4:$B$253,E318))))&lt;&gt;1),"Endpoint missing or duplicated",IF(AND(NOT(AND(B318="UC",E318="CAP")),OR(G318="",COUNTIF('System map'!$A$4:$A$203,G318)&lt;&gt;1)),"AIR context missing / unknown",IF(AND(B318="CAP",E318="AIR",G318&lt;&gt;F318),"AIR context mismatch",IF(AND(B318="AIR",G318&lt;&gt;C318),"AIR context mismatch",IF(AND(B318="AIR",E318="AIR",C318=F318),"Self-dependency",IF(AND(B318="AIR",E318="AIR",M318&lt;&gt;"Superseded",COUNTIFS($B$4:$B$1003,"AIR",$C$4:$C$1003,F318,$E$4:$E$1003,"AIR",$F$4:$F$1003,C318,$M$4:$M$1003,"&lt;&gt;Superseded")&gt;0),"Dependency cycle (A↔B) — review",IF(AND(B318="AIR",OR(E318="MOD",E318="DATA",E318="IF",E318="AG",E318="TOOL"),IFERROR(INDEX(Components!$G$4:$G$253,MATCH(F318,Components!$A$4:$A$253,0)),"")&lt;&gt;"",IFERROR(INDEX(Components!$G$4:$G$253,MATCH(F318,Components!$A$4:$A$253,0)),"")&lt;&gt;C318),"Component owned by another AIR-ID",IF(AND(M318="Confirmed",OR(IF(B318="UC",COUNTIFS('Use cases'!$A$4:$A$253,C318,'Use cases'!$I$4:$I$253,"Confirmed",'Use cases'!$J$4:$J$253,"OK — verify source"),IF(B318="CAP",COUNTIFS(Capabilities!$A$4:$A$253,C318,Capabilities!$J$4:$J$253,"Confirmed",Capabilities!$K$4:$K$253,"OK — verify source"),IF(B318="AIR",COUNTIFS('System map'!$A$4:$A$203,C318,'System map'!$B$4:$B$203,"&lt;&gt;",'System map'!$C$4:$C$203,"&lt;&gt;",'System map'!$D$4:$D$203,"&lt;&gt;"),COUNTIFS(Components!$A$4:$A$253,C318,Components!$B$4:$B$253,B318,Components!$K$4:$K$253,"Confirmed",Components!$L$4:$L$253,"OK — verify source"))))&lt;&gt;1,IF(E318="UC",COUNTIFS('Use cases'!$A$4:$A$253,F318,'Use cases'!$I$4:$I$253,"Confirmed",'Use cases'!$J$4:$J$253,"OK — verify source"),IF(E318="CAP",COUNTIFS(Capabilities!$A$4:$A$253,F318,Capabilities!$J$4:$J$253,"Confirmed",Capabilities!$K$4:$K$253,"OK — verify source"),IF(E318="AIR",COUNTIFS('System map'!$A$4:$A$203,F318,'System map'!$B$4:$B$203,"&lt;&gt;",'System map'!$C$4:$C$203,"&lt;&gt;",'System map'!$D$4:$D$203,"&lt;&gt;"),COUNTIFS(Components!$A$4:$A$253,F318,Components!$B$4:$B$253,E318,Components!$K$4:$K$253,"Confirmed",Components!$L$4:$L$253,"OK — verify source"))))&lt;&gt;1)),"Endpoint not source-reconciled",IF(AND(M318="Confirmed",OR(L318="",K318="",K318="Unknown",K318="Low")),"Confirmed link lacks verification","OK — verify source"))))))))))))))</f>
        <v/>
      </c>
    </row>
    <row r="319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8" t="n"/>
      <c r="M319" s="27" t="n"/>
      <c r="N319" s="27">
        <f>IF(COUNTA(A319:M319)=0,"",IF(OR(A319="",B319="",C319="",D319="",E319="",F319="",I319="",J319="",K319="",M319=""),"Required link detail missing",IF(COUNTIF($A$4:$A$1003,A319)&gt;1,"Duplicate Map Edge ID",IF(NOT(OR(AND(B319="UC",E319="CAP",D319="requires"),AND(B319="CAP",E319="AIR",D319="provided by"),AND(B319="AIR",OR(E319="MOD",E319="DATA",E319="IF",E319="AG",E319="TOOL"),D319="references"),AND(B319="AIR",E319="AIR",D319="depends on"))),"Invalid relationship",IF(AND(M319&lt;&gt;"Superseded",COUNTIFS($B$4:$B$1003,B319,$C$4:$C$1003,C319,$D$4:$D$1003,D319,$E$4:$E$1003,E319,$F$4:$F$1003,F319,$G$4:$G$1003,G319,$M$4:$M$1003,"&lt;&gt;Superseded")&gt;1),"Duplicate relationship",IF(OR(IF(B319="UC",COUNTIF('Use cases'!$A$4:$A$253,C319),IF(B319="CAP",COUNTIF(Capabilities!$A$4:$A$253,C319),IF(B319="AIR",COUNTIF('System map'!$A$4:$A$203,C319),COUNTIFS(Components!$A$4:$A$253,C319,Components!$B$4:$B$253,B319))))&lt;&gt;1,IF(E319="UC",COUNTIF('Use cases'!$A$4:$A$253,F319),IF(E319="CAP",COUNTIF(Capabilities!$A$4:$A$253,F319),IF(E319="AIR",COUNTIF('System map'!$A$4:$A$203,F319),COUNTIFS(Components!$A$4:$A$253,F319,Components!$B$4:$B$253,E319))))&lt;&gt;1),"Endpoint missing or duplicated",IF(AND(NOT(AND(B319="UC",E319="CAP")),OR(G319="",COUNTIF('System map'!$A$4:$A$203,G319)&lt;&gt;1)),"AIR context missing / unknown",IF(AND(B319="CAP",E319="AIR",G319&lt;&gt;F319),"AIR context mismatch",IF(AND(B319="AIR",G319&lt;&gt;C319),"AIR context mismatch",IF(AND(B319="AIR",E319="AIR",C319=F319),"Self-dependency",IF(AND(B319="AIR",E319="AIR",M319&lt;&gt;"Superseded",COUNTIFS($B$4:$B$1003,"AIR",$C$4:$C$1003,F319,$E$4:$E$1003,"AIR",$F$4:$F$1003,C319,$M$4:$M$1003,"&lt;&gt;Superseded")&gt;0),"Dependency cycle (A↔B) — review",IF(AND(B319="AIR",OR(E319="MOD",E319="DATA",E319="IF",E319="AG",E319="TOOL"),IFERROR(INDEX(Components!$G$4:$G$253,MATCH(F319,Components!$A$4:$A$253,0)),"")&lt;&gt;"",IFERROR(INDEX(Components!$G$4:$G$253,MATCH(F319,Components!$A$4:$A$253,0)),"")&lt;&gt;C319),"Component owned by another AIR-ID",IF(AND(M319="Confirmed",OR(IF(B319="UC",COUNTIFS('Use cases'!$A$4:$A$253,C319,'Use cases'!$I$4:$I$253,"Confirmed",'Use cases'!$J$4:$J$253,"OK — verify source"),IF(B319="CAP",COUNTIFS(Capabilities!$A$4:$A$253,C319,Capabilities!$J$4:$J$253,"Confirmed",Capabilities!$K$4:$K$253,"OK — verify source"),IF(B319="AIR",COUNTIFS('System map'!$A$4:$A$203,C319,'System map'!$B$4:$B$203,"&lt;&gt;",'System map'!$C$4:$C$203,"&lt;&gt;",'System map'!$D$4:$D$203,"&lt;&gt;"),COUNTIFS(Components!$A$4:$A$253,C319,Components!$B$4:$B$253,B319,Components!$K$4:$K$253,"Confirmed",Components!$L$4:$L$253,"OK — verify source"))))&lt;&gt;1,IF(E319="UC",COUNTIFS('Use cases'!$A$4:$A$253,F319,'Use cases'!$I$4:$I$253,"Confirmed",'Use cases'!$J$4:$J$253,"OK — verify source"),IF(E319="CAP",COUNTIFS(Capabilities!$A$4:$A$253,F319,Capabilities!$J$4:$J$253,"Confirmed",Capabilities!$K$4:$K$253,"OK — verify source"),IF(E319="AIR",COUNTIFS('System map'!$A$4:$A$203,F319,'System map'!$B$4:$B$203,"&lt;&gt;",'System map'!$C$4:$C$203,"&lt;&gt;",'System map'!$D$4:$D$203,"&lt;&gt;"),COUNTIFS(Components!$A$4:$A$253,F319,Components!$B$4:$B$253,E319,Components!$K$4:$K$253,"Confirmed",Components!$L$4:$L$253,"OK — verify source"))))&lt;&gt;1)),"Endpoint not source-reconciled",IF(AND(M319="Confirmed",OR(L319="",K319="",K319="Unknown",K319="Low")),"Confirmed link lacks verification","OK — verify source"))))))))))))))</f>
        <v/>
      </c>
    </row>
    <row r="320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6" t="n"/>
      <c r="M320" s="25" t="n"/>
      <c r="N320" s="25">
        <f>IF(COUNTA(A320:M320)=0,"",IF(OR(A320="",B320="",C320="",D320="",E320="",F320="",I320="",J320="",K320="",M320=""),"Required link detail missing",IF(COUNTIF($A$4:$A$1003,A320)&gt;1,"Duplicate Map Edge ID",IF(NOT(OR(AND(B320="UC",E320="CAP",D320="requires"),AND(B320="CAP",E320="AIR",D320="provided by"),AND(B320="AIR",OR(E320="MOD",E320="DATA",E320="IF",E320="AG",E320="TOOL"),D320="references"),AND(B320="AIR",E320="AIR",D320="depends on"))),"Invalid relationship",IF(AND(M320&lt;&gt;"Superseded",COUNTIFS($B$4:$B$1003,B320,$C$4:$C$1003,C320,$D$4:$D$1003,D320,$E$4:$E$1003,E320,$F$4:$F$1003,F320,$G$4:$G$1003,G320,$M$4:$M$1003,"&lt;&gt;Superseded")&gt;1),"Duplicate relationship",IF(OR(IF(B320="UC",COUNTIF('Use cases'!$A$4:$A$253,C320),IF(B320="CAP",COUNTIF(Capabilities!$A$4:$A$253,C320),IF(B320="AIR",COUNTIF('System map'!$A$4:$A$203,C320),COUNTIFS(Components!$A$4:$A$253,C320,Components!$B$4:$B$253,B320))))&lt;&gt;1,IF(E320="UC",COUNTIF('Use cases'!$A$4:$A$253,F320),IF(E320="CAP",COUNTIF(Capabilities!$A$4:$A$253,F320),IF(E320="AIR",COUNTIF('System map'!$A$4:$A$203,F320),COUNTIFS(Components!$A$4:$A$253,F320,Components!$B$4:$B$253,E320))))&lt;&gt;1),"Endpoint missing or duplicated",IF(AND(NOT(AND(B320="UC",E320="CAP")),OR(G320="",COUNTIF('System map'!$A$4:$A$203,G320)&lt;&gt;1)),"AIR context missing / unknown",IF(AND(B320="CAP",E320="AIR",G320&lt;&gt;F320),"AIR context mismatch",IF(AND(B320="AIR",G320&lt;&gt;C320),"AIR context mismatch",IF(AND(B320="AIR",E320="AIR",C320=F320),"Self-dependency",IF(AND(B320="AIR",E320="AIR",M320&lt;&gt;"Superseded",COUNTIFS($B$4:$B$1003,"AIR",$C$4:$C$1003,F320,$E$4:$E$1003,"AIR",$F$4:$F$1003,C320,$M$4:$M$1003,"&lt;&gt;Superseded")&gt;0),"Dependency cycle (A↔B) — review",IF(AND(B320="AIR",OR(E320="MOD",E320="DATA",E320="IF",E320="AG",E320="TOOL"),IFERROR(INDEX(Components!$G$4:$G$253,MATCH(F320,Components!$A$4:$A$253,0)),"")&lt;&gt;"",IFERROR(INDEX(Components!$G$4:$G$253,MATCH(F320,Components!$A$4:$A$253,0)),"")&lt;&gt;C320),"Component owned by another AIR-ID",IF(AND(M320="Confirmed",OR(IF(B320="UC",COUNTIFS('Use cases'!$A$4:$A$253,C320,'Use cases'!$I$4:$I$253,"Confirmed",'Use cases'!$J$4:$J$253,"OK — verify source"),IF(B320="CAP",COUNTIFS(Capabilities!$A$4:$A$253,C320,Capabilities!$J$4:$J$253,"Confirmed",Capabilities!$K$4:$K$253,"OK — verify source"),IF(B320="AIR",COUNTIFS('System map'!$A$4:$A$203,C320,'System map'!$B$4:$B$203,"&lt;&gt;",'System map'!$C$4:$C$203,"&lt;&gt;",'System map'!$D$4:$D$203,"&lt;&gt;"),COUNTIFS(Components!$A$4:$A$253,C320,Components!$B$4:$B$253,B320,Components!$K$4:$K$253,"Confirmed",Components!$L$4:$L$253,"OK — verify source"))))&lt;&gt;1,IF(E320="UC",COUNTIFS('Use cases'!$A$4:$A$253,F320,'Use cases'!$I$4:$I$253,"Confirmed",'Use cases'!$J$4:$J$253,"OK — verify source"),IF(E320="CAP",COUNTIFS(Capabilities!$A$4:$A$253,F320,Capabilities!$J$4:$J$253,"Confirmed",Capabilities!$K$4:$K$253,"OK — verify source"),IF(E320="AIR",COUNTIFS('System map'!$A$4:$A$203,F320,'System map'!$B$4:$B$203,"&lt;&gt;",'System map'!$C$4:$C$203,"&lt;&gt;",'System map'!$D$4:$D$203,"&lt;&gt;"),COUNTIFS(Components!$A$4:$A$253,F320,Components!$B$4:$B$253,E320,Components!$K$4:$K$253,"Confirmed",Components!$L$4:$L$253,"OK — verify source"))))&lt;&gt;1)),"Endpoint not source-reconciled",IF(AND(M320="Confirmed",OR(L320="",K320="",K320="Unknown",K320="Low")),"Confirmed link lacks verification","OK — verify source"))))))))))))))</f>
        <v/>
      </c>
    </row>
    <row r="321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8" t="n"/>
      <c r="M321" s="27" t="n"/>
      <c r="N321" s="27">
        <f>IF(COUNTA(A321:M321)=0,"",IF(OR(A321="",B321="",C321="",D321="",E321="",F321="",I321="",J321="",K321="",M321=""),"Required link detail missing",IF(COUNTIF($A$4:$A$1003,A321)&gt;1,"Duplicate Map Edge ID",IF(NOT(OR(AND(B321="UC",E321="CAP",D321="requires"),AND(B321="CAP",E321="AIR",D321="provided by"),AND(B321="AIR",OR(E321="MOD",E321="DATA",E321="IF",E321="AG",E321="TOOL"),D321="references"),AND(B321="AIR",E321="AIR",D321="depends on"))),"Invalid relationship",IF(AND(M321&lt;&gt;"Superseded",COUNTIFS($B$4:$B$1003,B321,$C$4:$C$1003,C321,$D$4:$D$1003,D321,$E$4:$E$1003,E321,$F$4:$F$1003,F321,$G$4:$G$1003,G321,$M$4:$M$1003,"&lt;&gt;Superseded")&gt;1),"Duplicate relationship",IF(OR(IF(B321="UC",COUNTIF('Use cases'!$A$4:$A$253,C321),IF(B321="CAP",COUNTIF(Capabilities!$A$4:$A$253,C321),IF(B321="AIR",COUNTIF('System map'!$A$4:$A$203,C321),COUNTIFS(Components!$A$4:$A$253,C321,Components!$B$4:$B$253,B321))))&lt;&gt;1,IF(E321="UC",COUNTIF('Use cases'!$A$4:$A$253,F321),IF(E321="CAP",COUNTIF(Capabilities!$A$4:$A$253,F321),IF(E321="AIR",COUNTIF('System map'!$A$4:$A$203,F321),COUNTIFS(Components!$A$4:$A$253,F321,Components!$B$4:$B$253,E321))))&lt;&gt;1),"Endpoint missing or duplicated",IF(AND(NOT(AND(B321="UC",E321="CAP")),OR(G321="",COUNTIF('System map'!$A$4:$A$203,G321)&lt;&gt;1)),"AIR context missing / unknown",IF(AND(B321="CAP",E321="AIR",G321&lt;&gt;F321),"AIR context mismatch",IF(AND(B321="AIR",G321&lt;&gt;C321),"AIR context mismatch",IF(AND(B321="AIR",E321="AIR",C321=F321),"Self-dependency",IF(AND(B321="AIR",E321="AIR",M321&lt;&gt;"Superseded",COUNTIFS($B$4:$B$1003,"AIR",$C$4:$C$1003,F321,$E$4:$E$1003,"AIR",$F$4:$F$1003,C321,$M$4:$M$1003,"&lt;&gt;Superseded")&gt;0),"Dependency cycle (A↔B) — review",IF(AND(B321="AIR",OR(E321="MOD",E321="DATA",E321="IF",E321="AG",E321="TOOL"),IFERROR(INDEX(Components!$G$4:$G$253,MATCH(F321,Components!$A$4:$A$253,0)),"")&lt;&gt;"",IFERROR(INDEX(Components!$G$4:$G$253,MATCH(F321,Components!$A$4:$A$253,0)),"")&lt;&gt;C321),"Component owned by another AIR-ID",IF(AND(M321="Confirmed",OR(IF(B321="UC",COUNTIFS('Use cases'!$A$4:$A$253,C321,'Use cases'!$I$4:$I$253,"Confirmed",'Use cases'!$J$4:$J$253,"OK — verify source"),IF(B321="CAP",COUNTIFS(Capabilities!$A$4:$A$253,C321,Capabilities!$J$4:$J$253,"Confirmed",Capabilities!$K$4:$K$253,"OK — verify source"),IF(B321="AIR",COUNTIFS('System map'!$A$4:$A$203,C321,'System map'!$B$4:$B$203,"&lt;&gt;",'System map'!$C$4:$C$203,"&lt;&gt;",'System map'!$D$4:$D$203,"&lt;&gt;"),COUNTIFS(Components!$A$4:$A$253,C321,Components!$B$4:$B$253,B321,Components!$K$4:$K$253,"Confirmed",Components!$L$4:$L$253,"OK — verify source"))))&lt;&gt;1,IF(E321="UC",COUNTIFS('Use cases'!$A$4:$A$253,F321,'Use cases'!$I$4:$I$253,"Confirmed",'Use cases'!$J$4:$J$253,"OK — verify source"),IF(E321="CAP",COUNTIFS(Capabilities!$A$4:$A$253,F321,Capabilities!$J$4:$J$253,"Confirmed",Capabilities!$K$4:$K$253,"OK — verify source"),IF(E321="AIR",COUNTIFS('System map'!$A$4:$A$203,F321,'System map'!$B$4:$B$203,"&lt;&gt;",'System map'!$C$4:$C$203,"&lt;&gt;",'System map'!$D$4:$D$203,"&lt;&gt;"),COUNTIFS(Components!$A$4:$A$253,F321,Components!$B$4:$B$253,E321,Components!$K$4:$K$253,"Confirmed",Components!$L$4:$L$253,"OK — verify source"))))&lt;&gt;1)),"Endpoint not source-reconciled",IF(AND(M321="Confirmed",OR(L321="",K321="",K321="Unknown",K321="Low")),"Confirmed link lacks verification","OK — verify source"))))))))))))))</f>
        <v/>
      </c>
    </row>
    <row r="322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6" t="n"/>
      <c r="M322" s="25" t="n"/>
      <c r="N322" s="25">
        <f>IF(COUNTA(A322:M322)=0,"",IF(OR(A322="",B322="",C322="",D322="",E322="",F322="",I322="",J322="",K322="",M322=""),"Required link detail missing",IF(COUNTIF($A$4:$A$1003,A322)&gt;1,"Duplicate Map Edge ID",IF(NOT(OR(AND(B322="UC",E322="CAP",D322="requires"),AND(B322="CAP",E322="AIR",D322="provided by"),AND(B322="AIR",OR(E322="MOD",E322="DATA",E322="IF",E322="AG",E322="TOOL"),D322="references"),AND(B322="AIR",E322="AIR",D322="depends on"))),"Invalid relationship",IF(AND(M322&lt;&gt;"Superseded",COUNTIFS($B$4:$B$1003,B322,$C$4:$C$1003,C322,$D$4:$D$1003,D322,$E$4:$E$1003,E322,$F$4:$F$1003,F322,$G$4:$G$1003,G322,$M$4:$M$1003,"&lt;&gt;Superseded")&gt;1),"Duplicate relationship",IF(OR(IF(B322="UC",COUNTIF('Use cases'!$A$4:$A$253,C322),IF(B322="CAP",COUNTIF(Capabilities!$A$4:$A$253,C322),IF(B322="AIR",COUNTIF('System map'!$A$4:$A$203,C322),COUNTIFS(Components!$A$4:$A$253,C322,Components!$B$4:$B$253,B322))))&lt;&gt;1,IF(E322="UC",COUNTIF('Use cases'!$A$4:$A$253,F322),IF(E322="CAP",COUNTIF(Capabilities!$A$4:$A$253,F322),IF(E322="AIR",COUNTIF('System map'!$A$4:$A$203,F322),COUNTIFS(Components!$A$4:$A$253,F322,Components!$B$4:$B$253,E322))))&lt;&gt;1),"Endpoint missing or duplicated",IF(AND(NOT(AND(B322="UC",E322="CAP")),OR(G322="",COUNTIF('System map'!$A$4:$A$203,G322)&lt;&gt;1)),"AIR context missing / unknown",IF(AND(B322="CAP",E322="AIR",G322&lt;&gt;F322),"AIR context mismatch",IF(AND(B322="AIR",G322&lt;&gt;C322),"AIR context mismatch",IF(AND(B322="AIR",E322="AIR",C322=F322),"Self-dependency",IF(AND(B322="AIR",E322="AIR",M322&lt;&gt;"Superseded",COUNTIFS($B$4:$B$1003,"AIR",$C$4:$C$1003,F322,$E$4:$E$1003,"AIR",$F$4:$F$1003,C322,$M$4:$M$1003,"&lt;&gt;Superseded")&gt;0),"Dependency cycle (A↔B) — review",IF(AND(B322="AIR",OR(E322="MOD",E322="DATA",E322="IF",E322="AG",E322="TOOL"),IFERROR(INDEX(Components!$G$4:$G$253,MATCH(F322,Components!$A$4:$A$253,0)),"")&lt;&gt;"",IFERROR(INDEX(Components!$G$4:$G$253,MATCH(F322,Components!$A$4:$A$253,0)),"")&lt;&gt;C322),"Component owned by another AIR-ID",IF(AND(M322="Confirmed",OR(IF(B322="UC",COUNTIFS('Use cases'!$A$4:$A$253,C322,'Use cases'!$I$4:$I$253,"Confirmed",'Use cases'!$J$4:$J$253,"OK — verify source"),IF(B322="CAP",COUNTIFS(Capabilities!$A$4:$A$253,C322,Capabilities!$J$4:$J$253,"Confirmed",Capabilities!$K$4:$K$253,"OK — verify source"),IF(B322="AIR",COUNTIFS('System map'!$A$4:$A$203,C322,'System map'!$B$4:$B$203,"&lt;&gt;",'System map'!$C$4:$C$203,"&lt;&gt;",'System map'!$D$4:$D$203,"&lt;&gt;"),COUNTIFS(Components!$A$4:$A$253,C322,Components!$B$4:$B$253,B322,Components!$K$4:$K$253,"Confirmed",Components!$L$4:$L$253,"OK — verify source"))))&lt;&gt;1,IF(E322="UC",COUNTIFS('Use cases'!$A$4:$A$253,F322,'Use cases'!$I$4:$I$253,"Confirmed",'Use cases'!$J$4:$J$253,"OK — verify source"),IF(E322="CAP",COUNTIFS(Capabilities!$A$4:$A$253,F322,Capabilities!$J$4:$J$253,"Confirmed",Capabilities!$K$4:$K$253,"OK — verify source"),IF(E322="AIR",COUNTIFS('System map'!$A$4:$A$203,F322,'System map'!$B$4:$B$203,"&lt;&gt;",'System map'!$C$4:$C$203,"&lt;&gt;",'System map'!$D$4:$D$203,"&lt;&gt;"),COUNTIFS(Components!$A$4:$A$253,F322,Components!$B$4:$B$253,E322,Components!$K$4:$K$253,"Confirmed",Components!$L$4:$L$253,"OK — verify source"))))&lt;&gt;1)),"Endpoint not source-reconciled",IF(AND(M322="Confirmed",OR(L322="",K322="",K322="Unknown",K322="Low")),"Confirmed link lacks verification","OK — verify source"))))))))))))))</f>
        <v/>
      </c>
    </row>
    <row r="323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8" t="n"/>
      <c r="M323" s="27" t="n"/>
      <c r="N323" s="27">
        <f>IF(COUNTA(A323:M323)=0,"",IF(OR(A323="",B323="",C323="",D323="",E323="",F323="",I323="",J323="",K323="",M323=""),"Required link detail missing",IF(COUNTIF($A$4:$A$1003,A323)&gt;1,"Duplicate Map Edge ID",IF(NOT(OR(AND(B323="UC",E323="CAP",D323="requires"),AND(B323="CAP",E323="AIR",D323="provided by"),AND(B323="AIR",OR(E323="MOD",E323="DATA",E323="IF",E323="AG",E323="TOOL"),D323="references"),AND(B323="AIR",E323="AIR",D323="depends on"))),"Invalid relationship",IF(AND(M323&lt;&gt;"Superseded",COUNTIFS($B$4:$B$1003,B323,$C$4:$C$1003,C323,$D$4:$D$1003,D323,$E$4:$E$1003,E323,$F$4:$F$1003,F323,$G$4:$G$1003,G323,$M$4:$M$1003,"&lt;&gt;Superseded")&gt;1),"Duplicate relationship",IF(OR(IF(B323="UC",COUNTIF('Use cases'!$A$4:$A$253,C323),IF(B323="CAP",COUNTIF(Capabilities!$A$4:$A$253,C323),IF(B323="AIR",COUNTIF('System map'!$A$4:$A$203,C323),COUNTIFS(Components!$A$4:$A$253,C323,Components!$B$4:$B$253,B323))))&lt;&gt;1,IF(E323="UC",COUNTIF('Use cases'!$A$4:$A$253,F323),IF(E323="CAP",COUNTIF(Capabilities!$A$4:$A$253,F323),IF(E323="AIR",COUNTIF('System map'!$A$4:$A$203,F323),COUNTIFS(Components!$A$4:$A$253,F323,Components!$B$4:$B$253,E323))))&lt;&gt;1),"Endpoint missing or duplicated",IF(AND(NOT(AND(B323="UC",E323="CAP")),OR(G323="",COUNTIF('System map'!$A$4:$A$203,G323)&lt;&gt;1)),"AIR context missing / unknown",IF(AND(B323="CAP",E323="AIR",G323&lt;&gt;F323),"AIR context mismatch",IF(AND(B323="AIR",G323&lt;&gt;C323),"AIR context mismatch",IF(AND(B323="AIR",E323="AIR",C323=F323),"Self-dependency",IF(AND(B323="AIR",E323="AIR",M323&lt;&gt;"Superseded",COUNTIFS($B$4:$B$1003,"AIR",$C$4:$C$1003,F323,$E$4:$E$1003,"AIR",$F$4:$F$1003,C323,$M$4:$M$1003,"&lt;&gt;Superseded")&gt;0),"Dependency cycle (A↔B) — review",IF(AND(B323="AIR",OR(E323="MOD",E323="DATA",E323="IF",E323="AG",E323="TOOL"),IFERROR(INDEX(Components!$G$4:$G$253,MATCH(F323,Components!$A$4:$A$253,0)),"")&lt;&gt;"",IFERROR(INDEX(Components!$G$4:$G$253,MATCH(F323,Components!$A$4:$A$253,0)),"")&lt;&gt;C323),"Component owned by another AIR-ID",IF(AND(M323="Confirmed",OR(IF(B323="UC",COUNTIFS('Use cases'!$A$4:$A$253,C323,'Use cases'!$I$4:$I$253,"Confirmed",'Use cases'!$J$4:$J$253,"OK — verify source"),IF(B323="CAP",COUNTIFS(Capabilities!$A$4:$A$253,C323,Capabilities!$J$4:$J$253,"Confirmed",Capabilities!$K$4:$K$253,"OK — verify source"),IF(B323="AIR",COUNTIFS('System map'!$A$4:$A$203,C323,'System map'!$B$4:$B$203,"&lt;&gt;",'System map'!$C$4:$C$203,"&lt;&gt;",'System map'!$D$4:$D$203,"&lt;&gt;"),COUNTIFS(Components!$A$4:$A$253,C323,Components!$B$4:$B$253,B323,Components!$K$4:$K$253,"Confirmed",Components!$L$4:$L$253,"OK — verify source"))))&lt;&gt;1,IF(E323="UC",COUNTIFS('Use cases'!$A$4:$A$253,F323,'Use cases'!$I$4:$I$253,"Confirmed",'Use cases'!$J$4:$J$253,"OK — verify source"),IF(E323="CAP",COUNTIFS(Capabilities!$A$4:$A$253,F323,Capabilities!$J$4:$J$253,"Confirmed",Capabilities!$K$4:$K$253,"OK — verify source"),IF(E323="AIR",COUNTIFS('System map'!$A$4:$A$203,F323,'System map'!$B$4:$B$203,"&lt;&gt;",'System map'!$C$4:$C$203,"&lt;&gt;",'System map'!$D$4:$D$203,"&lt;&gt;"),COUNTIFS(Components!$A$4:$A$253,F323,Components!$B$4:$B$253,E323,Components!$K$4:$K$253,"Confirmed",Components!$L$4:$L$253,"OK — verify source"))))&lt;&gt;1)),"Endpoint not source-reconciled",IF(AND(M323="Confirmed",OR(L323="",K323="",K323="Unknown",K323="Low")),"Confirmed link lacks verification","OK — verify source"))))))))))))))</f>
        <v/>
      </c>
    </row>
    <row r="32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6" t="n"/>
      <c r="M324" s="25" t="n"/>
      <c r="N324" s="25">
        <f>IF(COUNTA(A324:M324)=0,"",IF(OR(A324="",B324="",C324="",D324="",E324="",F324="",I324="",J324="",K324="",M324=""),"Required link detail missing",IF(COUNTIF($A$4:$A$1003,A324)&gt;1,"Duplicate Map Edge ID",IF(NOT(OR(AND(B324="UC",E324="CAP",D324="requires"),AND(B324="CAP",E324="AIR",D324="provided by"),AND(B324="AIR",OR(E324="MOD",E324="DATA",E324="IF",E324="AG",E324="TOOL"),D324="references"),AND(B324="AIR",E324="AIR",D324="depends on"))),"Invalid relationship",IF(AND(M324&lt;&gt;"Superseded",COUNTIFS($B$4:$B$1003,B324,$C$4:$C$1003,C324,$D$4:$D$1003,D324,$E$4:$E$1003,E324,$F$4:$F$1003,F324,$G$4:$G$1003,G324,$M$4:$M$1003,"&lt;&gt;Superseded")&gt;1),"Duplicate relationship",IF(OR(IF(B324="UC",COUNTIF('Use cases'!$A$4:$A$253,C324),IF(B324="CAP",COUNTIF(Capabilities!$A$4:$A$253,C324),IF(B324="AIR",COUNTIF('System map'!$A$4:$A$203,C324),COUNTIFS(Components!$A$4:$A$253,C324,Components!$B$4:$B$253,B324))))&lt;&gt;1,IF(E324="UC",COUNTIF('Use cases'!$A$4:$A$253,F324),IF(E324="CAP",COUNTIF(Capabilities!$A$4:$A$253,F324),IF(E324="AIR",COUNTIF('System map'!$A$4:$A$203,F324),COUNTIFS(Components!$A$4:$A$253,F324,Components!$B$4:$B$253,E324))))&lt;&gt;1),"Endpoint missing or duplicated",IF(AND(NOT(AND(B324="UC",E324="CAP")),OR(G324="",COUNTIF('System map'!$A$4:$A$203,G324)&lt;&gt;1)),"AIR context missing / unknown",IF(AND(B324="CAP",E324="AIR",G324&lt;&gt;F324),"AIR context mismatch",IF(AND(B324="AIR",G324&lt;&gt;C324),"AIR context mismatch",IF(AND(B324="AIR",E324="AIR",C324=F324),"Self-dependency",IF(AND(B324="AIR",E324="AIR",M324&lt;&gt;"Superseded",COUNTIFS($B$4:$B$1003,"AIR",$C$4:$C$1003,F324,$E$4:$E$1003,"AIR",$F$4:$F$1003,C324,$M$4:$M$1003,"&lt;&gt;Superseded")&gt;0),"Dependency cycle (A↔B) — review",IF(AND(B324="AIR",OR(E324="MOD",E324="DATA",E324="IF",E324="AG",E324="TOOL"),IFERROR(INDEX(Components!$G$4:$G$253,MATCH(F324,Components!$A$4:$A$253,0)),"")&lt;&gt;"",IFERROR(INDEX(Components!$G$4:$G$253,MATCH(F324,Components!$A$4:$A$253,0)),"")&lt;&gt;C324),"Component owned by another AIR-ID",IF(AND(M324="Confirmed",OR(IF(B324="UC",COUNTIFS('Use cases'!$A$4:$A$253,C324,'Use cases'!$I$4:$I$253,"Confirmed",'Use cases'!$J$4:$J$253,"OK — verify source"),IF(B324="CAP",COUNTIFS(Capabilities!$A$4:$A$253,C324,Capabilities!$J$4:$J$253,"Confirmed",Capabilities!$K$4:$K$253,"OK — verify source"),IF(B324="AIR",COUNTIFS('System map'!$A$4:$A$203,C324,'System map'!$B$4:$B$203,"&lt;&gt;",'System map'!$C$4:$C$203,"&lt;&gt;",'System map'!$D$4:$D$203,"&lt;&gt;"),COUNTIFS(Components!$A$4:$A$253,C324,Components!$B$4:$B$253,B324,Components!$K$4:$K$253,"Confirmed",Components!$L$4:$L$253,"OK — verify source"))))&lt;&gt;1,IF(E324="UC",COUNTIFS('Use cases'!$A$4:$A$253,F324,'Use cases'!$I$4:$I$253,"Confirmed",'Use cases'!$J$4:$J$253,"OK — verify source"),IF(E324="CAP",COUNTIFS(Capabilities!$A$4:$A$253,F324,Capabilities!$J$4:$J$253,"Confirmed",Capabilities!$K$4:$K$253,"OK — verify source"),IF(E324="AIR",COUNTIFS('System map'!$A$4:$A$203,F324,'System map'!$B$4:$B$203,"&lt;&gt;",'System map'!$C$4:$C$203,"&lt;&gt;",'System map'!$D$4:$D$203,"&lt;&gt;"),COUNTIFS(Components!$A$4:$A$253,F324,Components!$B$4:$B$253,E324,Components!$K$4:$K$253,"Confirmed",Components!$L$4:$L$253,"OK — verify source"))))&lt;&gt;1)),"Endpoint not source-reconciled",IF(AND(M324="Confirmed",OR(L324="",K324="",K324="Unknown",K324="Low")),"Confirmed link lacks verification","OK — verify source"))))))))))))))</f>
        <v/>
      </c>
    </row>
    <row r="325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8" t="n"/>
      <c r="M325" s="27" t="n"/>
      <c r="N325" s="27">
        <f>IF(COUNTA(A325:M325)=0,"",IF(OR(A325="",B325="",C325="",D325="",E325="",F325="",I325="",J325="",K325="",M325=""),"Required link detail missing",IF(COUNTIF($A$4:$A$1003,A325)&gt;1,"Duplicate Map Edge ID",IF(NOT(OR(AND(B325="UC",E325="CAP",D325="requires"),AND(B325="CAP",E325="AIR",D325="provided by"),AND(B325="AIR",OR(E325="MOD",E325="DATA",E325="IF",E325="AG",E325="TOOL"),D325="references"),AND(B325="AIR",E325="AIR",D325="depends on"))),"Invalid relationship",IF(AND(M325&lt;&gt;"Superseded",COUNTIFS($B$4:$B$1003,B325,$C$4:$C$1003,C325,$D$4:$D$1003,D325,$E$4:$E$1003,E325,$F$4:$F$1003,F325,$G$4:$G$1003,G325,$M$4:$M$1003,"&lt;&gt;Superseded")&gt;1),"Duplicate relationship",IF(OR(IF(B325="UC",COUNTIF('Use cases'!$A$4:$A$253,C325),IF(B325="CAP",COUNTIF(Capabilities!$A$4:$A$253,C325),IF(B325="AIR",COUNTIF('System map'!$A$4:$A$203,C325),COUNTIFS(Components!$A$4:$A$253,C325,Components!$B$4:$B$253,B325))))&lt;&gt;1,IF(E325="UC",COUNTIF('Use cases'!$A$4:$A$253,F325),IF(E325="CAP",COUNTIF(Capabilities!$A$4:$A$253,F325),IF(E325="AIR",COUNTIF('System map'!$A$4:$A$203,F325),COUNTIFS(Components!$A$4:$A$253,F325,Components!$B$4:$B$253,E325))))&lt;&gt;1),"Endpoint missing or duplicated",IF(AND(NOT(AND(B325="UC",E325="CAP")),OR(G325="",COUNTIF('System map'!$A$4:$A$203,G325)&lt;&gt;1)),"AIR context missing / unknown",IF(AND(B325="CAP",E325="AIR",G325&lt;&gt;F325),"AIR context mismatch",IF(AND(B325="AIR",G325&lt;&gt;C325),"AIR context mismatch",IF(AND(B325="AIR",E325="AIR",C325=F325),"Self-dependency",IF(AND(B325="AIR",E325="AIR",M325&lt;&gt;"Superseded",COUNTIFS($B$4:$B$1003,"AIR",$C$4:$C$1003,F325,$E$4:$E$1003,"AIR",$F$4:$F$1003,C325,$M$4:$M$1003,"&lt;&gt;Superseded")&gt;0),"Dependency cycle (A↔B) — review",IF(AND(B325="AIR",OR(E325="MOD",E325="DATA",E325="IF",E325="AG",E325="TOOL"),IFERROR(INDEX(Components!$G$4:$G$253,MATCH(F325,Components!$A$4:$A$253,0)),"")&lt;&gt;"",IFERROR(INDEX(Components!$G$4:$G$253,MATCH(F325,Components!$A$4:$A$253,0)),"")&lt;&gt;C325),"Component owned by another AIR-ID",IF(AND(M325="Confirmed",OR(IF(B325="UC",COUNTIFS('Use cases'!$A$4:$A$253,C325,'Use cases'!$I$4:$I$253,"Confirmed",'Use cases'!$J$4:$J$253,"OK — verify source"),IF(B325="CAP",COUNTIFS(Capabilities!$A$4:$A$253,C325,Capabilities!$J$4:$J$253,"Confirmed",Capabilities!$K$4:$K$253,"OK — verify source"),IF(B325="AIR",COUNTIFS('System map'!$A$4:$A$203,C325,'System map'!$B$4:$B$203,"&lt;&gt;",'System map'!$C$4:$C$203,"&lt;&gt;",'System map'!$D$4:$D$203,"&lt;&gt;"),COUNTIFS(Components!$A$4:$A$253,C325,Components!$B$4:$B$253,B325,Components!$K$4:$K$253,"Confirmed",Components!$L$4:$L$253,"OK — verify source"))))&lt;&gt;1,IF(E325="UC",COUNTIFS('Use cases'!$A$4:$A$253,F325,'Use cases'!$I$4:$I$253,"Confirmed",'Use cases'!$J$4:$J$253,"OK — verify source"),IF(E325="CAP",COUNTIFS(Capabilities!$A$4:$A$253,F325,Capabilities!$J$4:$J$253,"Confirmed",Capabilities!$K$4:$K$253,"OK — verify source"),IF(E325="AIR",COUNTIFS('System map'!$A$4:$A$203,F325,'System map'!$B$4:$B$203,"&lt;&gt;",'System map'!$C$4:$C$203,"&lt;&gt;",'System map'!$D$4:$D$203,"&lt;&gt;"),COUNTIFS(Components!$A$4:$A$253,F325,Components!$B$4:$B$253,E325,Components!$K$4:$K$253,"Confirmed",Components!$L$4:$L$253,"OK — verify source"))))&lt;&gt;1)),"Endpoint not source-reconciled",IF(AND(M325="Confirmed",OR(L325="",K325="",K325="Unknown",K325="Low")),"Confirmed link lacks verification","OK — verify source"))))))))))))))</f>
        <v/>
      </c>
    </row>
    <row r="326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6" t="n"/>
      <c r="M326" s="25" t="n"/>
      <c r="N326" s="25">
        <f>IF(COUNTA(A326:M326)=0,"",IF(OR(A326="",B326="",C326="",D326="",E326="",F326="",I326="",J326="",K326="",M326=""),"Required link detail missing",IF(COUNTIF($A$4:$A$1003,A326)&gt;1,"Duplicate Map Edge ID",IF(NOT(OR(AND(B326="UC",E326="CAP",D326="requires"),AND(B326="CAP",E326="AIR",D326="provided by"),AND(B326="AIR",OR(E326="MOD",E326="DATA",E326="IF",E326="AG",E326="TOOL"),D326="references"),AND(B326="AIR",E326="AIR",D326="depends on"))),"Invalid relationship",IF(AND(M326&lt;&gt;"Superseded",COUNTIFS($B$4:$B$1003,B326,$C$4:$C$1003,C326,$D$4:$D$1003,D326,$E$4:$E$1003,E326,$F$4:$F$1003,F326,$G$4:$G$1003,G326,$M$4:$M$1003,"&lt;&gt;Superseded")&gt;1),"Duplicate relationship",IF(OR(IF(B326="UC",COUNTIF('Use cases'!$A$4:$A$253,C326),IF(B326="CAP",COUNTIF(Capabilities!$A$4:$A$253,C326),IF(B326="AIR",COUNTIF('System map'!$A$4:$A$203,C326),COUNTIFS(Components!$A$4:$A$253,C326,Components!$B$4:$B$253,B326))))&lt;&gt;1,IF(E326="UC",COUNTIF('Use cases'!$A$4:$A$253,F326),IF(E326="CAP",COUNTIF(Capabilities!$A$4:$A$253,F326),IF(E326="AIR",COUNTIF('System map'!$A$4:$A$203,F326),COUNTIFS(Components!$A$4:$A$253,F326,Components!$B$4:$B$253,E326))))&lt;&gt;1),"Endpoint missing or duplicated",IF(AND(NOT(AND(B326="UC",E326="CAP")),OR(G326="",COUNTIF('System map'!$A$4:$A$203,G326)&lt;&gt;1)),"AIR context missing / unknown",IF(AND(B326="CAP",E326="AIR",G326&lt;&gt;F326),"AIR context mismatch",IF(AND(B326="AIR",G326&lt;&gt;C326),"AIR context mismatch",IF(AND(B326="AIR",E326="AIR",C326=F326),"Self-dependency",IF(AND(B326="AIR",E326="AIR",M326&lt;&gt;"Superseded",COUNTIFS($B$4:$B$1003,"AIR",$C$4:$C$1003,F326,$E$4:$E$1003,"AIR",$F$4:$F$1003,C326,$M$4:$M$1003,"&lt;&gt;Superseded")&gt;0),"Dependency cycle (A↔B) — review",IF(AND(B326="AIR",OR(E326="MOD",E326="DATA",E326="IF",E326="AG",E326="TOOL"),IFERROR(INDEX(Components!$G$4:$G$253,MATCH(F326,Components!$A$4:$A$253,0)),"")&lt;&gt;"",IFERROR(INDEX(Components!$G$4:$G$253,MATCH(F326,Components!$A$4:$A$253,0)),"")&lt;&gt;C326),"Component owned by another AIR-ID",IF(AND(M326="Confirmed",OR(IF(B326="UC",COUNTIFS('Use cases'!$A$4:$A$253,C326,'Use cases'!$I$4:$I$253,"Confirmed",'Use cases'!$J$4:$J$253,"OK — verify source"),IF(B326="CAP",COUNTIFS(Capabilities!$A$4:$A$253,C326,Capabilities!$J$4:$J$253,"Confirmed",Capabilities!$K$4:$K$253,"OK — verify source"),IF(B326="AIR",COUNTIFS('System map'!$A$4:$A$203,C326,'System map'!$B$4:$B$203,"&lt;&gt;",'System map'!$C$4:$C$203,"&lt;&gt;",'System map'!$D$4:$D$203,"&lt;&gt;"),COUNTIFS(Components!$A$4:$A$253,C326,Components!$B$4:$B$253,B326,Components!$K$4:$K$253,"Confirmed",Components!$L$4:$L$253,"OK — verify source"))))&lt;&gt;1,IF(E326="UC",COUNTIFS('Use cases'!$A$4:$A$253,F326,'Use cases'!$I$4:$I$253,"Confirmed",'Use cases'!$J$4:$J$253,"OK — verify source"),IF(E326="CAP",COUNTIFS(Capabilities!$A$4:$A$253,F326,Capabilities!$J$4:$J$253,"Confirmed",Capabilities!$K$4:$K$253,"OK — verify source"),IF(E326="AIR",COUNTIFS('System map'!$A$4:$A$203,F326,'System map'!$B$4:$B$203,"&lt;&gt;",'System map'!$C$4:$C$203,"&lt;&gt;",'System map'!$D$4:$D$203,"&lt;&gt;"),COUNTIFS(Components!$A$4:$A$253,F326,Components!$B$4:$B$253,E326,Components!$K$4:$K$253,"Confirmed",Components!$L$4:$L$253,"OK — verify source"))))&lt;&gt;1)),"Endpoint not source-reconciled",IF(AND(M326="Confirmed",OR(L326="",K326="",K326="Unknown",K326="Low")),"Confirmed link lacks verification","OK — verify source"))))))))))))))</f>
        <v/>
      </c>
    </row>
    <row r="327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8" t="n"/>
      <c r="M327" s="27" t="n"/>
      <c r="N327" s="27">
        <f>IF(COUNTA(A327:M327)=0,"",IF(OR(A327="",B327="",C327="",D327="",E327="",F327="",I327="",J327="",K327="",M327=""),"Required link detail missing",IF(COUNTIF($A$4:$A$1003,A327)&gt;1,"Duplicate Map Edge ID",IF(NOT(OR(AND(B327="UC",E327="CAP",D327="requires"),AND(B327="CAP",E327="AIR",D327="provided by"),AND(B327="AIR",OR(E327="MOD",E327="DATA",E327="IF",E327="AG",E327="TOOL"),D327="references"),AND(B327="AIR",E327="AIR",D327="depends on"))),"Invalid relationship",IF(AND(M327&lt;&gt;"Superseded",COUNTIFS($B$4:$B$1003,B327,$C$4:$C$1003,C327,$D$4:$D$1003,D327,$E$4:$E$1003,E327,$F$4:$F$1003,F327,$G$4:$G$1003,G327,$M$4:$M$1003,"&lt;&gt;Superseded")&gt;1),"Duplicate relationship",IF(OR(IF(B327="UC",COUNTIF('Use cases'!$A$4:$A$253,C327),IF(B327="CAP",COUNTIF(Capabilities!$A$4:$A$253,C327),IF(B327="AIR",COUNTIF('System map'!$A$4:$A$203,C327),COUNTIFS(Components!$A$4:$A$253,C327,Components!$B$4:$B$253,B327))))&lt;&gt;1,IF(E327="UC",COUNTIF('Use cases'!$A$4:$A$253,F327),IF(E327="CAP",COUNTIF(Capabilities!$A$4:$A$253,F327),IF(E327="AIR",COUNTIF('System map'!$A$4:$A$203,F327),COUNTIFS(Components!$A$4:$A$253,F327,Components!$B$4:$B$253,E327))))&lt;&gt;1),"Endpoint missing or duplicated",IF(AND(NOT(AND(B327="UC",E327="CAP")),OR(G327="",COUNTIF('System map'!$A$4:$A$203,G327)&lt;&gt;1)),"AIR context missing / unknown",IF(AND(B327="CAP",E327="AIR",G327&lt;&gt;F327),"AIR context mismatch",IF(AND(B327="AIR",G327&lt;&gt;C327),"AIR context mismatch",IF(AND(B327="AIR",E327="AIR",C327=F327),"Self-dependency",IF(AND(B327="AIR",E327="AIR",M327&lt;&gt;"Superseded",COUNTIFS($B$4:$B$1003,"AIR",$C$4:$C$1003,F327,$E$4:$E$1003,"AIR",$F$4:$F$1003,C327,$M$4:$M$1003,"&lt;&gt;Superseded")&gt;0),"Dependency cycle (A↔B) — review",IF(AND(B327="AIR",OR(E327="MOD",E327="DATA",E327="IF",E327="AG",E327="TOOL"),IFERROR(INDEX(Components!$G$4:$G$253,MATCH(F327,Components!$A$4:$A$253,0)),"")&lt;&gt;"",IFERROR(INDEX(Components!$G$4:$G$253,MATCH(F327,Components!$A$4:$A$253,0)),"")&lt;&gt;C327),"Component owned by another AIR-ID",IF(AND(M327="Confirmed",OR(IF(B327="UC",COUNTIFS('Use cases'!$A$4:$A$253,C327,'Use cases'!$I$4:$I$253,"Confirmed",'Use cases'!$J$4:$J$253,"OK — verify source"),IF(B327="CAP",COUNTIFS(Capabilities!$A$4:$A$253,C327,Capabilities!$J$4:$J$253,"Confirmed",Capabilities!$K$4:$K$253,"OK — verify source"),IF(B327="AIR",COUNTIFS('System map'!$A$4:$A$203,C327,'System map'!$B$4:$B$203,"&lt;&gt;",'System map'!$C$4:$C$203,"&lt;&gt;",'System map'!$D$4:$D$203,"&lt;&gt;"),COUNTIFS(Components!$A$4:$A$253,C327,Components!$B$4:$B$253,B327,Components!$K$4:$K$253,"Confirmed",Components!$L$4:$L$253,"OK — verify source"))))&lt;&gt;1,IF(E327="UC",COUNTIFS('Use cases'!$A$4:$A$253,F327,'Use cases'!$I$4:$I$253,"Confirmed",'Use cases'!$J$4:$J$253,"OK — verify source"),IF(E327="CAP",COUNTIFS(Capabilities!$A$4:$A$253,F327,Capabilities!$J$4:$J$253,"Confirmed",Capabilities!$K$4:$K$253,"OK — verify source"),IF(E327="AIR",COUNTIFS('System map'!$A$4:$A$203,F327,'System map'!$B$4:$B$203,"&lt;&gt;",'System map'!$C$4:$C$203,"&lt;&gt;",'System map'!$D$4:$D$203,"&lt;&gt;"),COUNTIFS(Components!$A$4:$A$253,F327,Components!$B$4:$B$253,E327,Components!$K$4:$K$253,"Confirmed",Components!$L$4:$L$253,"OK — verify source"))))&lt;&gt;1)),"Endpoint not source-reconciled",IF(AND(M327="Confirmed",OR(L327="",K327="",K327="Unknown",K327="Low")),"Confirmed link lacks verification","OK — verify source"))))))))))))))</f>
        <v/>
      </c>
    </row>
    <row r="328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6" t="n"/>
      <c r="M328" s="25" t="n"/>
      <c r="N328" s="25">
        <f>IF(COUNTA(A328:M328)=0,"",IF(OR(A328="",B328="",C328="",D328="",E328="",F328="",I328="",J328="",K328="",M328=""),"Required link detail missing",IF(COUNTIF($A$4:$A$1003,A328)&gt;1,"Duplicate Map Edge ID",IF(NOT(OR(AND(B328="UC",E328="CAP",D328="requires"),AND(B328="CAP",E328="AIR",D328="provided by"),AND(B328="AIR",OR(E328="MOD",E328="DATA",E328="IF",E328="AG",E328="TOOL"),D328="references"),AND(B328="AIR",E328="AIR",D328="depends on"))),"Invalid relationship",IF(AND(M328&lt;&gt;"Superseded",COUNTIFS($B$4:$B$1003,B328,$C$4:$C$1003,C328,$D$4:$D$1003,D328,$E$4:$E$1003,E328,$F$4:$F$1003,F328,$G$4:$G$1003,G328,$M$4:$M$1003,"&lt;&gt;Superseded")&gt;1),"Duplicate relationship",IF(OR(IF(B328="UC",COUNTIF('Use cases'!$A$4:$A$253,C328),IF(B328="CAP",COUNTIF(Capabilities!$A$4:$A$253,C328),IF(B328="AIR",COUNTIF('System map'!$A$4:$A$203,C328),COUNTIFS(Components!$A$4:$A$253,C328,Components!$B$4:$B$253,B328))))&lt;&gt;1,IF(E328="UC",COUNTIF('Use cases'!$A$4:$A$253,F328),IF(E328="CAP",COUNTIF(Capabilities!$A$4:$A$253,F328),IF(E328="AIR",COUNTIF('System map'!$A$4:$A$203,F328),COUNTIFS(Components!$A$4:$A$253,F328,Components!$B$4:$B$253,E328))))&lt;&gt;1),"Endpoint missing or duplicated",IF(AND(NOT(AND(B328="UC",E328="CAP")),OR(G328="",COUNTIF('System map'!$A$4:$A$203,G328)&lt;&gt;1)),"AIR context missing / unknown",IF(AND(B328="CAP",E328="AIR",G328&lt;&gt;F328),"AIR context mismatch",IF(AND(B328="AIR",G328&lt;&gt;C328),"AIR context mismatch",IF(AND(B328="AIR",E328="AIR",C328=F328),"Self-dependency",IF(AND(B328="AIR",E328="AIR",M328&lt;&gt;"Superseded",COUNTIFS($B$4:$B$1003,"AIR",$C$4:$C$1003,F328,$E$4:$E$1003,"AIR",$F$4:$F$1003,C328,$M$4:$M$1003,"&lt;&gt;Superseded")&gt;0),"Dependency cycle (A↔B) — review",IF(AND(B328="AIR",OR(E328="MOD",E328="DATA",E328="IF",E328="AG",E328="TOOL"),IFERROR(INDEX(Components!$G$4:$G$253,MATCH(F328,Components!$A$4:$A$253,0)),"")&lt;&gt;"",IFERROR(INDEX(Components!$G$4:$G$253,MATCH(F328,Components!$A$4:$A$253,0)),"")&lt;&gt;C328),"Component owned by another AIR-ID",IF(AND(M328="Confirmed",OR(IF(B328="UC",COUNTIFS('Use cases'!$A$4:$A$253,C328,'Use cases'!$I$4:$I$253,"Confirmed",'Use cases'!$J$4:$J$253,"OK — verify source"),IF(B328="CAP",COUNTIFS(Capabilities!$A$4:$A$253,C328,Capabilities!$J$4:$J$253,"Confirmed",Capabilities!$K$4:$K$253,"OK — verify source"),IF(B328="AIR",COUNTIFS('System map'!$A$4:$A$203,C328,'System map'!$B$4:$B$203,"&lt;&gt;",'System map'!$C$4:$C$203,"&lt;&gt;",'System map'!$D$4:$D$203,"&lt;&gt;"),COUNTIFS(Components!$A$4:$A$253,C328,Components!$B$4:$B$253,B328,Components!$K$4:$K$253,"Confirmed",Components!$L$4:$L$253,"OK — verify source"))))&lt;&gt;1,IF(E328="UC",COUNTIFS('Use cases'!$A$4:$A$253,F328,'Use cases'!$I$4:$I$253,"Confirmed",'Use cases'!$J$4:$J$253,"OK — verify source"),IF(E328="CAP",COUNTIFS(Capabilities!$A$4:$A$253,F328,Capabilities!$J$4:$J$253,"Confirmed",Capabilities!$K$4:$K$253,"OK — verify source"),IF(E328="AIR",COUNTIFS('System map'!$A$4:$A$203,F328,'System map'!$B$4:$B$203,"&lt;&gt;",'System map'!$C$4:$C$203,"&lt;&gt;",'System map'!$D$4:$D$203,"&lt;&gt;"),COUNTIFS(Components!$A$4:$A$253,F328,Components!$B$4:$B$253,E328,Components!$K$4:$K$253,"Confirmed",Components!$L$4:$L$253,"OK — verify source"))))&lt;&gt;1)),"Endpoint not source-reconciled",IF(AND(M328="Confirmed",OR(L328="",K328="",K328="Unknown",K328="Low")),"Confirmed link lacks verification","OK — verify source"))))))))))))))</f>
        <v/>
      </c>
    </row>
    <row r="329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8" t="n"/>
      <c r="M329" s="27" t="n"/>
      <c r="N329" s="27">
        <f>IF(COUNTA(A329:M329)=0,"",IF(OR(A329="",B329="",C329="",D329="",E329="",F329="",I329="",J329="",K329="",M329=""),"Required link detail missing",IF(COUNTIF($A$4:$A$1003,A329)&gt;1,"Duplicate Map Edge ID",IF(NOT(OR(AND(B329="UC",E329="CAP",D329="requires"),AND(B329="CAP",E329="AIR",D329="provided by"),AND(B329="AIR",OR(E329="MOD",E329="DATA",E329="IF",E329="AG",E329="TOOL"),D329="references"),AND(B329="AIR",E329="AIR",D329="depends on"))),"Invalid relationship",IF(AND(M329&lt;&gt;"Superseded",COUNTIFS($B$4:$B$1003,B329,$C$4:$C$1003,C329,$D$4:$D$1003,D329,$E$4:$E$1003,E329,$F$4:$F$1003,F329,$G$4:$G$1003,G329,$M$4:$M$1003,"&lt;&gt;Superseded")&gt;1),"Duplicate relationship",IF(OR(IF(B329="UC",COUNTIF('Use cases'!$A$4:$A$253,C329),IF(B329="CAP",COUNTIF(Capabilities!$A$4:$A$253,C329),IF(B329="AIR",COUNTIF('System map'!$A$4:$A$203,C329),COUNTIFS(Components!$A$4:$A$253,C329,Components!$B$4:$B$253,B329))))&lt;&gt;1,IF(E329="UC",COUNTIF('Use cases'!$A$4:$A$253,F329),IF(E329="CAP",COUNTIF(Capabilities!$A$4:$A$253,F329),IF(E329="AIR",COUNTIF('System map'!$A$4:$A$203,F329),COUNTIFS(Components!$A$4:$A$253,F329,Components!$B$4:$B$253,E329))))&lt;&gt;1),"Endpoint missing or duplicated",IF(AND(NOT(AND(B329="UC",E329="CAP")),OR(G329="",COUNTIF('System map'!$A$4:$A$203,G329)&lt;&gt;1)),"AIR context missing / unknown",IF(AND(B329="CAP",E329="AIR",G329&lt;&gt;F329),"AIR context mismatch",IF(AND(B329="AIR",G329&lt;&gt;C329),"AIR context mismatch",IF(AND(B329="AIR",E329="AIR",C329=F329),"Self-dependency",IF(AND(B329="AIR",E329="AIR",M329&lt;&gt;"Superseded",COUNTIFS($B$4:$B$1003,"AIR",$C$4:$C$1003,F329,$E$4:$E$1003,"AIR",$F$4:$F$1003,C329,$M$4:$M$1003,"&lt;&gt;Superseded")&gt;0),"Dependency cycle (A↔B) — review",IF(AND(B329="AIR",OR(E329="MOD",E329="DATA",E329="IF",E329="AG",E329="TOOL"),IFERROR(INDEX(Components!$G$4:$G$253,MATCH(F329,Components!$A$4:$A$253,0)),"")&lt;&gt;"",IFERROR(INDEX(Components!$G$4:$G$253,MATCH(F329,Components!$A$4:$A$253,0)),"")&lt;&gt;C329),"Component owned by another AIR-ID",IF(AND(M329="Confirmed",OR(IF(B329="UC",COUNTIFS('Use cases'!$A$4:$A$253,C329,'Use cases'!$I$4:$I$253,"Confirmed",'Use cases'!$J$4:$J$253,"OK — verify source"),IF(B329="CAP",COUNTIFS(Capabilities!$A$4:$A$253,C329,Capabilities!$J$4:$J$253,"Confirmed",Capabilities!$K$4:$K$253,"OK — verify source"),IF(B329="AIR",COUNTIFS('System map'!$A$4:$A$203,C329,'System map'!$B$4:$B$203,"&lt;&gt;",'System map'!$C$4:$C$203,"&lt;&gt;",'System map'!$D$4:$D$203,"&lt;&gt;"),COUNTIFS(Components!$A$4:$A$253,C329,Components!$B$4:$B$253,B329,Components!$K$4:$K$253,"Confirmed",Components!$L$4:$L$253,"OK — verify source"))))&lt;&gt;1,IF(E329="UC",COUNTIFS('Use cases'!$A$4:$A$253,F329,'Use cases'!$I$4:$I$253,"Confirmed",'Use cases'!$J$4:$J$253,"OK — verify source"),IF(E329="CAP",COUNTIFS(Capabilities!$A$4:$A$253,F329,Capabilities!$J$4:$J$253,"Confirmed",Capabilities!$K$4:$K$253,"OK — verify source"),IF(E329="AIR",COUNTIFS('System map'!$A$4:$A$203,F329,'System map'!$B$4:$B$203,"&lt;&gt;",'System map'!$C$4:$C$203,"&lt;&gt;",'System map'!$D$4:$D$203,"&lt;&gt;"),COUNTIFS(Components!$A$4:$A$253,F329,Components!$B$4:$B$253,E329,Components!$K$4:$K$253,"Confirmed",Components!$L$4:$L$253,"OK — verify source"))))&lt;&gt;1)),"Endpoint not source-reconciled",IF(AND(M329="Confirmed",OR(L329="",K329="",K329="Unknown",K329="Low")),"Confirmed link lacks verification","OK — verify source"))))))))))))))</f>
        <v/>
      </c>
    </row>
    <row r="330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6" t="n"/>
      <c r="M330" s="25" t="n"/>
      <c r="N330" s="25">
        <f>IF(COUNTA(A330:M330)=0,"",IF(OR(A330="",B330="",C330="",D330="",E330="",F330="",I330="",J330="",K330="",M330=""),"Required link detail missing",IF(COUNTIF($A$4:$A$1003,A330)&gt;1,"Duplicate Map Edge ID",IF(NOT(OR(AND(B330="UC",E330="CAP",D330="requires"),AND(B330="CAP",E330="AIR",D330="provided by"),AND(B330="AIR",OR(E330="MOD",E330="DATA",E330="IF",E330="AG",E330="TOOL"),D330="references"),AND(B330="AIR",E330="AIR",D330="depends on"))),"Invalid relationship",IF(AND(M330&lt;&gt;"Superseded",COUNTIFS($B$4:$B$1003,B330,$C$4:$C$1003,C330,$D$4:$D$1003,D330,$E$4:$E$1003,E330,$F$4:$F$1003,F330,$G$4:$G$1003,G330,$M$4:$M$1003,"&lt;&gt;Superseded")&gt;1),"Duplicate relationship",IF(OR(IF(B330="UC",COUNTIF('Use cases'!$A$4:$A$253,C330),IF(B330="CAP",COUNTIF(Capabilities!$A$4:$A$253,C330),IF(B330="AIR",COUNTIF('System map'!$A$4:$A$203,C330),COUNTIFS(Components!$A$4:$A$253,C330,Components!$B$4:$B$253,B330))))&lt;&gt;1,IF(E330="UC",COUNTIF('Use cases'!$A$4:$A$253,F330),IF(E330="CAP",COUNTIF(Capabilities!$A$4:$A$253,F330),IF(E330="AIR",COUNTIF('System map'!$A$4:$A$203,F330),COUNTIFS(Components!$A$4:$A$253,F330,Components!$B$4:$B$253,E330))))&lt;&gt;1),"Endpoint missing or duplicated",IF(AND(NOT(AND(B330="UC",E330="CAP")),OR(G330="",COUNTIF('System map'!$A$4:$A$203,G330)&lt;&gt;1)),"AIR context missing / unknown",IF(AND(B330="CAP",E330="AIR",G330&lt;&gt;F330),"AIR context mismatch",IF(AND(B330="AIR",G330&lt;&gt;C330),"AIR context mismatch",IF(AND(B330="AIR",E330="AIR",C330=F330),"Self-dependency",IF(AND(B330="AIR",E330="AIR",M330&lt;&gt;"Superseded",COUNTIFS($B$4:$B$1003,"AIR",$C$4:$C$1003,F330,$E$4:$E$1003,"AIR",$F$4:$F$1003,C330,$M$4:$M$1003,"&lt;&gt;Superseded")&gt;0),"Dependency cycle (A↔B) — review",IF(AND(B330="AIR",OR(E330="MOD",E330="DATA",E330="IF",E330="AG",E330="TOOL"),IFERROR(INDEX(Components!$G$4:$G$253,MATCH(F330,Components!$A$4:$A$253,0)),"")&lt;&gt;"",IFERROR(INDEX(Components!$G$4:$G$253,MATCH(F330,Components!$A$4:$A$253,0)),"")&lt;&gt;C330),"Component owned by another AIR-ID",IF(AND(M330="Confirmed",OR(IF(B330="UC",COUNTIFS('Use cases'!$A$4:$A$253,C330,'Use cases'!$I$4:$I$253,"Confirmed",'Use cases'!$J$4:$J$253,"OK — verify source"),IF(B330="CAP",COUNTIFS(Capabilities!$A$4:$A$253,C330,Capabilities!$J$4:$J$253,"Confirmed",Capabilities!$K$4:$K$253,"OK — verify source"),IF(B330="AIR",COUNTIFS('System map'!$A$4:$A$203,C330,'System map'!$B$4:$B$203,"&lt;&gt;",'System map'!$C$4:$C$203,"&lt;&gt;",'System map'!$D$4:$D$203,"&lt;&gt;"),COUNTIFS(Components!$A$4:$A$253,C330,Components!$B$4:$B$253,B330,Components!$K$4:$K$253,"Confirmed",Components!$L$4:$L$253,"OK — verify source"))))&lt;&gt;1,IF(E330="UC",COUNTIFS('Use cases'!$A$4:$A$253,F330,'Use cases'!$I$4:$I$253,"Confirmed",'Use cases'!$J$4:$J$253,"OK — verify source"),IF(E330="CAP",COUNTIFS(Capabilities!$A$4:$A$253,F330,Capabilities!$J$4:$J$253,"Confirmed",Capabilities!$K$4:$K$253,"OK — verify source"),IF(E330="AIR",COUNTIFS('System map'!$A$4:$A$203,F330,'System map'!$B$4:$B$203,"&lt;&gt;",'System map'!$C$4:$C$203,"&lt;&gt;",'System map'!$D$4:$D$203,"&lt;&gt;"),COUNTIFS(Components!$A$4:$A$253,F330,Components!$B$4:$B$253,E330,Components!$K$4:$K$253,"Confirmed",Components!$L$4:$L$253,"OK — verify source"))))&lt;&gt;1)),"Endpoint not source-reconciled",IF(AND(M330="Confirmed",OR(L330="",K330="",K330="Unknown",K330="Low")),"Confirmed link lacks verification","OK — verify source"))))))))))))))</f>
        <v/>
      </c>
    </row>
    <row r="331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8" t="n"/>
      <c r="M331" s="27" t="n"/>
      <c r="N331" s="27">
        <f>IF(COUNTA(A331:M331)=0,"",IF(OR(A331="",B331="",C331="",D331="",E331="",F331="",I331="",J331="",K331="",M331=""),"Required link detail missing",IF(COUNTIF($A$4:$A$1003,A331)&gt;1,"Duplicate Map Edge ID",IF(NOT(OR(AND(B331="UC",E331="CAP",D331="requires"),AND(B331="CAP",E331="AIR",D331="provided by"),AND(B331="AIR",OR(E331="MOD",E331="DATA",E331="IF",E331="AG",E331="TOOL"),D331="references"),AND(B331="AIR",E331="AIR",D331="depends on"))),"Invalid relationship",IF(AND(M331&lt;&gt;"Superseded",COUNTIFS($B$4:$B$1003,B331,$C$4:$C$1003,C331,$D$4:$D$1003,D331,$E$4:$E$1003,E331,$F$4:$F$1003,F331,$G$4:$G$1003,G331,$M$4:$M$1003,"&lt;&gt;Superseded")&gt;1),"Duplicate relationship",IF(OR(IF(B331="UC",COUNTIF('Use cases'!$A$4:$A$253,C331),IF(B331="CAP",COUNTIF(Capabilities!$A$4:$A$253,C331),IF(B331="AIR",COUNTIF('System map'!$A$4:$A$203,C331),COUNTIFS(Components!$A$4:$A$253,C331,Components!$B$4:$B$253,B331))))&lt;&gt;1,IF(E331="UC",COUNTIF('Use cases'!$A$4:$A$253,F331),IF(E331="CAP",COUNTIF(Capabilities!$A$4:$A$253,F331),IF(E331="AIR",COUNTIF('System map'!$A$4:$A$203,F331),COUNTIFS(Components!$A$4:$A$253,F331,Components!$B$4:$B$253,E331))))&lt;&gt;1),"Endpoint missing or duplicated",IF(AND(NOT(AND(B331="UC",E331="CAP")),OR(G331="",COUNTIF('System map'!$A$4:$A$203,G331)&lt;&gt;1)),"AIR context missing / unknown",IF(AND(B331="CAP",E331="AIR",G331&lt;&gt;F331),"AIR context mismatch",IF(AND(B331="AIR",G331&lt;&gt;C331),"AIR context mismatch",IF(AND(B331="AIR",E331="AIR",C331=F331),"Self-dependency",IF(AND(B331="AIR",E331="AIR",M331&lt;&gt;"Superseded",COUNTIFS($B$4:$B$1003,"AIR",$C$4:$C$1003,F331,$E$4:$E$1003,"AIR",$F$4:$F$1003,C331,$M$4:$M$1003,"&lt;&gt;Superseded")&gt;0),"Dependency cycle (A↔B) — review",IF(AND(B331="AIR",OR(E331="MOD",E331="DATA",E331="IF",E331="AG",E331="TOOL"),IFERROR(INDEX(Components!$G$4:$G$253,MATCH(F331,Components!$A$4:$A$253,0)),"")&lt;&gt;"",IFERROR(INDEX(Components!$G$4:$G$253,MATCH(F331,Components!$A$4:$A$253,0)),"")&lt;&gt;C331),"Component owned by another AIR-ID",IF(AND(M331="Confirmed",OR(IF(B331="UC",COUNTIFS('Use cases'!$A$4:$A$253,C331,'Use cases'!$I$4:$I$253,"Confirmed",'Use cases'!$J$4:$J$253,"OK — verify source"),IF(B331="CAP",COUNTIFS(Capabilities!$A$4:$A$253,C331,Capabilities!$J$4:$J$253,"Confirmed",Capabilities!$K$4:$K$253,"OK — verify source"),IF(B331="AIR",COUNTIFS('System map'!$A$4:$A$203,C331,'System map'!$B$4:$B$203,"&lt;&gt;",'System map'!$C$4:$C$203,"&lt;&gt;",'System map'!$D$4:$D$203,"&lt;&gt;"),COUNTIFS(Components!$A$4:$A$253,C331,Components!$B$4:$B$253,B331,Components!$K$4:$K$253,"Confirmed",Components!$L$4:$L$253,"OK — verify source"))))&lt;&gt;1,IF(E331="UC",COUNTIFS('Use cases'!$A$4:$A$253,F331,'Use cases'!$I$4:$I$253,"Confirmed",'Use cases'!$J$4:$J$253,"OK — verify source"),IF(E331="CAP",COUNTIFS(Capabilities!$A$4:$A$253,F331,Capabilities!$J$4:$J$253,"Confirmed",Capabilities!$K$4:$K$253,"OK — verify source"),IF(E331="AIR",COUNTIFS('System map'!$A$4:$A$203,F331,'System map'!$B$4:$B$203,"&lt;&gt;",'System map'!$C$4:$C$203,"&lt;&gt;",'System map'!$D$4:$D$203,"&lt;&gt;"),COUNTIFS(Components!$A$4:$A$253,F331,Components!$B$4:$B$253,E331,Components!$K$4:$K$253,"Confirmed",Components!$L$4:$L$253,"OK — verify source"))))&lt;&gt;1)),"Endpoint not source-reconciled",IF(AND(M331="Confirmed",OR(L331="",K331="",K331="Unknown",K331="Low")),"Confirmed link lacks verification","OK — verify source"))))))))))))))</f>
        <v/>
      </c>
    </row>
    <row r="332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6" t="n"/>
      <c r="M332" s="25" t="n"/>
      <c r="N332" s="25">
        <f>IF(COUNTA(A332:M332)=0,"",IF(OR(A332="",B332="",C332="",D332="",E332="",F332="",I332="",J332="",K332="",M332=""),"Required link detail missing",IF(COUNTIF($A$4:$A$1003,A332)&gt;1,"Duplicate Map Edge ID",IF(NOT(OR(AND(B332="UC",E332="CAP",D332="requires"),AND(B332="CAP",E332="AIR",D332="provided by"),AND(B332="AIR",OR(E332="MOD",E332="DATA",E332="IF",E332="AG",E332="TOOL"),D332="references"),AND(B332="AIR",E332="AIR",D332="depends on"))),"Invalid relationship",IF(AND(M332&lt;&gt;"Superseded",COUNTIFS($B$4:$B$1003,B332,$C$4:$C$1003,C332,$D$4:$D$1003,D332,$E$4:$E$1003,E332,$F$4:$F$1003,F332,$G$4:$G$1003,G332,$M$4:$M$1003,"&lt;&gt;Superseded")&gt;1),"Duplicate relationship",IF(OR(IF(B332="UC",COUNTIF('Use cases'!$A$4:$A$253,C332),IF(B332="CAP",COUNTIF(Capabilities!$A$4:$A$253,C332),IF(B332="AIR",COUNTIF('System map'!$A$4:$A$203,C332),COUNTIFS(Components!$A$4:$A$253,C332,Components!$B$4:$B$253,B332))))&lt;&gt;1,IF(E332="UC",COUNTIF('Use cases'!$A$4:$A$253,F332),IF(E332="CAP",COUNTIF(Capabilities!$A$4:$A$253,F332),IF(E332="AIR",COUNTIF('System map'!$A$4:$A$203,F332),COUNTIFS(Components!$A$4:$A$253,F332,Components!$B$4:$B$253,E332))))&lt;&gt;1),"Endpoint missing or duplicated",IF(AND(NOT(AND(B332="UC",E332="CAP")),OR(G332="",COUNTIF('System map'!$A$4:$A$203,G332)&lt;&gt;1)),"AIR context missing / unknown",IF(AND(B332="CAP",E332="AIR",G332&lt;&gt;F332),"AIR context mismatch",IF(AND(B332="AIR",G332&lt;&gt;C332),"AIR context mismatch",IF(AND(B332="AIR",E332="AIR",C332=F332),"Self-dependency",IF(AND(B332="AIR",E332="AIR",M332&lt;&gt;"Superseded",COUNTIFS($B$4:$B$1003,"AIR",$C$4:$C$1003,F332,$E$4:$E$1003,"AIR",$F$4:$F$1003,C332,$M$4:$M$1003,"&lt;&gt;Superseded")&gt;0),"Dependency cycle (A↔B) — review",IF(AND(B332="AIR",OR(E332="MOD",E332="DATA",E332="IF",E332="AG",E332="TOOL"),IFERROR(INDEX(Components!$G$4:$G$253,MATCH(F332,Components!$A$4:$A$253,0)),"")&lt;&gt;"",IFERROR(INDEX(Components!$G$4:$G$253,MATCH(F332,Components!$A$4:$A$253,0)),"")&lt;&gt;C332),"Component owned by another AIR-ID",IF(AND(M332="Confirmed",OR(IF(B332="UC",COUNTIFS('Use cases'!$A$4:$A$253,C332,'Use cases'!$I$4:$I$253,"Confirmed",'Use cases'!$J$4:$J$253,"OK — verify source"),IF(B332="CAP",COUNTIFS(Capabilities!$A$4:$A$253,C332,Capabilities!$J$4:$J$253,"Confirmed",Capabilities!$K$4:$K$253,"OK — verify source"),IF(B332="AIR",COUNTIFS('System map'!$A$4:$A$203,C332,'System map'!$B$4:$B$203,"&lt;&gt;",'System map'!$C$4:$C$203,"&lt;&gt;",'System map'!$D$4:$D$203,"&lt;&gt;"),COUNTIFS(Components!$A$4:$A$253,C332,Components!$B$4:$B$253,B332,Components!$K$4:$K$253,"Confirmed",Components!$L$4:$L$253,"OK — verify source"))))&lt;&gt;1,IF(E332="UC",COUNTIFS('Use cases'!$A$4:$A$253,F332,'Use cases'!$I$4:$I$253,"Confirmed",'Use cases'!$J$4:$J$253,"OK — verify source"),IF(E332="CAP",COUNTIFS(Capabilities!$A$4:$A$253,F332,Capabilities!$J$4:$J$253,"Confirmed",Capabilities!$K$4:$K$253,"OK — verify source"),IF(E332="AIR",COUNTIFS('System map'!$A$4:$A$203,F332,'System map'!$B$4:$B$203,"&lt;&gt;",'System map'!$C$4:$C$203,"&lt;&gt;",'System map'!$D$4:$D$203,"&lt;&gt;"),COUNTIFS(Components!$A$4:$A$253,F332,Components!$B$4:$B$253,E332,Components!$K$4:$K$253,"Confirmed",Components!$L$4:$L$253,"OK — verify source"))))&lt;&gt;1)),"Endpoint not source-reconciled",IF(AND(M332="Confirmed",OR(L332="",K332="",K332="Unknown",K332="Low")),"Confirmed link lacks verification","OK — verify source"))))))))))))))</f>
        <v/>
      </c>
    </row>
    <row r="333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8" t="n"/>
      <c r="M333" s="27" t="n"/>
      <c r="N333" s="27">
        <f>IF(COUNTA(A333:M333)=0,"",IF(OR(A333="",B333="",C333="",D333="",E333="",F333="",I333="",J333="",K333="",M333=""),"Required link detail missing",IF(COUNTIF($A$4:$A$1003,A333)&gt;1,"Duplicate Map Edge ID",IF(NOT(OR(AND(B333="UC",E333="CAP",D333="requires"),AND(B333="CAP",E333="AIR",D333="provided by"),AND(B333="AIR",OR(E333="MOD",E333="DATA",E333="IF",E333="AG",E333="TOOL"),D333="references"),AND(B333="AIR",E333="AIR",D333="depends on"))),"Invalid relationship",IF(AND(M333&lt;&gt;"Superseded",COUNTIFS($B$4:$B$1003,B333,$C$4:$C$1003,C333,$D$4:$D$1003,D333,$E$4:$E$1003,E333,$F$4:$F$1003,F333,$G$4:$G$1003,G333,$M$4:$M$1003,"&lt;&gt;Superseded")&gt;1),"Duplicate relationship",IF(OR(IF(B333="UC",COUNTIF('Use cases'!$A$4:$A$253,C333),IF(B333="CAP",COUNTIF(Capabilities!$A$4:$A$253,C333),IF(B333="AIR",COUNTIF('System map'!$A$4:$A$203,C333),COUNTIFS(Components!$A$4:$A$253,C333,Components!$B$4:$B$253,B333))))&lt;&gt;1,IF(E333="UC",COUNTIF('Use cases'!$A$4:$A$253,F333),IF(E333="CAP",COUNTIF(Capabilities!$A$4:$A$253,F333),IF(E333="AIR",COUNTIF('System map'!$A$4:$A$203,F333),COUNTIFS(Components!$A$4:$A$253,F333,Components!$B$4:$B$253,E333))))&lt;&gt;1),"Endpoint missing or duplicated",IF(AND(NOT(AND(B333="UC",E333="CAP")),OR(G333="",COUNTIF('System map'!$A$4:$A$203,G333)&lt;&gt;1)),"AIR context missing / unknown",IF(AND(B333="CAP",E333="AIR",G333&lt;&gt;F333),"AIR context mismatch",IF(AND(B333="AIR",G333&lt;&gt;C333),"AIR context mismatch",IF(AND(B333="AIR",E333="AIR",C333=F333),"Self-dependency",IF(AND(B333="AIR",E333="AIR",M333&lt;&gt;"Superseded",COUNTIFS($B$4:$B$1003,"AIR",$C$4:$C$1003,F333,$E$4:$E$1003,"AIR",$F$4:$F$1003,C333,$M$4:$M$1003,"&lt;&gt;Superseded")&gt;0),"Dependency cycle (A↔B) — review",IF(AND(B333="AIR",OR(E333="MOD",E333="DATA",E333="IF",E333="AG",E333="TOOL"),IFERROR(INDEX(Components!$G$4:$G$253,MATCH(F333,Components!$A$4:$A$253,0)),"")&lt;&gt;"",IFERROR(INDEX(Components!$G$4:$G$253,MATCH(F333,Components!$A$4:$A$253,0)),"")&lt;&gt;C333),"Component owned by another AIR-ID",IF(AND(M333="Confirmed",OR(IF(B333="UC",COUNTIFS('Use cases'!$A$4:$A$253,C333,'Use cases'!$I$4:$I$253,"Confirmed",'Use cases'!$J$4:$J$253,"OK — verify source"),IF(B333="CAP",COUNTIFS(Capabilities!$A$4:$A$253,C333,Capabilities!$J$4:$J$253,"Confirmed",Capabilities!$K$4:$K$253,"OK — verify source"),IF(B333="AIR",COUNTIFS('System map'!$A$4:$A$203,C333,'System map'!$B$4:$B$203,"&lt;&gt;",'System map'!$C$4:$C$203,"&lt;&gt;",'System map'!$D$4:$D$203,"&lt;&gt;"),COUNTIFS(Components!$A$4:$A$253,C333,Components!$B$4:$B$253,B333,Components!$K$4:$K$253,"Confirmed",Components!$L$4:$L$253,"OK — verify source"))))&lt;&gt;1,IF(E333="UC",COUNTIFS('Use cases'!$A$4:$A$253,F333,'Use cases'!$I$4:$I$253,"Confirmed",'Use cases'!$J$4:$J$253,"OK — verify source"),IF(E333="CAP",COUNTIFS(Capabilities!$A$4:$A$253,F333,Capabilities!$J$4:$J$253,"Confirmed",Capabilities!$K$4:$K$253,"OK — verify source"),IF(E333="AIR",COUNTIFS('System map'!$A$4:$A$203,F333,'System map'!$B$4:$B$203,"&lt;&gt;",'System map'!$C$4:$C$203,"&lt;&gt;",'System map'!$D$4:$D$203,"&lt;&gt;"),COUNTIFS(Components!$A$4:$A$253,F333,Components!$B$4:$B$253,E333,Components!$K$4:$K$253,"Confirmed",Components!$L$4:$L$253,"OK — verify source"))))&lt;&gt;1)),"Endpoint not source-reconciled",IF(AND(M333="Confirmed",OR(L333="",K333="",K333="Unknown",K333="Low")),"Confirmed link lacks verification","OK — verify source"))))))))))))))</f>
        <v/>
      </c>
    </row>
    <row r="33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6" t="n"/>
      <c r="M334" s="25" t="n"/>
      <c r="N334" s="25">
        <f>IF(COUNTA(A334:M334)=0,"",IF(OR(A334="",B334="",C334="",D334="",E334="",F334="",I334="",J334="",K334="",M334=""),"Required link detail missing",IF(COUNTIF($A$4:$A$1003,A334)&gt;1,"Duplicate Map Edge ID",IF(NOT(OR(AND(B334="UC",E334="CAP",D334="requires"),AND(B334="CAP",E334="AIR",D334="provided by"),AND(B334="AIR",OR(E334="MOD",E334="DATA",E334="IF",E334="AG",E334="TOOL"),D334="references"),AND(B334="AIR",E334="AIR",D334="depends on"))),"Invalid relationship",IF(AND(M334&lt;&gt;"Superseded",COUNTIFS($B$4:$B$1003,B334,$C$4:$C$1003,C334,$D$4:$D$1003,D334,$E$4:$E$1003,E334,$F$4:$F$1003,F334,$G$4:$G$1003,G334,$M$4:$M$1003,"&lt;&gt;Superseded")&gt;1),"Duplicate relationship",IF(OR(IF(B334="UC",COUNTIF('Use cases'!$A$4:$A$253,C334),IF(B334="CAP",COUNTIF(Capabilities!$A$4:$A$253,C334),IF(B334="AIR",COUNTIF('System map'!$A$4:$A$203,C334),COUNTIFS(Components!$A$4:$A$253,C334,Components!$B$4:$B$253,B334))))&lt;&gt;1,IF(E334="UC",COUNTIF('Use cases'!$A$4:$A$253,F334),IF(E334="CAP",COUNTIF(Capabilities!$A$4:$A$253,F334),IF(E334="AIR",COUNTIF('System map'!$A$4:$A$203,F334),COUNTIFS(Components!$A$4:$A$253,F334,Components!$B$4:$B$253,E334))))&lt;&gt;1),"Endpoint missing or duplicated",IF(AND(NOT(AND(B334="UC",E334="CAP")),OR(G334="",COUNTIF('System map'!$A$4:$A$203,G334)&lt;&gt;1)),"AIR context missing / unknown",IF(AND(B334="CAP",E334="AIR",G334&lt;&gt;F334),"AIR context mismatch",IF(AND(B334="AIR",G334&lt;&gt;C334),"AIR context mismatch",IF(AND(B334="AIR",E334="AIR",C334=F334),"Self-dependency",IF(AND(B334="AIR",E334="AIR",M334&lt;&gt;"Superseded",COUNTIFS($B$4:$B$1003,"AIR",$C$4:$C$1003,F334,$E$4:$E$1003,"AIR",$F$4:$F$1003,C334,$M$4:$M$1003,"&lt;&gt;Superseded")&gt;0),"Dependency cycle (A↔B) — review",IF(AND(B334="AIR",OR(E334="MOD",E334="DATA",E334="IF",E334="AG",E334="TOOL"),IFERROR(INDEX(Components!$G$4:$G$253,MATCH(F334,Components!$A$4:$A$253,0)),"")&lt;&gt;"",IFERROR(INDEX(Components!$G$4:$G$253,MATCH(F334,Components!$A$4:$A$253,0)),"")&lt;&gt;C334),"Component owned by another AIR-ID",IF(AND(M334="Confirmed",OR(IF(B334="UC",COUNTIFS('Use cases'!$A$4:$A$253,C334,'Use cases'!$I$4:$I$253,"Confirmed",'Use cases'!$J$4:$J$253,"OK — verify source"),IF(B334="CAP",COUNTIFS(Capabilities!$A$4:$A$253,C334,Capabilities!$J$4:$J$253,"Confirmed",Capabilities!$K$4:$K$253,"OK — verify source"),IF(B334="AIR",COUNTIFS('System map'!$A$4:$A$203,C334,'System map'!$B$4:$B$203,"&lt;&gt;",'System map'!$C$4:$C$203,"&lt;&gt;",'System map'!$D$4:$D$203,"&lt;&gt;"),COUNTIFS(Components!$A$4:$A$253,C334,Components!$B$4:$B$253,B334,Components!$K$4:$K$253,"Confirmed",Components!$L$4:$L$253,"OK — verify source"))))&lt;&gt;1,IF(E334="UC",COUNTIFS('Use cases'!$A$4:$A$253,F334,'Use cases'!$I$4:$I$253,"Confirmed",'Use cases'!$J$4:$J$253,"OK — verify source"),IF(E334="CAP",COUNTIFS(Capabilities!$A$4:$A$253,F334,Capabilities!$J$4:$J$253,"Confirmed",Capabilities!$K$4:$K$253,"OK — verify source"),IF(E334="AIR",COUNTIFS('System map'!$A$4:$A$203,F334,'System map'!$B$4:$B$203,"&lt;&gt;",'System map'!$C$4:$C$203,"&lt;&gt;",'System map'!$D$4:$D$203,"&lt;&gt;"),COUNTIFS(Components!$A$4:$A$253,F334,Components!$B$4:$B$253,E334,Components!$K$4:$K$253,"Confirmed",Components!$L$4:$L$253,"OK — verify source"))))&lt;&gt;1)),"Endpoint not source-reconciled",IF(AND(M334="Confirmed",OR(L334="",K334="",K334="Unknown",K334="Low")),"Confirmed link lacks verification","OK — verify source"))))))))))))))</f>
        <v/>
      </c>
    </row>
    <row r="335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8" t="n"/>
      <c r="M335" s="27" t="n"/>
      <c r="N335" s="27">
        <f>IF(COUNTA(A335:M335)=0,"",IF(OR(A335="",B335="",C335="",D335="",E335="",F335="",I335="",J335="",K335="",M335=""),"Required link detail missing",IF(COUNTIF($A$4:$A$1003,A335)&gt;1,"Duplicate Map Edge ID",IF(NOT(OR(AND(B335="UC",E335="CAP",D335="requires"),AND(B335="CAP",E335="AIR",D335="provided by"),AND(B335="AIR",OR(E335="MOD",E335="DATA",E335="IF",E335="AG",E335="TOOL"),D335="references"),AND(B335="AIR",E335="AIR",D335="depends on"))),"Invalid relationship",IF(AND(M335&lt;&gt;"Superseded",COUNTIFS($B$4:$B$1003,B335,$C$4:$C$1003,C335,$D$4:$D$1003,D335,$E$4:$E$1003,E335,$F$4:$F$1003,F335,$G$4:$G$1003,G335,$M$4:$M$1003,"&lt;&gt;Superseded")&gt;1),"Duplicate relationship",IF(OR(IF(B335="UC",COUNTIF('Use cases'!$A$4:$A$253,C335),IF(B335="CAP",COUNTIF(Capabilities!$A$4:$A$253,C335),IF(B335="AIR",COUNTIF('System map'!$A$4:$A$203,C335),COUNTIFS(Components!$A$4:$A$253,C335,Components!$B$4:$B$253,B335))))&lt;&gt;1,IF(E335="UC",COUNTIF('Use cases'!$A$4:$A$253,F335),IF(E335="CAP",COUNTIF(Capabilities!$A$4:$A$253,F335),IF(E335="AIR",COUNTIF('System map'!$A$4:$A$203,F335),COUNTIFS(Components!$A$4:$A$253,F335,Components!$B$4:$B$253,E335))))&lt;&gt;1),"Endpoint missing or duplicated",IF(AND(NOT(AND(B335="UC",E335="CAP")),OR(G335="",COUNTIF('System map'!$A$4:$A$203,G335)&lt;&gt;1)),"AIR context missing / unknown",IF(AND(B335="CAP",E335="AIR",G335&lt;&gt;F335),"AIR context mismatch",IF(AND(B335="AIR",G335&lt;&gt;C335),"AIR context mismatch",IF(AND(B335="AIR",E335="AIR",C335=F335),"Self-dependency",IF(AND(B335="AIR",E335="AIR",M335&lt;&gt;"Superseded",COUNTIFS($B$4:$B$1003,"AIR",$C$4:$C$1003,F335,$E$4:$E$1003,"AIR",$F$4:$F$1003,C335,$M$4:$M$1003,"&lt;&gt;Superseded")&gt;0),"Dependency cycle (A↔B) — review",IF(AND(B335="AIR",OR(E335="MOD",E335="DATA",E335="IF",E335="AG",E335="TOOL"),IFERROR(INDEX(Components!$G$4:$G$253,MATCH(F335,Components!$A$4:$A$253,0)),"")&lt;&gt;"",IFERROR(INDEX(Components!$G$4:$G$253,MATCH(F335,Components!$A$4:$A$253,0)),"")&lt;&gt;C335),"Component owned by another AIR-ID",IF(AND(M335="Confirmed",OR(IF(B335="UC",COUNTIFS('Use cases'!$A$4:$A$253,C335,'Use cases'!$I$4:$I$253,"Confirmed",'Use cases'!$J$4:$J$253,"OK — verify source"),IF(B335="CAP",COUNTIFS(Capabilities!$A$4:$A$253,C335,Capabilities!$J$4:$J$253,"Confirmed",Capabilities!$K$4:$K$253,"OK — verify source"),IF(B335="AIR",COUNTIFS('System map'!$A$4:$A$203,C335,'System map'!$B$4:$B$203,"&lt;&gt;",'System map'!$C$4:$C$203,"&lt;&gt;",'System map'!$D$4:$D$203,"&lt;&gt;"),COUNTIFS(Components!$A$4:$A$253,C335,Components!$B$4:$B$253,B335,Components!$K$4:$K$253,"Confirmed",Components!$L$4:$L$253,"OK — verify source"))))&lt;&gt;1,IF(E335="UC",COUNTIFS('Use cases'!$A$4:$A$253,F335,'Use cases'!$I$4:$I$253,"Confirmed",'Use cases'!$J$4:$J$253,"OK — verify source"),IF(E335="CAP",COUNTIFS(Capabilities!$A$4:$A$253,F335,Capabilities!$J$4:$J$253,"Confirmed",Capabilities!$K$4:$K$253,"OK — verify source"),IF(E335="AIR",COUNTIFS('System map'!$A$4:$A$203,F335,'System map'!$B$4:$B$203,"&lt;&gt;",'System map'!$C$4:$C$203,"&lt;&gt;",'System map'!$D$4:$D$203,"&lt;&gt;"),COUNTIFS(Components!$A$4:$A$253,F335,Components!$B$4:$B$253,E335,Components!$K$4:$K$253,"Confirmed",Components!$L$4:$L$253,"OK — verify source"))))&lt;&gt;1)),"Endpoint not source-reconciled",IF(AND(M335="Confirmed",OR(L335="",K335="",K335="Unknown",K335="Low")),"Confirmed link lacks verification","OK — verify source"))))))))))))))</f>
        <v/>
      </c>
    </row>
    <row r="336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6" t="n"/>
      <c r="M336" s="25" t="n"/>
      <c r="N336" s="25">
        <f>IF(COUNTA(A336:M336)=0,"",IF(OR(A336="",B336="",C336="",D336="",E336="",F336="",I336="",J336="",K336="",M336=""),"Required link detail missing",IF(COUNTIF($A$4:$A$1003,A336)&gt;1,"Duplicate Map Edge ID",IF(NOT(OR(AND(B336="UC",E336="CAP",D336="requires"),AND(B336="CAP",E336="AIR",D336="provided by"),AND(B336="AIR",OR(E336="MOD",E336="DATA",E336="IF",E336="AG",E336="TOOL"),D336="references"),AND(B336="AIR",E336="AIR",D336="depends on"))),"Invalid relationship",IF(AND(M336&lt;&gt;"Superseded",COUNTIFS($B$4:$B$1003,B336,$C$4:$C$1003,C336,$D$4:$D$1003,D336,$E$4:$E$1003,E336,$F$4:$F$1003,F336,$G$4:$G$1003,G336,$M$4:$M$1003,"&lt;&gt;Superseded")&gt;1),"Duplicate relationship",IF(OR(IF(B336="UC",COUNTIF('Use cases'!$A$4:$A$253,C336),IF(B336="CAP",COUNTIF(Capabilities!$A$4:$A$253,C336),IF(B336="AIR",COUNTIF('System map'!$A$4:$A$203,C336),COUNTIFS(Components!$A$4:$A$253,C336,Components!$B$4:$B$253,B336))))&lt;&gt;1,IF(E336="UC",COUNTIF('Use cases'!$A$4:$A$253,F336),IF(E336="CAP",COUNTIF(Capabilities!$A$4:$A$253,F336),IF(E336="AIR",COUNTIF('System map'!$A$4:$A$203,F336),COUNTIFS(Components!$A$4:$A$253,F336,Components!$B$4:$B$253,E336))))&lt;&gt;1),"Endpoint missing or duplicated",IF(AND(NOT(AND(B336="UC",E336="CAP")),OR(G336="",COUNTIF('System map'!$A$4:$A$203,G336)&lt;&gt;1)),"AIR context missing / unknown",IF(AND(B336="CAP",E336="AIR",G336&lt;&gt;F336),"AIR context mismatch",IF(AND(B336="AIR",G336&lt;&gt;C336),"AIR context mismatch",IF(AND(B336="AIR",E336="AIR",C336=F336),"Self-dependency",IF(AND(B336="AIR",E336="AIR",M336&lt;&gt;"Superseded",COUNTIFS($B$4:$B$1003,"AIR",$C$4:$C$1003,F336,$E$4:$E$1003,"AIR",$F$4:$F$1003,C336,$M$4:$M$1003,"&lt;&gt;Superseded")&gt;0),"Dependency cycle (A↔B) — review",IF(AND(B336="AIR",OR(E336="MOD",E336="DATA",E336="IF",E336="AG",E336="TOOL"),IFERROR(INDEX(Components!$G$4:$G$253,MATCH(F336,Components!$A$4:$A$253,0)),"")&lt;&gt;"",IFERROR(INDEX(Components!$G$4:$G$253,MATCH(F336,Components!$A$4:$A$253,0)),"")&lt;&gt;C336),"Component owned by another AIR-ID",IF(AND(M336="Confirmed",OR(IF(B336="UC",COUNTIFS('Use cases'!$A$4:$A$253,C336,'Use cases'!$I$4:$I$253,"Confirmed",'Use cases'!$J$4:$J$253,"OK — verify source"),IF(B336="CAP",COUNTIFS(Capabilities!$A$4:$A$253,C336,Capabilities!$J$4:$J$253,"Confirmed",Capabilities!$K$4:$K$253,"OK — verify source"),IF(B336="AIR",COUNTIFS('System map'!$A$4:$A$203,C336,'System map'!$B$4:$B$203,"&lt;&gt;",'System map'!$C$4:$C$203,"&lt;&gt;",'System map'!$D$4:$D$203,"&lt;&gt;"),COUNTIFS(Components!$A$4:$A$253,C336,Components!$B$4:$B$253,B336,Components!$K$4:$K$253,"Confirmed",Components!$L$4:$L$253,"OK — verify source"))))&lt;&gt;1,IF(E336="UC",COUNTIFS('Use cases'!$A$4:$A$253,F336,'Use cases'!$I$4:$I$253,"Confirmed",'Use cases'!$J$4:$J$253,"OK — verify source"),IF(E336="CAP",COUNTIFS(Capabilities!$A$4:$A$253,F336,Capabilities!$J$4:$J$253,"Confirmed",Capabilities!$K$4:$K$253,"OK — verify source"),IF(E336="AIR",COUNTIFS('System map'!$A$4:$A$203,F336,'System map'!$B$4:$B$203,"&lt;&gt;",'System map'!$C$4:$C$203,"&lt;&gt;",'System map'!$D$4:$D$203,"&lt;&gt;"),COUNTIFS(Components!$A$4:$A$253,F336,Components!$B$4:$B$253,E336,Components!$K$4:$K$253,"Confirmed",Components!$L$4:$L$253,"OK — verify source"))))&lt;&gt;1)),"Endpoint not source-reconciled",IF(AND(M336="Confirmed",OR(L336="",K336="",K336="Unknown",K336="Low")),"Confirmed link lacks verification","OK — verify source"))))))))))))))</f>
        <v/>
      </c>
    </row>
    <row r="337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8" t="n"/>
      <c r="M337" s="27" t="n"/>
      <c r="N337" s="27">
        <f>IF(COUNTA(A337:M337)=0,"",IF(OR(A337="",B337="",C337="",D337="",E337="",F337="",I337="",J337="",K337="",M337=""),"Required link detail missing",IF(COUNTIF($A$4:$A$1003,A337)&gt;1,"Duplicate Map Edge ID",IF(NOT(OR(AND(B337="UC",E337="CAP",D337="requires"),AND(B337="CAP",E337="AIR",D337="provided by"),AND(B337="AIR",OR(E337="MOD",E337="DATA",E337="IF",E337="AG",E337="TOOL"),D337="references"),AND(B337="AIR",E337="AIR",D337="depends on"))),"Invalid relationship",IF(AND(M337&lt;&gt;"Superseded",COUNTIFS($B$4:$B$1003,B337,$C$4:$C$1003,C337,$D$4:$D$1003,D337,$E$4:$E$1003,E337,$F$4:$F$1003,F337,$G$4:$G$1003,G337,$M$4:$M$1003,"&lt;&gt;Superseded")&gt;1),"Duplicate relationship",IF(OR(IF(B337="UC",COUNTIF('Use cases'!$A$4:$A$253,C337),IF(B337="CAP",COUNTIF(Capabilities!$A$4:$A$253,C337),IF(B337="AIR",COUNTIF('System map'!$A$4:$A$203,C337),COUNTIFS(Components!$A$4:$A$253,C337,Components!$B$4:$B$253,B337))))&lt;&gt;1,IF(E337="UC",COUNTIF('Use cases'!$A$4:$A$253,F337),IF(E337="CAP",COUNTIF(Capabilities!$A$4:$A$253,F337),IF(E337="AIR",COUNTIF('System map'!$A$4:$A$203,F337),COUNTIFS(Components!$A$4:$A$253,F337,Components!$B$4:$B$253,E337))))&lt;&gt;1),"Endpoint missing or duplicated",IF(AND(NOT(AND(B337="UC",E337="CAP")),OR(G337="",COUNTIF('System map'!$A$4:$A$203,G337)&lt;&gt;1)),"AIR context missing / unknown",IF(AND(B337="CAP",E337="AIR",G337&lt;&gt;F337),"AIR context mismatch",IF(AND(B337="AIR",G337&lt;&gt;C337),"AIR context mismatch",IF(AND(B337="AIR",E337="AIR",C337=F337),"Self-dependency",IF(AND(B337="AIR",E337="AIR",M337&lt;&gt;"Superseded",COUNTIFS($B$4:$B$1003,"AIR",$C$4:$C$1003,F337,$E$4:$E$1003,"AIR",$F$4:$F$1003,C337,$M$4:$M$1003,"&lt;&gt;Superseded")&gt;0),"Dependency cycle (A↔B) — review",IF(AND(B337="AIR",OR(E337="MOD",E337="DATA",E337="IF",E337="AG",E337="TOOL"),IFERROR(INDEX(Components!$G$4:$G$253,MATCH(F337,Components!$A$4:$A$253,0)),"")&lt;&gt;"",IFERROR(INDEX(Components!$G$4:$G$253,MATCH(F337,Components!$A$4:$A$253,0)),"")&lt;&gt;C337),"Component owned by another AIR-ID",IF(AND(M337="Confirmed",OR(IF(B337="UC",COUNTIFS('Use cases'!$A$4:$A$253,C337,'Use cases'!$I$4:$I$253,"Confirmed",'Use cases'!$J$4:$J$253,"OK — verify source"),IF(B337="CAP",COUNTIFS(Capabilities!$A$4:$A$253,C337,Capabilities!$J$4:$J$253,"Confirmed",Capabilities!$K$4:$K$253,"OK — verify source"),IF(B337="AIR",COUNTIFS('System map'!$A$4:$A$203,C337,'System map'!$B$4:$B$203,"&lt;&gt;",'System map'!$C$4:$C$203,"&lt;&gt;",'System map'!$D$4:$D$203,"&lt;&gt;"),COUNTIFS(Components!$A$4:$A$253,C337,Components!$B$4:$B$253,B337,Components!$K$4:$K$253,"Confirmed",Components!$L$4:$L$253,"OK — verify source"))))&lt;&gt;1,IF(E337="UC",COUNTIFS('Use cases'!$A$4:$A$253,F337,'Use cases'!$I$4:$I$253,"Confirmed",'Use cases'!$J$4:$J$253,"OK — verify source"),IF(E337="CAP",COUNTIFS(Capabilities!$A$4:$A$253,F337,Capabilities!$J$4:$J$253,"Confirmed",Capabilities!$K$4:$K$253,"OK — verify source"),IF(E337="AIR",COUNTIFS('System map'!$A$4:$A$203,F337,'System map'!$B$4:$B$203,"&lt;&gt;",'System map'!$C$4:$C$203,"&lt;&gt;",'System map'!$D$4:$D$203,"&lt;&gt;"),COUNTIFS(Components!$A$4:$A$253,F337,Components!$B$4:$B$253,E337,Components!$K$4:$K$253,"Confirmed",Components!$L$4:$L$253,"OK — verify source"))))&lt;&gt;1)),"Endpoint not source-reconciled",IF(AND(M337="Confirmed",OR(L337="",K337="",K337="Unknown",K337="Low")),"Confirmed link lacks verification","OK — verify source"))))))))))))))</f>
        <v/>
      </c>
    </row>
    <row r="338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6" t="n"/>
      <c r="M338" s="25" t="n"/>
      <c r="N338" s="25">
        <f>IF(COUNTA(A338:M338)=0,"",IF(OR(A338="",B338="",C338="",D338="",E338="",F338="",I338="",J338="",K338="",M338=""),"Required link detail missing",IF(COUNTIF($A$4:$A$1003,A338)&gt;1,"Duplicate Map Edge ID",IF(NOT(OR(AND(B338="UC",E338="CAP",D338="requires"),AND(B338="CAP",E338="AIR",D338="provided by"),AND(B338="AIR",OR(E338="MOD",E338="DATA",E338="IF",E338="AG",E338="TOOL"),D338="references"),AND(B338="AIR",E338="AIR",D338="depends on"))),"Invalid relationship",IF(AND(M338&lt;&gt;"Superseded",COUNTIFS($B$4:$B$1003,B338,$C$4:$C$1003,C338,$D$4:$D$1003,D338,$E$4:$E$1003,E338,$F$4:$F$1003,F338,$G$4:$G$1003,G338,$M$4:$M$1003,"&lt;&gt;Superseded")&gt;1),"Duplicate relationship",IF(OR(IF(B338="UC",COUNTIF('Use cases'!$A$4:$A$253,C338),IF(B338="CAP",COUNTIF(Capabilities!$A$4:$A$253,C338),IF(B338="AIR",COUNTIF('System map'!$A$4:$A$203,C338),COUNTIFS(Components!$A$4:$A$253,C338,Components!$B$4:$B$253,B338))))&lt;&gt;1,IF(E338="UC",COUNTIF('Use cases'!$A$4:$A$253,F338),IF(E338="CAP",COUNTIF(Capabilities!$A$4:$A$253,F338),IF(E338="AIR",COUNTIF('System map'!$A$4:$A$203,F338),COUNTIFS(Components!$A$4:$A$253,F338,Components!$B$4:$B$253,E338))))&lt;&gt;1),"Endpoint missing or duplicated",IF(AND(NOT(AND(B338="UC",E338="CAP")),OR(G338="",COUNTIF('System map'!$A$4:$A$203,G338)&lt;&gt;1)),"AIR context missing / unknown",IF(AND(B338="CAP",E338="AIR",G338&lt;&gt;F338),"AIR context mismatch",IF(AND(B338="AIR",G338&lt;&gt;C338),"AIR context mismatch",IF(AND(B338="AIR",E338="AIR",C338=F338),"Self-dependency",IF(AND(B338="AIR",E338="AIR",M338&lt;&gt;"Superseded",COUNTIFS($B$4:$B$1003,"AIR",$C$4:$C$1003,F338,$E$4:$E$1003,"AIR",$F$4:$F$1003,C338,$M$4:$M$1003,"&lt;&gt;Superseded")&gt;0),"Dependency cycle (A↔B) — review",IF(AND(B338="AIR",OR(E338="MOD",E338="DATA",E338="IF",E338="AG",E338="TOOL"),IFERROR(INDEX(Components!$G$4:$G$253,MATCH(F338,Components!$A$4:$A$253,0)),"")&lt;&gt;"",IFERROR(INDEX(Components!$G$4:$G$253,MATCH(F338,Components!$A$4:$A$253,0)),"")&lt;&gt;C338),"Component owned by another AIR-ID",IF(AND(M338="Confirmed",OR(IF(B338="UC",COUNTIFS('Use cases'!$A$4:$A$253,C338,'Use cases'!$I$4:$I$253,"Confirmed",'Use cases'!$J$4:$J$253,"OK — verify source"),IF(B338="CAP",COUNTIFS(Capabilities!$A$4:$A$253,C338,Capabilities!$J$4:$J$253,"Confirmed",Capabilities!$K$4:$K$253,"OK — verify source"),IF(B338="AIR",COUNTIFS('System map'!$A$4:$A$203,C338,'System map'!$B$4:$B$203,"&lt;&gt;",'System map'!$C$4:$C$203,"&lt;&gt;",'System map'!$D$4:$D$203,"&lt;&gt;"),COUNTIFS(Components!$A$4:$A$253,C338,Components!$B$4:$B$253,B338,Components!$K$4:$K$253,"Confirmed",Components!$L$4:$L$253,"OK — verify source"))))&lt;&gt;1,IF(E338="UC",COUNTIFS('Use cases'!$A$4:$A$253,F338,'Use cases'!$I$4:$I$253,"Confirmed",'Use cases'!$J$4:$J$253,"OK — verify source"),IF(E338="CAP",COUNTIFS(Capabilities!$A$4:$A$253,F338,Capabilities!$J$4:$J$253,"Confirmed",Capabilities!$K$4:$K$253,"OK — verify source"),IF(E338="AIR",COUNTIFS('System map'!$A$4:$A$203,F338,'System map'!$B$4:$B$203,"&lt;&gt;",'System map'!$C$4:$C$203,"&lt;&gt;",'System map'!$D$4:$D$203,"&lt;&gt;"),COUNTIFS(Components!$A$4:$A$253,F338,Components!$B$4:$B$253,E338,Components!$K$4:$K$253,"Confirmed",Components!$L$4:$L$253,"OK — verify source"))))&lt;&gt;1)),"Endpoint not source-reconciled",IF(AND(M338="Confirmed",OR(L338="",K338="",K338="Unknown",K338="Low")),"Confirmed link lacks verification","OK — verify source"))))))))))))))</f>
        <v/>
      </c>
    </row>
    <row r="339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8" t="n"/>
      <c r="M339" s="27" t="n"/>
      <c r="N339" s="27">
        <f>IF(COUNTA(A339:M339)=0,"",IF(OR(A339="",B339="",C339="",D339="",E339="",F339="",I339="",J339="",K339="",M339=""),"Required link detail missing",IF(COUNTIF($A$4:$A$1003,A339)&gt;1,"Duplicate Map Edge ID",IF(NOT(OR(AND(B339="UC",E339="CAP",D339="requires"),AND(B339="CAP",E339="AIR",D339="provided by"),AND(B339="AIR",OR(E339="MOD",E339="DATA",E339="IF",E339="AG",E339="TOOL"),D339="references"),AND(B339="AIR",E339="AIR",D339="depends on"))),"Invalid relationship",IF(AND(M339&lt;&gt;"Superseded",COUNTIFS($B$4:$B$1003,B339,$C$4:$C$1003,C339,$D$4:$D$1003,D339,$E$4:$E$1003,E339,$F$4:$F$1003,F339,$G$4:$G$1003,G339,$M$4:$M$1003,"&lt;&gt;Superseded")&gt;1),"Duplicate relationship",IF(OR(IF(B339="UC",COUNTIF('Use cases'!$A$4:$A$253,C339),IF(B339="CAP",COUNTIF(Capabilities!$A$4:$A$253,C339),IF(B339="AIR",COUNTIF('System map'!$A$4:$A$203,C339),COUNTIFS(Components!$A$4:$A$253,C339,Components!$B$4:$B$253,B339))))&lt;&gt;1,IF(E339="UC",COUNTIF('Use cases'!$A$4:$A$253,F339),IF(E339="CAP",COUNTIF(Capabilities!$A$4:$A$253,F339),IF(E339="AIR",COUNTIF('System map'!$A$4:$A$203,F339),COUNTIFS(Components!$A$4:$A$253,F339,Components!$B$4:$B$253,E339))))&lt;&gt;1),"Endpoint missing or duplicated",IF(AND(NOT(AND(B339="UC",E339="CAP")),OR(G339="",COUNTIF('System map'!$A$4:$A$203,G339)&lt;&gt;1)),"AIR context missing / unknown",IF(AND(B339="CAP",E339="AIR",G339&lt;&gt;F339),"AIR context mismatch",IF(AND(B339="AIR",G339&lt;&gt;C339),"AIR context mismatch",IF(AND(B339="AIR",E339="AIR",C339=F339),"Self-dependency",IF(AND(B339="AIR",E339="AIR",M339&lt;&gt;"Superseded",COUNTIFS($B$4:$B$1003,"AIR",$C$4:$C$1003,F339,$E$4:$E$1003,"AIR",$F$4:$F$1003,C339,$M$4:$M$1003,"&lt;&gt;Superseded")&gt;0),"Dependency cycle (A↔B) — review",IF(AND(B339="AIR",OR(E339="MOD",E339="DATA",E339="IF",E339="AG",E339="TOOL"),IFERROR(INDEX(Components!$G$4:$G$253,MATCH(F339,Components!$A$4:$A$253,0)),"")&lt;&gt;"",IFERROR(INDEX(Components!$G$4:$G$253,MATCH(F339,Components!$A$4:$A$253,0)),"")&lt;&gt;C339),"Component owned by another AIR-ID",IF(AND(M339="Confirmed",OR(IF(B339="UC",COUNTIFS('Use cases'!$A$4:$A$253,C339,'Use cases'!$I$4:$I$253,"Confirmed",'Use cases'!$J$4:$J$253,"OK — verify source"),IF(B339="CAP",COUNTIFS(Capabilities!$A$4:$A$253,C339,Capabilities!$J$4:$J$253,"Confirmed",Capabilities!$K$4:$K$253,"OK — verify source"),IF(B339="AIR",COUNTIFS('System map'!$A$4:$A$203,C339,'System map'!$B$4:$B$203,"&lt;&gt;",'System map'!$C$4:$C$203,"&lt;&gt;",'System map'!$D$4:$D$203,"&lt;&gt;"),COUNTIFS(Components!$A$4:$A$253,C339,Components!$B$4:$B$253,B339,Components!$K$4:$K$253,"Confirmed",Components!$L$4:$L$253,"OK — verify source"))))&lt;&gt;1,IF(E339="UC",COUNTIFS('Use cases'!$A$4:$A$253,F339,'Use cases'!$I$4:$I$253,"Confirmed",'Use cases'!$J$4:$J$253,"OK — verify source"),IF(E339="CAP",COUNTIFS(Capabilities!$A$4:$A$253,F339,Capabilities!$J$4:$J$253,"Confirmed",Capabilities!$K$4:$K$253,"OK — verify source"),IF(E339="AIR",COUNTIFS('System map'!$A$4:$A$203,F339,'System map'!$B$4:$B$203,"&lt;&gt;",'System map'!$C$4:$C$203,"&lt;&gt;",'System map'!$D$4:$D$203,"&lt;&gt;"),COUNTIFS(Components!$A$4:$A$253,F339,Components!$B$4:$B$253,E339,Components!$K$4:$K$253,"Confirmed",Components!$L$4:$L$253,"OK — verify source"))))&lt;&gt;1)),"Endpoint not source-reconciled",IF(AND(M339="Confirmed",OR(L339="",K339="",K339="Unknown",K339="Low")),"Confirmed link lacks verification","OK — verify source"))))))))))))))</f>
        <v/>
      </c>
    </row>
    <row r="340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6" t="n"/>
      <c r="M340" s="25" t="n"/>
      <c r="N340" s="25">
        <f>IF(COUNTA(A340:M340)=0,"",IF(OR(A340="",B340="",C340="",D340="",E340="",F340="",I340="",J340="",K340="",M340=""),"Required link detail missing",IF(COUNTIF($A$4:$A$1003,A340)&gt;1,"Duplicate Map Edge ID",IF(NOT(OR(AND(B340="UC",E340="CAP",D340="requires"),AND(B340="CAP",E340="AIR",D340="provided by"),AND(B340="AIR",OR(E340="MOD",E340="DATA",E340="IF",E340="AG",E340="TOOL"),D340="references"),AND(B340="AIR",E340="AIR",D340="depends on"))),"Invalid relationship",IF(AND(M340&lt;&gt;"Superseded",COUNTIFS($B$4:$B$1003,B340,$C$4:$C$1003,C340,$D$4:$D$1003,D340,$E$4:$E$1003,E340,$F$4:$F$1003,F340,$G$4:$G$1003,G340,$M$4:$M$1003,"&lt;&gt;Superseded")&gt;1),"Duplicate relationship",IF(OR(IF(B340="UC",COUNTIF('Use cases'!$A$4:$A$253,C340),IF(B340="CAP",COUNTIF(Capabilities!$A$4:$A$253,C340),IF(B340="AIR",COUNTIF('System map'!$A$4:$A$203,C340),COUNTIFS(Components!$A$4:$A$253,C340,Components!$B$4:$B$253,B340))))&lt;&gt;1,IF(E340="UC",COUNTIF('Use cases'!$A$4:$A$253,F340),IF(E340="CAP",COUNTIF(Capabilities!$A$4:$A$253,F340),IF(E340="AIR",COUNTIF('System map'!$A$4:$A$203,F340),COUNTIFS(Components!$A$4:$A$253,F340,Components!$B$4:$B$253,E340))))&lt;&gt;1),"Endpoint missing or duplicated",IF(AND(NOT(AND(B340="UC",E340="CAP")),OR(G340="",COUNTIF('System map'!$A$4:$A$203,G340)&lt;&gt;1)),"AIR context missing / unknown",IF(AND(B340="CAP",E340="AIR",G340&lt;&gt;F340),"AIR context mismatch",IF(AND(B340="AIR",G340&lt;&gt;C340),"AIR context mismatch",IF(AND(B340="AIR",E340="AIR",C340=F340),"Self-dependency",IF(AND(B340="AIR",E340="AIR",M340&lt;&gt;"Superseded",COUNTIFS($B$4:$B$1003,"AIR",$C$4:$C$1003,F340,$E$4:$E$1003,"AIR",$F$4:$F$1003,C340,$M$4:$M$1003,"&lt;&gt;Superseded")&gt;0),"Dependency cycle (A↔B) — review",IF(AND(B340="AIR",OR(E340="MOD",E340="DATA",E340="IF",E340="AG",E340="TOOL"),IFERROR(INDEX(Components!$G$4:$G$253,MATCH(F340,Components!$A$4:$A$253,0)),"")&lt;&gt;"",IFERROR(INDEX(Components!$G$4:$G$253,MATCH(F340,Components!$A$4:$A$253,0)),"")&lt;&gt;C340),"Component owned by another AIR-ID",IF(AND(M340="Confirmed",OR(IF(B340="UC",COUNTIFS('Use cases'!$A$4:$A$253,C340,'Use cases'!$I$4:$I$253,"Confirmed",'Use cases'!$J$4:$J$253,"OK — verify source"),IF(B340="CAP",COUNTIFS(Capabilities!$A$4:$A$253,C340,Capabilities!$J$4:$J$253,"Confirmed",Capabilities!$K$4:$K$253,"OK — verify source"),IF(B340="AIR",COUNTIFS('System map'!$A$4:$A$203,C340,'System map'!$B$4:$B$203,"&lt;&gt;",'System map'!$C$4:$C$203,"&lt;&gt;",'System map'!$D$4:$D$203,"&lt;&gt;"),COUNTIFS(Components!$A$4:$A$253,C340,Components!$B$4:$B$253,B340,Components!$K$4:$K$253,"Confirmed",Components!$L$4:$L$253,"OK — verify source"))))&lt;&gt;1,IF(E340="UC",COUNTIFS('Use cases'!$A$4:$A$253,F340,'Use cases'!$I$4:$I$253,"Confirmed",'Use cases'!$J$4:$J$253,"OK — verify source"),IF(E340="CAP",COUNTIFS(Capabilities!$A$4:$A$253,F340,Capabilities!$J$4:$J$253,"Confirmed",Capabilities!$K$4:$K$253,"OK — verify source"),IF(E340="AIR",COUNTIFS('System map'!$A$4:$A$203,F340,'System map'!$B$4:$B$203,"&lt;&gt;",'System map'!$C$4:$C$203,"&lt;&gt;",'System map'!$D$4:$D$203,"&lt;&gt;"),COUNTIFS(Components!$A$4:$A$253,F340,Components!$B$4:$B$253,E340,Components!$K$4:$K$253,"Confirmed",Components!$L$4:$L$253,"OK — verify source"))))&lt;&gt;1)),"Endpoint not source-reconciled",IF(AND(M340="Confirmed",OR(L340="",K340="",K340="Unknown",K340="Low")),"Confirmed link lacks verification","OK — verify source"))))))))))))))</f>
        <v/>
      </c>
    </row>
    <row r="341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8" t="n"/>
      <c r="M341" s="27" t="n"/>
      <c r="N341" s="27">
        <f>IF(COUNTA(A341:M341)=0,"",IF(OR(A341="",B341="",C341="",D341="",E341="",F341="",I341="",J341="",K341="",M341=""),"Required link detail missing",IF(COUNTIF($A$4:$A$1003,A341)&gt;1,"Duplicate Map Edge ID",IF(NOT(OR(AND(B341="UC",E341="CAP",D341="requires"),AND(B341="CAP",E341="AIR",D341="provided by"),AND(B341="AIR",OR(E341="MOD",E341="DATA",E341="IF",E341="AG",E341="TOOL"),D341="references"),AND(B341="AIR",E341="AIR",D341="depends on"))),"Invalid relationship",IF(AND(M341&lt;&gt;"Superseded",COUNTIFS($B$4:$B$1003,B341,$C$4:$C$1003,C341,$D$4:$D$1003,D341,$E$4:$E$1003,E341,$F$4:$F$1003,F341,$G$4:$G$1003,G341,$M$4:$M$1003,"&lt;&gt;Superseded")&gt;1),"Duplicate relationship",IF(OR(IF(B341="UC",COUNTIF('Use cases'!$A$4:$A$253,C341),IF(B341="CAP",COUNTIF(Capabilities!$A$4:$A$253,C341),IF(B341="AIR",COUNTIF('System map'!$A$4:$A$203,C341),COUNTIFS(Components!$A$4:$A$253,C341,Components!$B$4:$B$253,B341))))&lt;&gt;1,IF(E341="UC",COUNTIF('Use cases'!$A$4:$A$253,F341),IF(E341="CAP",COUNTIF(Capabilities!$A$4:$A$253,F341),IF(E341="AIR",COUNTIF('System map'!$A$4:$A$203,F341),COUNTIFS(Components!$A$4:$A$253,F341,Components!$B$4:$B$253,E341))))&lt;&gt;1),"Endpoint missing or duplicated",IF(AND(NOT(AND(B341="UC",E341="CAP")),OR(G341="",COUNTIF('System map'!$A$4:$A$203,G341)&lt;&gt;1)),"AIR context missing / unknown",IF(AND(B341="CAP",E341="AIR",G341&lt;&gt;F341),"AIR context mismatch",IF(AND(B341="AIR",G341&lt;&gt;C341),"AIR context mismatch",IF(AND(B341="AIR",E341="AIR",C341=F341),"Self-dependency",IF(AND(B341="AIR",E341="AIR",M341&lt;&gt;"Superseded",COUNTIFS($B$4:$B$1003,"AIR",$C$4:$C$1003,F341,$E$4:$E$1003,"AIR",$F$4:$F$1003,C341,$M$4:$M$1003,"&lt;&gt;Superseded")&gt;0),"Dependency cycle (A↔B) — review",IF(AND(B341="AIR",OR(E341="MOD",E341="DATA",E341="IF",E341="AG",E341="TOOL"),IFERROR(INDEX(Components!$G$4:$G$253,MATCH(F341,Components!$A$4:$A$253,0)),"")&lt;&gt;"",IFERROR(INDEX(Components!$G$4:$G$253,MATCH(F341,Components!$A$4:$A$253,0)),"")&lt;&gt;C341),"Component owned by another AIR-ID",IF(AND(M341="Confirmed",OR(IF(B341="UC",COUNTIFS('Use cases'!$A$4:$A$253,C341,'Use cases'!$I$4:$I$253,"Confirmed",'Use cases'!$J$4:$J$253,"OK — verify source"),IF(B341="CAP",COUNTIFS(Capabilities!$A$4:$A$253,C341,Capabilities!$J$4:$J$253,"Confirmed",Capabilities!$K$4:$K$253,"OK — verify source"),IF(B341="AIR",COUNTIFS('System map'!$A$4:$A$203,C341,'System map'!$B$4:$B$203,"&lt;&gt;",'System map'!$C$4:$C$203,"&lt;&gt;",'System map'!$D$4:$D$203,"&lt;&gt;"),COUNTIFS(Components!$A$4:$A$253,C341,Components!$B$4:$B$253,B341,Components!$K$4:$K$253,"Confirmed",Components!$L$4:$L$253,"OK — verify source"))))&lt;&gt;1,IF(E341="UC",COUNTIFS('Use cases'!$A$4:$A$253,F341,'Use cases'!$I$4:$I$253,"Confirmed",'Use cases'!$J$4:$J$253,"OK — verify source"),IF(E341="CAP",COUNTIFS(Capabilities!$A$4:$A$253,F341,Capabilities!$J$4:$J$253,"Confirmed",Capabilities!$K$4:$K$253,"OK — verify source"),IF(E341="AIR",COUNTIFS('System map'!$A$4:$A$203,F341,'System map'!$B$4:$B$203,"&lt;&gt;",'System map'!$C$4:$C$203,"&lt;&gt;",'System map'!$D$4:$D$203,"&lt;&gt;"),COUNTIFS(Components!$A$4:$A$253,F341,Components!$B$4:$B$253,E341,Components!$K$4:$K$253,"Confirmed",Components!$L$4:$L$253,"OK — verify source"))))&lt;&gt;1)),"Endpoint not source-reconciled",IF(AND(M341="Confirmed",OR(L341="",K341="",K341="Unknown",K341="Low")),"Confirmed link lacks verification","OK — verify source"))))))))))))))</f>
        <v/>
      </c>
    </row>
    <row r="342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6" t="n"/>
      <c r="M342" s="25" t="n"/>
      <c r="N342" s="25">
        <f>IF(COUNTA(A342:M342)=0,"",IF(OR(A342="",B342="",C342="",D342="",E342="",F342="",I342="",J342="",K342="",M342=""),"Required link detail missing",IF(COUNTIF($A$4:$A$1003,A342)&gt;1,"Duplicate Map Edge ID",IF(NOT(OR(AND(B342="UC",E342="CAP",D342="requires"),AND(B342="CAP",E342="AIR",D342="provided by"),AND(B342="AIR",OR(E342="MOD",E342="DATA",E342="IF",E342="AG",E342="TOOL"),D342="references"),AND(B342="AIR",E342="AIR",D342="depends on"))),"Invalid relationship",IF(AND(M342&lt;&gt;"Superseded",COUNTIFS($B$4:$B$1003,B342,$C$4:$C$1003,C342,$D$4:$D$1003,D342,$E$4:$E$1003,E342,$F$4:$F$1003,F342,$G$4:$G$1003,G342,$M$4:$M$1003,"&lt;&gt;Superseded")&gt;1),"Duplicate relationship",IF(OR(IF(B342="UC",COUNTIF('Use cases'!$A$4:$A$253,C342),IF(B342="CAP",COUNTIF(Capabilities!$A$4:$A$253,C342),IF(B342="AIR",COUNTIF('System map'!$A$4:$A$203,C342),COUNTIFS(Components!$A$4:$A$253,C342,Components!$B$4:$B$253,B342))))&lt;&gt;1,IF(E342="UC",COUNTIF('Use cases'!$A$4:$A$253,F342),IF(E342="CAP",COUNTIF(Capabilities!$A$4:$A$253,F342),IF(E342="AIR",COUNTIF('System map'!$A$4:$A$203,F342),COUNTIFS(Components!$A$4:$A$253,F342,Components!$B$4:$B$253,E342))))&lt;&gt;1),"Endpoint missing or duplicated",IF(AND(NOT(AND(B342="UC",E342="CAP")),OR(G342="",COUNTIF('System map'!$A$4:$A$203,G342)&lt;&gt;1)),"AIR context missing / unknown",IF(AND(B342="CAP",E342="AIR",G342&lt;&gt;F342),"AIR context mismatch",IF(AND(B342="AIR",G342&lt;&gt;C342),"AIR context mismatch",IF(AND(B342="AIR",E342="AIR",C342=F342),"Self-dependency",IF(AND(B342="AIR",E342="AIR",M342&lt;&gt;"Superseded",COUNTIFS($B$4:$B$1003,"AIR",$C$4:$C$1003,F342,$E$4:$E$1003,"AIR",$F$4:$F$1003,C342,$M$4:$M$1003,"&lt;&gt;Superseded")&gt;0),"Dependency cycle (A↔B) — review",IF(AND(B342="AIR",OR(E342="MOD",E342="DATA",E342="IF",E342="AG",E342="TOOL"),IFERROR(INDEX(Components!$G$4:$G$253,MATCH(F342,Components!$A$4:$A$253,0)),"")&lt;&gt;"",IFERROR(INDEX(Components!$G$4:$G$253,MATCH(F342,Components!$A$4:$A$253,0)),"")&lt;&gt;C342),"Component owned by another AIR-ID",IF(AND(M342="Confirmed",OR(IF(B342="UC",COUNTIFS('Use cases'!$A$4:$A$253,C342,'Use cases'!$I$4:$I$253,"Confirmed",'Use cases'!$J$4:$J$253,"OK — verify source"),IF(B342="CAP",COUNTIFS(Capabilities!$A$4:$A$253,C342,Capabilities!$J$4:$J$253,"Confirmed",Capabilities!$K$4:$K$253,"OK — verify source"),IF(B342="AIR",COUNTIFS('System map'!$A$4:$A$203,C342,'System map'!$B$4:$B$203,"&lt;&gt;",'System map'!$C$4:$C$203,"&lt;&gt;",'System map'!$D$4:$D$203,"&lt;&gt;"),COUNTIFS(Components!$A$4:$A$253,C342,Components!$B$4:$B$253,B342,Components!$K$4:$K$253,"Confirmed",Components!$L$4:$L$253,"OK — verify source"))))&lt;&gt;1,IF(E342="UC",COUNTIFS('Use cases'!$A$4:$A$253,F342,'Use cases'!$I$4:$I$253,"Confirmed",'Use cases'!$J$4:$J$253,"OK — verify source"),IF(E342="CAP",COUNTIFS(Capabilities!$A$4:$A$253,F342,Capabilities!$J$4:$J$253,"Confirmed",Capabilities!$K$4:$K$253,"OK — verify source"),IF(E342="AIR",COUNTIFS('System map'!$A$4:$A$203,F342,'System map'!$B$4:$B$203,"&lt;&gt;",'System map'!$C$4:$C$203,"&lt;&gt;",'System map'!$D$4:$D$203,"&lt;&gt;"),COUNTIFS(Components!$A$4:$A$253,F342,Components!$B$4:$B$253,E342,Components!$K$4:$K$253,"Confirmed",Components!$L$4:$L$253,"OK — verify source"))))&lt;&gt;1)),"Endpoint not source-reconciled",IF(AND(M342="Confirmed",OR(L342="",K342="",K342="Unknown",K342="Low")),"Confirmed link lacks verification","OK — verify source"))))))))))))))</f>
        <v/>
      </c>
    </row>
    <row r="343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8" t="n"/>
      <c r="M343" s="27" t="n"/>
      <c r="N343" s="27">
        <f>IF(COUNTA(A343:M343)=0,"",IF(OR(A343="",B343="",C343="",D343="",E343="",F343="",I343="",J343="",K343="",M343=""),"Required link detail missing",IF(COUNTIF($A$4:$A$1003,A343)&gt;1,"Duplicate Map Edge ID",IF(NOT(OR(AND(B343="UC",E343="CAP",D343="requires"),AND(B343="CAP",E343="AIR",D343="provided by"),AND(B343="AIR",OR(E343="MOD",E343="DATA",E343="IF",E343="AG",E343="TOOL"),D343="references"),AND(B343="AIR",E343="AIR",D343="depends on"))),"Invalid relationship",IF(AND(M343&lt;&gt;"Superseded",COUNTIFS($B$4:$B$1003,B343,$C$4:$C$1003,C343,$D$4:$D$1003,D343,$E$4:$E$1003,E343,$F$4:$F$1003,F343,$G$4:$G$1003,G343,$M$4:$M$1003,"&lt;&gt;Superseded")&gt;1),"Duplicate relationship",IF(OR(IF(B343="UC",COUNTIF('Use cases'!$A$4:$A$253,C343),IF(B343="CAP",COUNTIF(Capabilities!$A$4:$A$253,C343),IF(B343="AIR",COUNTIF('System map'!$A$4:$A$203,C343),COUNTIFS(Components!$A$4:$A$253,C343,Components!$B$4:$B$253,B343))))&lt;&gt;1,IF(E343="UC",COUNTIF('Use cases'!$A$4:$A$253,F343),IF(E343="CAP",COUNTIF(Capabilities!$A$4:$A$253,F343),IF(E343="AIR",COUNTIF('System map'!$A$4:$A$203,F343),COUNTIFS(Components!$A$4:$A$253,F343,Components!$B$4:$B$253,E343))))&lt;&gt;1),"Endpoint missing or duplicated",IF(AND(NOT(AND(B343="UC",E343="CAP")),OR(G343="",COUNTIF('System map'!$A$4:$A$203,G343)&lt;&gt;1)),"AIR context missing / unknown",IF(AND(B343="CAP",E343="AIR",G343&lt;&gt;F343),"AIR context mismatch",IF(AND(B343="AIR",G343&lt;&gt;C343),"AIR context mismatch",IF(AND(B343="AIR",E343="AIR",C343=F343),"Self-dependency",IF(AND(B343="AIR",E343="AIR",M343&lt;&gt;"Superseded",COUNTIFS($B$4:$B$1003,"AIR",$C$4:$C$1003,F343,$E$4:$E$1003,"AIR",$F$4:$F$1003,C343,$M$4:$M$1003,"&lt;&gt;Superseded")&gt;0),"Dependency cycle (A↔B) — review",IF(AND(B343="AIR",OR(E343="MOD",E343="DATA",E343="IF",E343="AG",E343="TOOL"),IFERROR(INDEX(Components!$G$4:$G$253,MATCH(F343,Components!$A$4:$A$253,0)),"")&lt;&gt;"",IFERROR(INDEX(Components!$G$4:$G$253,MATCH(F343,Components!$A$4:$A$253,0)),"")&lt;&gt;C343),"Component owned by another AIR-ID",IF(AND(M343="Confirmed",OR(IF(B343="UC",COUNTIFS('Use cases'!$A$4:$A$253,C343,'Use cases'!$I$4:$I$253,"Confirmed",'Use cases'!$J$4:$J$253,"OK — verify source"),IF(B343="CAP",COUNTIFS(Capabilities!$A$4:$A$253,C343,Capabilities!$J$4:$J$253,"Confirmed",Capabilities!$K$4:$K$253,"OK — verify source"),IF(B343="AIR",COUNTIFS('System map'!$A$4:$A$203,C343,'System map'!$B$4:$B$203,"&lt;&gt;",'System map'!$C$4:$C$203,"&lt;&gt;",'System map'!$D$4:$D$203,"&lt;&gt;"),COUNTIFS(Components!$A$4:$A$253,C343,Components!$B$4:$B$253,B343,Components!$K$4:$K$253,"Confirmed",Components!$L$4:$L$253,"OK — verify source"))))&lt;&gt;1,IF(E343="UC",COUNTIFS('Use cases'!$A$4:$A$253,F343,'Use cases'!$I$4:$I$253,"Confirmed",'Use cases'!$J$4:$J$253,"OK — verify source"),IF(E343="CAP",COUNTIFS(Capabilities!$A$4:$A$253,F343,Capabilities!$J$4:$J$253,"Confirmed",Capabilities!$K$4:$K$253,"OK — verify source"),IF(E343="AIR",COUNTIFS('System map'!$A$4:$A$203,F343,'System map'!$B$4:$B$203,"&lt;&gt;",'System map'!$C$4:$C$203,"&lt;&gt;",'System map'!$D$4:$D$203,"&lt;&gt;"),COUNTIFS(Components!$A$4:$A$253,F343,Components!$B$4:$B$253,E343,Components!$K$4:$K$253,"Confirmed",Components!$L$4:$L$253,"OK — verify source"))))&lt;&gt;1)),"Endpoint not source-reconciled",IF(AND(M343="Confirmed",OR(L343="",K343="",K343="Unknown",K343="Low")),"Confirmed link lacks verification","OK — verify source"))))))))))))))</f>
        <v/>
      </c>
    </row>
    <row r="34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6" t="n"/>
      <c r="M344" s="25" t="n"/>
      <c r="N344" s="25">
        <f>IF(COUNTA(A344:M344)=0,"",IF(OR(A344="",B344="",C344="",D344="",E344="",F344="",I344="",J344="",K344="",M344=""),"Required link detail missing",IF(COUNTIF($A$4:$A$1003,A344)&gt;1,"Duplicate Map Edge ID",IF(NOT(OR(AND(B344="UC",E344="CAP",D344="requires"),AND(B344="CAP",E344="AIR",D344="provided by"),AND(B344="AIR",OR(E344="MOD",E344="DATA",E344="IF",E344="AG",E344="TOOL"),D344="references"),AND(B344="AIR",E344="AIR",D344="depends on"))),"Invalid relationship",IF(AND(M344&lt;&gt;"Superseded",COUNTIFS($B$4:$B$1003,B344,$C$4:$C$1003,C344,$D$4:$D$1003,D344,$E$4:$E$1003,E344,$F$4:$F$1003,F344,$G$4:$G$1003,G344,$M$4:$M$1003,"&lt;&gt;Superseded")&gt;1),"Duplicate relationship",IF(OR(IF(B344="UC",COUNTIF('Use cases'!$A$4:$A$253,C344),IF(B344="CAP",COUNTIF(Capabilities!$A$4:$A$253,C344),IF(B344="AIR",COUNTIF('System map'!$A$4:$A$203,C344),COUNTIFS(Components!$A$4:$A$253,C344,Components!$B$4:$B$253,B344))))&lt;&gt;1,IF(E344="UC",COUNTIF('Use cases'!$A$4:$A$253,F344),IF(E344="CAP",COUNTIF(Capabilities!$A$4:$A$253,F344),IF(E344="AIR",COUNTIF('System map'!$A$4:$A$203,F344),COUNTIFS(Components!$A$4:$A$253,F344,Components!$B$4:$B$253,E344))))&lt;&gt;1),"Endpoint missing or duplicated",IF(AND(NOT(AND(B344="UC",E344="CAP")),OR(G344="",COUNTIF('System map'!$A$4:$A$203,G344)&lt;&gt;1)),"AIR context missing / unknown",IF(AND(B344="CAP",E344="AIR",G344&lt;&gt;F344),"AIR context mismatch",IF(AND(B344="AIR",G344&lt;&gt;C344),"AIR context mismatch",IF(AND(B344="AIR",E344="AIR",C344=F344),"Self-dependency",IF(AND(B344="AIR",E344="AIR",M344&lt;&gt;"Superseded",COUNTIFS($B$4:$B$1003,"AIR",$C$4:$C$1003,F344,$E$4:$E$1003,"AIR",$F$4:$F$1003,C344,$M$4:$M$1003,"&lt;&gt;Superseded")&gt;0),"Dependency cycle (A↔B) — review",IF(AND(B344="AIR",OR(E344="MOD",E344="DATA",E344="IF",E344="AG",E344="TOOL"),IFERROR(INDEX(Components!$G$4:$G$253,MATCH(F344,Components!$A$4:$A$253,0)),"")&lt;&gt;"",IFERROR(INDEX(Components!$G$4:$G$253,MATCH(F344,Components!$A$4:$A$253,0)),"")&lt;&gt;C344),"Component owned by another AIR-ID",IF(AND(M344="Confirmed",OR(IF(B344="UC",COUNTIFS('Use cases'!$A$4:$A$253,C344,'Use cases'!$I$4:$I$253,"Confirmed",'Use cases'!$J$4:$J$253,"OK — verify source"),IF(B344="CAP",COUNTIFS(Capabilities!$A$4:$A$253,C344,Capabilities!$J$4:$J$253,"Confirmed",Capabilities!$K$4:$K$253,"OK — verify source"),IF(B344="AIR",COUNTIFS('System map'!$A$4:$A$203,C344,'System map'!$B$4:$B$203,"&lt;&gt;",'System map'!$C$4:$C$203,"&lt;&gt;",'System map'!$D$4:$D$203,"&lt;&gt;"),COUNTIFS(Components!$A$4:$A$253,C344,Components!$B$4:$B$253,B344,Components!$K$4:$K$253,"Confirmed",Components!$L$4:$L$253,"OK — verify source"))))&lt;&gt;1,IF(E344="UC",COUNTIFS('Use cases'!$A$4:$A$253,F344,'Use cases'!$I$4:$I$253,"Confirmed",'Use cases'!$J$4:$J$253,"OK — verify source"),IF(E344="CAP",COUNTIFS(Capabilities!$A$4:$A$253,F344,Capabilities!$J$4:$J$253,"Confirmed",Capabilities!$K$4:$K$253,"OK — verify source"),IF(E344="AIR",COUNTIFS('System map'!$A$4:$A$203,F344,'System map'!$B$4:$B$203,"&lt;&gt;",'System map'!$C$4:$C$203,"&lt;&gt;",'System map'!$D$4:$D$203,"&lt;&gt;"),COUNTIFS(Components!$A$4:$A$253,F344,Components!$B$4:$B$253,E344,Components!$K$4:$K$253,"Confirmed",Components!$L$4:$L$253,"OK — verify source"))))&lt;&gt;1)),"Endpoint not source-reconciled",IF(AND(M344="Confirmed",OR(L344="",K344="",K344="Unknown",K344="Low")),"Confirmed link lacks verification","OK — verify source"))))))))))))))</f>
        <v/>
      </c>
    </row>
    <row r="345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8" t="n"/>
      <c r="M345" s="27" t="n"/>
      <c r="N345" s="27">
        <f>IF(COUNTA(A345:M345)=0,"",IF(OR(A345="",B345="",C345="",D345="",E345="",F345="",I345="",J345="",K345="",M345=""),"Required link detail missing",IF(COUNTIF($A$4:$A$1003,A345)&gt;1,"Duplicate Map Edge ID",IF(NOT(OR(AND(B345="UC",E345="CAP",D345="requires"),AND(B345="CAP",E345="AIR",D345="provided by"),AND(B345="AIR",OR(E345="MOD",E345="DATA",E345="IF",E345="AG",E345="TOOL"),D345="references"),AND(B345="AIR",E345="AIR",D345="depends on"))),"Invalid relationship",IF(AND(M345&lt;&gt;"Superseded",COUNTIFS($B$4:$B$1003,B345,$C$4:$C$1003,C345,$D$4:$D$1003,D345,$E$4:$E$1003,E345,$F$4:$F$1003,F345,$G$4:$G$1003,G345,$M$4:$M$1003,"&lt;&gt;Superseded")&gt;1),"Duplicate relationship",IF(OR(IF(B345="UC",COUNTIF('Use cases'!$A$4:$A$253,C345),IF(B345="CAP",COUNTIF(Capabilities!$A$4:$A$253,C345),IF(B345="AIR",COUNTIF('System map'!$A$4:$A$203,C345),COUNTIFS(Components!$A$4:$A$253,C345,Components!$B$4:$B$253,B345))))&lt;&gt;1,IF(E345="UC",COUNTIF('Use cases'!$A$4:$A$253,F345),IF(E345="CAP",COUNTIF(Capabilities!$A$4:$A$253,F345),IF(E345="AIR",COUNTIF('System map'!$A$4:$A$203,F345),COUNTIFS(Components!$A$4:$A$253,F345,Components!$B$4:$B$253,E345))))&lt;&gt;1),"Endpoint missing or duplicated",IF(AND(NOT(AND(B345="UC",E345="CAP")),OR(G345="",COUNTIF('System map'!$A$4:$A$203,G345)&lt;&gt;1)),"AIR context missing / unknown",IF(AND(B345="CAP",E345="AIR",G345&lt;&gt;F345),"AIR context mismatch",IF(AND(B345="AIR",G345&lt;&gt;C345),"AIR context mismatch",IF(AND(B345="AIR",E345="AIR",C345=F345),"Self-dependency",IF(AND(B345="AIR",E345="AIR",M345&lt;&gt;"Superseded",COUNTIFS($B$4:$B$1003,"AIR",$C$4:$C$1003,F345,$E$4:$E$1003,"AIR",$F$4:$F$1003,C345,$M$4:$M$1003,"&lt;&gt;Superseded")&gt;0),"Dependency cycle (A↔B) — review",IF(AND(B345="AIR",OR(E345="MOD",E345="DATA",E345="IF",E345="AG",E345="TOOL"),IFERROR(INDEX(Components!$G$4:$G$253,MATCH(F345,Components!$A$4:$A$253,0)),"")&lt;&gt;"",IFERROR(INDEX(Components!$G$4:$G$253,MATCH(F345,Components!$A$4:$A$253,0)),"")&lt;&gt;C345),"Component owned by another AIR-ID",IF(AND(M345="Confirmed",OR(IF(B345="UC",COUNTIFS('Use cases'!$A$4:$A$253,C345,'Use cases'!$I$4:$I$253,"Confirmed",'Use cases'!$J$4:$J$253,"OK — verify source"),IF(B345="CAP",COUNTIFS(Capabilities!$A$4:$A$253,C345,Capabilities!$J$4:$J$253,"Confirmed",Capabilities!$K$4:$K$253,"OK — verify source"),IF(B345="AIR",COUNTIFS('System map'!$A$4:$A$203,C345,'System map'!$B$4:$B$203,"&lt;&gt;",'System map'!$C$4:$C$203,"&lt;&gt;",'System map'!$D$4:$D$203,"&lt;&gt;"),COUNTIFS(Components!$A$4:$A$253,C345,Components!$B$4:$B$253,B345,Components!$K$4:$K$253,"Confirmed",Components!$L$4:$L$253,"OK — verify source"))))&lt;&gt;1,IF(E345="UC",COUNTIFS('Use cases'!$A$4:$A$253,F345,'Use cases'!$I$4:$I$253,"Confirmed",'Use cases'!$J$4:$J$253,"OK — verify source"),IF(E345="CAP",COUNTIFS(Capabilities!$A$4:$A$253,F345,Capabilities!$J$4:$J$253,"Confirmed",Capabilities!$K$4:$K$253,"OK — verify source"),IF(E345="AIR",COUNTIFS('System map'!$A$4:$A$203,F345,'System map'!$B$4:$B$203,"&lt;&gt;",'System map'!$C$4:$C$203,"&lt;&gt;",'System map'!$D$4:$D$203,"&lt;&gt;"),COUNTIFS(Components!$A$4:$A$253,F345,Components!$B$4:$B$253,E345,Components!$K$4:$K$253,"Confirmed",Components!$L$4:$L$253,"OK — verify source"))))&lt;&gt;1)),"Endpoint not source-reconciled",IF(AND(M345="Confirmed",OR(L345="",K345="",K345="Unknown",K345="Low")),"Confirmed link lacks verification","OK — verify source"))))))))))))))</f>
        <v/>
      </c>
    </row>
    <row r="346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6" t="n"/>
      <c r="M346" s="25" t="n"/>
      <c r="N346" s="25">
        <f>IF(COUNTA(A346:M346)=0,"",IF(OR(A346="",B346="",C346="",D346="",E346="",F346="",I346="",J346="",K346="",M346=""),"Required link detail missing",IF(COUNTIF($A$4:$A$1003,A346)&gt;1,"Duplicate Map Edge ID",IF(NOT(OR(AND(B346="UC",E346="CAP",D346="requires"),AND(B346="CAP",E346="AIR",D346="provided by"),AND(B346="AIR",OR(E346="MOD",E346="DATA",E346="IF",E346="AG",E346="TOOL"),D346="references"),AND(B346="AIR",E346="AIR",D346="depends on"))),"Invalid relationship",IF(AND(M346&lt;&gt;"Superseded",COUNTIFS($B$4:$B$1003,B346,$C$4:$C$1003,C346,$D$4:$D$1003,D346,$E$4:$E$1003,E346,$F$4:$F$1003,F346,$G$4:$G$1003,G346,$M$4:$M$1003,"&lt;&gt;Superseded")&gt;1),"Duplicate relationship",IF(OR(IF(B346="UC",COUNTIF('Use cases'!$A$4:$A$253,C346),IF(B346="CAP",COUNTIF(Capabilities!$A$4:$A$253,C346),IF(B346="AIR",COUNTIF('System map'!$A$4:$A$203,C346),COUNTIFS(Components!$A$4:$A$253,C346,Components!$B$4:$B$253,B346))))&lt;&gt;1,IF(E346="UC",COUNTIF('Use cases'!$A$4:$A$253,F346),IF(E346="CAP",COUNTIF(Capabilities!$A$4:$A$253,F346),IF(E346="AIR",COUNTIF('System map'!$A$4:$A$203,F346),COUNTIFS(Components!$A$4:$A$253,F346,Components!$B$4:$B$253,E346))))&lt;&gt;1),"Endpoint missing or duplicated",IF(AND(NOT(AND(B346="UC",E346="CAP")),OR(G346="",COUNTIF('System map'!$A$4:$A$203,G346)&lt;&gt;1)),"AIR context missing / unknown",IF(AND(B346="CAP",E346="AIR",G346&lt;&gt;F346),"AIR context mismatch",IF(AND(B346="AIR",G346&lt;&gt;C346),"AIR context mismatch",IF(AND(B346="AIR",E346="AIR",C346=F346),"Self-dependency",IF(AND(B346="AIR",E346="AIR",M346&lt;&gt;"Superseded",COUNTIFS($B$4:$B$1003,"AIR",$C$4:$C$1003,F346,$E$4:$E$1003,"AIR",$F$4:$F$1003,C346,$M$4:$M$1003,"&lt;&gt;Superseded")&gt;0),"Dependency cycle (A↔B) — review",IF(AND(B346="AIR",OR(E346="MOD",E346="DATA",E346="IF",E346="AG",E346="TOOL"),IFERROR(INDEX(Components!$G$4:$G$253,MATCH(F346,Components!$A$4:$A$253,0)),"")&lt;&gt;"",IFERROR(INDEX(Components!$G$4:$G$253,MATCH(F346,Components!$A$4:$A$253,0)),"")&lt;&gt;C346),"Component owned by another AIR-ID",IF(AND(M346="Confirmed",OR(IF(B346="UC",COUNTIFS('Use cases'!$A$4:$A$253,C346,'Use cases'!$I$4:$I$253,"Confirmed",'Use cases'!$J$4:$J$253,"OK — verify source"),IF(B346="CAP",COUNTIFS(Capabilities!$A$4:$A$253,C346,Capabilities!$J$4:$J$253,"Confirmed",Capabilities!$K$4:$K$253,"OK — verify source"),IF(B346="AIR",COUNTIFS('System map'!$A$4:$A$203,C346,'System map'!$B$4:$B$203,"&lt;&gt;",'System map'!$C$4:$C$203,"&lt;&gt;",'System map'!$D$4:$D$203,"&lt;&gt;"),COUNTIFS(Components!$A$4:$A$253,C346,Components!$B$4:$B$253,B346,Components!$K$4:$K$253,"Confirmed",Components!$L$4:$L$253,"OK — verify source"))))&lt;&gt;1,IF(E346="UC",COUNTIFS('Use cases'!$A$4:$A$253,F346,'Use cases'!$I$4:$I$253,"Confirmed",'Use cases'!$J$4:$J$253,"OK — verify source"),IF(E346="CAP",COUNTIFS(Capabilities!$A$4:$A$253,F346,Capabilities!$J$4:$J$253,"Confirmed",Capabilities!$K$4:$K$253,"OK — verify source"),IF(E346="AIR",COUNTIFS('System map'!$A$4:$A$203,F346,'System map'!$B$4:$B$203,"&lt;&gt;",'System map'!$C$4:$C$203,"&lt;&gt;",'System map'!$D$4:$D$203,"&lt;&gt;"),COUNTIFS(Components!$A$4:$A$253,F346,Components!$B$4:$B$253,E346,Components!$K$4:$K$253,"Confirmed",Components!$L$4:$L$253,"OK — verify source"))))&lt;&gt;1)),"Endpoint not source-reconciled",IF(AND(M346="Confirmed",OR(L346="",K346="",K346="Unknown",K346="Low")),"Confirmed link lacks verification","OK — verify source"))))))))))))))</f>
        <v/>
      </c>
    </row>
    <row r="347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8" t="n"/>
      <c r="M347" s="27" t="n"/>
      <c r="N347" s="27">
        <f>IF(COUNTA(A347:M347)=0,"",IF(OR(A347="",B347="",C347="",D347="",E347="",F347="",I347="",J347="",K347="",M347=""),"Required link detail missing",IF(COUNTIF($A$4:$A$1003,A347)&gt;1,"Duplicate Map Edge ID",IF(NOT(OR(AND(B347="UC",E347="CAP",D347="requires"),AND(B347="CAP",E347="AIR",D347="provided by"),AND(B347="AIR",OR(E347="MOD",E347="DATA",E347="IF",E347="AG",E347="TOOL"),D347="references"),AND(B347="AIR",E347="AIR",D347="depends on"))),"Invalid relationship",IF(AND(M347&lt;&gt;"Superseded",COUNTIFS($B$4:$B$1003,B347,$C$4:$C$1003,C347,$D$4:$D$1003,D347,$E$4:$E$1003,E347,$F$4:$F$1003,F347,$G$4:$G$1003,G347,$M$4:$M$1003,"&lt;&gt;Superseded")&gt;1),"Duplicate relationship",IF(OR(IF(B347="UC",COUNTIF('Use cases'!$A$4:$A$253,C347),IF(B347="CAP",COUNTIF(Capabilities!$A$4:$A$253,C347),IF(B347="AIR",COUNTIF('System map'!$A$4:$A$203,C347),COUNTIFS(Components!$A$4:$A$253,C347,Components!$B$4:$B$253,B347))))&lt;&gt;1,IF(E347="UC",COUNTIF('Use cases'!$A$4:$A$253,F347),IF(E347="CAP",COUNTIF(Capabilities!$A$4:$A$253,F347),IF(E347="AIR",COUNTIF('System map'!$A$4:$A$203,F347),COUNTIFS(Components!$A$4:$A$253,F347,Components!$B$4:$B$253,E347))))&lt;&gt;1),"Endpoint missing or duplicated",IF(AND(NOT(AND(B347="UC",E347="CAP")),OR(G347="",COUNTIF('System map'!$A$4:$A$203,G347)&lt;&gt;1)),"AIR context missing / unknown",IF(AND(B347="CAP",E347="AIR",G347&lt;&gt;F347),"AIR context mismatch",IF(AND(B347="AIR",G347&lt;&gt;C347),"AIR context mismatch",IF(AND(B347="AIR",E347="AIR",C347=F347),"Self-dependency",IF(AND(B347="AIR",E347="AIR",M347&lt;&gt;"Superseded",COUNTIFS($B$4:$B$1003,"AIR",$C$4:$C$1003,F347,$E$4:$E$1003,"AIR",$F$4:$F$1003,C347,$M$4:$M$1003,"&lt;&gt;Superseded")&gt;0),"Dependency cycle (A↔B) — review",IF(AND(B347="AIR",OR(E347="MOD",E347="DATA",E347="IF",E347="AG",E347="TOOL"),IFERROR(INDEX(Components!$G$4:$G$253,MATCH(F347,Components!$A$4:$A$253,0)),"")&lt;&gt;"",IFERROR(INDEX(Components!$G$4:$G$253,MATCH(F347,Components!$A$4:$A$253,0)),"")&lt;&gt;C347),"Component owned by another AIR-ID",IF(AND(M347="Confirmed",OR(IF(B347="UC",COUNTIFS('Use cases'!$A$4:$A$253,C347,'Use cases'!$I$4:$I$253,"Confirmed",'Use cases'!$J$4:$J$253,"OK — verify source"),IF(B347="CAP",COUNTIFS(Capabilities!$A$4:$A$253,C347,Capabilities!$J$4:$J$253,"Confirmed",Capabilities!$K$4:$K$253,"OK — verify source"),IF(B347="AIR",COUNTIFS('System map'!$A$4:$A$203,C347,'System map'!$B$4:$B$203,"&lt;&gt;",'System map'!$C$4:$C$203,"&lt;&gt;",'System map'!$D$4:$D$203,"&lt;&gt;"),COUNTIFS(Components!$A$4:$A$253,C347,Components!$B$4:$B$253,B347,Components!$K$4:$K$253,"Confirmed",Components!$L$4:$L$253,"OK — verify source"))))&lt;&gt;1,IF(E347="UC",COUNTIFS('Use cases'!$A$4:$A$253,F347,'Use cases'!$I$4:$I$253,"Confirmed",'Use cases'!$J$4:$J$253,"OK — verify source"),IF(E347="CAP",COUNTIFS(Capabilities!$A$4:$A$253,F347,Capabilities!$J$4:$J$253,"Confirmed",Capabilities!$K$4:$K$253,"OK — verify source"),IF(E347="AIR",COUNTIFS('System map'!$A$4:$A$203,F347,'System map'!$B$4:$B$203,"&lt;&gt;",'System map'!$C$4:$C$203,"&lt;&gt;",'System map'!$D$4:$D$203,"&lt;&gt;"),COUNTIFS(Components!$A$4:$A$253,F347,Components!$B$4:$B$253,E347,Components!$K$4:$K$253,"Confirmed",Components!$L$4:$L$253,"OK — verify source"))))&lt;&gt;1)),"Endpoint not source-reconciled",IF(AND(M347="Confirmed",OR(L347="",K347="",K347="Unknown",K347="Low")),"Confirmed link lacks verification","OK — verify source"))))))))))))))</f>
        <v/>
      </c>
    </row>
    <row r="348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6" t="n"/>
      <c r="M348" s="25" t="n"/>
      <c r="N348" s="25">
        <f>IF(COUNTA(A348:M348)=0,"",IF(OR(A348="",B348="",C348="",D348="",E348="",F348="",I348="",J348="",K348="",M348=""),"Required link detail missing",IF(COUNTIF($A$4:$A$1003,A348)&gt;1,"Duplicate Map Edge ID",IF(NOT(OR(AND(B348="UC",E348="CAP",D348="requires"),AND(B348="CAP",E348="AIR",D348="provided by"),AND(B348="AIR",OR(E348="MOD",E348="DATA",E348="IF",E348="AG",E348="TOOL"),D348="references"),AND(B348="AIR",E348="AIR",D348="depends on"))),"Invalid relationship",IF(AND(M348&lt;&gt;"Superseded",COUNTIFS($B$4:$B$1003,B348,$C$4:$C$1003,C348,$D$4:$D$1003,D348,$E$4:$E$1003,E348,$F$4:$F$1003,F348,$G$4:$G$1003,G348,$M$4:$M$1003,"&lt;&gt;Superseded")&gt;1),"Duplicate relationship",IF(OR(IF(B348="UC",COUNTIF('Use cases'!$A$4:$A$253,C348),IF(B348="CAP",COUNTIF(Capabilities!$A$4:$A$253,C348),IF(B348="AIR",COUNTIF('System map'!$A$4:$A$203,C348),COUNTIFS(Components!$A$4:$A$253,C348,Components!$B$4:$B$253,B348))))&lt;&gt;1,IF(E348="UC",COUNTIF('Use cases'!$A$4:$A$253,F348),IF(E348="CAP",COUNTIF(Capabilities!$A$4:$A$253,F348),IF(E348="AIR",COUNTIF('System map'!$A$4:$A$203,F348),COUNTIFS(Components!$A$4:$A$253,F348,Components!$B$4:$B$253,E348))))&lt;&gt;1),"Endpoint missing or duplicated",IF(AND(NOT(AND(B348="UC",E348="CAP")),OR(G348="",COUNTIF('System map'!$A$4:$A$203,G348)&lt;&gt;1)),"AIR context missing / unknown",IF(AND(B348="CAP",E348="AIR",G348&lt;&gt;F348),"AIR context mismatch",IF(AND(B348="AIR",G348&lt;&gt;C348),"AIR context mismatch",IF(AND(B348="AIR",E348="AIR",C348=F348),"Self-dependency",IF(AND(B348="AIR",E348="AIR",M348&lt;&gt;"Superseded",COUNTIFS($B$4:$B$1003,"AIR",$C$4:$C$1003,F348,$E$4:$E$1003,"AIR",$F$4:$F$1003,C348,$M$4:$M$1003,"&lt;&gt;Superseded")&gt;0),"Dependency cycle (A↔B) — review",IF(AND(B348="AIR",OR(E348="MOD",E348="DATA",E348="IF",E348="AG",E348="TOOL"),IFERROR(INDEX(Components!$G$4:$G$253,MATCH(F348,Components!$A$4:$A$253,0)),"")&lt;&gt;"",IFERROR(INDEX(Components!$G$4:$G$253,MATCH(F348,Components!$A$4:$A$253,0)),"")&lt;&gt;C348),"Component owned by another AIR-ID",IF(AND(M348="Confirmed",OR(IF(B348="UC",COUNTIFS('Use cases'!$A$4:$A$253,C348,'Use cases'!$I$4:$I$253,"Confirmed",'Use cases'!$J$4:$J$253,"OK — verify source"),IF(B348="CAP",COUNTIFS(Capabilities!$A$4:$A$253,C348,Capabilities!$J$4:$J$253,"Confirmed",Capabilities!$K$4:$K$253,"OK — verify source"),IF(B348="AIR",COUNTIFS('System map'!$A$4:$A$203,C348,'System map'!$B$4:$B$203,"&lt;&gt;",'System map'!$C$4:$C$203,"&lt;&gt;",'System map'!$D$4:$D$203,"&lt;&gt;"),COUNTIFS(Components!$A$4:$A$253,C348,Components!$B$4:$B$253,B348,Components!$K$4:$K$253,"Confirmed",Components!$L$4:$L$253,"OK — verify source"))))&lt;&gt;1,IF(E348="UC",COUNTIFS('Use cases'!$A$4:$A$253,F348,'Use cases'!$I$4:$I$253,"Confirmed",'Use cases'!$J$4:$J$253,"OK — verify source"),IF(E348="CAP",COUNTIFS(Capabilities!$A$4:$A$253,F348,Capabilities!$J$4:$J$253,"Confirmed",Capabilities!$K$4:$K$253,"OK — verify source"),IF(E348="AIR",COUNTIFS('System map'!$A$4:$A$203,F348,'System map'!$B$4:$B$203,"&lt;&gt;",'System map'!$C$4:$C$203,"&lt;&gt;",'System map'!$D$4:$D$203,"&lt;&gt;"),COUNTIFS(Components!$A$4:$A$253,F348,Components!$B$4:$B$253,E348,Components!$K$4:$K$253,"Confirmed",Components!$L$4:$L$253,"OK — verify source"))))&lt;&gt;1)),"Endpoint not source-reconciled",IF(AND(M348="Confirmed",OR(L348="",K348="",K348="Unknown",K348="Low")),"Confirmed link lacks verification","OK — verify source"))))))))))))))</f>
        <v/>
      </c>
    </row>
    <row r="349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8" t="n"/>
      <c r="M349" s="27" t="n"/>
      <c r="N349" s="27">
        <f>IF(COUNTA(A349:M349)=0,"",IF(OR(A349="",B349="",C349="",D349="",E349="",F349="",I349="",J349="",K349="",M349=""),"Required link detail missing",IF(COUNTIF($A$4:$A$1003,A349)&gt;1,"Duplicate Map Edge ID",IF(NOT(OR(AND(B349="UC",E349="CAP",D349="requires"),AND(B349="CAP",E349="AIR",D349="provided by"),AND(B349="AIR",OR(E349="MOD",E349="DATA",E349="IF",E349="AG",E349="TOOL"),D349="references"),AND(B349="AIR",E349="AIR",D349="depends on"))),"Invalid relationship",IF(AND(M349&lt;&gt;"Superseded",COUNTIFS($B$4:$B$1003,B349,$C$4:$C$1003,C349,$D$4:$D$1003,D349,$E$4:$E$1003,E349,$F$4:$F$1003,F349,$G$4:$G$1003,G349,$M$4:$M$1003,"&lt;&gt;Superseded")&gt;1),"Duplicate relationship",IF(OR(IF(B349="UC",COUNTIF('Use cases'!$A$4:$A$253,C349),IF(B349="CAP",COUNTIF(Capabilities!$A$4:$A$253,C349),IF(B349="AIR",COUNTIF('System map'!$A$4:$A$203,C349),COUNTIFS(Components!$A$4:$A$253,C349,Components!$B$4:$B$253,B349))))&lt;&gt;1,IF(E349="UC",COUNTIF('Use cases'!$A$4:$A$253,F349),IF(E349="CAP",COUNTIF(Capabilities!$A$4:$A$253,F349),IF(E349="AIR",COUNTIF('System map'!$A$4:$A$203,F349),COUNTIFS(Components!$A$4:$A$253,F349,Components!$B$4:$B$253,E349))))&lt;&gt;1),"Endpoint missing or duplicated",IF(AND(NOT(AND(B349="UC",E349="CAP")),OR(G349="",COUNTIF('System map'!$A$4:$A$203,G349)&lt;&gt;1)),"AIR context missing / unknown",IF(AND(B349="CAP",E349="AIR",G349&lt;&gt;F349),"AIR context mismatch",IF(AND(B349="AIR",G349&lt;&gt;C349),"AIR context mismatch",IF(AND(B349="AIR",E349="AIR",C349=F349),"Self-dependency",IF(AND(B349="AIR",E349="AIR",M349&lt;&gt;"Superseded",COUNTIFS($B$4:$B$1003,"AIR",$C$4:$C$1003,F349,$E$4:$E$1003,"AIR",$F$4:$F$1003,C349,$M$4:$M$1003,"&lt;&gt;Superseded")&gt;0),"Dependency cycle (A↔B) — review",IF(AND(B349="AIR",OR(E349="MOD",E349="DATA",E349="IF",E349="AG",E349="TOOL"),IFERROR(INDEX(Components!$G$4:$G$253,MATCH(F349,Components!$A$4:$A$253,0)),"")&lt;&gt;"",IFERROR(INDEX(Components!$G$4:$G$253,MATCH(F349,Components!$A$4:$A$253,0)),"")&lt;&gt;C349),"Component owned by another AIR-ID",IF(AND(M349="Confirmed",OR(IF(B349="UC",COUNTIFS('Use cases'!$A$4:$A$253,C349,'Use cases'!$I$4:$I$253,"Confirmed",'Use cases'!$J$4:$J$253,"OK — verify source"),IF(B349="CAP",COUNTIFS(Capabilities!$A$4:$A$253,C349,Capabilities!$J$4:$J$253,"Confirmed",Capabilities!$K$4:$K$253,"OK — verify source"),IF(B349="AIR",COUNTIFS('System map'!$A$4:$A$203,C349,'System map'!$B$4:$B$203,"&lt;&gt;",'System map'!$C$4:$C$203,"&lt;&gt;",'System map'!$D$4:$D$203,"&lt;&gt;"),COUNTIFS(Components!$A$4:$A$253,C349,Components!$B$4:$B$253,B349,Components!$K$4:$K$253,"Confirmed",Components!$L$4:$L$253,"OK — verify source"))))&lt;&gt;1,IF(E349="UC",COUNTIFS('Use cases'!$A$4:$A$253,F349,'Use cases'!$I$4:$I$253,"Confirmed",'Use cases'!$J$4:$J$253,"OK — verify source"),IF(E349="CAP",COUNTIFS(Capabilities!$A$4:$A$253,F349,Capabilities!$J$4:$J$253,"Confirmed",Capabilities!$K$4:$K$253,"OK — verify source"),IF(E349="AIR",COUNTIFS('System map'!$A$4:$A$203,F349,'System map'!$B$4:$B$203,"&lt;&gt;",'System map'!$C$4:$C$203,"&lt;&gt;",'System map'!$D$4:$D$203,"&lt;&gt;"),COUNTIFS(Components!$A$4:$A$253,F349,Components!$B$4:$B$253,E349,Components!$K$4:$K$253,"Confirmed",Components!$L$4:$L$253,"OK — verify source"))))&lt;&gt;1)),"Endpoint not source-reconciled",IF(AND(M349="Confirmed",OR(L349="",K349="",K349="Unknown",K349="Low")),"Confirmed link lacks verification","OK — verify source"))))))))))))))</f>
        <v/>
      </c>
    </row>
    <row r="350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6" t="n"/>
      <c r="M350" s="25" t="n"/>
      <c r="N350" s="25">
        <f>IF(COUNTA(A350:M350)=0,"",IF(OR(A350="",B350="",C350="",D350="",E350="",F350="",I350="",J350="",K350="",M350=""),"Required link detail missing",IF(COUNTIF($A$4:$A$1003,A350)&gt;1,"Duplicate Map Edge ID",IF(NOT(OR(AND(B350="UC",E350="CAP",D350="requires"),AND(B350="CAP",E350="AIR",D350="provided by"),AND(B350="AIR",OR(E350="MOD",E350="DATA",E350="IF",E350="AG",E350="TOOL"),D350="references"),AND(B350="AIR",E350="AIR",D350="depends on"))),"Invalid relationship",IF(AND(M350&lt;&gt;"Superseded",COUNTIFS($B$4:$B$1003,B350,$C$4:$C$1003,C350,$D$4:$D$1003,D350,$E$4:$E$1003,E350,$F$4:$F$1003,F350,$G$4:$G$1003,G350,$M$4:$M$1003,"&lt;&gt;Superseded")&gt;1),"Duplicate relationship",IF(OR(IF(B350="UC",COUNTIF('Use cases'!$A$4:$A$253,C350),IF(B350="CAP",COUNTIF(Capabilities!$A$4:$A$253,C350),IF(B350="AIR",COUNTIF('System map'!$A$4:$A$203,C350),COUNTIFS(Components!$A$4:$A$253,C350,Components!$B$4:$B$253,B350))))&lt;&gt;1,IF(E350="UC",COUNTIF('Use cases'!$A$4:$A$253,F350),IF(E350="CAP",COUNTIF(Capabilities!$A$4:$A$253,F350),IF(E350="AIR",COUNTIF('System map'!$A$4:$A$203,F350),COUNTIFS(Components!$A$4:$A$253,F350,Components!$B$4:$B$253,E350))))&lt;&gt;1),"Endpoint missing or duplicated",IF(AND(NOT(AND(B350="UC",E350="CAP")),OR(G350="",COUNTIF('System map'!$A$4:$A$203,G350)&lt;&gt;1)),"AIR context missing / unknown",IF(AND(B350="CAP",E350="AIR",G350&lt;&gt;F350),"AIR context mismatch",IF(AND(B350="AIR",G350&lt;&gt;C350),"AIR context mismatch",IF(AND(B350="AIR",E350="AIR",C350=F350),"Self-dependency",IF(AND(B350="AIR",E350="AIR",M350&lt;&gt;"Superseded",COUNTIFS($B$4:$B$1003,"AIR",$C$4:$C$1003,F350,$E$4:$E$1003,"AIR",$F$4:$F$1003,C350,$M$4:$M$1003,"&lt;&gt;Superseded")&gt;0),"Dependency cycle (A↔B) — review",IF(AND(B350="AIR",OR(E350="MOD",E350="DATA",E350="IF",E350="AG",E350="TOOL"),IFERROR(INDEX(Components!$G$4:$G$253,MATCH(F350,Components!$A$4:$A$253,0)),"")&lt;&gt;"",IFERROR(INDEX(Components!$G$4:$G$253,MATCH(F350,Components!$A$4:$A$253,0)),"")&lt;&gt;C350),"Component owned by another AIR-ID",IF(AND(M350="Confirmed",OR(IF(B350="UC",COUNTIFS('Use cases'!$A$4:$A$253,C350,'Use cases'!$I$4:$I$253,"Confirmed",'Use cases'!$J$4:$J$253,"OK — verify source"),IF(B350="CAP",COUNTIFS(Capabilities!$A$4:$A$253,C350,Capabilities!$J$4:$J$253,"Confirmed",Capabilities!$K$4:$K$253,"OK — verify source"),IF(B350="AIR",COUNTIFS('System map'!$A$4:$A$203,C350,'System map'!$B$4:$B$203,"&lt;&gt;",'System map'!$C$4:$C$203,"&lt;&gt;",'System map'!$D$4:$D$203,"&lt;&gt;"),COUNTIFS(Components!$A$4:$A$253,C350,Components!$B$4:$B$253,B350,Components!$K$4:$K$253,"Confirmed",Components!$L$4:$L$253,"OK — verify source"))))&lt;&gt;1,IF(E350="UC",COUNTIFS('Use cases'!$A$4:$A$253,F350,'Use cases'!$I$4:$I$253,"Confirmed",'Use cases'!$J$4:$J$253,"OK — verify source"),IF(E350="CAP",COUNTIFS(Capabilities!$A$4:$A$253,F350,Capabilities!$J$4:$J$253,"Confirmed",Capabilities!$K$4:$K$253,"OK — verify source"),IF(E350="AIR",COUNTIFS('System map'!$A$4:$A$203,F350,'System map'!$B$4:$B$203,"&lt;&gt;",'System map'!$C$4:$C$203,"&lt;&gt;",'System map'!$D$4:$D$203,"&lt;&gt;"),COUNTIFS(Components!$A$4:$A$253,F350,Components!$B$4:$B$253,E350,Components!$K$4:$K$253,"Confirmed",Components!$L$4:$L$253,"OK — verify source"))))&lt;&gt;1)),"Endpoint not source-reconciled",IF(AND(M350="Confirmed",OR(L350="",K350="",K350="Unknown",K350="Low")),"Confirmed link lacks verification","OK — verify source"))))))))))))))</f>
        <v/>
      </c>
    </row>
    <row r="351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8" t="n"/>
      <c r="M351" s="27" t="n"/>
      <c r="N351" s="27">
        <f>IF(COUNTA(A351:M351)=0,"",IF(OR(A351="",B351="",C351="",D351="",E351="",F351="",I351="",J351="",K351="",M351=""),"Required link detail missing",IF(COUNTIF($A$4:$A$1003,A351)&gt;1,"Duplicate Map Edge ID",IF(NOT(OR(AND(B351="UC",E351="CAP",D351="requires"),AND(B351="CAP",E351="AIR",D351="provided by"),AND(B351="AIR",OR(E351="MOD",E351="DATA",E351="IF",E351="AG",E351="TOOL"),D351="references"),AND(B351="AIR",E351="AIR",D351="depends on"))),"Invalid relationship",IF(AND(M351&lt;&gt;"Superseded",COUNTIFS($B$4:$B$1003,B351,$C$4:$C$1003,C351,$D$4:$D$1003,D351,$E$4:$E$1003,E351,$F$4:$F$1003,F351,$G$4:$G$1003,G351,$M$4:$M$1003,"&lt;&gt;Superseded")&gt;1),"Duplicate relationship",IF(OR(IF(B351="UC",COUNTIF('Use cases'!$A$4:$A$253,C351),IF(B351="CAP",COUNTIF(Capabilities!$A$4:$A$253,C351),IF(B351="AIR",COUNTIF('System map'!$A$4:$A$203,C351),COUNTIFS(Components!$A$4:$A$253,C351,Components!$B$4:$B$253,B351))))&lt;&gt;1,IF(E351="UC",COUNTIF('Use cases'!$A$4:$A$253,F351),IF(E351="CAP",COUNTIF(Capabilities!$A$4:$A$253,F351),IF(E351="AIR",COUNTIF('System map'!$A$4:$A$203,F351),COUNTIFS(Components!$A$4:$A$253,F351,Components!$B$4:$B$253,E351))))&lt;&gt;1),"Endpoint missing or duplicated",IF(AND(NOT(AND(B351="UC",E351="CAP")),OR(G351="",COUNTIF('System map'!$A$4:$A$203,G351)&lt;&gt;1)),"AIR context missing / unknown",IF(AND(B351="CAP",E351="AIR",G351&lt;&gt;F351),"AIR context mismatch",IF(AND(B351="AIR",G351&lt;&gt;C351),"AIR context mismatch",IF(AND(B351="AIR",E351="AIR",C351=F351),"Self-dependency",IF(AND(B351="AIR",E351="AIR",M351&lt;&gt;"Superseded",COUNTIFS($B$4:$B$1003,"AIR",$C$4:$C$1003,F351,$E$4:$E$1003,"AIR",$F$4:$F$1003,C351,$M$4:$M$1003,"&lt;&gt;Superseded")&gt;0),"Dependency cycle (A↔B) — review",IF(AND(B351="AIR",OR(E351="MOD",E351="DATA",E351="IF",E351="AG",E351="TOOL"),IFERROR(INDEX(Components!$G$4:$G$253,MATCH(F351,Components!$A$4:$A$253,0)),"")&lt;&gt;"",IFERROR(INDEX(Components!$G$4:$G$253,MATCH(F351,Components!$A$4:$A$253,0)),"")&lt;&gt;C351),"Component owned by another AIR-ID",IF(AND(M351="Confirmed",OR(IF(B351="UC",COUNTIFS('Use cases'!$A$4:$A$253,C351,'Use cases'!$I$4:$I$253,"Confirmed",'Use cases'!$J$4:$J$253,"OK — verify source"),IF(B351="CAP",COUNTIFS(Capabilities!$A$4:$A$253,C351,Capabilities!$J$4:$J$253,"Confirmed",Capabilities!$K$4:$K$253,"OK — verify source"),IF(B351="AIR",COUNTIFS('System map'!$A$4:$A$203,C351,'System map'!$B$4:$B$203,"&lt;&gt;",'System map'!$C$4:$C$203,"&lt;&gt;",'System map'!$D$4:$D$203,"&lt;&gt;"),COUNTIFS(Components!$A$4:$A$253,C351,Components!$B$4:$B$253,B351,Components!$K$4:$K$253,"Confirmed",Components!$L$4:$L$253,"OK — verify source"))))&lt;&gt;1,IF(E351="UC",COUNTIFS('Use cases'!$A$4:$A$253,F351,'Use cases'!$I$4:$I$253,"Confirmed",'Use cases'!$J$4:$J$253,"OK — verify source"),IF(E351="CAP",COUNTIFS(Capabilities!$A$4:$A$253,F351,Capabilities!$J$4:$J$253,"Confirmed",Capabilities!$K$4:$K$253,"OK — verify source"),IF(E351="AIR",COUNTIFS('System map'!$A$4:$A$203,F351,'System map'!$B$4:$B$203,"&lt;&gt;",'System map'!$C$4:$C$203,"&lt;&gt;",'System map'!$D$4:$D$203,"&lt;&gt;"),COUNTIFS(Components!$A$4:$A$253,F351,Components!$B$4:$B$253,E351,Components!$K$4:$K$253,"Confirmed",Components!$L$4:$L$253,"OK — verify source"))))&lt;&gt;1)),"Endpoint not source-reconciled",IF(AND(M351="Confirmed",OR(L351="",K351="",K351="Unknown",K351="Low")),"Confirmed link lacks verification","OK — verify source"))))))))))))))</f>
        <v/>
      </c>
    </row>
    <row r="352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6" t="n"/>
      <c r="M352" s="25" t="n"/>
      <c r="N352" s="25">
        <f>IF(COUNTA(A352:M352)=0,"",IF(OR(A352="",B352="",C352="",D352="",E352="",F352="",I352="",J352="",K352="",M352=""),"Required link detail missing",IF(COUNTIF($A$4:$A$1003,A352)&gt;1,"Duplicate Map Edge ID",IF(NOT(OR(AND(B352="UC",E352="CAP",D352="requires"),AND(B352="CAP",E352="AIR",D352="provided by"),AND(B352="AIR",OR(E352="MOD",E352="DATA",E352="IF",E352="AG",E352="TOOL"),D352="references"),AND(B352="AIR",E352="AIR",D352="depends on"))),"Invalid relationship",IF(AND(M352&lt;&gt;"Superseded",COUNTIFS($B$4:$B$1003,B352,$C$4:$C$1003,C352,$D$4:$D$1003,D352,$E$4:$E$1003,E352,$F$4:$F$1003,F352,$G$4:$G$1003,G352,$M$4:$M$1003,"&lt;&gt;Superseded")&gt;1),"Duplicate relationship",IF(OR(IF(B352="UC",COUNTIF('Use cases'!$A$4:$A$253,C352),IF(B352="CAP",COUNTIF(Capabilities!$A$4:$A$253,C352),IF(B352="AIR",COUNTIF('System map'!$A$4:$A$203,C352),COUNTIFS(Components!$A$4:$A$253,C352,Components!$B$4:$B$253,B352))))&lt;&gt;1,IF(E352="UC",COUNTIF('Use cases'!$A$4:$A$253,F352),IF(E352="CAP",COUNTIF(Capabilities!$A$4:$A$253,F352),IF(E352="AIR",COUNTIF('System map'!$A$4:$A$203,F352),COUNTIFS(Components!$A$4:$A$253,F352,Components!$B$4:$B$253,E352))))&lt;&gt;1),"Endpoint missing or duplicated",IF(AND(NOT(AND(B352="UC",E352="CAP")),OR(G352="",COUNTIF('System map'!$A$4:$A$203,G352)&lt;&gt;1)),"AIR context missing / unknown",IF(AND(B352="CAP",E352="AIR",G352&lt;&gt;F352),"AIR context mismatch",IF(AND(B352="AIR",G352&lt;&gt;C352),"AIR context mismatch",IF(AND(B352="AIR",E352="AIR",C352=F352),"Self-dependency",IF(AND(B352="AIR",E352="AIR",M352&lt;&gt;"Superseded",COUNTIFS($B$4:$B$1003,"AIR",$C$4:$C$1003,F352,$E$4:$E$1003,"AIR",$F$4:$F$1003,C352,$M$4:$M$1003,"&lt;&gt;Superseded")&gt;0),"Dependency cycle (A↔B) — review",IF(AND(B352="AIR",OR(E352="MOD",E352="DATA",E352="IF",E352="AG",E352="TOOL"),IFERROR(INDEX(Components!$G$4:$G$253,MATCH(F352,Components!$A$4:$A$253,0)),"")&lt;&gt;"",IFERROR(INDEX(Components!$G$4:$G$253,MATCH(F352,Components!$A$4:$A$253,0)),"")&lt;&gt;C352),"Component owned by another AIR-ID",IF(AND(M352="Confirmed",OR(IF(B352="UC",COUNTIFS('Use cases'!$A$4:$A$253,C352,'Use cases'!$I$4:$I$253,"Confirmed",'Use cases'!$J$4:$J$253,"OK — verify source"),IF(B352="CAP",COUNTIFS(Capabilities!$A$4:$A$253,C352,Capabilities!$J$4:$J$253,"Confirmed",Capabilities!$K$4:$K$253,"OK — verify source"),IF(B352="AIR",COUNTIFS('System map'!$A$4:$A$203,C352,'System map'!$B$4:$B$203,"&lt;&gt;",'System map'!$C$4:$C$203,"&lt;&gt;",'System map'!$D$4:$D$203,"&lt;&gt;"),COUNTIFS(Components!$A$4:$A$253,C352,Components!$B$4:$B$253,B352,Components!$K$4:$K$253,"Confirmed",Components!$L$4:$L$253,"OK — verify source"))))&lt;&gt;1,IF(E352="UC",COUNTIFS('Use cases'!$A$4:$A$253,F352,'Use cases'!$I$4:$I$253,"Confirmed",'Use cases'!$J$4:$J$253,"OK — verify source"),IF(E352="CAP",COUNTIFS(Capabilities!$A$4:$A$253,F352,Capabilities!$J$4:$J$253,"Confirmed",Capabilities!$K$4:$K$253,"OK — verify source"),IF(E352="AIR",COUNTIFS('System map'!$A$4:$A$203,F352,'System map'!$B$4:$B$203,"&lt;&gt;",'System map'!$C$4:$C$203,"&lt;&gt;",'System map'!$D$4:$D$203,"&lt;&gt;"),COUNTIFS(Components!$A$4:$A$253,F352,Components!$B$4:$B$253,E352,Components!$K$4:$K$253,"Confirmed",Components!$L$4:$L$253,"OK — verify source"))))&lt;&gt;1)),"Endpoint not source-reconciled",IF(AND(M352="Confirmed",OR(L352="",K352="",K352="Unknown",K352="Low")),"Confirmed link lacks verification","OK — verify source"))))))))))))))</f>
        <v/>
      </c>
    </row>
    <row r="353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8" t="n"/>
      <c r="M353" s="27" t="n"/>
      <c r="N353" s="27">
        <f>IF(COUNTA(A353:M353)=0,"",IF(OR(A353="",B353="",C353="",D353="",E353="",F353="",I353="",J353="",K353="",M353=""),"Required link detail missing",IF(COUNTIF($A$4:$A$1003,A353)&gt;1,"Duplicate Map Edge ID",IF(NOT(OR(AND(B353="UC",E353="CAP",D353="requires"),AND(B353="CAP",E353="AIR",D353="provided by"),AND(B353="AIR",OR(E353="MOD",E353="DATA",E353="IF",E353="AG",E353="TOOL"),D353="references"),AND(B353="AIR",E353="AIR",D353="depends on"))),"Invalid relationship",IF(AND(M353&lt;&gt;"Superseded",COUNTIFS($B$4:$B$1003,B353,$C$4:$C$1003,C353,$D$4:$D$1003,D353,$E$4:$E$1003,E353,$F$4:$F$1003,F353,$G$4:$G$1003,G353,$M$4:$M$1003,"&lt;&gt;Superseded")&gt;1),"Duplicate relationship",IF(OR(IF(B353="UC",COUNTIF('Use cases'!$A$4:$A$253,C353),IF(B353="CAP",COUNTIF(Capabilities!$A$4:$A$253,C353),IF(B353="AIR",COUNTIF('System map'!$A$4:$A$203,C353),COUNTIFS(Components!$A$4:$A$253,C353,Components!$B$4:$B$253,B353))))&lt;&gt;1,IF(E353="UC",COUNTIF('Use cases'!$A$4:$A$253,F353),IF(E353="CAP",COUNTIF(Capabilities!$A$4:$A$253,F353),IF(E353="AIR",COUNTIF('System map'!$A$4:$A$203,F353),COUNTIFS(Components!$A$4:$A$253,F353,Components!$B$4:$B$253,E353))))&lt;&gt;1),"Endpoint missing or duplicated",IF(AND(NOT(AND(B353="UC",E353="CAP")),OR(G353="",COUNTIF('System map'!$A$4:$A$203,G353)&lt;&gt;1)),"AIR context missing / unknown",IF(AND(B353="CAP",E353="AIR",G353&lt;&gt;F353),"AIR context mismatch",IF(AND(B353="AIR",G353&lt;&gt;C353),"AIR context mismatch",IF(AND(B353="AIR",E353="AIR",C353=F353),"Self-dependency",IF(AND(B353="AIR",E353="AIR",M353&lt;&gt;"Superseded",COUNTIFS($B$4:$B$1003,"AIR",$C$4:$C$1003,F353,$E$4:$E$1003,"AIR",$F$4:$F$1003,C353,$M$4:$M$1003,"&lt;&gt;Superseded")&gt;0),"Dependency cycle (A↔B) — review",IF(AND(B353="AIR",OR(E353="MOD",E353="DATA",E353="IF",E353="AG",E353="TOOL"),IFERROR(INDEX(Components!$G$4:$G$253,MATCH(F353,Components!$A$4:$A$253,0)),"")&lt;&gt;"",IFERROR(INDEX(Components!$G$4:$G$253,MATCH(F353,Components!$A$4:$A$253,0)),"")&lt;&gt;C353),"Component owned by another AIR-ID",IF(AND(M353="Confirmed",OR(IF(B353="UC",COUNTIFS('Use cases'!$A$4:$A$253,C353,'Use cases'!$I$4:$I$253,"Confirmed",'Use cases'!$J$4:$J$253,"OK — verify source"),IF(B353="CAP",COUNTIFS(Capabilities!$A$4:$A$253,C353,Capabilities!$J$4:$J$253,"Confirmed",Capabilities!$K$4:$K$253,"OK — verify source"),IF(B353="AIR",COUNTIFS('System map'!$A$4:$A$203,C353,'System map'!$B$4:$B$203,"&lt;&gt;",'System map'!$C$4:$C$203,"&lt;&gt;",'System map'!$D$4:$D$203,"&lt;&gt;"),COUNTIFS(Components!$A$4:$A$253,C353,Components!$B$4:$B$253,B353,Components!$K$4:$K$253,"Confirmed",Components!$L$4:$L$253,"OK — verify source"))))&lt;&gt;1,IF(E353="UC",COUNTIFS('Use cases'!$A$4:$A$253,F353,'Use cases'!$I$4:$I$253,"Confirmed",'Use cases'!$J$4:$J$253,"OK — verify source"),IF(E353="CAP",COUNTIFS(Capabilities!$A$4:$A$253,F353,Capabilities!$J$4:$J$253,"Confirmed",Capabilities!$K$4:$K$253,"OK — verify source"),IF(E353="AIR",COUNTIFS('System map'!$A$4:$A$203,F353,'System map'!$B$4:$B$203,"&lt;&gt;",'System map'!$C$4:$C$203,"&lt;&gt;",'System map'!$D$4:$D$203,"&lt;&gt;"),COUNTIFS(Components!$A$4:$A$253,F353,Components!$B$4:$B$253,E353,Components!$K$4:$K$253,"Confirmed",Components!$L$4:$L$253,"OK — verify source"))))&lt;&gt;1)),"Endpoint not source-reconciled",IF(AND(M353="Confirmed",OR(L353="",K353="",K353="Unknown",K353="Low")),"Confirmed link lacks verification","OK — verify source"))))))))))))))</f>
        <v/>
      </c>
    </row>
    <row r="35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6" t="n"/>
      <c r="M354" s="25" t="n"/>
      <c r="N354" s="25">
        <f>IF(COUNTA(A354:M354)=0,"",IF(OR(A354="",B354="",C354="",D354="",E354="",F354="",I354="",J354="",K354="",M354=""),"Required link detail missing",IF(COUNTIF($A$4:$A$1003,A354)&gt;1,"Duplicate Map Edge ID",IF(NOT(OR(AND(B354="UC",E354="CAP",D354="requires"),AND(B354="CAP",E354="AIR",D354="provided by"),AND(B354="AIR",OR(E354="MOD",E354="DATA",E354="IF",E354="AG",E354="TOOL"),D354="references"),AND(B354="AIR",E354="AIR",D354="depends on"))),"Invalid relationship",IF(AND(M354&lt;&gt;"Superseded",COUNTIFS($B$4:$B$1003,B354,$C$4:$C$1003,C354,$D$4:$D$1003,D354,$E$4:$E$1003,E354,$F$4:$F$1003,F354,$G$4:$G$1003,G354,$M$4:$M$1003,"&lt;&gt;Superseded")&gt;1),"Duplicate relationship",IF(OR(IF(B354="UC",COUNTIF('Use cases'!$A$4:$A$253,C354),IF(B354="CAP",COUNTIF(Capabilities!$A$4:$A$253,C354),IF(B354="AIR",COUNTIF('System map'!$A$4:$A$203,C354),COUNTIFS(Components!$A$4:$A$253,C354,Components!$B$4:$B$253,B354))))&lt;&gt;1,IF(E354="UC",COUNTIF('Use cases'!$A$4:$A$253,F354),IF(E354="CAP",COUNTIF(Capabilities!$A$4:$A$253,F354),IF(E354="AIR",COUNTIF('System map'!$A$4:$A$203,F354),COUNTIFS(Components!$A$4:$A$253,F354,Components!$B$4:$B$253,E354))))&lt;&gt;1),"Endpoint missing or duplicated",IF(AND(NOT(AND(B354="UC",E354="CAP")),OR(G354="",COUNTIF('System map'!$A$4:$A$203,G354)&lt;&gt;1)),"AIR context missing / unknown",IF(AND(B354="CAP",E354="AIR",G354&lt;&gt;F354),"AIR context mismatch",IF(AND(B354="AIR",G354&lt;&gt;C354),"AIR context mismatch",IF(AND(B354="AIR",E354="AIR",C354=F354),"Self-dependency",IF(AND(B354="AIR",E354="AIR",M354&lt;&gt;"Superseded",COUNTIFS($B$4:$B$1003,"AIR",$C$4:$C$1003,F354,$E$4:$E$1003,"AIR",$F$4:$F$1003,C354,$M$4:$M$1003,"&lt;&gt;Superseded")&gt;0),"Dependency cycle (A↔B) — review",IF(AND(B354="AIR",OR(E354="MOD",E354="DATA",E354="IF",E354="AG",E354="TOOL"),IFERROR(INDEX(Components!$G$4:$G$253,MATCH(F354,Components!$A$4:$A$253,0)),"")&lt;&gt;"",IFERROR(INDEX(Components!$G$4:$G$253,MATCH(F354,Components!$A$4:$A$253,0)),"")&lt;&gt;C354),"Component owned by another AIR-ID",IF(AND(M354="Confirmed",OR(IF(B354="UC",COUNTIFS('Use cases'!$A$4:$A$253,C354,'Use cases'!$I$4:$I$253,"Confirmed",'Use cases'!$J$4:$J$253,"OK — verify source"),IF(B354="CAP",COUNTIFS(Capabilities!$A$4:$A$253,C354,Capabilities!$J$4:$J$253,"Confirmed",Capabilities!$K$4:$K$253,"OK — verify source"),IF(B354="AIR",COUNTIFS('System map'!$A$4:$A$203,C354,'System map'!$B$4:$B$203,"&lt;&gt;",'System map'!$C$4:$C$203,"&lt;&gt;",'System map'!$D$4:$D$203,"&lt;&gt;"),COUNTIFS(Components!$A$4:$A$253,C354,Components!$B$4:$B$253,B354,Components!$K$4:$K$253,"Confirmed",Components!$L$4:$L$253,"OK — verify source"))))&lt;&gt;1,IF(E354="UC",COUNTIFS('Use cases'!$A$4:$A$253,F354,'Use cases'!$I$4:$I$253,"Confirmed",'Use cases'!$J$4:$J$253,"OK — verify source"),IF(E354="CAP",COUNTIFS(Capabilities!$A$4:$A$253,F354,Capabilities!$J$4:$J$253,"Confirmed",Capabilities!$K$4:$K$253,"OK — verify source"),IF(E354="AIR",COUNTIFS('System map'!$A$4:$A$203,F354,'System map'!$B$4:$B$203,"&lt;&gt;",'System map'!$C$4:$C$203,"&lt;&gt;",'System map'!$D$4:$D$203,"&lt;&gt;"),COUNTIFS(Components!$A$4:$A$253,F354,Components!$B$4:$B$253,E354,Components!$K$4:$K$253,"Confirmed",Components!$L$4:$L$253,"OK — verify source"))))&lt;&gt;1)),"Endpoint not source-reconciled",IF(AND(M354="Confirmed",OR(L354="",K354="",K354="Unknown",K354="Low")),"Confirmed link lacks verification","OK — verify source"))))))))))))))</f>
        <v/>
      </c>
    </row>
    <row r="355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8" t="n"/>
      <c r="M355" s="27" t="n"/>
      <c r="N355" s="27">
        <f>IF(COUNTA(A355:M355)=0,"",IF(OR(A355="",B355="",C355="",D355="",E355="",F355="",I355="",J355="",K355="",M355=""),"Required link detail missing",IF(COUNTIF($A$4:$A$1003,A355)&gt;1,"Duplicate Map Edge ID",IF(NOT(OR(AND(B355="UC",E355="CAP",D355="requires"),AND(B355="CAP",E355="AIR",D355="provided by"),AND(B355="AIR",OR(E355="MOD",E355="DATA",E355="IF",E355="AG",E355="TOOL"),D355="references"),AND(B355="AIR",E355="AIR",D355="depends on"))),"Invalid relationship",IF(AND(M355&lt;&gt;"Superseded",COUNTIFS($B$4:$B$1003,B355,$C$4:$C$1003,C355,$D$4:$D$1003,D355,$E$4:$E$1003,E355,$F$4:$F$1003,F355,$G$4:$G$1003,G355,$M$4:$M$1003,"&lt;&gt;Superseded")&gt;1),"Duplicate relationship",IF(OR(IF(B355="UC",COUNTIF('Use cases'!$A$4:$A$253,C355),IF(B355="CAP",COUNTIF(Capabilities!$A$4:$A$253,C355),IF(B355="AIR",COUNTIF('System map'!$A$4:$A$203,C355),COUNTIFS(Components!$A$4:$A$253,C355,Components!$B$4:$B$253,B355))))&lt;&gt;1,IF(E355="UC",COUNTIF('Use cases'!$A$4:$A$253,F355),IF(E355="CAP",COUNTIF(Capabilities!$A$4:$A$253,F355),IF(E355="AIR",COUNTIF('System map'!$A$4:$A$203,F355),COUNTIFS(Components!$A$4:$A$253,F355,Components!$B$4:$B$253,E355))))&lt;&gt;1),"Endpoint missing or duplicated",IF(AND(NOT(AND(B355="UC",E355="CAP")),OR(G355="",COUNTIF('System map'!$A$4:$A$203,G355)&lt;&gt;1)),"AIR context missing / unknown",IF(AND(B355="CAP",E355="AIR",G355&lt;&gt;F355),"AIR context mismatch",IF(AND(B355="AIR",G355&lt;&gt;C355),"AIR context mismatch",IF(AND(B355="AIR",E355="AIR",C355=F355),"Self-dependency",IF(AND(B355="AIR",E355="AIR",M355&lt;&gt;"Superseded",COUNTIFS($B$4:$B$1003,"AIR",$C$4:$C$1003,F355,$E$4:$E$1003,"AIR",$F$4:$F$1003,C355,$M$4:$M$1003,"&lt;&gt;Superseded")&gt;0),"Dependency cycle (A↔B) — review",IF(AND(B355="AIR",OR(E355="MOD",E355="DATA",E355="IF",E355="AG",E355="TOOL"),IFERROR(INDEX(Components!$G$4:$G$253,MATCH(F355,Components!$A$4:$A$253,0)),"")&lt;&gt;"",IFERROR(INDEX(Components!$G$4:$G$253,MATCH(F355,Components!$A$4:$A$253,0)),"")&lt;&gt;C355),"Component owned by another AIR-ID",IF(AND(M355="Confirmed",OR(IF(B355="UC",COUNTIFS('Use cases'!$A$4:$A$253,C355,'Use cases'!$I$4:$I$253,"Confirmed",'Use cases'!$J$4:$J$253,"OK — verify source"),IF(B355="CAP",COUNTIFS(Capabilities!$A$4:$A$253,C355,Capabilities!$J$4:$J$253,"Confirmed",Capabilities!$K$4:$K$253,"OK — verify source"),IF(B355="AIR",COUNTIFS('System map'!$A$4:$A$203,C355,'System map'!$B$4:$B$203,"&lt;&gt;",'System map'!$C$4:$C$203,"&lt;&gt;",'System map'!$D$4:$D$203,"&lt;&gt;"),COUNTIFS(Components!$A$4:$A$253,C355,Components!$B$4:$B$253,B355,Components!$K$4:$K$253,"Confirmed",Components!$L$4:$L$253,"OK — verify source"))))&lt;&gt;1,IF(E355="UC",COUNTIFS('Use cases'!$A$4:$A$253,F355,'Use cases'!$I$4:$I$253,"Confirmed",'Use cases'!$J$4:$J$253,"OK — verify source"),IF(E355="CAP",COUNTIFS(Capabilities!$A$4:$A$253,F355,Capabilities!$J$4:$J$253,"Confirmed",Capabilities!$K$4:$K$253,"OK — verify source"),IF(E355="AIR",COUNTIFS('System map'!$A$4:$A$203,F355,'System map'!$B$4:$B$203,"&lt;&gt;",'System map'!$C$4:$C$203,"&lt;&gt;",'System map'!$D$4:$D$203,"&lt;&gt;"),COUNTIFS(Components!$A$4:$A$253,F355,Components!$B$4:$B$253,E355,Components!$K$4:$K$253,"Confirmed",Components!$L$4:$L$253,"OK — verify source"))))&lt;&gt;1)),"Endpoint not source-reconciled",IF(AND(M355="Confirmed",OR(L355="",K355="",K355="Unknown",K355="Low")),"Confirmed link lacks verification","OK — verify source"))))))))))))))</f>
        <v/>
      </c>
    </row>
    <row r="356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6" t="n"/>
      <c r="M356" s="25" t="n"/>
      <c r="N356" s="25">
        <f>IF(COUNTA(A356:M356)=0,"",IF(OR(A356="",B356="",C356="",D356="",E356="",F356="",I356="",J356="",K356="",M356=""),"Required link detail missing",IF(COUNTIF($A$4:$A$1003,A356)&gt;1,"Duplicate Map Edge ID",IF(NOT(OR(AND(B356="UC",E356="CAP",D356="requires"),AND(B356="CAP",E356="AIR",D356="provided by"),AND(B356="AIR",OR(E356="MOD",E356="DATA",E356="IF",E356="AG",E356="TOOL"),D356="references"),AND(B356="AIR",E356="AIR",D356="depends on"))),"Invalid relationship",IF(AND(M356&lt;&gt;"Superseded",COUNTIFS($B$4:$B$1003,B356,$C$4:$C$1003,C356,$D$4:$D$1003,D356,$E$4:$E$1003,E356,$F$4:$F$1003,F356,$G$4:$G$1003,G356,$M$4:$M$1003,"&lt;&gt;Superseded")&gt;1),"Duplicate relationship",IF(OR(IF(B356="UC",COUNTIF('Use cases'!$A$4:$A$253,C356),IF(B356="CAP",COUNTIF(Capabilities!$A$4:$A$253,C356),IF(B356="AIR",COUNTIF('System map'!$A$4:$A$203,C356),COUNTIFS(Components!$A$4:$A$253,C356,Components!$B$4:$B$253,B356))))&lt;&gt;1,IF(E356="UC",COUNTIF('Use cases'!$A$4:$A$253,F356),IF(E356="CAP",COUNTIF(Capabilities!$A$4:$A$253,F356),IF(E356="AIR",COUNTIF('System map'!$A$4:$A$203,F356),COUNTIFS(Components!$A$4:$A$253,F356,Components!$B$4:$B$253,E356))))&lt;&gt;1),"Endpoint missing or duplicated",IF(AND(NOT(AND(B356="UC",E356="CAP")),OR(G356="",COUNTIF('System map'!$A$4:$A$203,G356)&lt;&gt;1)),"AIR context missing / unknown",IF(AND(B356="CAP",E356="AIR",G356&lt;&gt;F356),"AIR context mismatch",IF(AND(B356="AIR",G356&lt;&gt;C356),"AIR context mismatch",IF(AND(B356="AIR",E356="AIR",C356=F356),"Self-dependency",IF(AND(B356="AIR",E356="AIR",M356&lt;&gt;"Superseded",COUNTIFS($B$4:$B$1003,"AIR",$C$4:$C$1003,F356,$E$4:$E$1003,"AIR",$F$4:$F$1003,C356,$M$4:$M$1003,"&lt;&gt;Superseded")&gt;0),"Dependency cycle (A↔B) — review",IF(AND(B356="AIR",OR(E356="MOD",E356="DATA",E356="IF",E356="AG",E356="TOOL"),IFERROR(INDEX(Components!$G$4:$G$253,MATCH(F356,Components!$A$4:$A$253,0)),"")&lt;&gt;"",IFERROR(INDEX(Components!$G$4:$G$253,MATCH(F356,Components!$A$4:$A$253,0)),"")&lt;&gt;C356),"Component owned by another AIR-ID",IF(AND(M356="Confirmed",OR(IF(B356="UC",COUNTIFS('Use cases'!$A$4:$A$253,C356,'Use cases'!$I$4:$I$253,"Confirmed",'Use cases'!$J$4:$J$253,"OK — verify source"),IF(B356="CAP",COUNTIFS(Capabilities!$A$4:$A$253,C356,Capabilities!$J$4:$J$253,"Confirmed",Capabilities!$K$4:$K$253,"OK — verify source"),IF(B356="AIR",COUNTIFS('System map'!$A$4:$A$203,C356,'System map'!$B$4:$B$203,"&lt;&gt;",'System map'!$C$4:$C$203,"&lt;&gt;",'System map'!$D$4:$D$203,"&lt;&gt;"),COUNTIFS(Components!$A$4:$A$253,C356,Components!$B$4:$B$253,B356,Components!$K$4:$K$253,"Confirmed",Components!$L$4:$L$253,"OK — verify source"))))&lt;&gt;1,IF(E356="UC",COUNTIFS('Use cases'!$A$4:$A$253,F356,'Use cases'!$I$4:$I$253,"Confirmed",'Use cases'!$J$4:$J$253,"OK — verify source"),IF(E356="CAP",COUNTIFS(Capabilities!$A$4:$A$253,F356,Capabilities!$J$4:$J$253,"Confirmed",Capabilities!$K$4:$K$253,"OK — verify source"),IF(E356="AIR",COUNTIFS('System map'!$A$4:$A$203,F356,'System map'!$B$4:$B$203,"&lt;&gt;",'System map'!$C$4:$C$203,"&lt;&gt;",'System map'!$D$4:$D$203,"&lt;&gt;"),COUNTIFS(Components!$A$4:$A$253,F356,Components!$B$4:$B$253,E356,Components!$K$4:$K$253,"Confirmed",Components!$L$4:$L$253,"OK — verify source"))))&lt;&gt;1)),"Endpoint not source-reconciled",IF(AND(M356="Confirmed",OR(L356="",K356="",K356="Unknown",K356="Low")),"Confirmed link lacks verification","OK — verify source"))))))))))))))</f>
        <v/>
      </c>
    </row>
    <row r="357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8" t="n"/>
      <c r="M357" s="27" t="n"/>
      <c r="N357" s="27">
        <f>IF(COUNTA(A357:M357)=0,"",IF(OR(A357="",B357="",C357="",D357="",E357="",F357="",I357="",J357="",K357="",M357=""),"Required link detail missing",IF(COUNTIF($A$4:$A$1003,A357)&gt;1,"Duplicate Map Edge ID",IF(NOT(OR(AND(B357="UC",E357="CAP",D357="requires"),AND(B357="CAP",E357="AIR",D357="provided by"),AND(B357="AIR",OR(E357="MOD",E357="DATA",E357="IF",E357="AG",E357="TOOL"),D357="references"),AND(B357="AIR",E357="AIR",D357="depends on"))),"Invalid relationship",IF(AND(M357&lt;&gt;"Superseded",COUNTIFS($B$4:$B$1003,B357,$C$4:$C$1003,C357,$D$4:$D$1003,D357,$E$4:$E$1003,E357,$F$4:$F$1003,F357,$G$4:$G$1003,G357,$M$4:$M$1003,"&lt;&gt;Superseded")&gt;1),"Duplicate relationship",IF(OR(IF(B357="UC",COUNTIF('Use cases'!$A$4:$A$253,C357),IF(B357="CAP",COUNTIF(Capabilities!$A$4:$A$253,C357),IF(B357="AIR",COUNTIF('System map'!$A$4:$A$203,C357),COUNTIFS(Components!$A$4:$A$253,C357,Components!$B$4:$B$253,B357))))&lt;&gt;1,IF(E357="UC",COUNTIF('Use cases'!$A$4:$A$253,F357),IF(E357="CAP",COUNTIF(Capabilities!$A$4:$A$253,F357),IF(E357="AIR",COUNTIF('System map'!$A$4:$A$203,F357),COUNTIFS(Components!$A$4:$A$253,F357,Components!$B$4:$B$253,E357))))&lt;&gt;1),"Endpoint missing or duplicated",IF(AND(NOT(AND(B357="UC",E357="CAP")),OR(G357="",COUNTIF('System map'!$A$4:$A$203,G357)&lt;&gt;1)),"AIR context missing / unknown",IF(AND(B357="CAP",E357="AIR",G357&lt;&gt;F357),"AIR context mismatch",IF(AND(B357="AIR",G357&lt;&gt;C357),"AIR context mismatch",IF(AND(B357="AIR",E357="AIR",C357=F357),"Self-dependency",IF(AND(B357="AIR",E357="AIR",M357&lt;&gt;"Superseded",COUNTIFS($B$4:$B$1003,"AIR",$C$4:$C$1003,F357,$E$4:$E$1003,"AIR",$F$4:$F$1003,C357,$M$4:$M$1003,"&lt;&gt;Superseded")&gt;0),"Dependency cycle (A↔B) — review",IF(AND(B357="AIR",OR(E357="MOD",E357="DATA",E357="IF",E357="AG",E357="TOOL"),IFERROR(INDEX(Components!$G$4:$G$253,MATCH(F357,Components!$A$4:$A$253,0)),"")&lt;&gt;"",IFERROR(INDEX(Components!$G$4:$G$253,MATCH(F357,Components!$A$4:$A$253,0)),"")&lt;&gt;C357),"Component owned by another AIR-ID",IF(AND(M357="Confirmed",OR(IF(B357="UC",COUNTIFS('Use cases'!$A$4:$A$253,C357,'Use cases'!$I$4:$I$253,"Confirmed",'Use cases'!$J$4:$J$253,"OK — verify source"),IF(B357="CAP",COUNTIFS(Capabilities!$A$4:$A$253,C357,Capabilities!$J$4:$J$253,"Confirmed",Capabilities!$K$4:$K$253,"OK — verify source"),IF(B357="AIR",COUNTIFS('System map'!$A$4:$A$203,C357,'System map'!$B$4:$B$203,"&lt;&gt;",'System map'!$C$4:$C$203,"&lt;&gt;",'System map'!$D$4:$D$203,"&lt;&gt;"),COUNTIFS(Components!$A$4:$A$253,C357,Components!$B$4:$B$253,B357,Components!$K$4:$K$253,"Confirmed",Components!$L$4:$L$253,"OK — verify source"))))&lt;&gt;1,IF(E357="UC",COUNTIFS('Use cases'!$A$4:$A$253,F357,'Use cases'!$I$4:$I$253,"Confirmed",'Use cases'!$J$4:$J$253,"OK — verify source"),IF(E357="CAP",COUNTIFS(Capabilities!$A$4:$A$253,F357,Capabilities!$J$4:$J$253,"Confirmed",Capabilities!$K$4:$K$253,"OK — verify source"),IF(E357="AIR",COUNTIFS('System map'!$A$4:$A$203,F357,'System map'!$B$4:$B$203,"&lt;&gt;",'System map'!$C$4:$C$203,"&lt;&gt;",'System map'!$D$4:$D$203,"&lt;&gt;"),COUNTIFS(Components!$A$4:$A$253,F357,Components!$B$4:$B$253,E357,Components!$K$4:$K$253,"Confirmed",Components!$L$4:$L$253,"OK — verify source"))))&lt;&gt;1)),"Endpoint not source-reconciled",IF(AND(M357="Confirmed",OR(L357="",K357="",K357="Unknown",K357="Low")),"Confirmed link lacks verification","OK — verify source"))))))))))))))</f>
        <v/>
      </c>
    </row>
    <row r="358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6" t="n"/>
      <c r="M358" s="25" t="n"/>
      <c r="N358" s="25">
        <f>IF(COUNTA(A358:M358)=0,"",IF(OR(A358="",B358="",C358="",D358="",E358="",F358="",I358="",J358="",K358="",M358=""),"Required link detail missing",IF(COUNTIF($A$4:$A$1003,A358)&gt;1,"Duplicate Map Edge ID",IF(NOT(OR(AND(B358="UC",E358="CAP",D358="requires"),AND(B358="CAP",E358="AIR",D358="provided by"),AND(B358="AIR",OR(E358="MOD",E358="DATA",E358="IF",E358="AG",E358="TOOL"),D358="references"),AND(B358="AIR",E358="AIR",D358="depends on"))),"Invalid relationship",IF(AND(M358&lt;&gt;"Superseded",COUNTIFS($B$4:$B$1003,B358,$C$4:$C$1003,C358,$D$4:$D$1003,D358,$E$4:$E$1003,E358,$F$4:$F$1003,F358,$G$4:$G$1003,G358,$M$4:$M$1003,"&lt;&gt;Superseded")&gt;1),"Duplicate relationship",IF(OR(IF(B358="UC",COUNTIF('Use cases'!$A$4:$A$253,C358),IF(B358="CAP",COUNTIF(Capabilities!$A$4:$A$253,C358),IF(B358="AIR",COUNTIF('System map'!$A$4:$A$203,C358),COUNTIFS(Components!$A$4:$A$253,C358,Components!$B$4:$B$253,B358))))&lt;&gt;1,IF(E358="UC",COUNTIF('Use cases'!$A$4:$A$253,F358),IF(E358="CAP",COUNTIF(Capabilities!$A$4:$A$253,F358),IF(E358="AIR",COUNTIF('System map'!$A$4:$A$203,F358),COUNTIFS(Components!$A$4:$A$253,F358,Components!$B$4:$B$253,E358))))&lt;&gt;1),"Endpoint missing or duplicated",IF(AND(NOT(AND(B358="UC",E358="CAP")),OR(G358="",COUNTIF('System map'!$A$4:$A$203,G358)&lt;&gt;1)),"AIR context missing / unknown",IF(AND(B358="CAP",E358="AIR",G358&lt;&gt;F358),"AIR context mismatch",IF(AND(B358="AIR",G358&lt;&gt;C358),"AIR context mismatch",IF(AND(B358="AIR",E358="AIR",C358=F358),"Self-dependency",IF(AND(B358="AIR",E358="AIR",M358&lt;&gt;"Superseded",COUNTIFS($B$4:$B$1003,"AIR",$C$4:$C$1003,F358,$E$4:$E$1003,"AIR",$F$4:$F$1003,C358,$M$4:$M$1003,"&lt;&gt;Superseded")&gt;0),"Dependency cycle (A↔B) — review",IF(AND(B358="AIR",OR(E358="MOD",E358="DATA",E358="IF",E358="AG",E358="TOOL"),IFERROR(INDEX(Components!$G$4:$G$253,MATCH(F358,Components!$A$4:$A$253,0)),"")&lt;&gt;"",IFERROR(INDEX(Components!$G$4:$G$253,MATCH(F358,Components!$A$4:$A$253,0)),"")&lt;&gt;C358),"Component owned by another AIR-ID",IF(AND(M358="Confirmed",OR(IF(B358="UC",COUNTIFS('Use cases'!$A$4:$A$253,C358,'Use cases'!$I$4:$I$253,"Confirmed",'Use cases'!$J$4:$J$253,"OK — verify source"),IF(B358="CAP",COUNTIFS(Capabilities!$A$4:$A$253,C358,Capabilities!$J$4:$J$253,"Confirmed",Capabilities!$K$4:$K$253,"OK — verify source"),IF(B358="AIR",COUNTIFS('System map'!$A$4:$A$203,C358,'System map'!$B$4:$B$203,"&lt;&gt;",'System map'!$C$4:$C$203,"&lt;&gt;",'System map'!$D$4:$D$203,"&lt;&gt;"),COUNTIFS(Components!$A$4:$A$253,C358,Components!$B$4:$B$253,B358,Components!$K$4:$K$253,"Confirmed",Components!$L$4:$L$253,"OK — verify source"))))&lt;&gt;1,IF(E358="UC",COUNTIFS('Use cases'!$A$4:$A$253,F358,'Use cases'!$I$4:$I$253,"Confirmed",'Use cases'!$J$4:$J$253,"OK — verify source"),IF(E358="CAP",COUNTIFS(Capabilities!$A$4:$A$253,F358,Capabilities!$J$4:$J$253,"Confirmed",Capabilities!$K$4:$K$253,"OK — verify source"),IF(E358="AIR",COUNTIFS('System map'!$A$4:$A$203,F358,'System map'!$B$4:$B$203,"&lt;&gt;",'System map'!$C$4:$C$203,"&lt;&gt;",'System map'!$D$4:$D$203,"&lt;&gt;"),COUNTIFS(Components!$A$4:$A$253,F358,Components!$B$4:$B$253,E358,Components!$K$4:$K$253,"Confirmed",Components!$L$4:$L$253,"OK — verify source"))))&lt;&gt;1)),"Endpoint not source-reconciled",IF(AND(M358="Confirmed",OR(L358="",K358="",K358="Unknown",K358="Low")),"Confirmed link lacks verification","OK — verify source"))))))))))))))</f>
        <v/>
      </c>
    </row>
    <row r="359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8" t="n"/>
      <c r="M359" s="27" t="n"/>
      <c r="N359" s="27">
        <f>IF(COUNTA(A359:M359)=0,"",IF(OR(A359="",B359="",C359="",D359="",E359="",F359="",I359="",J359="",K359="",M359=""),"Required link detail missing",IF(COUNTIF($A$4:$A$1003,A359)&gt;1,"Duplicate Map Edge ID",IF(NOT(OR(AND(B359="UC",E359="CAP",D359="requires"),AND(B359="CAP",E359="AIR",D359="provided by"),AND(B359="AIR",OR(E359="MOD",E359="DATA",E359="IF",E359="AG",E359="TOOL"),D359="references"),AND(B359="AIR",E359="AIR",D359="depends on"))),"Invalid relationship",IF(AND(M359&lt;&gt;"Superseded",COUNTIFS($B$4:$B$1003,B359,$C$4:$C$1003,C359,$D$4:$D$1003,D359,$E$4:$E$1003,E359,$F$4:$F$1003,F359,$G$4:$G$1003,G359,$M$4:$M$1003,"&lt;&gt;Superseded")&gt;1),"Duplicate relationship",IF(OR(IF(B359="UC",COUNTIF('Use cases'!$A$4:$A$253,C359),IF(B359="CAP",COUNTIF(Capabilities!$A$4:$A$253,C359),IF(B359="AIR",COUNTIF('System map'!$A$4:$A$203,C359),COUNTIFS(Components!$A$4:$A$253,C359,Components!$B$4:$B$253,B359))))&lt;&gt;1,IF(E359="UC",COUNTIF('Use cases'!$A$4:$A$253,F359),IF(E359="CAP",COUNTIF(Capabilities!$A$4:$A$253,F359),IF(E359="AIR",COUNTIF('System map'!$A$4:$A$203,F359),COUNTIFS(Components!$A$4:$A$253,F359,Components!$B$4:$B$253,E359))))&lt;&gt;1),"Endpoint missing or duplicated",IF(AND(NOT(AND(B359="UC",E359="CAP")),OR(G359="",COUNTIF('System map'!$A$4:$A$203,G359)&lt;&gt;1)),"AIR context missing / unknown",IF(AND(B359="CAP",E359="AIR",G359&lt;&gt;F359),"AIR context mismatch",IF(AND(B359="AIR",G359&lt;&gt;C359),"AIR context mismatch",IF(AND(B359="AIR",E359="AIR",C359=F359),"Self-dependency",IF(AND(B359="AIR",E359="AIR",M359&lt;&gt;"Superseded",COUNTIFS($B$4:$B$1003,"AIR",$C$4:$C$1003,F359,$E$4:$E$1003,"AIR",$F$4:$F$1003,C359,$M$4:$M$1003,"&lt;&gt;Superseded")&gt;0),"Dependency cycle (A↔B) — review",IF(AND(B359="AIR",OR(E359="MOD",E359="DATA",E359="IF",E359="AG",E359="TOOL"),IFERROR(INDEX(Components!$G$4:$G$253,MATCH(F359,Components!$A$4:$A$253,0)),"")&lt;&gt;"",IFERROR(INDEX(Components!$G$4:$G$253,MATCH(F359,Components!$A$4:$A$253,0)),"")&lt;&gt;C359),"Component owned by another AIR-ID",IF(AND(M359="Confirmed",OR(IF(B359="UC",COUNTIFS('Use cases'!$A$4:$A$253,C359,'Use cases'!$I$4:$I$253,"Confirmed",'Use cases'!$J$4:$J$253,"OK — verify source"),IF(B359="CAP",COUNTIFS(Capabilities!$A$4:$A$253,C359,Capabilities!$J$4:$J$253,"Confirmed",Capabilities!$K$4:$K$253,"OK — verify source"),IF(B359="AIR",COUNTIFS('System map'!$A$4:$A$203,C359,'System map'!$B$4:$B$203,"&lt;&gt;",'System map'!$C$4:$C$203,"&lt;&gt;",'System map'!$D$4:$D$203,"&lt;&gt;"),COUNTIFS(Components!$A$4:$A$253,C359,Components!$B$4:$B$253,B359,Components!$K$4:$K$253,"Confirmed",Components!$L$4:$L$253,"OK — verify source"))))&lt;&gt;1,IF(E359="UC",COUNTIFS('Use cases'!$A$4:$A$253,F359,'Use cases'!$I$4:$I$253,"Confirmed",'Use cases'!$J$4:$J$253,"OK — verify source"),IF(E359="CAP",COUNTIFS(Capabilities!$A$4:$A$253,F359,Capabilities!$J$4:$J$253,"Confirmed",Capabilities!$K$4:$K$253,"OK — verify source"),IF(E359="AIR",COUNTIFS('System map'!$A$4:$A$203,F359,'System map'!$B$4:$B$203,"&lt;&gt;",'System map'!$C$4:$C$203,"&lt;&gt;",'System map'!$D$4:$D$203,"&lt;&gt;"),COUNTIFS(Components!$A$4:$A$253,F359,Components!$B$4:$B$253,E359,Components!$K$4:$K$253,"Confirmed",Components!$L$4:$L$253,"OK — verify source"))))&lt;&gt;1)),"Endpoint not source-reconciled",IF(AND(M359="Confirmed",OR(L359="",K359="",K359="Unknown",K359="Low")),"Confirmed link lacks verification","OK — verify source"))))))))))))))</f>
        <v/>
      </c>
    </row>
    <row r="360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6" t="n"/>
      <c r="M360" s="25" t="n"/>
      <c r="N360" s="25">
        <f>IF(COUNTA(A360:M360)=0,"",IF(OR(A360="",B360="",C360="",D360="",E360="",F360="",I360="",J360="",K360="",M360=""),"Required link detail missing",IF(COUNTIF($A$4:$A$1003,A360)&gt;1,"Duplicate Map Edge ID",IF(NOT(OR(AND(B360="UC",E360="CAP",D360="requires"),AND(B360="CAP",E360="AIR",D360="provided by"),AND(B360="AIR",OR(E360="MOD",E360="DATA",E360="IF",E360="AG",E360="TOOL"),D360="references"),AND(B360="AIR",E360="AIR",D360="depends on"))),"Invalid relationship",IF(AND(M360&lt;&gt;"Superseded",COUNTIFS($B$4:$B$1003,B360,$C$4:$C$1003,C360,$D$4:$D$1003,D360,$E$4:$E$1003,E360,$F$4:$F$1003,F360,$G$4:$G$1003,G360,$M$4:$M$1003,"&lt;&gt;Superseded")&gt;1),"Duplicate relationship",IF(OR(IF(B360="UC",COUNTIF('Use cases'!$A$4:$A$253,C360),IF(B360="CAP",COUNTIF(Capabilities!$A$4:$A$253,C360),IF(B360="AIR",COUNTIF('System map'!$A$4:$A$203,C360),COUNTIFS(Components!$A$4:$A$253,C360,Components!$B$4:$B$253,B360))))&lt;&gt;1,IF(E360="UC",COUNTIF('Use cases'!$A$4:$A$253,F360),IF(E360="CAP",COUNTIF(Capabilities!$A$4:$A$253,F360),IF(E360="AIR",COUNTIF('System map'!$A$4:$A$203,F360),COUNTIFS(Components!$A$4:$A$253,F360,Components!$B$4:$B$253,E360))))&lt;&gt;1),"Endpoint missing or duplicated",IF(AND(NOT(AND(B360="UC",E360="CAP")),OR(G360="",COUNTIF('System map'!$A$4:$A$203,G360)&lt;&gt;1)),"AIR context missing / unknown",IF(AND(B360="CAP",E360="AIR",G360&lt;&gt;F360),"AIR context mismatch",IF(AND(B360="AIR",G360&lt;&gt;C360),"AIR context mismatch",IF(AND(B360="AIR",E360="AIR",C360=F360),"Self-dependency",IF(AND(B360="AIR",E360="AIR",M360&lt;&gt;"Superseded",COUNTIFS($B$4:$B$1003,"AIR",$C$4:$C$1003,F360,$E$4:$E$1003,"AIR",$F$4:$F$1003,C360,$M$4:$M$1003,"&lt;&gt;Superseded")&gt;0),"Dependency cycle (A↔B) — review",IF(AND(B360="AIR",OR(E360="MOD",E360="DATA",E360="IF",E360="AG",E360="TOOL"),IFERROR(INDEX(Components!$G$4:$G$253,MATCH(F360,Components!$A$4:$A$253,0)),"")&lt;&gt;"",IFERROR(INDEX(Components!$G$4:$G$253,MATCH(F360,Components!$A$4:$A$253,0)),"")&lt;&gt;C360),"Component owned by another AIR-ID",IF(AND(M360="Confirmed",OR(IF(B360="UC",COUNTIFS('Use cases'!$A$4:$A$253,C360,'Use cases'!$I$4:$I$253,"Confirmed",'Use cases'!$J$4:$J$253,"OK — verify source"),IF(B360="CAP",COUNTIFS(Capabilities!$A$4:$A$253,C360,Capabilities!$J$4:$J$253,"Confirmed",Capabilities!$K$4:$K$253,"OK — verify source"),IF(B360="AIR",COUNTIFS('System map'!$A$4:$A$203,C360,'System map'!$B$4:$B$203,"&lt;&gt;",'System map'!$C$4:$C$203,"&lt;&gt;",'System map'!$D$4:$D$203,"&lt;&gt;"),COUNTIFS(Components!$A$4:$A$253,C360,Components!$B$4:$B$253,B360,Components!$K$4:$K$253,"Confirmed",Components!$L$4:$L$253,"OK — verify source"))))&lt;&gt;1,IF(E360="UC",COUNTIFS('Use cases'!$A$4:$A$253,F360,'Use cases'!$I$4:$I$253,"Confirmed",'Use cases'!$J$4:$J$253,"OK — verify source"),IF(E360="CAP",COUNTIFS(Capabilities!$A$4:$A$253,F360,Capabilities!$J$4:$J$253,"Confirmed",Capabilities!$K$4:$K$253,"OK — verify source"),IF(E360="AIR",COUNTIFS('System map'!$A$4:$A$203,F360,'System map'!$B$4:$B$203,"&lt;&gt;",'System map'!$C$4:$C$203,"&lt;&gt;",'System map'!$D$4:$D$203,"&lt;&gt;"),COUNTIFS(Components!$A$4:$A$253,F360,Components!$B$4:$B$253,E360,Components!$K$4:$K$253,"Confirmed",Components!$L$4:$L$253,"OK — verify source"))))&lt;&gt;1)),"Endpoint not source-reconciled",IF(AND(M360="Confirmed",OR(L360="",K360="",K360="Unknown",K360="Low")),"Confirmed link lacks verification","OK — verify source"))))))))))))))</f>
        <v/>
      </c>
    </row>
    <row r="361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8" t="n"/>
      <c r="M361" s="27" t="n"/>
      <c r="N361" s="27">
        <f>IF(COUNTA(A361:M361)=0,"",IF(OR(A361="",B361="",C361="",D361="",E361="",F361="",I361="",J361="",K361="",M361=""),"Required link detail missing",IF(COUNTIF($A$4:$A$1003,A361)&gt;1,"Duplicate Map Edge ID",IF(NOT(OR(AND(B361="UC",E361="CAP",D361="requires"),AND(B361="CAP",E361="AIR",D361="provided by"),AND(B361="AIR",OR(E361="MOD",E361="DATA",E361="IF",E361="AG",E361="TOOL"),D361="references"),AND(B361="AIR",E361="AIR",D361="depends on"))),"Invalid relationship",IF(AND(M361&lt;&gt;"Superseded",COUNTIFS($B$4:$B$1003,B361,$C$4:$C$1003,C361,$D$4:$D$1003,D361,$E$4:$E$1003,E361,$F$4:$F$1003,F361,$G$4:$G$1003,G361,$M$4:$M$1003,"&lt;&gt;Superseded")&gt;1),"Duplicate relationship",IF(OR(IF(B361="UC",COUNTIF('Use cases'!$A$4:$A$253,C361),IF(B361="CAP",COUNTIF(Capabilities!$A$4:$A$253,C361),IF(B361="AIR",COUNTIF('System map'!$A$4:$A$203,C361),COUNTIFS(Components!$A$4:$A$253,C361,Components!$B$4:$B$253,B361))))&lt;&gt;1,IF(E361="UC",COUNTIF('Use cases'!$A$4:$A$253,F361),IF(E361="CAP",COUNTIF(Capabilities!$A$4:$A$253,F361),IF(E361="AIR",COUNTIF('System map'!$A$4:$A$203,F361),COUNTIFS(Components!$A$4:$A$253,F361,Components!$B$4:$B$253,E361))))&lt;&gt;1),"Endpoint missing or duplicated",IF(AND(NOT(AND(B361="UC",E361="CAP")),OR(G361="",COUNTIF('System map'!$A$4:$A$203,G361)&lt;&gt;1)),"AIR context missing / unknown",IF(AND(B361="CAP",E361="AIR",G361&lt;&gt;F361),"AIR context mismatch",IF(AND(B361="AIR",G361&lt;&gt;C361),"AIR context mismatch",IF(AND(B361="AIR",E361="AIR",C361=F361),"Self-dependency",IF(AND(B361="AIR",E361="AIR",M361&lt;&gt;"Superseded",COUNTIFS($B$4:$B$1003,"AIR",$C$4:$C$1003,F361,$E$4:$E$1003,"AIR",$F$4:$F$1003,C361,$M$4:$M$1003,"&lt;&gt;Superseded")&gt;0),"Dependency cycle (A↔B) — review",IF(AND(B361="AIR",OR(E361="MOD",E361="DATA",E361="IF",E361="AG",E361="TOOL"),IFERROR(INDEX(Components!$G$4:$G$253,MATCH(F361,Components!$A$4:$A$253,0)),"")&lt;&gt;"",IFERROR(INDEX(Components!$G$4:$G$253,MATCH(F361,Components!$A$4:$A$253,0)),"")&lt;&gt;C361),"Component owned by another AIR-ID",IF(AND(M361="Confirmed",OR(IF(B361="UC",COUNTIFS('Use cases'!$A$4:$A$253,C361,'Use cases'!$I$4:$I$253,"Confirmed",'Use cases'!$J$4:$J$253,"OK — verify source"),IF(B361="CAP",COUNTIFS(Capabilities!$A$4:$A$253,C361,Capabilities!$J$4:$J$253,"Confirmed",Capabilities!$K$4:$K$253,"OK — verify source"),IF(B361="AIR",COUNTIFS('System map'!$A$4:$A$203,C361,'System map'!$B$4:$B$203,"&lt;&gt;",'System map'!$C$4:$C$203,"&lt;&gt;",'System map'!$D$4:$D$203,"&lt;&gt;"),COUNTIFS(Components!$A$4:$A$253,C361,Components!$B$4:$B$253,B361,Components!$K$4:$K$253,"Confirmed",Components!$L$4:$L$253,"OK — verify source"))))&lt;&gt;1,IF(E361="UC",COUNTIFS('Use cases'!$A$4:$A$253,F361,'Use cases'!$I$4:$I$253,"Confirmed",'Use cases'!$J$4:$J$253,"OK — verify source"),IF(E361="CAP",COUNTIFS(Capabilities!$A$4:$A$253,F361,Capabilities!$J$4:$J$253,"Confirmed",Capabilities!$K$4:$K$253,"OK — verify source"),IF(E361="AIR",COUNTIFS('System map'!$A$4:$A$203,F361,'System map'!$B$4:$B$203,"&lt;&gt;",'System map'!$C$4:$C$203,"&lt;&gt;",'System map'!$D$4:$D$203,"&lt;&gt;"),COUNTIFS(Components!$A$4:$A$253,F361,Components!$B$4:$B$253,E361,Components!$K$4:$K$253,"Confirmed",Components!$L$4:$L$253,"OK — verify source"))))&lt;&gt;1)),"Endpoint not source-reconciled",IF(AND(M361="Confirmed",OR(L361="",K361="",K361="Unknown",K361="Low")),"Confirmed link lacks verification","OK — verify source"))))))))))))))</f>
        <v/>
      </c>
    </row>
    <row r="362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6" t="n"/>
      <c r="M362" s="25" t="n"/>
      <c r="N362" s="25">
        <f>IF(COUNTA(A362:M362)=0,"",IF(OR(A362="",B362="",C362="",D362="",E362="",F362="",I362="",J362="",K362="",M362=""),"Required link detail missing",IF(COUNTIF($A$4:$A$1003,A362)&gt;1,"Duplicate Map Edge ID",IF(NOT(OR(AND(B362="UC",E362="CAP",D362="requires"),AND(B362="CAP",E362="AIR",D362="provided by"),AND(B362="AIR",OR(E362="MOD",E362="DATA",E362="IF",E362="AG",E362="TOOL"),D362="references"),AND(B362="AIR",E362="AIR",D362="depends on"))),"Invalid relationship",IF(AND(M362&lt;&gt;"Superseded",COUNTIFS($B$4:$B$1003,B362,$C$4:$C$1003,C362,$D$4:$D$1003,D362,$E$4:$E$1003,E362,$F$4:$F$1003,F362,$G$4:$G$1003,G362,$M$4:$M$1003,"&lt;&gt;Superseded")&gt;1),"Duplicate relationship",IF(OR(IF(B362="UC",COUNTIF('Use cases'!$A$4:$A$253,C362),IF(B362="CAP",COUNTIF(Capabilities!$A$4:$A$253,C362),IF(B362="AIR",COUNTIF('System map'!$A$4:$A$203,C362),COUNTIFS(Components!$A$4:$A$253,C362,Components!$B$4:$B$253,B362))))&lt;&gt;1,IF(E362="UC",COUNTIF('Use cases'!$A$4:$A$253,F362),IF(E362="CAP",COUNTIF(Capabilities!$A$4:$A$253,F362),IF(E362="AIR",COUNTIF('System map'!$A$4:$A$203,F362),COUNTIFS(Components!$A$4:$A$253,F362,Components!$B$4:$B$253,E362))))&lt;&gt;1),"Endpoint missing or duplicated",IF(AND(NOT(AND(B362="UC",E362="CAP")),OR(G362="",COUNTIF('System map'!$A$4:$A$203,G362)&lt;&gt;1)),"AIR context missing / unknown",IF(AND(B362="CAP",E362="AIR",G362&lt;&gt;F362),"AIR context mismatch",IF(AND(B362="AIR",G362&lt;&gt;C362),"AIR context mismatch",IF(AND(B362="AIR",E362="AIR",C362=F362),"Self-dependency",IF(AND(B362="AIR",E362="AIR",M362&lt;&gt;"Superseded",COUNTIFS($B$4:$B$1003,"AIR",$C$4:$C$1003,F362,$E$4:$E$1003,"AIR",$F$4:$F$1003,C362,$M$4:$M$1003,"&lt;&gt;Superseded")&gt;0),"Dependency cycle (A↔B) — review",IF(AND(B362="AIR",OR(E362="MOD",E362="DATA",E362="IF",E362="AG",E362="TOOL"),IFERROR(INDEX(Components!$G$4:$G$253,MATCH(F362,Components!$A$4:$A$253,0)),"")&lt;&gt;"",IFERROR(INDEX(Components!$G$4:$G$253,MATCH(F362,Components!$A$4:$A$253,0)),"")&lt;&gt;C362),"Component owned by another AIR-ID",IF(AND(M362="Confirmed",OR(IF(B362="UC",COUNTIFS('Use cases'!$A$4:$A$253,C362,'Use cases'!$I$4:$I$253,"Confirmed",'Use cases'!$J$4:$J$253,"OK — verify source"),IF(B362="CAP",COUNTIFS(Capabilities!$A$4:$A$253,C362,Capabilities!$J$4:$J$253,"Confirmed",Capabilities!$K$4:$K$253,"OK — verify source"),IF(B362="AIR",COUNTIFS('System map'!$A$4:$A$203,C362,'System map'!$B$4:$B$203,"&lt;&gt;",'System map'!$C$4:$C$203,"&lt;&gt;",'System map'!$D$4:$D$203,"&lt;&gt;"),COUNTIFS(Components!$A$4:$A$253,C362,Components!$B$4:$B$253,B362,Components!$K$4:$K$253,"Confirmed",Components!$L$4:$L$253,"OK — verify source"))))&lt;&gt;1,IF(E362="UC",COUNTIFS('Use cases'!$A$4:$A$253,F362,'Use cases'!$I$4:$I$253,"Confirmed",'Use cases'!$J$4:$J$253,"OK — verify source"),IF(E362="CAP",COUNTIFS(Capabilities!$A$4:$A$253,F362,Capabilities!$J$4:$J$253,"Confirmed",Capabilities!$K$4:$K$253,"OK — verify source"),IF(E362="AIR",COUNTIFS('System map'!$A$4:$A$203,F362,'System map'!$B$4:$B$203,"&lt;&gt;",'System map'!$C$4:$C$203,"&lt;&gt;",'System map'!$D$4:$D$203,"&lt;&gt;"),COUNTIFS(Components!$A$4:$A$253,F362,Components!$B$4:$B$253,E362,Components!$K$4:$K$253,"Confirmed",Components!$L$4:$L$253,"OK — verify source"))))&lt;&gt;1)),"Endpoint not source-reconciled",IF(AND(M362="Confirmed",OR(L362="",K362="",K362="Unknown",K362="Low")),"Confirmed link lacks verification","OK — verify source"))))))))))))))</f>
        <v/>
      </c>
    </row>
    <row r="363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8" t="n"/>
      <c r="M363" s="27" t="n"/>
      <c r="N363" s="27">
        <f>IF(COUNTA(A363:M363)=0,"",IF(OR(A363="",B363="",C363="",D363="",E363="",F363="",I363="",J363="",K363="",M363=""),"Required link detail missing",IF(COUNTIF($A$4:$A$1003,A363)&gt;1,"Duplicate Map Edge ID",IF(NOT(OR(AND(B363="UC",E363="CAP",D363="requires"),AND(B363="CAP",E363="AIR",D363="provided by"),AND(B363="AIR",OR(E363="MOD",E363="DATA",E363="IF",E363="AG",E363="TOOL"),D363="references"),AND(B363="AIR",E363="AIR",D363="depends on"))),"Invalid relationship",IF(AND(M363&lt;&gt;"Superseded",COUNTIFS($B$4:$B$1003,B363,$C$4:$C$1003,C363,$D$4:$D$1003,D363,$E$4:$E$1003,E363,$F$4:$F$1003,F363,$G$4:$G$1003,G363,$M$4:$M$1003,"&lt;&gt;Superseded")&gt;1),"Duplicate relationship",IF(OR(IF(B363="UC",COUNTIF('Use cases'!$A$4:$A$253,C363),IF(B363="CAP",COUNTIF(Capabilities!$A$4:$A$253,C363),IF(B363="AIR",COUNTIF('System map'!$A$4:$A$203,C363),COUNTIFS(Components!$A$4:$A$253,C363,Components!$B$4:$B$253,B363))))&lt;&gt;1,IF(E363="UC",COUNTIF('Use cases'!$A$4:$A$253,F363),IF(E363="CAP",COUNTIF(Capabilities!$A$4:$A$253,F363),IF(E363="AIR",COUNTIF('System map'!$A$4:$A$203,F363),COUNTIFS(Components!$A$4:$A$253,F363,Components!$B$4:$B$253,E363))))&lt;&gt;1),"Endpoint missing or duplicated",IF(AND(NOT(AND(B363="UC",E363="CAP")),OR(G363="",COUNTIF('System map'!$A$4:$A$203,G363)&lt;&gt;1)),"AIR context missing / unknown",IF(AND(B363="CAP",E363="AIR",G363&lt;&gt;F363),"AIR context mismatch",IF(AND(B363="AIR",G363&lt;&gt;C363),"AIR context mismatch",IF(AND(B363="AIR",E363="AIR",C363=F363),"Self-dependency",IF(AND(B363="AIR",E363="AIR",M363&lt;&gt;"Superseded",COUNTIFS($B$4:$B$1003,"AIR",$C$4:$C$1003,F363,$E$4:$E$1003,"AIR",$F$4:$F$1003,C363,$M$4:$M$1003,"&lt;&gt;Superseded")&gt;0),"Dependency cycle (A↔B) — review",IF(AND(B363="AIR",OR(E363="MOD",E363="DATA",E363="IF",E363="AG",E363="TOOL"),IFERROR(INDEX(Components!$G$4:$G$253,MATCH(F363,Components!$A$4:$A$253,0)),"")&lt;&gt;"",IFERROR(INDEX(Components!$G$4:$G$253,MATCH(F363,Components!$A$4:$A$253,0)),"")&lt;&gt;C363),"Component owned by another AIR-ID",IF(AND(M363="Confirmed",OR(IF(B363="UC",COUNTIFS('Use cases'!$A$4:$A$253,C363,'Use cases'!$I$4:$I$253,"Confirmed",'Use cases'!$J$4:$J$253,"OK — verify source"),IF(B363="CAP",COUNTIFS(Capabilities!$A$4:$A$253,C363,Capabilities!$J$4:$J$253,"Confirmed",Capabilities!$K$4:$K$253,"OK — verify source"),IF(B363="AIR",COUNTIFS('System map'!$A$4:$A$203,C363,'System map'!$B$4:$B$203,"&lt;&gt;",'System map'!$C$4:$C$203,"&lt;&gt;",'System map'!$D$4:$D$203,"&lt;&gt;"),COUNTIFS(Components!$A$4:$A$253,C363,Components!$B$4:$B$253,B363,Components!$K$4:$K$253,"Confirmed",Components!$L$4:$L$253,"OK — verify source"))))&lt;&gt;1,IF(E363="UC",COUNTIFS('Use cases'!$A$4:$A$253,F363,'Use cases'!$I$4:$I$253,"Confirmed",'Use cases'!$J$4:$J$253,"OK — verify source"),IF(E363="CAP",COUNTIFS(Capabilities!$A$4:$A$253,F363,Capabilities!$J$4:$J$253,"Confirmed",Capabilities!$K$4:$K$253,"OK — verify source"),IF(E363="AIR",COUNTIFS('System map'!$A$4:$A$203,F363,'System map'!$B$4:$B$203,"&lt;&gt;",'System map'!$C$4:$C$203,"&lt;&gt;",'System map'!$D$4:$D$203,"&lt;&gt;"),COUNTIFS(Components!$A$4:$A$253,F363,Components!$B$4:$B$253,E363,Components!$K$4:$K$253,"Confirmed",Components!$L$4:$L$253,"OK — verify source"))))&lt;&gt;1)),"Endpoint not source-reconciled",IF(AND(M363="Confirmed",OR(L363="",K363="",K363="Unknown",K363="Low")),"Confirmed link lacks verification","OK — verify source"))))))))))))))</f>
        <v/>
      </c>
    </row>
    <row r="3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6" t="n"/>
      <c r="M364" s="25" t="n"/>
      <c r="N364" s="25">
        <f>IF(COUNTA(A364:M364)=0,"",IF(OR(A364="",B364="",C364="",D364="",E364="",F364="",I364="",J364="",K364="",M364=""),"Required link detail missing",IF(COUNTIF($A$4:$A$1003,A364)&gt;1,"Duplicate Map Edge ID",IF(NOT(OR(AND(B364="UC",E364="CAP",D364="requires"),AND(B364="CAP",E364="AIR",D364="provided by"),AND(B364="AIR",OR(E364="MOD",E364="DATA",E364="IF",E364="AG",E364="TOOL"),D364="references"),AND(B364="AIR",E364="AIR",D364="depends on"))),"Invalid relationship",IF(AND(M364&lt;&gt;"Superseded",COUNTIFS($B$4:$B$1003,B364,$C$4:$C$1003,C364,$D$4:$D$1003,D364,$E$4:$E$1003,E364,$F$4:$F$1003,F364,$G$4:$G$1003,G364,$M$4:$M$1003,"&lt;&gt;Superseded")&gt;1),"Duplicate relationship",IF(OR(IF(B364="UC",COUNTIF('Use cases'!$A$4:$A$253,C364),IF(B364="CAP",COUNTIF(Capabilities!$A$4:$A$253,C364),IF(B364="AIR",COUNTIF('System map'!$A$4:$A$203,C364),COUNTIFS(Components!$A$4:$A$253,C364,Components!$B$4:$B$253,B364))))&lt;&gt;1,IF(E364="UC",COUNTIF('Use cases'!$A$4:$A$253,F364),IF(E364="CAP",COUNTIF(Capabilities!$A$4:$A$253,F364),IF(E364="AIR",COUNTIF('System map'!$A$4:$A$203,F364),COUNTIFS(Components!$A$4:$A$253,F364,Components!$B$4:$B$253,E364))))&lt;&gt;1),"Endpoint missing or duplicated",IF(AND(NOT(AND(B364="UC",E364="CAP")),OR(G364="",COUNTIF('System map'!$A$4:$A$203,G364)&lt;&gt;1)),"AIR context missing / unknown",IF(AND(B364="CAP",E364="AIR",G364&lt;&gt;F364),"AIR context mismatch",IF(AND(B364="AIR",G364&lt;&gt;C364),"AIR context mismatch",IF(AND(B364="AIR",E364="AIR",C364=F364),"Self-dependency",IF(AND(B364="AIR",E364="AIR",M364&lt;&gt;"Superseded",COUNTIFS($B$4:$B$1003,"AIR",$C$4:$C$1003,F364,$E$4:$E$1003,"AIR",$F$4:$F$1003,C364,$M$4:$M$1003,"&lt;&gt;Superseded")&gt;0),"Dependency cycle (A↔B) — review",IF(AND(B364="AIR",OR(E364="MOD",E364="DATA",E364="IF",E364="AG",E364="TOOL"),IFERROR(INDEX(Components!$G$4:$G$253,MATCH(F364,Components!$A$4:$A$253,0)),"")&lt;&gt;"",IFERROR(INDEX(Components!$G$4:$G$253,MATCH(F364,Components!$A$4:$A$253,0)),"")&lt;&gt;C364),"Component owned by another AIR-ID",IF(AND(M364="Confirmed",OR(IF(B364="UC",COUNTIFS('Use cases'!$A$4:$A$253,C364,'Use cases'!$I$4:$I$253,"Confirmed",'Use cases'!$J$4:$J$253,"OK — verify source"),IF(B364="CAP",COUNTIFS(Capabilities!$A$4:$A$253,C364,Capabilities!$J$4:$J$253,"Confirmed",Capabilities!$K$4:$K$253,"OK — verify source"),IF(B364="AIR",COUNTIFS('System map'!$A$4:$A$203,C364,'System map'!$B$4:$B$203,"&lt;&gt;",'System map'!$C$4:$C$203,"&lt;&gt;",'System map'!$D$4:$D$203,"&lt;&gt;"),COUNTIFS(Components!$A$4:$A$253,C364,Components!$B$4:$B$253,B364,Components!$K$4:$K$253,"Confirmed",Components!$L$4:$L$253,"OK — verify source"))))&lt;&gt;1,IF(E364="UC",COUNTIFS('Use cases'!$A$4:$A$253,F364,'Use cases'!$I$4:$I$253,"Confirmed",'Use cases'!$J$4:$J$253,"OK — verify source"),IF(E364="CAP",COUNTIFS(Capabilities!$A$4:$A$253,F364,Capabilities!$J$4:$J$253,"Confirmed",Capabilities!$K$4:$K$253,"OK — verify source"),IF(E364="AIR",COUNTIFS('System map'!$A$4:$A$203,F364,'System map'!$B$4:$B$203,"&lt;&gt;",'System map'!$C$4:$C$203,"&lt;&gt;",'System map'!$D$4:$D$203,"&lt;&gt;"),COUNTIFS(Components!$A$4:$A$253,F364,Components!$B$4:$B$253,E364,Components!$K$4:$K$253,"Confirmed",Components!$L$4:$L$253,"OK — verify source"))))&lt;&gt;1)),"Endpoint not source-reconciled",IF(AND(M364="Confirmed",OR(L364="",K364="",K364="Unknown",K364="Low")),"Confirmed link lacks verification","OK — verify source"))))))))))))))</f>
        <v/>
      </c>
    </row>
    <row r="365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8" t="n"/>
      <c r="M365" s="27" t="n"/>
      <c r="N365" s="27">
        <f>IF(COUNTA(A365:M365)=0,"",IF(OR(A365="",B365="",C365="",D365="",E365="",F365="",I365="",J365="",K365="",M365=""),"Required link detail missing",IF(COUNTIF($A$4:$A$1003,A365)&gt;1,"Duplicate Map Edge ID",IF(NOT(OR(AND(B365="UC",E365="CAP",D365="requires"),AND(B365="CAP",E365="AIR",D365="provided by"),AND(B365="AIR",OR(E365="MOD",E365="DATA",E365="IF",E365="AG",E365="TOOL"),D365="references"),AND(B365="AIR",E365="AIR",D365="depends on"))),"Invalid relationship",IF(AND(M365&lt;&gt;"Superseded",COUNTIFS($B$4:$B$1003,B365,$C$4:$C$1003,C365,$D$4:$D$1003,D365,$E$4:$E$1003,E365,$F$4:$F$1003,F365,$G$4:$G$1003,G365,$M$4:$M$1003,"&lt;&gt;Superseded")&gt;1),"Duplicate relationship",IF(OR(IF(B365="UC",COUNTIF('Use cases'!$A$4:$A$253,C365),IF(B365="CAP",COUNTIF(Capabilities!$A$4:$A$253,C365),IF(B365="AIR",COUNTIF('System map'!$A$4:$A$203,C365),COUNTIFS(Components!$A$4:$A$253,C365,Components!$B$4:$B$253,B365))))&lt;&gt;1,IF(E365="UC",COUNTIF('Use cases'!$A$4:$A$253,F365),IF(E365="CAP",COUNTIF(Capabilities!$A$4:$A$253,F365),IF(E365="AIR",COUNTIF('System map'!$A$4:$A$203,F365),COUNTIFS(Components!$A$4:$A$253,F365,Components!$B$4:$B$253,E365))))&lt;&gt;1),"Endpoint missing or duplicated",IF(AND(NOT(AND(B365="UC",E365="CAP")),OR(G365="",COUNTIF('System map'!$A$4:$A$203,G365)&lt;&gt;1)),"AIR context missing / unknown",IF(AND(B365="CAP",E365="AIR",G365&lt;&gt;F365),"AIR context mismatch",IF(AND(B365="AIR",G365&lt;&gt;C365),"AIR context mismatch",IF(AND(B365="AIR",E365="AIR",C365=F365),"Self-dependency",IF(AND(B365="AIR",E365="AIR",M365&lt;&gt;"Superseded",COUNTIFS($B$4:$B$1003,"AIR",$C$4:$C$1003,F365,$E$4:$E$1003,"AIR",$F$4:$F$1003,C365,$M$4:$M$1003,"&lt;&gt;Superseded")&gt;0),"Dependency cycle (A↔B) — review",IF(AND(B365="AIR",OR(E365="MOD",E365="DATA",E365="IF",E365="AG",E365="TOOL"),IFERROR(INDEX(Components!$G$4:$G$253,MATCH(F365,Components!$A$4:$A$253,0)),"")&lt;&gt;"",IFERROR(INDEX(Components!$G$4:$G$253,MATCH(F365,Components!$A$4:$A$253,0)),"")&lt;&gt;C365),"Component owned by another AIR-ID",IF(AND(M365="Confirmed",OR(IF(B365="UC",COUNTIFS('Use cases'!$A$4:$A$253,C365,'Use cases'!$I$4:$I$253,"Confirmed",'Use cases'!$J$4:$J$253,"OK — verify source"),IF(B365="CAP",COUNTIFS(Capabilities!$A$4:$A$253,C365,Capabilities!$J$4:$J$253,"Confirmed",Capabilities!$K$4:$K$253,"OK — verify source"),IF(B365="AIR",COUNTIFS('System map'!$A$4:$A$203,C365,'System map'!$B$4:$B$203,"&lt;&gt;",'System map'!$C$4:$C$203,"&lt;&gt;",'System map'!$D$4:$D$203,"&lt;&gt;"),COUNTIFS(Components!$A$4:$A$253,C365,Components!$B$4:$B$253,B365,Components!$K$4:$K$253,"Confirmed",Components!$L$4:$L$253,"OK — verify source"))))&lt;&gt;1,IF(E365="UC",COUNTIFS('Use cases'!$A$4:$A$253,F365,'Use cases'!$I$4:$I$253,"Confirmed",'Use cases'!$J$4:$J$253,"OK — verify source"),IF(E365="CAP",COUNTIFS(Capabilities!$A$4:$A$253,F365,Capabilities!$J$4:$J$253,"Confirmed",Capabilities!$K$4:$K$253,"OK — verify source"),IF(E365="AIR",COUNTIFS('System map'!$A$4:$A$203,F365,'System map'!$B$4:$B$203,"&lt;&gt;",'System map'!$C$4:$C$203,"&lt;&gt;",'System map'!$D$4:$D$203,"&lt;&gt;"),COUNTIFS(Components!$A$4:$A$253,F365,Components!$B$4:$B$253,E365,Components!$K$4:$K$253,"Confirmed",Components!$L$4:$L$253,"OK — verify source"))))&lt;&gt;1)),"Endpoint not source-reconciled",IF(AND(M365="Confirmed",OR(L365="",K365="",K365="Unknown",K365="Low")),"Confirmed link lacks verification","OK — verify source"))))))))))))))</f>
        <v/>
      </c>
    </row>
    <row r="366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6" t="n"/>
      <c r="M366" s="25" t="n"/>
      <c r="N366" s="25">
        <f>IF(COUNTA(A366:M366)=0,"",IF(OR(A366="",B366="",C366="",D366="",E366="",F366="",I366="",J366="",K366="",M366=""),"Required link detail missing",IF(COUNTIF($A$4:$A$1003,A366)&gt;1,"Duplicate Map Edge ID",IF(NOT(OR(AND(B366="UC",E366="CAP",D366="requires"),AND(B366="CAP",E366="AIR",D366="provided by"),AND(B366="AIR",OR(E366="MOD",E366="DATA",E366="IF",E366="AG",E366="TOOL"),D366="references"),AND(B366="AIR",E366="AIR",D366="depends on"))),"Invalid relationship",IF(AND(M366&lt;&gt;"Superseded",COUNTIFS($B$4:$B$1003,B366,$C$4:$C$1003,C366,$D$4:$D$1003,D366,$E$4:$E$1003,E366,$F$4:$F$1003,F366,$G$4:$G$1003,G366,$M$4:$M$1003,"&lt;&gt;Superseded")&gt;1),"Duplicate relationship",IF(OR(IF(B366="UC",COUNTIF('Use cases'!$A$4:$A$253,C366),IF(B366="CAP",COUNTIF(Capabilities!$A$4:$A$253,C366),IF(B366="AIR",COUNTIF('System map'!$A$4:$A$203,C366),COUNTIFS(Components!$A$4:$A$253,C366,Components!$B$4:$B$253,B366))))&lt;&gt;1,IF(E366="UC",COUNTIF('Use cases'!$A$4:$A$253,F366),IF(E366="CAP",COUNTIF(Capabilities!$A$4:$A$253,F366),IF(E366="AIR",COUNTIF('System map'!$A$4:$A$203,F366),COUNTIFS(Components!$A$4:$A$253,F366,Components!$B$4:$B$253,E366))))&lt;&gt;1),"Endpoint missing or duplicated",IF(AND(NOT(AND(B366="UC",E366="CAP")),OR(G366="",COUNTIF('System map'!$A$4:$A$203,G366)&lt;&gt;1)),"AIR context missing / unknown",IF(AND(B366="CAP",E366="AIR",G366&lt;&gt;F366),"AIR context mismatch",IF(AND(B366="AIR",G366&lt;&gt;C366),"AIR context mismatch",IF(AND(B366="AIR",E366="AIR",C366=F366),"Self-dependency",IF(AND(B366="AIR",E366="AIR",M366&lt;&gt;"Superseded",COUNTIFS($B$4:$B$1003,"AIR",$C$4:$C$1003,F366,$E$4:$E$1003,"AIR",$F$4:$F$1003,C366,$M$4:$M$1003,"&lt;&gt;Superseded")&gt;0),"Dependency cycle (A↔B) — review",IF(AND(B366="AIR",OR(E366="MOD",E366="DATA",E366="IF",E366="AG",E366="TOOL"),IFERROR(INDEX(Components!$G$4:$G$253,MATCH(F366,Components!$A$4:$A$253,0)),"")&lt;&gt;"",IFERROR(INDEX(Components!$G$4:$G$253,MATCH(F366,Components!$A$4:$A$253,0)),"")&lt;&gt;C366),"Component owned by another AIR-ID",IF(AND(M366="Confirmed",OR(IF(B366="UC",COUNTIFS('Use cases'!$A$4:$A$253,C366,'Use cases'!$I$4:$I$253,"Confirmed",'Use cases'!$J$4:$J$253,"OK — verify source"),IF(B366="CAP",COUNTIFS(Capabilities!$A$4:$A$253,C366,Capabilities!$J$4:$J$253,"Confirmed",Capabilities!$K$4:$K$253,"OK — verify source"),IF(B366="AIR",COUNTIFS('System map'!$A$4:$A$203,C366,'System map'!$B$4:$B$203,"&lt;&gt;",'System map'!$C$4:$C$203,"&lt;&gt;",'System map'!$D$4:$D$203,"&lt;&gt;"),COUNTIFS(Components!$A$4:$A$253,C366,Components!$B$4:$B$253,B366,Components!$K$4:$K$253,"Confirmed",Components!$L$4:$L$253,"OK — verify source"))))&lt;&gt;1,IF(E366="UC",COUNTIFS('Use cases'!$A$4:$A$253,F366,'Use cases'!$I$4:$I$253,"Confirmed",'Use cases'!$J$4:$J$253,"OK — verify source"),IF(E366="CAP",COUNTIFS(Capabilities!$A$4:$A$253,F366,Capabilities!$J$4:$J$253,"Confirmed",Capabilities!$K$4:$K$253,"OK — verify source"),IF(E366="AIR",COUNTIFS('System map'!$A$4:$A$203,F366,'System map'!$B$4:$B$203,"&lt;&gt;",'System map'!$C$4:$C$203,"&lt;&gt;",'System map'!$D$4:$D$203,"&lt;&gt;"),COUNTIFS(Components!$A$4:$A$253,F366,Components!$B$4:$B$253,E366,Components!$K$4:$K$253,"Confirmed",Components!$L$4:$L$253,"OK — verify source"))))&lt;&gt;1)),"Endpoint not source-reconciled",IF(AND(M366="Confirmed",OR(L366="",K366="",K366="Unknown",K366="Low")),"Confirmed link lacks verification","OK — verify source"))))))))))))))</f>
        <v/>
      </c>
    </row>
    <row r="367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8" t="n"/>
      <c r="M367" s="27" t="n"/>
      <c r="N367" s="27">
        <f>IF(COUNTA(A367:M367)=0,"",IF(OR(A367="",B367="",C367="",D367="",E367="",F367="",I367="",J367="",K367="",M367=""),"Required link detail missing",IF(COUNTIF($A$4:$A$1003,A367)&gt;1,"Duplicate Map Edge ID",IF(NOT(OR(AND(B367="UC",E367="CAP",D367="requires"),AND(B367="CAP",E367="AIR",D367="provided by"),AND(B367="AIR",OR(E367="MOD",E367="DATA",E367="IF",E367="AG",E367="TOOL"),D367="references"),AND(B367="AIR",E367="AIR",D367="depends on"))),"Invalid relationship",IF(AND(M367&lt;&gt;"Superseded",COUNTIFS($B$4:$B$1003,B367,$C$4:$C$1003,C367,$D$4:$D$1003,D367,$E$4:$E$1003,E367,$F$4:$F$1003,F367,$G$4:$G$1003,G367,$M$4:$M$1003,"&lt;&gt;Superseded")&gt;1),"Duplicate relationship",IF(OR(IF(B367="UC",COUNTIF('Use cases'!$A$4:$A$253,C367),IF(B367="CAP",COUNTIF(Capabilities!$A$4:$A$253,C367),IF(B367="AIR",COUNTIF('System map'!$A$4:$A$203,C367),COUNTIFS(Components!$A$4:$A$253,C367,Components!$B$4:$B$253,B367))))&lt;&gt;1,IF(E367="UC",COUNTIF('Use cases'!$A$4:$A$253,F367),IF(E367="CAP",COUNTIF(Capabilities!$A$4:$A$253,F367),IF(E367="AIR",COUNTIF('System map'!$A$4:$A$203,F367),COUNTIFS(Components!$A$4:$A$253,F367,Components!$B$4:$B$253,E367))))&lt;&gt;1),"Endpoint missing or duplicated",IF(AND(NOT(AND(B367="UC",E367="CAP")),OR(G367="",COUNTIF('System map'!$A$4:$A$203,G367)&lt;&gt;1)),"AIR context missing / unknown",IF(AND(B367="CAP",E367="AIR",G367&lt;&gt;F367),"AIR context mismatch",IF(AND(B367="AIR",G367&lt;&gt;C367),"AIR context mismatch",IF(AND(B367="AIR",E367="AIR",C367=F367),"Self-dependency",IF(AND(B367="AIR",E367="AIR",M367&lt;&gt;"Superseded",COUNTIFS($B$4:$B$1003,"AIR",$C$4:$C$1003,F367,$E$4:$E$1003,"AIR",$F$4:$F$1003,C367,$M$4:$M$1003,"&lt;&gt;Superseded")&gt;0),"Dependency cycle (A↔B) — review",IF(AND(B367="AIR",OR(E367="MOD",E367="DATA",E367="IF",E367="AG",E367="TOOL"),IFERROR(INDEX(Components!$G$4:$G$253,MATCH(F367,Components!$A$4:$A$253,0)),"")&lt;&gt;"",IFERROR(INDEX(Components!$G$4:$G$253,MATCH(F367,Components!$A$4:$A$253,0)),"")&lt;&gt;C367),"Component owned by another AIR-ID",IF(AND(M367="Confirmed",OR(IF(B367="UC",COUNTIFS('Use cases'!$A$4:$A$253,C367,'Use cases'!$I$4:$I$253,"Confirmed",'Use cases'!$J$4:$J$253,"OK — verify source"),IF(B367="CAP",COUNTIFS(Capabilities!$A$4:$A$253,C367,Capabilities!$J$4:$J$253,"Confirmed",Capabilities!$K$4:$K$253,"OK — verify source"),IF(B367="AIR",COUNTIFS('System map'!$A$4:$A$203,C367,'System map'!$B$4:$B$203,"&lt;&gt;",'System map'!$C$4:$C$203,"&lt;&gt;",'System map'!$D$4:$D$203,"&lt;&gt;"),COUNTIFS(Components!$A$4:$A$253,C367,Components!$B$4:$B$253,B367,Components!$K$4:$K$253,"Confirmed",Components!$L$4:$L$253,"OK — verify source"))))&lt;&gt;1,IF(E367="UC",COUNTIFS('Use cases'!$A$4:$A$253,F367,'Use cases'!$I$4:$I$253,"Confirmed",'Use cases'!$J$4:$J$253,"OK — verify source"),IF(E367="CAP",COUNTIFS(Capabilities!$A$4:$A$253,F367,Capabilities!$J$4:$J$253,"Confirmed",Capabilities!$K$4:$K$253,"OK — verify source"),IF(E367="AIR",COUNTIFS('System map'!$A$4:$A$203,F367,'System map'!$B$4:$B$203,"&lt;&gt;",'System map'!$C$4:$C$203,"&lt;&gt;",'System map'!$D$4:$D$203,"&lt;&gt;"),COUNTIFS(Components!$A$4:$A$253,F367,Components!$B$4:$B$253,E367,Components!$K$4:$K$253,"Confirmed",Components!$L$4:$L$253,"OK — verify source"))))&lt;&gt;1)),"Endpoint not source-reconciled",IF(AND(M367="Confirmed",OR(L367="",K367="",K367="Unknown",K367="Low")),"Confirmed link lacks verification","OK — verify source"))))))))))))))</f>
        <v/>
      </c>
    </row>
    <row r="368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6" t="n"/>
      <c r="M368" s="25" t="n"/>
      <c r="N368" s="25">
        <f>IF(COUNTA(A368:M368)=0,"",IF(OR(A368="",B368="",C368="",D368="",E368="",F368="",I368="",J368="",K368="",M368=""),"Required link detail missing",IF(COUNTIF($A$4:$A$1003,A368)&gt;1,"Duplicate Map Edge ID",IF(NOT(OR(AND(B368="UC",E368="CAP",D368="requires"),AND(B368="CAP",E368="AIR",D368="provided by"),AND(B368="AIR",OR(E368="MOD",E368="DATA",E368="IF",E368="AG",E368="TOOL"),D368="references"),AND(B368="AIR",E368="AIR",D368="depends on"))),"Invalid relationship",IF(AND(M368&lt;&gt;"Superseded",COUNTIFS($B$4:$B$1003,B368,$C$4:$C$1003,C368,$D$4:$D$1003,D368,$E$4:$E$1003,E368,$F$4:$F$1003,F368,$G$4:$G$1003,G368,$M$4:$M$1003,"&lt;&gt;Superseded")&gt;1),"Duplicate relationship",IF(OR(IF(B368="UC",COUNTIF('Use cases'!$A$4:$A$253,C368),IF(B368="CAP",COUNTIF(Capabilities!$A$4:$A$253,C368),IF(B368="AIR",COUNTIF('System map'!$A$4:$A$203,C368),COUNTIFS(Components!$A$4:$A$253,C368,Components!$B$4:$B$253,B368))))&lt;&gt;1,IF(E368="UC",COUNTIF('Use cases'!$A$4:$A$253,F368),IF(E368="CAP",COUNTIF(Capabilities!$A$4:$A$253,F368),IF(E368="AIR",COUNTIF('System map'!$A$4:$A$203,F368),COUNTIFS(Components!$A$4:$A$253,F368,Components!$B$4:$B$253,E368))))&lt;&gt;1),"Endpoint missing or duplicated",IF(AND(NOT(AND(B368="UC",E368="CAP")),OR(G368="",COUNTIF('System map'!$A$4:$A$203,G368)&lt;&gt;1)),"AIR context missing / unknown",IF(AND(B368="CAP",E368="AIR",G368&lt;&gt;F368),"AIR context mismatch",IF(AND(B368="AIR",G368&lt;&gt;C368),"AIR context mismatch",IF(AND(B368="AIR",E368="AIR",C368=F368),"Self-dependency",IF(AND(B368="AIR",E368="AIR",M368&lt;&gt;"Superseded",COUNTIFS($B$4:$B$1003,"AIR",$C$4:$C$1003,F368,$E$4:$E$1003,"AIR",$F$4:$F$1003,C368,$M$4:$M$1003,"&lt;&gt;Superseded")&gt;0),"Dependency cycle (A↔B) — review",IF(AND(B368="AIR",OR(E368="MOD",E368="DATA",E368="IF",E368="AG",E368="TOOL"),IFERROR(INDEX(Components!$G$4:$G$253,MATCH(F368,Components!$A$4:$A$253,0)),"")&lt;&gt;"",IFERROR(INDEX(Components!$G$4:$G$253,MATCH(F368,Components!$A$4:$A$253,0)),"")&lt;&gt;C368),"Component owned by another AIR-ID",IF(AND(M368="Confirmed",OR(IF(B368="UC",COUNTIFS('Use cases'!$A$4:$A$253,C368,'Use cases'!$I$4:$I$253,"Confirmed",'Use cases'!$J$4:$J$253,"OK — verify source"),IF(B368="CAP",COUNTIFS(Capabilities!$A$4:$A$253,C368,Capabilities!$J$4:$J$253,"Confirmed",Capabilities!$K$4:$K$253,"OK — verify source"),IF(B368="AIR",COUNTIFS('System map'!$A$4:$A$203,C368,'System map'!$B$4:$B$203,"&lt;&gt;",'System map'!$C$4:$C$203,"&lt;&gt;",'System map'!$D$4:$D$203,"&lt;&gt;"),COUNTIFS(Components!$A$4:$A$253,C368,Components!$B$4:$B$253,B368,Components!$K$4:$K$253,"Confirmed",Components!$L$4:$L$253,"OK — verify source"))))&lt;&gt;1,IF(E368="UC",COUNTIFS('Use cases'!$A$4:$A$253,F368,'Use cases'!$I$4:$I$253,"Confirmed",'Use cases'!$J$4:$J$253,"OK — verify source"),IF(E368="CAP",COUNTIFS(Capabilities!$A$4:$A$253,F368,Capabilities!$J$4:$J$253,"Confirmed",Capabilities!$K$4:$K$253,"OK — verify source"),IF(E368="AIR",COUNTIFS('System map'!$A$4:$A$203,F368,'System map'!$B$4:$B$203,"&lt;&gt;",'System map'!$C$4:$C$203,"&lt;&gt;",'System map'!$D$4:$D$203,"&lt;&gt;"),COUNTIFS(Components!$A$4:$A$253,F368,Components!$B$4:$B$253,E368,Components!$K$4:$K$253,"Confirmed",Components!$L$4:$L$253,"OK — verify source"))))&lt;&gt;1)),"Endpoint not source-reconciled",IF(AND(M368="Confirmed",OR(L368="",K368="",K368="Unknown",K368="Low")),"Confirmed link lacks verification","OK — verify source"))))))))))))))</f>
        <v/>
      </c>
    </row>
    <row r="369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8" t="n"/>
      <c r="M369" s="27" t="n"/>
      <c r="N369" s="27">
        <f>IF(COUNTA(A369:M369)=0,"",IF(OR(A369="",B369="",C369="",D369="",E369="",F369="",I369="",J369="",K369="",M369=""),"Required link detail missing",IF(COUNTIF($A$4:$A$1003,A369)&gt;1,"Duplicate Map Edge ID",IF(NOT(OR(AND(B369="UC",E369="CAP",D369="requires"),AND(B369="CAP",E369="AIR",D369="provided by"),AND(B369="AIR",OR(E369="MOD",E369="DATA",E369="IF",E369="AG",E369="TOOL"),D369="references"),AND(B369="AIR",E369="AIR",D369="depends on"))),"Invalid relationship",IF(AND(M369&lt;&gt;"Superseded",COUNTIFS($B$4:$B$1003,B369,$C$4:$C$1003,C369,$D$4:$D$1003,D369,$E$4:$E$1003,E369,$F$4:$F$1003,F369,$G$4:$G$1003,G369,$M$4:$M$1003,"&lt;&gt;Superseded")&gt;1),"Duplicate relationship",IF(OR(IF(B369="UC",COUNTIF('Use cases'!$A$4:$A$253,C369),IF(B369="CAP",COUNTIF(Capabilities!$A$4:$A$253,C369),IF(B369="AIR",COUNTIF('System map'!$A$4:$A$203,C369),COUNTIFS(Components!$A$4:$A$253,C369,Components!$B$4:$B$253,B369))))&lt;&gt;1,IF(E369="UC",COUNTIF('Use cases'!$A$4:$A$253,F369),IF(E369="CAP",COUNTIF(Capabilities!$A$4:$A$253,F369),IF(E369="AIR",COUNTIF('System map'!$A$4:$A$203,F369),COUNTIFS(Components!$A$4:$A$253,F369,Components!$B$4:$B$253,E369))))&lt;&gt;1),"Endpoint missing or duplicated",IF(AND(NOT(AND(B369="UC",E369="CAP")),OR(G369="",COUNTIF('System map'!$A$4:$A$203,G369)&lt;&gt;1)),"AIR context missing / unknown",IF(AND(B369="CAP",E369="AIR",G369&lt;&gt;F369),"AIR context mismatch",IF(AND(B369="AIR",G369&lt;&gt;C369),"AIR context mismatch",IF(AND(B369="AIR",E369="AIR",C369=F369),"Self-dependency",IF(AND(B369="AIR",E369="AIR",M369&lt;&gt;"Superseded",COUNTIFS($B$4:$B$1003,"AIR",$C$4:$C$1003,F369,$E$4:$E$1003,"AIR",$F$4:$F$1003,C369,$M$4:$M$1003,"&lt;&gt;Superseded")&gt;0),"Dependency cycle (A↔B) — review",IF(AND(B369="AIR",OR(E369="MOD",E369="DATA",E369="IF",E369="AG",E369="TOOL"),IFERROR(INDEX(Components!$G$4:$G$253,MATCH(F369,Components!$A$4:$A$253,0)),"")&lt;&gt;"",IFERROR(INDEX(Components!$G$4:$G$253,MATCH(F369,Components!$A$4:$A$253,0)),"")&lt;&gt;C369),"Component owned by another AIR-ID",IF(AND(M369="Confirmed",OR(IF(B369="UC",COUNTIFS('Use cases'!$A$4:$A$253,C369,'Use cases'!$I$4:$I$253,"Confirmed",'Use cases'!$J$4:$J$253,"OK — verify source"),IF(B369="CAP",COUNTIFS(Capabilities!$A$4:$A$253,C369,Capabilities!$J$4:$J$253,"Confirmed",Capabilities!$K$4:$K$253,"OK — verify source"),IF(B369="AIR",COUNTIFS('System map'!$A$4:$A$203,C369,'System map'!$B$4:$B$203,"&lt;&gt;",'System map'!$C$4:$C$203,"&lt;&gt;",'System map'!$D$4:$D$203,"&lt;&gt;"),COUNTIFS(Components!$A$4:$A$253,C369,Components!$B$4:$B$253,B369,Components!$K$4:$K$253,"Confirmed",Components!$L$4:$L$253,"OK — verify source"))))&lt;&gt;1,IF(E369="UC",COUNTIFS('Use cases'!$A$4:$A$253,F369,'Use cases'!$I$4:$I$253,"Confirmed",'Use cases'!$J$4:$J$253,"OK — verify source"),IF(E369="CAP",COUNTIFS(Capabilities!$A$4:$A$253,F369,Capabilities!$J$4:$J$253,"Confirmed",Capabilities!$K$4:$K$253,"OK — verify source"),IF(E369="AIR",COUNTIFS('System map'!$A$4:$A$203,F369,'System map'!$B$4:$B$203,"&lt;&gt;",'System map'!$C$4:$C$203,"&lt;&gt;",'System map'!$D$4:$D$203,"&lt;&gt;"),COUNTIFS(Components!$A$4:$A$253,F369,Components!$B$4:$B$253,E369,Components!$K$4:$K$253,"Confirmed",Components!$L$4:$L$253,"OK — verify source"))))&lt;&gt;1)),"Endpoint not source-reconciled",IF(AND(M369="Confirmed",OR(L369="",K369="",K369="Unknown",K369="Low")),"Confirmed link lacks verification","OK — verify source"))))))))))))))</f>
        <v/>
      </c>
    </row>
    <row r="370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6" t="n"/>
      <c r="M370" s="25" t="n"/>
      <c r="N370" s="25">
        <f>IF(COUNTA(A370:M370)=0,"",IF(OR(A370="",B370="",C370="",D370="",E370="",F370="",I370="",J370="",K370="",M370=""),"Required link detail missing",IF(COUNTIF($A$4:$A$1003,A370)&gt;1,"Duplicate Map Edge ID",IF(NOT(OR(AND(B370="UC",E370="CAP",D370="requires"),AND(B370="CAP",E370="AIR",D370="provided by"),AND(B370="AIR",OR(E370="MOD",E370="DATA",E370="IF",E370="AG",E370="TOOL"),D370="references"),AND(B370="AIR",E370="AIR",D370="depends on"))),"Invalid relationship",IF(AND(M370&lt;&gt;"Superseded",COUNTIFS($B$4:$B$1003,B370,$C$4:$C$1003,C370,$D$4:$D$1003,D370,$E$4:$E$1003,E370,$F$4:$F$1003,F370,$G$4:$G$1003,G370,$M$4:$M$1003,"&lt;&gt;Superseded")&gt;1),"Duplicate relationship",IF(OR(IF(B370="UC",COUNTIF('Use cases'!$A$4:$A$253,C370),IF(B370="CAP",COUNTIF(Capabilities!$A$4:$A$253,C370),IF(B370="AIR",COUNTIF('System map'!$A$4:$A$203,C370),COUNTIFS(Components!$A$4:$A$253,C370,Components!$B$4:$B$253,B370))))&lt;&gt;1,IF(E370="UC",COUNTIF('Use cases'!$A$4:$A$253,F370),IF(E370="CAP",COUNTIF(Capabilities!$A$4:$A$253,F370),IF(E370="AIR",COUNTIF('System map'!$A$4:$A$203,F370),COUNTIFS(Components!$A$4:$A$253,F370,Components!$B$4:$B$253,E370))))&lt;&gt;1),"Endpoint missing or duplicated",IF(AND(NOT(AND(B370="UC",E370="CAP")),OR(G370="",COUNTIF('System map'!$A$4:$A$203,G370)&lt;&gt;1)),"AIR context missing / unknown",IF(AND(B370="CAP",E370="AIR",G370&lt;&gt;F370),"AIR context mismatch",IF(AND(B370="AIR",G370&lt;&gt;C370),"AIR context mismatch",IF(AND(B370="AIR",E370="AIR",C370=F370),"Self-dependency",IF(AND(B370="AIR",E370="AIR",M370&lt;&gt;"Superseded",COUNTIFS($B$4:$B$1003,"AIR",$C$4:$C$1003,F370,$E$4:$E$1003,"AIR",$F$4:$F$1003,C370,$M$4:$M$1003,"&lt;&gt;Superseded")&gt;0),"Dependency cycle (A↔B) — review",IF(AND(B370="AIR",OR(E370="MOD",E370="DATA",E370="IF",E370="AG",E370="TOOL"),IFERROR(INDEX(Components!$G$4:$G$253,MATCH(F370,Components!$A$4:$A$253,0)),"")&lt;&gt;"",IFERROR(INDEX(Components!$G$4:$G$253,MATCH(F370,Components!$A$4:$A$253,0)),"")&lt;&gt;C370),"Component owned by another AIR-ID",IF(AND(M370="Confirmed",OR(IF(B370="UC",COUNTIFS('Use cases'!$A$4:$A$253,C370,'Use cases'!$I$4:$I$253,"Confirmed",'Use cases'!$J$4:$J$253,"OK — verify source"),IF(B370="CAP",COUNTIFS(Capabilities!$A$4:$A$253,C370,Capabilities!$J$4:$J$253,"Confirmed",Capabilities!$K$4:$K$253,"OK — verify source"),IF(B370="AIR",COUNTIFS('System map'!$A$4:$A$203,C370,'System map'!$B$4:$B$203,"&lt;&gt;",'System map'!$C$4:$C$203,"&lt;&gt;",'System map'!$D$4:$D$203,"&lt;&gt;"),COUNTIFS(Components!$A$4:$A$253,C370,Components!$B$4:$B$253,B370,Components!$K$4:$K$253,"Confirmed",Components!$L$4:$L$253,"OK — verify source"))))&lt;&gt;1,IF(E370="UC",COUNTIFS('Use cases'!$A$4:$A$253,F370,'Use cases'!$I$4:$I$253,"Confirmed",'Use cases'!$J$4:$J$253,"OK — verify source"),IF(E370="CAP",COUNTIFS(Capabilities!$A$4:$A$253,F370,Capabilities!$J$4:$J$253,"Confirmed",Capabilities!$K$4:$K$253,"OK — verify source"),IF(E370="AIR",COUNTIFS('System map'!$A$4:$A$203,F370,'System map'!$B$4:$B$203,"&lt;&gt;",'System map'!$C$4:$C$203,"&lt;&gt;",'System map'!$D$4:$D$203,"&lt;&gt;"),COUNTIFS(Components!$A$4:$A$253,F370,Components!$B$4:$B$253,E370,Components!$K$4:$K$253,"Confirmed",Components!$L$4:$L$253,"OK — verify source"))))&lt;&gt;1)),"Endpoint not source-reconciled",IF(AND(M370="Confirmed",OR(L370="",K370="",K370="Unknown",K370="Low")),"Confirmed link lacks verification","OK — verify source"))))))))))))))</f>
        <v/>
      </c>
    </row>
    <row r="371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8" t="n"/>
      <c r="M371" s="27" t="n"/>
      <c r="N371" s="27">
        <f>IF(COUNTA(A371:M371)=0,"",IF(OR(A371="",B371="",C371="",D371="",E371="",F371="",I371="",J371="",K371="",M371=""),"Required link detail missing",IF(COUNTIF($A$4:$A$1003,A371)&gt;1,"Duplicate Map Edge ID",IF(NOT(OR(AND(B371="UC",E371="CAP",D371="requires"),AND(B371="CAP",E371="AIR",D371="provided by"),AND(B371="AIR",OR(E371="MOD",E371="DATA",E371="IF",E371="AG",E371="TOOL"),D371="references"),AND(B371="AIR",E371="AIR",D371="depends on"))),"Invalid relationship",IF(AND(M371&lt;&gt;"Superseded",COUNTIFS($B$4:$B$1003,B371,$C$4:$C$1003,C371,$D$4:$D$1003,D371,$E$4:$E$1003,E371,$F$4:$F$1003,F371,$G$4:$G$1003,G371,$M$4:$M$1003,"&lt;&gt;Superseded")&gt;1),"Duplicate relationship",IF(OR(IF(B371="UC",COUNTIF('Use cases'!$A$4:$A$253,C371),IF(B371="CAP",COUNTIF(Capabilities!$A$4:$A$253,C371),IF(B371="AIR",COUNTIF('System map'!$A$4:$A$203,C371),COUNTIFS(Components!$A$4:$A$253,C371,Components!$B$4:$B$253,B371))))&lt;&gt;1,IF(E371="UC",COUNTIF('Use cases'!$A$4:$A$253,F371),IF(E371="CAP",COUNTIF(Capabilities!$A$4:$A$253,F371),IF(E371="AIR",COUNTIF('System map'!$A$4:$A$203,F371),COUNTIFS(Components!$A$4:$A$253,F371,Components!$B$4:$B$253,E371))))&lt;&gt;1),"Endpoint missing or duplicated",IF(AND(NOT(AND(B371="UC",E371="CAP")),OR(G371="",COUNTIF('System map'!$A$4:$A$203,G371)&lt;&gt;1)),"AIR context missing / unknown",IF(AND(B371="CAP",E371="AIR",G371&lt;&gt;F371),"AIR context mismatch",IF(AND(B371="AIR",G371&lt;&gt;C371),"AIR context mismatch",IF(AND(B371="AIR",E371="AIR",C371=F371),"Self-dependency",IF(AND(B371="AIR",E371="AIR",M371&lt;&gt;"Superseded",COUNTIFS($B$4:$B$1003,"AIR",$C$4:$C$1003,F371,$E$4:$E$1003,"AIR",$F$4:$F$1003,C371,$M$4:$M$1003,"&lt;&gt;Superseded")&gt;0),"Dependency cycle (A↔B) — review",IF(AND(B371="AIR",OR(E371="MOD",E371="DATA",E371="IF",E371="AG",E371="TOOL"),IFERROR(INDEX(Components!$G$4:$G$253,MATCH(F371,Components!$A$4:$A$253,0)),"")&lt;&gt;"",IFERROR(INDEX(Components!$G$4:$G$253,MATCH(F371,Components!$A$4:$A$253,0)),"")&lt;&gt;C371),"Component owned by another AIR-ID",IF(AND(M371="Confirmed",OR(IF(B371="UC",COUNTIFS('Use cases'!$A$4:$A$253,C371,'Use cases'!$I$4:$I$253,"Confirmed",'Use cases'!$J$4:$J$253,"OK — verify source"),IF(B371="CAP",COUNTIFS(Capabilities!$A$4:$A$253,C371,Capabilities!$J$4:$J$253,"Confirmed",Capabilities!$K$4:$K$253,"OK — verify source"),IF(B371="AIR",COUNTIFS('System map'!$A$4:$A$203,C371,'System map'!$B$4:$B$203,"&lt;&gt;",'System map'!$C$4:$C$203,"&lt;&gt;",'System map'!$D$4:$D$203,"&lt;&gt;"),COUNTIFS(Components!$A$4:$A$253,C371,Components!$B$4:$B$253,B371,Components!$K$4:$K$253,"Confirmed",Components!$L$4:$L$253,"OK — verify source"))))&lt;&gt;1,IF(E371="UC",COUNTIFS('Use cases'!$A$4:$A$253,F371,'Use cases'!$I$4:$I$253,"Confirmed",'Use cases'!$J$4:$J$253,"OK — verify source"),IF(E371="CAP",COUNTIFS(Capabilities!$A$4:$A$253,F371,Capabilities!$J$4:$J$253,"Confirmed",Capabilities!$K$4:$K$253,"OK — verify source"),IF(E371="AIR",COUNTIFS('System map'!$A$4:$A$203,F371,'System map'!$B$4:$B$203,"&lt;&gt;",'System map'!$C$4:$C$203,"&lt;&gt;",'System map'!$D$4:$D$203,"&lt;&gt;"),COUNTIFS(Components!$A$4:$A$253,F371,Components!$B$4:$B$253,E371,Components!$K$4:$K$253,"Confirmed",Components!$L$4:$L$253,"OK — verify source"))))&lt;&gt;1)),"Endpoint not source-reconciled",IF(AND(M371="Confirmed",OR(L371="",K371="",K371="Unknown",K371="Low")),"Confirmed link lacks verification","OK — verify source"))))))))))))))</f>
        <v/>
      </c>
    </row>
    <row r="372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6" t="n"/>
      <c r="M372" s="25" t="n"/>
      <c r="N372" s="25">
        <f>IF(COUNTA(A372:M372)=0,"",IF(OR(A372="",B372="",C372="",D372="",E372="",F372="",I372="",J372="",K372="",M372=""),"Required link detail missing",IF(COUNTIF($A$4:$A$1003,A372)&gt;1,"Duplicate Map Edge ID",IF(NOT(OR(AND(B372="UC",E372="CAP",D372="requires"),AND(B372="CAP",E372="AIR",D372="provided by"),AND(B372="AIR",OR(E372="MOD",E372="DATA",E372="IF",E372="AG",E372="TOOL"),D372="references"),AND(B372="AIR",E372="AIR",D372="depends on"))),"Invalid relationship",IF(AND(M372&lt;&gt;"Superseded",COUNTIFS($B$4:$B$1003,B372,$C$4:$C$1003,C372,$D$4:$D$1003,D372,$E$4:$E$1003,E372,$F$4:$F$1003,F372,$G$4:$G$1003,G372,$M$4:$M$1003,"&lt;&gt;Superseded")&gt;1),"Duplicate relationship",IF(OR(IF(B372="UC",COUNTIF('Use cases'!$A$4:$A$253,C372),IF(B372="CAP",COUNTIF(Capabilities!$A$4:$A$253,C372),IF(B372="AIR",COUNTIF('System map'!$A$4:$A$203,C372),COUNTIFS(Components!$A$4:$A$253,C372,Components!$B$4:$B$253,B372))))&lt;&gt;1,IF(E372="UC",COUNTIF('Use cases'!$A$4:$A$253,F372),IF(E372="CAP",COUNTIF(Capabilities!$A$4:$A$253,F372),IF(E372="AIR",COUNTIF('System map'!$A$4:$A$203,F372),COUNTIFS(Components!$A$4:$A$253,F372,Components!$B$4:$B$253,E372))))&lt;&gt;1),"Endpoint missing or duplicated",IF(AND(NOT(AND(B372="UC",E372="CAP")),OR(G372="",COUNTIF('System map'!$A$4:$A$203,G372)&lt;&gt;1)),"AIR context missing / unknown",IF(AND(B372="CAP",E372="AIR",G372&lt;&gt;F372),"AIR context mismatch",IF(AND(B372="AIR",G372&lt;&gt;C372),"AIR context mismatch",IF(AND(B372="AIR",E372="AIR",C372=F372),"Self-dependency",IF(AND(B372="AIR",E372="AIR",M372&lt;&gt;"Superseded",COUNTIFS($B$4:$B$1003,"AIR",$C$4:$C$1003,F372,$E$4:$E$1003,"AIR",$F$4:$F$1003,C372,$M$4:$M$1003,"&lt;&gt;Superseded")&gt;0),"Dependency cycle (A↔B) — review",IF(AND(B372="AIR",OR(E372="MOD",E372="DATA",E372="IF",E372="AG",E372="TOOL"),IFERROR(INDEX(Components!$G$4:$G$253,MATCH(F372,Components!$A$4:$A$253,0)),"")&lt;&gt;"",IFERROR(INDEX(Components!$G$4:$G$253,MATCH(F372,Components!$A$4:$A$253,0)),"")&lt;&gt;C372),"Component owned by another AIR-ID",IF(AND(M372="Confirmed",OR(IF(B372="UC",COUNTIFS('Use cases'!$A$4:$A$253,C372,'Use cases'!$I$4:$I$253,"Confirmed",'Use cases'!$J$4:$J$253,"OK — verify source"),IF(B372="CAP",COUNTIFS(Capabilities!$A$4:$A$253,C372,Capabilities!$J$4:$J$253,"Confirmed",Capabilities!$K$4:$K$253,"OK — verify source"),IF(B372="AIR",COUNTIFS('System map'!$A$4:$A$203,C372,'System map'!$B$4:$B$203,"&lt;&gt;",'System map'!$C$4:$C$203,"&lt;&gt;",'System map'!$D$4:$D$203,"&lt;&gt;"),COUNTIFS(Components!$A$4:$A$253,C372,Components!$B$4:$B$253,B372,Components!$K$4:$K$253,"Confirmed",Components!$L$4:$L$253,"OK — verify source"))))&lt;&gt;1,IF(E372="UC",COUNTIFS('Use cases'!$A$4:$A$253,F372,'Use cases'!$I$4:$I$253,"Confirmed",'Use cases'!$J$4:$J$253,"OK — verify source"),IF(E372="CAP",COUNTIFS(Capabilities!$A$4:$A$253,F372,Capabilities!$J$4:$J$253,"Confirmed",Capabilities!$K$4:$K$253,"OK — verify source"),IF(E372="AIR",COUNTIFS('System map'!$A$4:$A$203,F372,'System map'!$B$4:$B$203,"&lt;&gt;",'System map'!$C$4:$C$203,"&lt;&gt;",'System map'!$D$4:$D$203,"&lt;&gt;"),COUNTIFS(Components!$A$4:$A$253,F372,Components!$B$4:$B$253,E372,Components!$K$4:$K$253,"Confirmed",Components!$L$4:$L$253,"OK — verify source"))))&lt;&gt;1)),"Endpoint not source-reconciled",IF(AND(M372="Confirmed",OR(L372="",K372="",K372="Unknown",K372="Low")),"Confirmed link lacks verification","OK — verify source"))))))))))))))</f>
        <v/>
      </c>
    </row>
    <row r="373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8" t="n"/>
      <c r="M373" s="27" t="n"/>
      <c r="N373" s="27">
        <f>IF(COUNTA(A373:M373)=0,"",IF(OR(A373="",B373="",C373="",D373="",E373="",F373="",I373="",J373="",K373="",M373=""),"Required link detail missing",IF(COUNTIF($A$4:$A$1003,A373)&gt;1,"Duplicate Map Edge ID",IF(NOT(OR(AND(B373="UC",E373="CAP",D373="requires"),AND(B373="CAP",E373="AIR",D373="provided by"),AND(B373="AIR",OR(E373="MOD",E373="DATA",E373="IF",E373="AG",E373="TOOL"),D373="references"),AND(B373="AIR",E373="AIR",D373="depends on"))),"Invalid relationship",IF(AND(M373&lt;&gt;"Superseded",COUNTIFS($B$4:$B$1003,B373,$C$4:$C$1003,C373,$D$4:$D$1003,D373,$E$4:$E$1003,E373,$F$4:$F$1003,F373,$G$4:$G$1003,G373,$M$4:$M$1003,"&lt;&gt;Superseded")&gt;1),"Duplicate relationship",IF(OR(IF(B373="UC",COUNTIF('Use cases'!$A$4:$A$253,C373),IF(B373="CAP",COUNTIF(Capabilities!$A$4:$A$253,C373),IF(B373="AIR",COUNTIF('System map'!$A$4:$A$203,C373),COUNTIFS(Components!$A$4:$A$253,C373,Components!$B$4:$B$253,B373))))&lt;&gt;1,IF(E373="UC",COUNTIF('Use cases'!$A$4:$A$253,F373),IF(E373="CAP",COUNTIF(Capabilities!$A$4:$A$253,F373),IF(E373="AIR",COUNTIF('System map'!$A$4:$A$203,F373),COUNTIFS(Components!$A$4:$A$253,F373,Components!$B$4:$B$253,E373))))&lt;&gt;1),"Endpoint missing or duplicated",IF(AND(NOT(AND(B373="UC",E373="CAP")),OR(G373="",COUNTIF('System map'!$A$4:$A$203,G373)&lt;&gt;1)),"AIR context missing / unknown",IF(AND(B373="CAP",E373="AIR",G373&lt;&gt;F373),"AIR context mismatch",IF(AND(B373="AIR",G373&lt;&gt;C373),"AIR context mismatch",IF(AND(B373="AIR",E373="AIR",C373=F373),"Self-dependency",IF(AND(B373="AIR",E373="AIR",M373&lt;&gt;"Superseded",COUNTIFS($B$4:$B$1003,"AIR",$C$4:$C$1003,F373,$E$4:$E$1003,"AIR",$F$4:$F$1003,C373,$M$4:$M$1003,"&lt;&gt;Superseded")&gt;0),"Dependency cycle (A↔B) — review",IF(AND(B373="AIR",OR(E373="MOD",E373="DATA",E373="IF",E373="AG",E373="TOOL"),IFERROR(INDEX(Components!$G$4:$G$253,MATCH(F373,Components!$A$4:$A$253,0)),"")&lt;&gt;"",IFERROR(INDEX(Components!$G$4:$G$253,MATCH(F373,Components!$A$4:$A$253,0)),"")&lt;&gt;C373),"Component owned by another AIR-ID",IF(AND(M373="Confirmed",OR(IF(B373="UC",COUNTIFS('Use cases'!$A$4:$A$253,C373,'Use cases'!$I$4:$I$253,"Confirmed",'Use cases'!$J$4:$J$253,"OK — verify source"),IF(B373="CAP",COUNTIFS(Capabilities!$A$4:$A$253,C373,Capabilities!$J$4:$J$253,"Confirmed",Capabilities!$K$4:$K$253,"OK — verify source"),IF(B373="AIR",COUNTIFS('System map'!$A$4:$A$203,C373,'System map'!$B$4:$B$203,"&lt;&gt;",'System map'!$C$4:$C$203,"&lt;&gt;",'System map'!$D$4:$D$203,"&lt;&gt;"),COUNTIFS(Components!$A$4:$A$253,C373,Components!$B$4:$B$253,B373,Components!$K$4:$K$253,"Confirmed",Components!$L$4:$L$253,"OK — verify source"))))&lt;&gt;1,IF(E373="UC",COUNTIFS('Use cases'!$A$4:$A$253,F373,'Use cases'!$I$4:$I$253,"Confirmed",'Use cases'!$J$4:$J$253,"OK — verify source"),IF(E373="CAP",COUNTIFS(Capabilities!$A$4:$A$253,F373,Capabilities!$J$4:$J$253,"Confirmed",Capabilities!$K$4:$K$253,"OK — verify source"),IF(E373="AIR",COUNTIFS('System map'!$A$4:$A$203,F373,'System map'!$B$4:$B$203,"&lt;&gt;",'System map'!$C$4:$C$203,"&lt;&gt;",'System map'!$D$4:$D$203,"&lt;&gt;"),COUNTIFS(Components!$A$4:$A$253,F373,Components!$B$4:$B$253,E373,Components!$K$4:$K$253,"Confirmed",Components!$L$4:$L$253,"OK — verify source"))))&lt;&gt;1)),"Endpoint not source-reconciled",IF(AND(M373="Confirmed",OR(L373="",K373="",K373="Unknown",K373="Low")),"Confirmed link lacks verification","OK — verify source"))))))))))))))</f>
        <v/>
      </c>
    </row>
    <row r="37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6" t="n"/>
      <c r="M374" s="25" t="n"/>
      <c r="N374" s="25">
        <f>IF(COUNTA(A374:M374)=0,"",IF(OR(A374="",B374="",C374="",D374="",E374="",F374="",I374="",J374="",K374="",M374=""),"Required link detail missing",IF(COUNTIF($A$4:$A$1003,A374)&gt;1,"Duplicate Map Edge ID",IF(NOT(OR(AND(B374="UC",E374="CAP",D374="requires"),AND(B374="CAP",E374="AIR",D374="provided by"),AND(B374="AIR",OR(E374="MOD",E374="DATA",E374="IF",E374="AG",E374="TOOL"),D374="references"),AND(B374="AIR",E374="AIR",D374="depends on"))),"Invalid relationship",IF(AND(M374&lt;&gt;"Superseded",COUNTIFS($B$4:$B$1003,B374,$C$4:$C$1003,C374,$D$4:$D$1003,D374,$E$4:$E$1003,E374,$F$4:$F$1003,F374,$G$4:$G$1003,G374,$M$4:$M$1003,"&lt;&gt;Superseded")&gt;1),"Duplicate relationship",IF(OR(IF(B374="UC",COUNTIF('Use cases'!$A$4:$A$253,C374),IF(B374="CAP",COUNTIF(Capabilities!$A$4:$A$253,C374),IF(B374="AIR",COUNTIF('System map'!$A$4:$A$203,C374),COUNTIFS(Components!$A$4:$A$253,C374,Components!$B$4:$B$253,B374))))&lt;&gt;1,IF(E374="UC",COUNTIF('Use cases'!$A$4:$A$253,F374),IF(E374="CAP",COUNTIF(Capabilities!$A$4:$A$253,F374),IF(E374="AIR",COUNTIF('System map'!$A$4:$A$203,F374),COUNTIFS(Components!$A$4:$A$253,F374,Components!$B$4:$B$253,E374))))&lt;&gt;1),"Endpoint missing or duplicated",IF(AND(NOT(AND(B374="UC",E374="CAP")),OR(G374="",COUNTIF('System map'!$A$4:$A$203,G374)&lt;&gt;1)),"AIR context missing / unknown",IF(AND(B374="CAP",E374="AIR",G374&lt;&gt;F374),"AIR context mismatch",IF(AND(B374="AIR",G374&lt;&gt;C374),"AIR context mismatch",IF(AND(B374="AIR",E374="AIR",C374=F374),"Self-dependency",IF(AND(B374="AIR",E374="AIR",M374&lt;&gt;"Superseded",COUNTIFS($B$4:$B$1003,"AIR",$C$4:$C$1003,F374,$E$4:$E$1003,"AIR",$F$4:$F$1003,C374,$M$4:$M$1003,"&lt;&gt;Superseded")&gt;0),"Dependency cycle (A↔B) — review",IF(AND(B374="AIR",OR(E374="MOD",E374="DATA",E374="IF",E374="AG",E374="TOOL"),IFERROR(INDEX(Components!$G$4:$G$253,MATCH(F374,Components!$A$4:$A$253,0)),"")&lt;&gt;"",IFERROR(INDEX(Components!$G$4:$G$253,MATCH(F374,Components!$A$4:$A$253,0)),"")&lt;&gt;C374),"Component owned by another AIR-ID",IF(AND(M374="Confirmed",OR(IF(B374="UC",COUNTIFS('Use cases'!$A$4:$A$253,C374,'Use cases'!$I$4:$I$253,"Confirmed",'Use cases'!$J$4:$J$253,"OK — verify source"),IF(B374="CAP",COUNTIFS(Capabilities!$A$4:$A$253,C374,Capabilities!$J$4:$J$253,"Confirmed",Capabilities!$K$4:$K$253,"OK — verify source"),IF(B374="AIR",COUNTIFS('System map'!$A$4:$A$203,C374,'System map'!$B$4:$B$203,"&lt;&gt;",'System map'!$C$4:$C$203,"&lt;&gt;",'System map'!$D$4:$D$203,"&lt;&gt;"),COUNTIFS(Components!$A$4:$A$253,C374,Components!$B$4:$B$253,B374,Components!$K$4:$K$253,"Confirmed",Components!$L$4:$L$253,"OK — verify source"))))&lt;&gt;1,IF(E374="UC",COUNTIFS('Use cases'!$A$4:$A$253,F374,'Use cases'!$I$4:$I$253,"Confirmed",'Use cases'!$J$4:$J$253,"OK — verify source"),IF(E374="CAP",COUNTIFS(Capabilities!$A$4:$A$253,F374,Capabilities!$J$4:$J$253,"Confirmed",Capabilities!$K$4:$K$253,"OK — verify source"),IF(E374="AIR",COUNTIFS('System map'!$A$4:$A$203,F374,'System map'!$B$4:$B$203,"&lt;&gt;",'System map'!$C$4:$C$203,"&lt;&gt;",'System map'!$D$4:$D$203,"&lt;&gt;"),COUNTIFS(Components!$A$4:$A$253,F374,Components!$B$4:$B$253,E374,Components!$K$4:$K$253,"Confirmed",Components!$L$4:$L$253,"OK — verify source"))))&lt;&gt;1)),"Endpoint not source-reconciled",IF(AND(M374="Confirmed",OR(L374="",K374="",K374="Unknown",K374="Low")),"Confirmed link lacks verification","OK — verify source"))))))))))))))</f>
        <v/>
      </c>
    </row>
    <row r="375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8" t="n"/>
      <c r="M375" s="27" t="n"/>
      <c r="N375" s="27">
        <f>IF(COUNTA(A375:M375)=0,"",IF(OR(A375="",B375="",C375="",D375="",E375="",F375="",I375="",J375="",K375="",M375=""),"Required link detail missing",IF(COUNTIF($A$4:$A$1003,A375)&gt;1,"Duplicate Map Edge ID",IF(NOT(OR(AND(B375="UC",E375="CAP",D375="requires"),AND(B375="CAP",E375="AIR",D375="provided by"),AND(B375="AIR",OR(E375="MOD",E375="DATA",E375="IF",E375="AG",E375="TOOL"),D375="references"),AND(B375="AIR",E375="AIR",D375="depends on"))),"Invalid relationship",IF(AND(M375&lt;&gt;"Superseded",COUNTIFS($B$4:$B$1003,B375,$C$4:$C$1003,C375,$D$4:$D$1003,D375,$E$4:$E$1003,E375,$F$4:$F$1003,F375,$G$4:$G$1003,G375,$M$4:$M$1003,"&lt;&gt;Superseded")&gt;1),"Duplicate relationship",IF(OR(IF(B375="UC",COUNTIF('Use cases'!$A$4:$A$253,C375),IF(B375="CAP",COUNTIF(Capabilities!$A$4:$A$253,C375),IF(B375="AIR",COUNTIF('System map'!$A$4:$A$203,C375),COUNTIFS(Components!$A$4:$A$253,C375,Components!$B$4:$B$253,B375))))&lt;&gt;1,IF(E375="UC",COUNTIF('Use cases'!$A$4:$A$253,F375),IF(E375="CAP",COUNTIF(Capabilities!$A$4:$A$253,F375),IF(E375="AIR",COUNTIF('System map'!$A$4:$A$203,F375),COUNTIFS(Components!$A$4:$A$253,F375,Components!$B$4:$B$253,E375))))&lt;&gt;1),"Endpoint missing or duplicated",IF(AND(NOT(AND(B375="UC",E375="CAP")),OR(G375="",COUNTIF('System map'!$A$4:$A$203,G375)&lt;&gt;1)),"AIR context missing / unknown",IF(AND(B375="CAP",E375="AIR",G375&lt;&gt;F375),"AIR context mismatch",IF(AND(B375="AIR",G375&lt;&gt;C375),"AIR context mismatch",IF(AND(B375="AIR",E375="AIR",C375=F375),"Self-dependency",IF(AND(B375="AIR",E375="AIR",M375&lt;&gt;"Superseded",COUNTIFS($B$4:$B$1003,"AIR",$C$4:$C$1003,F375,$E$4:$E$1003,"AIR",$F$4:$F$1003,C375,$M$4:$M$1003,"&lt;&gt;Superseded")&gt;0),"Dependency cycle (A↔B) — review",IF(AND(B375="AIR",OR(E375="MOD",E375="DATA",E375="IF",E375="AG",E375="TOOL"),IFERROR(INDEX(Components!$G$4:$G$253,MATCH(F375,Components!$A$4:$A$253,0)),"")&lt;&gt;"",IFERROR(INDEX(Components!$G$4:$G$253,MATCH(F375,Components!$A$4:$A$253,0)),"")&lt;&gt;C375),"Component owned by another AIR-ID",IF(AND(M375="Confirmed",OR(IF(B375="UC",COUNTIFS('Use cases'!$A$4:$A$253,C375,'Use cases'!$I$4:$I$253,"Confirmed",'Use cases'!$J$4:$J$253,"OK — verify source"),IF(B375="CAP",COUNTIFS(Capabilities!$A$4:$A$253,C375,Capabilities!$J$4:$J$253,"Confirmed",Capabilities!$K$4:$K$253,"OK — verify source"),IF(B375="AIR",COUNTIFS('System map'!$A$4:$A$203,C375,'System map'!$B$4:$B$203,"&lt;&gt;",'System map'!$C$4:$C$203,"&lt;&gt;",'System map'!$D$4:$D$203,"&lt;&gt;"),COUNTIFS(Components!$A$4:$A$253,C375,Components!$B$4:$B$253,B375,Components!$K$4:$K$253,"Confirmed",Components!$L$4:$L$253,"OK — verify source"))))&lt;&gt;1,IF(E375="UC",COUNTIFS('Use cases'!$A$4:$A$253,F375,'Use cases'!$I$4:$I$253,"Confirmed",'Use cases'!$J$4:$J$253,"OK — verify source"),IF(E375="CAP",COUNTIFS(Capabilities!$A$4:$A$253,F375,Capabilities!$J$4:$J$253,"Confirmed",Capabilities!$K$4:$K$253,"OK — verify source"),IF(E375="AIR",COUNTIFS('System map'!$A$4:$A$203,F375,'System map'!$B$4:$B$203,"&lt;&gt;",'System map'!$C$4:$C$203,"&lt;&gt;",'System map'!$D$4:$D$203,"&lt;&gt;"),COUNTIFS(Components!$A$4:$A$253,F375,Components!$B$4:$B$253,E375,Components!$K$4:$K$253,"Confirmed",Components!$L$4:$L$253,"OK — verify source"))))&lt;&gt;1)),"Endpoint not source-reconciled",IF(AND(M375="Confirmed",OR(L375="",K375="",K375="Unknown",K375="Low")),"Confirmed link lacks verification","OK — verify source"))))))))))))))</f>
        <v/>
      </c>
    </row>
    <row r="376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6" t="n"/>
      <c r="M376" s="25" t="n"/>
      <c r="N376" s="25">
        <f>IF(COUNTA(A376:M376)=0,"",IF(OR(A376="",B376="",C376="",D376="",E376="",F376="",I376="",J376="",K376="",M376=""),"Required link detail missing",IF(COUNTIF($A$4:$A$1003,A376)&gt;1,"Duplicate Map Edge ID",IF(NOT(OR(AND(B376="UC",E376="CAP",D376="requires"),AND(B376="CAP",E376="AIR",D376="provided by"),AND(B376="AIR",OR(E376="MOD",E376="DATA",E376="IF",E376="AG",E376="TOOL"),D376="references"),AND(B376="AIR",E376="AIR",D376="depends on"))),"Invalid relationship",IF(AND(M376&lt;&gt;"Superseded",COUNTIFS($B$4:$B$1003,B376,$C$4:$C$1003,C376,$D$4:$D$1003,D376,$E$4:$E$1003,E376,$F$4:$F$1003,F376,$G$4:$G$1003,G376,$M$4:$M$1003,"&lt;&gt;Superseded")&gt;1),"Duplicate relationship",IF(OR(IF(B376="UC",COUNTIF('Use cases'!$A$4:$A$253,C376),IF(B376="CAP",COUNTIF(Capabilities!$A$4:$A$253,C376),IF(B376="AIR",COUNTIF('System map'!$A$4:$A$203,C376),COUNTIFS(Components!$A$4:$A$253,C376,Components!$B$4:$B$253,B376))))&lt;&gt;1,IF(E376="UC",COUNTIF('Use cases'!$A$4:$A$253,F376),IF(E376="CAP",COUNTIF(Capabilities!$A$4:$A$253,F376),IF(E376="AIR",COUNTIF('System map'!$A$4:$A$203,F376),COUNTIFS(Components!$A$4:$A$253,F376,Components!$B$4:$B$253,E376))))&lt;&gt;1),"Endpoint missing or duplicated",IF(AND(NOT(AND(B376="UC",E376="CAP")),OR(G376="",COUNTIF('System map'!$A$4:$A$203,G376)&lt;&gt;1)),"AIR context missing / unknown",IF(AND(B376="CAP",E376="AIR",G376&lt;&gt;F376),"AIR context mismatch",IF(AND(B376="AIR",G376&lt;&gt;C376),"AIR context mismatch",IF(AND(B376="AIR",E376="AIR",C376=F376),"Self-dependency",IF(AND(B376="AIR",E376="AIR",M376&lt;&gt;"Superseded",COUNTIFS($B$4:$B$1003,"AIR",$C$4:$C$1003,F376,$E$4:$E$1003,"AIR",$F$4:$F$1003,C376,$M$4:$M$1003,"&lt;&gt;Superseded")&gt;0),"Dependency cycle (A↔B) — review",IF(AND(B376="AIR",OR(E376="MOD",E376="DATA",E376="IF",E376="AG",E376="TOOL"),IFERROR(INDEX(Components!$G$4:$G$253,MATCH(F376,Components!$A$4:$A$253,0)),"")&lt;&gt;"",IFERROR(INDEX(Components!$G$4:$G$253,MATCH(F376,Components!$A$4:$A$253,0)),"")&lt;&gt;C376),"Component owned by another AIR-ID",IF(AND(M376="Confirmed",OR(IF(B376="UC",COUNTIFS('Use cases'!$A$4:$A$253,C376,'Use cases'!$I$4:$I$253,"Confirmed",'Use cases'!$J$4:$J$253,"OK — verify source"),IF(B376="CAP",COUNTIFS(Capabilities!$A$4:$A$253,C376,Capabilities!$J$4:$J$253,"Confirmed",Capabilities!$K$4:$K$253,"OK — verify source"),IF(B376="AIR",COUNTIFS('System map'!$A$4:$A$203,C376,'System map'!$B$4:$B$203,"&lt;&gt;",'System map'!$C$4:$C$203,"&lt;&gt;",'System map'!$D$4:$D$203,"&lt;&gt;"),COUNTIFS(Components!$A$4:$A$253,C376,Components!$B$4:$B$253,B376,Components!$K$4:$K$253,"Confirmed",Components!$L$4:$L$253,"OK — verify source"))))&lt;&gt;1,IF(E376="UC",COUNTIFS('Use cases'!$A$4:$A$253,F376,'Use cases'!$I$4:$I$253,"Confirmed",'Use cases'!$J$4:$J$253,"OK — verify source"),IF(E376="CAP",COUNTIFS(Capabilities!$A$4:$A$253,F376,Capabilities!$J$4:$J$253,"Confirmed",Capabilities!$K$4:$K$253,"OK — verify source"),IF(E376="AIR",COUNTIFS('System map'!$A$4:$A$203,F376,'System map'!$B$4:$B$203,"&lt;&gt;",'System map'!$C$4:$C$203,"&lt;&gt;",'System map'!$D$4:$D$203,"&lt;&gt;"),COUNTIFS(Components!$A$4:$A$253,F376,Components!$B$4:$B$253,E376,Components!$K$4:$K$253,"Confirmed",Components!$L$4:$L$253,"OK — verify source"))))&lt;&gt;1)),"Endpoint not source-reconciled",IF(AND(M376="Confirmed",OR(L376="",K376="",K376="Unknown",K376="Low")),"Confirmed link lacks verification","OK — verify source"))))))))))))))</f>
        <v/>
      </c>
    </row>
    <row r="377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8" t="n"/>
      <c r="M377" s="27" t="n"/>
      <c r="N377" s="27">
        <f>IF(COUNTA(A377:M377)=0,"",IF(OR(A377="",B377="",C377="",D377="",E377="",F377="",I377="",J377="",K377="",M377=""),"Required link detail missing",IF(COUNTIF($A$4:$A$1003,A377)&gt;1,"Duplicate Map Edge ID",IF(NOT(OR(AND(B377="UC",E377="CAP",D377="requires"),AND(B377="CAP",E377="AIR",D377="provided by"),AND(B377="AIR",OR(E377="MOD",E377="DATA",E377="IF",E377="AG",E377="TOOL"),D377="references"),AND(B377="AIR",E377="AIR",D377="depends on"))),"Invalid relationship",IF(AND(M377&lt;&gt;"Superseded",COUNTIFS($B$4:$B$1003,B377,$C$4:$C$1003,C377,$D$4:$D$1003,D377,$E$4:$E$1003,E377,$F$4:$F$1003,F377,$G$4:$G$1003,G377,$M$4:$M$1003,"&lt;&gt;Superseded")&gt;1),"Duplicate relationship",IF(OR(IF(B377="UC",COUNTIF('Use cases'!$A$4:$A$253,C377),IF(B377="CAP",COUNTIF(Capabilities!$A$4:$A$253,C377),IF(B377="AIR",COUNTIF('System map'!$A$4:$A$203,C377),COUNTIFS(Components!$A$4:$A$253,C377,Components!$B$4:$B$253,B377))))&lt;&gt;1,IF(E377="UC",COUNTIF('Use cases'!$A$4:$A$253,F377),IF(E377="CAP",COUNTIF(Capabilities!$A$4:$A$253,F377),IF(E377="AIR",COUNTIF('System map'!$A$4:$A$203,F377),COUNTIFS(Components!$A$4:$A$253,F377,Components!$B$4:$B$253,E377))))&lt;&gt;1),"Endpoint missing or duplicated",IF(AND(NOT(AND(B377="UC",E377="CAP")),OR(G377="",COUNTIF('System map'!$A$4:$A$203,G377)&lt;&gt;1)),"AIR context missing / unknown",IF(AND(B377="CAP",E377="AIR",G377&lt;&gt;F377),"AIR context mismatch",IF(AND(B377="AIR",G377&lt;&gt;C377),"AIR context mismatch",IF(AND(B377="AIR",E377="AIR",C377=F377),"Self-dependency",IF(AND(B377="AIR",E377="AIR",M377&lt;&gt;"Superseded",COUNTIFS($B$4:$B$1003,"AIR",$C$4:$C$1003,F377,$E$4:$E$1003,"AIR",$F$4:$F$1003,C377,$M$4:$M$1003,"&lt;&gt;Superseded")&gt;0),"Dependency cycle (A↔B) — review",IF(AND(B377="AIR",OR(E377="MOD",E377="DATA",E377="IF",E377="AG",E377="TOOL"),IFERROR(INDEX(Components!$G$4:$G$253,MATCH(F377,Components!$A$4:$A$253,0)),"")&lt;&gt;"",IFERROR(INDEX(Components!$G$4:$G$253,MATCH(F377,Components!$A$4:$A$253,0)),"")&lt;&gt;C377),"Component owned by another AIR-ID",IF(AND(M377="Confirmed",OR(IF(B377="UC",COUNTIFS('Use cases'!$A$4:$A$253,C377,'Use cases'!$I$4:$I$253,"Confirmed",'Use cases'!$J$4:$J$253,"OK — verify source"),IF(B377="CAP",COUNTIFS(Capabilities!$A$4:$A$253,C377,Capabilities!$J$4:$J$253,"Confirmed",Capabilities!$K$4:$K$253,"OK — verify source"),IF(B377="AIR",COUNTIFS('System map'!$A$4:$A$203,C377,'System map'!$B$4:$B$203,"&lt;&gt;",'System map'!$C$4:$C$203,"&lt;&gt;",'System map'!$D$4:$D$203,"&lt;&gt;"),COUNTIFS(Components!$A$4:$A$253,C377,Components!$B$4:$B$253,B377,Components!$K$4:$K$253,"Confirmed",Components!$L$4:$L$253,"OK — verify source"))))&lt;&gt;1,IF(E377="UC",COUNTIFS('Use cases'!$A$4:$A$253,F377,'Use cases'!$I$4:$I$253,"Confirmed",'Use cases'!$J$4:$J$253,"OK — verify source"),IF(E377="CAP",COUNTIFS(Capabilities!$A$4:$A$253,F377,Capabilities!$J$4:$J$253,"Confirmed",Capabilities!$K$4:$K$253,"OK — verify source"),IF(E377="AIR",COUNTIFS('System map'!$A$4:$A$203,F377,'System map'!$B$4:$B$203,"&lt;&gt;",'System map'!$C$4:$C$203,"&lt;&gt;",'System map'!$D$4:$D$203,"&lt;&gt;"),COUNTIFS(Components!$A$4:$A$253,F377,Components!$B$4:$B$253,E377,Components!$K$4:$K$253,"Confirmed",Components!$L$4:$L$253,"OK — verify source"))))&lt;&gt;1)),"Endpoint not source-reconciled",IF(AND(M377="Confirmed",OR(L377="",K377="",K377="Unknown",K377="Low")),"Confirmed link lacks verification","OK — verify source"))))))))))))))</f>
        <v/>
      </c>
    </row>
    <row r="378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6" t="n"/>
      <c r="M378" s="25" t="n"/>
      <c r="N378" s="25">
        <f>IF(COUNTA(A378:M378)=0,"",IF(OR(A378="",B378="",C378="",D378="",E378="",F378="",I378="",J378="",K378="",M378=""),"Required link detail missing",IF(COUNTIF($A$4:$A$1003,A378)&gt;1,"Duplicate Map Edge ID",IF(NOT(OR(AND(B378="UC",E378="CAP",D378="requires"),AND(B378="CAP",E378="AIR",D378="provided by"),AND(B378="AIR",OR(E378="MOD",E378="DATA",E378="IF",E378="AG",E378="TOOL"),D378="references"),AND(B378="AIR",E378="AIR",D378="depends on"))),"Invalid relationship",IF(AND(M378&lt;&gt;"Superseded",COUNTIFS($B$4:$B$1003,B378,$C$4:$C$1003,C378,$D$4:$D$1003,D378,$E$4:$E$1003,E378,$F$4:$F$1003,F378,$G$4:$G$1003,G378,$M$4:$M$1003,"&lt;&gt;Superseded")&gt;1),"Duplicate relationship",IF(OR(IF(B378="UC",COUNTIF('Use cases'!$A$4:$A$253,C378),IF(B378="CAP",COUNTIF(Capabilities!$A$4:$A$253,C378),IF(B378="AIR",COUNTIF('System map'!$A$4:$A$203,C378),COUNTIFS(Components!$A$4:$A$253,C378,Components!$B$4:$B$253,B378))))&lt;&gt;1,IF(E378="UC",COUNTIF('Use cases'!$A$4:$A$253,F378),IF(E378="CAP",COUNTIF(Capabilities!$A$4:$A$253,F378),IF(E378="AIR",COUNTIF('System map'!$A$4:$A$203,F378),COUNTIFS(Components!$A$4:$A$253,F378,Components!$B$4:$B$253,E378))))&lt;&gt;1),"Endpoint missing or duplicated",IF(AND(NOT(AND(B378="UC",E378="CAP")),OR(G378="",COUNTIF('System map'!$A$4:$A$203,G378)&lt;&gt;1)),"AIR context missing / unknown",IF(AND(B378="CAP",E378="AIR",G378&lt;&gt;F378),"AIR context mismatch",IF(AND(B378="AIR",G378&lt;&gt;C378),"AIR context mismatch",IF(AND(B378="AIR",E378="AIR",C378=F378),"Self-dependency",IF(AND(B378="AIR",E378="AIR",M378&lt;&gt;"Superseded",COUNTIFS($B$4:$B$1003,"AIR",$C$4:$C$1003,F378,$E$4:$E$1003,"AIR",$F$4:$F$1003,C378,$M$4:$M$1003,"&lt;&gt;Superseded")&gt;0),"Dependency cycle (A↔B) — review",IF(AND(B378="AIR",OR(E378="MOD",E378="DATA",E378="IF",E378="AG",E378="TOOL"),IFERROR(INDEX(Components!$G$4:$G$253,MATCH(F378,Components!$A$4:$A$253,0)),"")&lt;&gt;"",IFERROR(INDEX(Components!$G$4:$G$253,MATCH(F378,Components!$A$4:$A$253,0)),"")&lt;&gt;C378),"Component owned by another AIR-ID",IF(AND(M378="Confirmed",OR(IF(B378="UC",COUNTIFS('Use cases'!$A$4:$A$253,C378,'Use cases'!$I$4:$I$253,"Confirmed",'Use cases'!$J$4:$J$253,"OK — verify source"),IF(B378="CAP",COUNTIFS(Capabilities!$A$4:$A$253,C378,Capabilities!$J$4:$J$253,"Confirmed",Capabilities!$K$4:$K$253,"OK — verify source"),IF(B378="AIR",COUNTIFS('System map'!$A$4:$A$203,C378,'System map'!$B$4:$B$203,"&lt;&gt;",'System map'!$C$4:$C$203,"&lt;&gt;",'System map'!$D$4:$D$203,"&lt;&gt;"),COUNTIFS(Components!$A$4:$A$253,C378,Components!$B$4:$B$253,B378,Components!$K$4:$K$253,"Confirmed",Components!$L$4:$L$253,"OK — verify source"))))&lt;&gt;1,IF(E378="UC",COUNTIFS('Use cases'!$A$4:$A$253,F378,'Use cases'!$I$4:$I$253,"Confirmed",'Use cases'!$J$4:$J$253,"OK — verify source"),IF(E378="CAP",COUNTIFS(Capabilities!$A$4:$A$253,F378,Capabilities!$J$4:$J$253,"Confirmed",Capabilities!$K$4:$K$253,"OK — verify source"),IF(E378="AIR",COUNTIFS('System map'!$A$4:$A$203,F378,'System map'!$B$4:$B$203,"&lt;&gt;",'System map'!$C$4:$C$203,"&lt;&gt;",'System map'!$D$4:$D$203,"&lt;&gt;"),COUNTIFS(Components!$A$4:$A$253,F378,Components!$B$4:$B$253,E378,Components!$K$4:$K$253,"Confirmed",Components!$L$4:$L$253,"OK — verify source"))))&lt;&gt;1)),"Endpoint not source-reconciled",IF(AND(M378="Confirmed",OR(L378="",K378="",K378="Unknown",K378="Low")),"Confirmed link lacks verification","OK — verify source"))))))))))))))</f>
        <v/>
      </c>
    </row>
    <row r="379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8" t="n"/>
      <c r="M379" s="27" t="n"/>
      <c r="N379" s="27">
        <f>IF(COUNTA(A379:M379)=0,"",IF(OR(A379="",B379="",C379="",D379="",E379="",F379="",I379="",J379="",K379="",M379=""),"Required link detail missing",IF(COUNTIF($A$4:$A$1003,A379)&gt;1,"Duplicate Map Edge ID",IF(NOT(OR(AND(B379="UC",E379="CAP",D379="requires"),AND(B379="CAP",E379="AIR",D379="provided by"),AND(B379="AIR",OR(E379="MOD",E379="DATA",E379="IF",E379="AG",E379="TOOL"),D379="references"),AND(B379="AIR",E379="AIR",D379="depends on"))),"Invalid relationship",IF(AND(M379&lt;&gt;"Superseded",COUNTIFS($B$4:$B$1003,B379,$C$4:$C$1003,C379,$D$4:$D$1003,D379,$E$4:$E$1003,E379,$F$4:$F$1003,F379,$G$4:$G$1003,G379,$M$4:$M$1003,"&lt;&gt;Superseded")&gt;1),"Duplicate relationship",IF(OR(IF(B379="UC",COUNTIF('Use cases'!$A$4:$A$253,C379),IF(B379="CAP",COUNTIF(Capabilities!$A$4:$A$253,C379),IF(B379="AIR",COUNTIF('System map'!$A$4:$A$203,C379),COUNTIFS(Components!$A$4:$A$253,C379,Components!$B$4:$B$253,B379))))&lt;&gt;1,IF(E379="UC",COUNTIF('Use cases'!$A$4:$A$253,F379),IF(E379="CAP",COUNTIF(Capabilities!$A$4:$A$253,F379),IF(E379="AIR",COUNTIF('System map'!$A$4:$A$203,F379),COUNTIFS(Components!$A$4:$A$253,F379,Components!$B$4:$B$253,E379))))&lt;&gt;1),"Endpoint missing or duplicated",IF(AND(NOT(AND(B379="UC",E379="CAP")),OR(G379="",COUNTIF('System map'!$A$4:$A$203,G379)&lt;&gt;1)),"AIR context missing / unknown",IF(AND(B379="CAP",E379="AIR",G379&lt;&gt;F379),"AIR context mismatch",IF(AND(B379="AIR",G379&lt;&gt;C379),"AIR context mismatch",IF(AND(B379="AIR",E379="AIR",C379=F379),"Self-dependency",IF(AND(B379="AIR",E379="AIR",M379&lt;&gt;"Superseded",COUNTIFS($B$4:$B$1003,"AIR",$C$4:$C$1003,F379,$E$4:$E$1003,"AIR",$F$4:$F$1003,C379,$M$4:$M$1003,"&lt;&gt;Superseded")&gt;0),"Dependency cycle (A↔B) — review",IF(AND(B379="AIR",OR(E379="MOD",E379="DATA",E379="IF",E379="AG",E379="TOOL"),IFERROR(INDEX(Components!$G$4:$G$253,MATCH(F379,Components!$A$4:$A$253,0)),"")&lt;&gt;"",IFERROR(INDEX(Components!$G$4:$G$253,MATCH(F379,Components!$A$4:$A$253,0)),"")&lt;&gt;C379),"Component owned by another AIR-ID",IF(AND(M379="Confirmed",OR(IF(B379="UC",COUNTIFS('Use cases'!$A$4:$A$253,C379,'Use cases'!$I$4:$I$253,"Confirmed",'Use cases'!$J$4:$J$253,"OK — verify source"),IF(B379="CAP",COUNTIFS(Capabilities!$A$4:$A$253,C379,Capabilities!$J$4:$J$253,"Confirmed",Capabilities!$K$4:$K$253,"OK — verify source"),IF(B379="AIR",COUNTIFS('System map'!$A$4:$A$203,C379,'System map'!$B$4:$B$203,"&lt;&gt;",'System map'!$C$4:$C$203,"&lt;&gt;",'System map'!$D$4:$D$203,"&lt;&gt;"),COUNTIFS(Components!$A$4:$A$253,C379,Components!$B$4:$B$253,B379,Components!$K$4:$K$253,"Confirmed",Components!$L$4:$L$253,"OK — verify source"))))&lt;&gt;1,IF(E379="UC",COUNTIFS('Use cases'!$A$4:$A$253,F379,'Use cases'!$I$4:$I$253,"Confirmed",'Use cases'!$J$4:$J$253,"OK — verify source"),IF(E379="CAP",COUNTIFS(Capabilities!$A$4:$A$253,F379,Capabilities!$J$4:$J$253,"Confirmed",Capabilities!$K$4:$K$253,"OK — verify source"),IF(E379="AIR",COUNTIFS('System map'!$A$4:$A$203,F379,'System map'!$B$4:$B$203,"&lt;&gt;",'System map'!$C$4:$C$203,"&lt;&gt;",'System map'!$D$4:$D$203,"&lt;&gt;"),COUNTIFS(Components!$A$4:$A$253,F379,Components!$B$4:$B$253,E379,Components!$K$4:$K$253,"Confirmed",Components!$L$4:$L$253,"OK — verify source"))))&lt;&gt;1)),"Endpoint not source-reconciled",IF(AND(M379="Confirmed",OR(L379="",K379="",K379="Unknown",K379="Low")),"Confirmed link lacks verification","OK — verify source"))))))))))))))</f>
        <v/>
      </c>
    </row>
    <row r="380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6" t="n"/>
      <c r="M380" s="25" t="n"/>
      <c r="N380" s="25">
        <f>IF(COUNTA(A380:M380)=0,"",IF(OR(A380="",B380="",C380="",D380="",E380="",F380="",I380="",J380="",K380="",M380=""),"Required link detail missing",IF(COUNTIF($A$4:$A$1003,A380)&gt;1,"Duplicate Map Edge ID",IF(NOT(OR(AND(B380="UC",E380="CAP",D380="requires"),AND(B380="CAP",E380="AIR",D380="provided by"),AND(B380="AIR",OR(E380="MOD",E380="DATA",E380="IF",E380="AG",E380="TOOL"),D380="references"),AND(B380="AIR",E380="AIR",D380="depends on"))),"Invalid relationship",IF(AND(M380&lt;&gt;"Superseded",COUNTIFS($B$4:$B$1003,B380,$C$4:$C$1003,C380,$D$4:$D$1003,D380,$E$4:$E$1003,E380,$F$4:$F$1003,F380,$G$4:$G$1003,G380,$M$4:$M$1003,"&lt;&gt;Superseded")&gt;1),"Duplicate relationship",IF(OR(IF(B380="UC",COUNTIF('Use cases'!$A$4:$A$253,C380),IF(B380="CAP",COUNTIF(Capabilities!$A$4:$A$253,C380),IF(B380="AIR",COUNTIF('System map'!$A$4:$A$203,C380),COUNTIFS(Components!$A$4:$A$253,C380,Components!$B$4:$B$253,B380))))&lt;&gt;1,IF(E380="UC",COUNTIF('Use cases'!$A$4:$A$253,F380),IF(E380="CAP",COUNTIF(Capabilities!$A$4:$A$253,F380),IF(E380="AIR",COUNTIF('System map'!$A$4:$A$203,F380),COUNTIFS(Components!$A$4:$A$253,F380,Components!$B$4:$B$253,E380))))&lt;&gt;1),"Endpoint missing or duplicated",IF(AND(NOT(AND(B380="UC",E380="CAP")),OR(G380="",COUNTIF('System map'!$A$4:$A$203,G380)&lt;&gt;1)),"AIR context missing / unknown",IF(AND(B380="CAP",E380="AIR",G380&lt;&gt;F380),"AIR context mismatch",IF(AND(B380="AIR",G380&lt;&gt;C380),"AIR context mismatch",IF(AND(B380="AIR",E380="AIR",C380=F380),"Self-dependency",IF(AND(B380="AIR",E380="AIR",M380&lt;&gt;"Superseded",COUNTIFS($B$4:$B$1003,"AIR",$C$4:$C$1003,F380,$E$4:$E$1003,"AIR",$F$4:$F$1003,C380,$M$4:$M$1003,"&lt;&gt;Superseded")&gt;0),"Dependency cycle (A↔B) — review",IF(AND(B380="AIR",OR(E380="MOD",E380="DATA",E380="IF",E380="AG",E380="TOOL"),IFERROR(INDEX(Components!$G$4:$G$253,MATCH(F380,Components!$A$4:$A$253,0)),"")&lt;&gt;"",IFERROR(INDEX(Components!$G$4:$G$253,MATCH(F380,Components!$A$4:$A$253,0)),"")&lt;&gt;C380),"Component owned by another AIR-ID",IF(AND(M380="Confirmed",OR(IF(B380="UC",COUNTIFS('Use cases'!$A$4:$A$253,C380,'Use cases'!$I$4:$I$253,"Confirmed",'Use cases'!$J$4:$J$253,"OK — verify source"),IF(B380="CAP",COUNTIFS(Capabilities!$A$4:$A$253,C380,Capabilities!$J$4:$J$253,"Confirmed",Capabilities!$K$4:$K$253,"OK — verify source"),IF(B380="AIR",COUNTIFS('System map'!$A$4:$A$203,C380,'System map'!$B$4:$B$203,"&lt;&gt;",'System map'!$C$4:$C$203,"&lt;&gt;",'System map'!$D$4:$D$203,"&lt;&gt;"),COUNTIFS(Components!$A$4:$A$253,C380,Components!$B$4:$B$253,B380,Components!$K$4:$K$253,"Confirmed",Components!$L$4:$L$253,"OK — verify source"))))&lt;&gt;1,IF(E380="UC",COUNTIFS('Use cases'!$A$4:$A$253,F380,'Use cases'!$I$4:$I$253,"Confirmed",'Use cases'!$J$4:$J$253,"OK — verify source"),IF(E380="CAP",COUNTIFS(Capabilities!$A$4:$A$253,F380,Capabilities!$J$4:$J$253,"Confirmed",Capabilities!$K$4:$K$253,"OK — verify source"),IF(E380="AIR",COUNTIFS('System map'!$A$4:$A$203,F380,'System map'!$B$4:$B$203,"&lt;&gt;",'System map'!$C$4:$C$203,"&lt;&gt;",'System map'!$D$4:$D$203,"&lt;&gt;"),COUNTIFS(Components!$A$4:$A$253,F380,Components!$B$4:$B$253,E380,Components!$K$4:$K$253,"Confirmed",Components!$L$4:$L$253,"OK — verify source"))))&lt;&gt;1)),"Endpoint not source-reconciled",IF(AND(M380="Confirmed",OR(L380="",K380="",K380="Unknown",K380="Low")),"Confirmed link lacks verification","OK — verify source"))))))))))))))</f>
        <v/>
      </c>
    </row>
    <row r="381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8" t="n"/>
      <c r="M381" s="27" t="n"/>
      <c r="N381" s="27">
        <f>IF(COUNTA(A381:M381)=0,"",IF(OR(A381="",B381="",C381="",D381="",E381="",F381="",I381="",J381="",K381="",M381=""),"Required link detail missing",IF(COUNTIF($A$4:$A$1003,A381)&gt;1,"Duplicate Map Edge ID",IF(NOT(OR(AND(B381="UC",E381="CAP",D381="requires"),AND(B381="CAP",E381="AIR",D381="provided by"),AND(B381="AIR",OR(E381="MOD",E381="DATA",E381="IF",E381="AG",E381="TOOL"),D381="references"),AND(B381="AIR",E381="AIR",D381="depends on"))),"Invalid relationship",IF(AND(M381&lt;&gt;"Superseded",COUNTIFS($B$4:$B$1003,B381,$C$4:$C$1003,C381,$D$4:$D$1003,D381,$E$4:$E$1003,E381,$F$4:$F$1003,F381,$G$4:$G$1003,G381,$M$4:$M$1003,"&lt;&gt;Superseded")&gt;1),"Duplicate relationship",IF(OR(IF(B381="UC",COUNTIF('Use cases'!$A$4:$A$253,C381),IF(B381="CAP",COUNTIF(Capabilities!$A$4:$A$253,C381),IF(B381="AIR",COUNTIF('System map'!$A$4:$A$203,C381),COUNTIFS(Components!$A$4:$A$253,C381,Components!$B$4:$B$253,B381))))&lt;&gt;1,IF(E381="UC",COUNTIF('Use cases'!$A$4:$A$253,F381),IF(E381="CAP",COUNTIF(Capabilities!$A$4:$A$253,F381),IF(E381="AIR",COUNTIF('System map'!$A$4:$A$203,F381),COUNTIFS(Components!$A$4:$A$253,F381,Components!$B$4:$B$253,E381))))&lt;&gt;1),"Endpoint missing or duplicated",IF(AND(NOT(AND(B381="UC",E381="CAP")),OR(G381="",COUNTIF('System map'!$A$4:$A$203,G381)&lt;&gt;1)),"AIR context missing / unknown",IF(AND(B381="CAP",E381="AIR",G381&lt;&gt;F381),"AIR context mismatch",IF(AND(B381="AIR",G381&lt;&gt;C381),"AIR context mismatch",IF(AND(B381="AIR",E381="AIR",C381=F381),"Self-dependency",IF(AND(B381="AIR",E381="AIR",M381&lt;&gt;"Superseded",COUNTIFS($B$4:$B$1003,"AIR",$C$4:$C$1003,F381,$E$4:$E$1003,"AIR",$F$4:$F$1003,C381,$M$4:$M$1003,"&lt;&gt;Superseded")&gt;0),"Dependency cycle (A↔B) — review",IF(AND(B381="AIR",OR(E381="MOD",E381="DATA",E381="IF",E381="AG",E381="TOOL"),IFERROR(INDEX(Components!$G$4:$G$253,MATCH(F381,Components!$A$4:$A$253,0)),"")&lt;&gt;"",IFERROR(INDEX(Components!$G$4:$G$253,MATCH(F381,Components!$A$4:$A$253,0)),"")&lt;&gt;C381),"Component owned by another AIR-ID",IF(AND(M381="Confirmed",OR(IF(B381="UC",COUNTIFS('Use cases'!$A$4:$A$253,C381,'Use cases'!$I$4:$I$253,"Confirmed",'Use cases'!$J$4:$J$253,"OK — verify source"),IF(B381="CAP",COUNTIFS(Capabilities!$A$4:$A$253,C381,Capabilities!$J$4:$J$253,"Confirmed",Capabilities!$K$4:$K$253,"OK — verify source"),IF(B381="AIR",COUNTIFS('System map'!$A$4:$A$203,C381,'System map'!$B$4:$B$203,"&lt;&gt;",'System map'!$C$4:$C$203,"&lt;&gt;",'System map'!$D$4:$D$203,"&lt;&gt;"),COUNTIFS(Components!$A$4:$A$253,C381,Components!$B$4:$B$253,B381,Components!$K$4:$K$253,"Confirmed",Components!$L$4:$L$253,"OK — verify source"))))&lt;&gt;1,IF(E381="UC",COUNTIFS('Use cases'!$A$4:$A$253,F381,'Use cases'!$I$4:$I$253,"Confirmed",'Use cases'!$J$4:$J$253,"OK — verify source"),IF(E381="CAP",COUNTIFS(Capabilities!$A$4:$A$253,F381,Capabilities!$J$4:$J$253,"Confirmed",Capabilities!$K$4:$K$253,"OK — verify source"),IF(E381="AIR",COUNTIFS('System map'!$A$4:$A$203,F381,'System map'!$B$4:$B$203,"&lt;&gt;",'System map'!$C$4:$C$203,"&lt;&gt;",'System map'!$D$4:$D$203,"&lt;&gt;"),COUNTIFS(Components!$A$4:$A$253,F381,Components!$B$4:$B$253,E381,Components!$K$4:$K$253,"Confirmed",Components!$L$4:$L$253,"OK — verify source"))))&lt;&gt;1)),"Endpoint not source-reconciled",IF(AND(M381="Confirmed",OR(L381="",K381="",K381="Unknown",K381="Low")),"Confirmed link lacks verification","OK — verify source"))))))))))))))</f>
        <v/>
      </c>
    </row>
    <row r="382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6" t="n"/>
      <c r="M382" s="25" t="n"/>
      <c r="N382" s="25">
        <f>IF(COUNTA(A382:M382)=0,"",IF(OR(A382="",B382="",C382="",D382="",E382="",F382="",I382="",J382="",K382="",M382=""),"Required link detail missing",IF(COUNTIF($A$4:$A$1003,A382)&gt;1,"Duplicate Map Edge ID",IF(NOT(OR(AND(B382="UC",E382="CAP",D382="requires"),AND(B382="CAP",E382="AIR",D382="provided by"),AND(B382="AIR",OR(E382="MOD",E382="DATA",E382="IF",E382="AG",E382="TOOL"),D382="references"),AND(B382="AIR",E382="AIR",D382="depends on"))),"Invalid relationship",IF(AND(M382&lt;&gt;"Superseded",COUNTIFS($B$4:$B$1003,B382,$C$4:$C$1003,C382,$D$4:$D$1003,D382,$E$4:$E$1003,E382,$F$4:$F$1003,F382,$G$4:$G$1003,G382,$M$4:$M$1003,"&lt;&gt;Superseded")&gt;1),"Duplicate relationship",IF(OR(IF(B382="UC",COUNTIF('Use cases'!$A$4:$A$253,C382),IF(B382="CAP",COUNTIF(Capabilities!$A$4:$A$253,C382),IF(B382="AIR",COUNTIF('System map'!$A$4:$A$203,C382),COUNTIFS(Components!$A$4:$A$253,C382,Components!$B$4:$B$253,B382))))&lt;&gt;1,IF(E382="UC",COUNTIF('Use cases'!$A$4:$A$253,F382),IF(E382="CAP",COUNTIF(Capabilities!$A$4:$A$253,F382),IF(E382="AIR",COUNTIF('System map'!$A$4:$A$203,F382),COUNTIFS(Components!$A$4:$A$253,F382,Components!$B$4:$B$253,E382))))&lt;&gt;1),"Endpoint missing or duplicated",IF(AND(NOT(AND(B382="UC",E382="CAP")),OR(G382="",COUNTIF('System map'!$A$4:$A$203,G382)&lt;&gt;1)),"AIR context missing / unknown",IF(AND(B382="CAP",E382="AIR",G382&lt;&gt;F382),"AIR context mismatch",IF(AND(B382="AIR",G382&lt;&gt;C382),"AIR context mismatch",IF(AND(B382="AIR",E382="AIR",C382=F382),"Self-dependency",IF(AND(B382="AIR",E382="AIR",M382&lt;&gt;"Superseded",COUNTIFS($B$4:$B$1003,"AIR",$C$4:$C$1003,F382,$E$4:$E$1003,"AIR",$F$4:$F$1003,C382,$M$4:$M$1003,"&lt;&gt;Superseded")&gt;0),"Dependency cycle (A↔B) — review",IF(AND(B382="AIR",OR(E382="MOD",E382="DATA",E382="IF",E382="AG",E382="TOOL"),IFERROR(INDEX(Components!$G$4:$G$253,MATCH(F382,Components!$A$4:$A$253,0)),"")&lt;&gt;"",IFERROR(INDEX(Components!$G$4:$G$253,MATCH(F382,Components!$A$4:$A$253,0)),"")&lt;&gt;C382),"Component owned by another AIR-ID",IF(AND(M382="Confirmed",OR(IF(B382="UC",COUNTIFS('Use cases'!$A$4:$A$253,C382,'Use cases'!$I$4:$I$253,"Confirmed",'Use cases'!$J$4:$J$253,"OK — verify source"),IF(B382="CAP",COUNTIFS(Capabilities!$A$4:$A$253,C382,Capabilities!$J$4:$J$253,"Confirmed",Capabilities!$K$4:$K$253,"OK — verify source"),IF(B382="AIR",COUNTIFS('System map'!$A$4:$A$203,C382,'System map'!$B$4:$B$203,"&lt;&gt;",'System map'!$C$4:$C$203,"&lt;&gt;",'System map'!$D$4:$D$203,"&lt;&gt;"),COUNTIFS(Components!$A$4:$A$253,C382,Components!$B$4:$B$253,B382,Components!$K$4:$K$253,"Confirmed",Components!$L$4:$L$253,"OK — verify source"))))&lt;&gt;1,IF(E382="UC",COUNTIFS('Use cases'!$A$4:$A$253,F382,'Use cases'!$I$4:$I$253,"Confirmed",'Use cases'!$J$4:$J$253,"OK — verify source"),IF(E382="CAP",COUNTIFS(Capabilities!$A$4:$A$253,F382,Capabilities!$J$4:$J$253,"Confirmed",Capabilities!$K$4:$K$253,"OK — verify source"),IF(E382="AIR",COUNTIFS('System map'!$A$4:$A$203,F382,'System map'!$B$4:$B$203,"&lt;&gt;",'System map'!$C$4:$C$203,"&lt;&gt;",'System map'!$D$4:$D$203,"&lt;&gt;"),COUNTIFS(Components!$A$4:$A$253,F382,Components!$B$4:$B$253,E382,Components!$K$4:$K$253,"Confirmed",Components!$L$4:$L$253,"OK — verify source"))))&lt;&gt;1)),"Endpoint not source-reconciled",IF(AND(M382="Confirmed",OR(L382="",K382="",K382="Unknown",K382="Low")),"Confirmed link lacks verification","OK — verify source"))))))))))))))</f>
        <v/>
      </c>
    </row>
    <row r="383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8" t="n"/>
      <c r="M383" s="27" t="n"/>
      <c r="N383" s="27">
        <f>IF(COUNTA(A383:M383)=0,"",IF(OR(A383="",B383="",C383="",D383="",E383="",F383="",I383="",J383="",K383="",M383=""),"Required link detail missing",IF(COUNTIF($A$4:$A$1003,A383)&gt;1,"Duplicate Map Edge ID",IF(NOT(OR(AND(B383="UC",E383="CAP",D383="requires"),AND(B383="CAP",E383="AIR",D383="provided by"),AND(B383="AIR",OR(E383="MOD",E383="DATA",E383="IF",E383="AG",E383="TOOL"),D383="references"),AND(B383="AIR",E383="AIR",D383="depends on"))),"Invalid relationship",IF(AND(M383&lt;&gt;"Superseded",COUNTIFS($B$4:$B$1003,B383,$C$4:$C$1003,C383,$D$4:$D$1003,D383,$E$4:$E$1003,E383,$F$4:$F$1003,F383,$G$4:$G$1003,G383,$M$4:$M$1003,"&lt;&gt;Superseded")&gt;1),"Duplicate relationship",IF(OR(IF(B383="UC",COUNTIF('Use cases'!$A$4:$A$253,C383),IF(B383="CAP",COUNTIF(Capabilities!$A$4:$A$253,C383),IF(B383="AIR",COUNTIF('System map'!$A$4:$A$203,C383),COUNTIFS(Components!$A$4:$A$253,C383,Components!$B$4:$B$253,B383))))&lt;&gt;1,IF(E383="UC",COUNTIF('Use cases'!$A$4:$A$253,F383),IF(E383="CAP",COUNTIF(Capabilities!$A$4:$A$253,F383),IF(E383="AIR",COUNTIF('System map'!$A$4:$A$203,F383),COUNTIFS(Components!$A$4:$A$253,F383,Components!$B$4:$B$253,E383))))&lt;&gt;1),"Endpoint missing or duplicated",IF(AND(NOT(AND(B383="UC",E383="CAP")),OR(G383="",COUNTIF('System map'!$A$4:$A$203,G383)&lt;&gt;1)),"AIR context missing / unknown",IF(AND(B383="CAP",E383="AIR",G383&lt;&gt;F383),"AIR context mismatch",IF(AND(B383="AIR",G383&lt;&gt;C383),"AIR context mismatch",IF(AND(B383="AIR",E383="AIR",C383=F383),"Self-dependency",IF(AND(B383="AIR",E383="AIR",M383&lt;&gt;"Superseded",COUNTIFS($B$4:$B$1003,"AIR",$C$4:$C$1003,F383,$E$4:$E$1003,"AIR",$F$4:$F$1003,C383,$M$4:$M$1003,"&lt;&gt;Superseded")&gt;0),"Dependency cycle (A↔B) — review",IF(AND(B383="AIR",OR(E383="MOD",E383="DATA",E383="IF",E383="AG",E383="TOOL"),IFERROR(INDEX(Components!$G$4:$G$253,MATCH(F383,Components!$A$4:$A$253,0)),"")&lt;&gt;"",IFERROR(INDEX(Components!$G$4:$G$253,MATCH(F383,Components!$A$4:$A$253,0)),"")&lt;&gt;C383),"Component owned by another AIR-ID",IF(AND(M383="Confirmed",OR(IF(B383="UC",COUNTIFS('Use cases'!$A$4:$A$253,C383,'Use cases'!$I$4:$I$253,"Confirmed",'Use cases'!$J$4:$J$253,"OK — verify source"),IF(B383="CAP",COUNTIFS(Capabilities!$A$4:$A$253,C383,Capabilities!$J$4:$J$253,"Confirmed",Capabilities!$K$4:$K$253,"OK — verify source"),IF(B383="AIR",COUNTIFS('System map'!$A$4:$A$203,C383,'System map'!$B$4:$B$203,"&lt;&gt;",'System map'!$C$4:$C$203,"&lt;&gt;",'System map'!$D$4:$D$203,"&lt;&gt;"),COUNTIFS(Components!$A$4:$A$253,C383,Components!$B$4:$B$253,B383,Components!$K$4:$K$253,"Confirmed",Components!$L$4:$L$253,"OK — verify source"))))&lt;&gt;1,IF(E383="UC",COUNTIFS('Use cases'!$A$4:$A$253,F383,'Use cases'!$I$4:$I$253,"Confirmed",'Use cases'!$J$4:$J$253,"OK — verify source"),IF(E383="CAP",COUNTIFS(Capabilities!$A$4:$A$253,F383,Capabilities!$J$4:$J$253,"Confirmed",Capabilities!$K$4:$K$253,"OK — verify source"),IF(E383="AIR",COUNTIFS('System map'!$A$4:$A$203,F383,'System map'!$B$4:$B$203,"&lt;&gt;",'System map'!$C$4:$C$203,"&lt;&gt;",'System map'!$D$4:$D$203,"&lt;&gt;"),COUNTIFS(Components!$A$4:$A$253,F383,Components!$B$4:$B$253,E383,Components!$K$4:$K$253,"Confirmed",Components!$L$4:$L$253,"OK — verify source"))))&lt;&gt;1)),"Endpoint not source-reconciled",IF(AND(M383="Confirmed",OR(L383="",K383="",K383="Unknown",K383="Low")),"Confirmed link lacks verification","OK — verify source"))))))))))))))</f>
        <v/>
      </c>
    </row>
    <row r="38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6" t="n"/>
      <c r="M384" s="25" t="n"/>
      <c r="N384" s="25">
        <f>IF(COUNTA(A384:M384)=0,"",IF(OR(A384="",B384="",C384="",D384="",E384="",F384="",I384="",J384="",K384="",M384=""),"Required link detail missing",IF(COUNTIF($A$4:$A$1003,A384)&gt;1,"Duplicate Map Edge ID",IF(NOT(OR(AND(B384="UC",E384="CAP",D384="requires"),AND(B384="CAP",E384="AIR",D384="provided by"),AND(B384="AIR",OR(E384="MOD",E384="DATA",E384="IF",E384="AG",E384="TOOL"),D384="references"),AND(B384="AIR",E384="AIR",D384="depends on"))),"Invalid relationship",IF(AND(M384&lt;&gt;"Superseded",COUNTIFS($B$4:$B$1003,B384,$C$4:$C$1003,C384,$D$4:$D$1003,D384,$E$4:$E$1003,E384,$F$4:$F$1003,F384,$G$4:$G$1003,G384,$M$4:$M$1003,"&lt;&gt;Superseded")&gt;1),"Duplicate relationship",IF(OR(IF(B384="UC",COUNTIF('Use cases'!$A$4:$A$253,C384),IF(B384="CAP",COUNTIF(Capabilities!$A$4:$A$253,C384),IF(B384="AIR",COUNTIF('System map'!$A$4:$A$203,C384),COUNTIFS(Components!$A$4:$A$253,C384,Components!$B$4:$B$253,B384))))&lt;&gt;1,IF(E384="UC",COUNTIF('Use cases'!$A$4:$A$253,F384),IF(E384="CAP",COUNTIF(Capabilities!$A$4:$A$253,F384),IF(E384="AIR",COUNTIF('System map'!$A$4:$A$203,F384),COUNTIFS(Components!$A$4:$A$253,F384,Components!$B$4:$B$253,E384))))&lt;&gt;1),"Endpoint missing or duplicated",IF(AND(NOT(AND(B384="UC",E384="CAP")),OR(G384="",COUNTIF('System map'!$A$4:$A$203,G384)&lt;&gt;1)),"AIR context missing / unknown",IF(AND(B384="CAP",E384="AIR",G384&lt;&gt;F384),"AIR context mismatch",IF(AND(B384="AIR",G384&lt;&gt;C384),"AIR context mismatch",IF(AND(B384="AIR",E384="AIR",C384=F384),"Self-dependency",IF(AND(B384="AIR",E384="AIR",M384&lt;&gt;"Superseded",COUNTIFS($B$4:$B$1003,"AIR",$C$4:$C$1003,F384,$E$4:$E$1003,"AIR",$F$4:$F$1003,C384,$M$4:$M$1003,"&lt;&gt;Superseded")&gt;0),"Dependency cycle (A↔B) — review",IF(AND(B384="AIR",OR(E384="MOD",E384="DATA",E384="IF",E384="AG",E384="TOOL"),IFERROR(INDEX(Components!$G$4:$G$253,MATCH(F384,Components!$A$4:$A$253,0)),"")&lt;&gt;"",IFERROR(INDEX(Components!$G$4:$G$253,MATCH(F384,Components!$A$4:$A$253,0)),"")&lt;&gt;C384),"Component owned by another AIR-ID",IF(AND(M384="Confirmed",OR(IF(B384="UC",COUNTIFS('Use cases'!$A$4:$A$253,C384,'Use cases'!$I$4:$I$253,"Confirmed",'Use cases'!$J$4:$J$253,"OK — verify source"),IF(B384="CAP",COUNTIFS(Capabilities!$A$4:$A$253,C384,Capabilities!$J$4:$J$253,"Confirmed",Capabilities!$K$4:$K$253,"OK — verify source"),IF(B384="AIR",COUNTIFS('System map'!$A$4:$A$203,C384,'System map'!$B$4:$B$203,"&lt;&gt;",'System map'!$C$4:$C$203,"&lt;&gt;",'System map'!$D$4:$D$203,"&lt;&gt;"),COUNTIFS(Components!$A$4:$A$253,C384,Components!$B$4:$B$253,B384,Components!$K$4:$K$253,"Confirmed",Components!$L$4:$L$253,"OK — verify source"))))&lt;&gt;1,IF(E384="UC",COUNTIFS('Use cases'!$A$4:$A$253,F384,'Use cases'!$I$4:$I$253,"Confirmed",'Use cases'!$J$4:$J$253,"OK — verify source"),IF(E384="CAP",COUNTIFS(Capabilities!$A$4:$A$253,F384,Capabilities!$J$4:$J$253,"Confirmed",Capabilities!$K$4:$K$253,"OK — verify source"),IF(E384="AIR",COUNTIFS('System map'!$A$4:$A$203,F384,'System map'!$B$4:$B$203,"&lt;&gt;",'System map'!$C$4:$C$203,"&lt;&gt;",'System map'!$D$4:$D$203,"&lt;&gt;"),COUNTIFS(Components!$A$4:$A$253,F384,Components!$B$4:$B$253,E384,Components!$K$4:$K$253,"Confirmed",Components!$L$4:$L$253,"OK — verify source"))))&lt;&gt;1)),"Endpoint not source-reconciled",IF(AND(M384="Confirmed",OR(L384="",K384="",K384="Unknown",K384="Low")),"Confirmed link lacks verification","OK — verify source"))))))))))))))</f>
        <v/>
      </c>
    </row>
    <row r="385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8" t="n"/>
      <c r="M385" s="27" t="n"/>
      <c r="N385" s="27">
        <f>IF(COUNTA(A385:M385)=0,"",IF(OR(A385="",B385="",C385="",D385="",E385="",F385="",I385="",J385="",K385="",M385=""),"Required link detail missing",IF(COUNTIF($A$4:$A$1003,A385)&gt;1,"Duplicate Map Edge ID",IF(NOT(OR(AND(B385="UC",E385="CAP",D385="requires"),AND(B385="CAP",E385="AIR",D385="provided by"),AND(B385="AIR",OR(E385="MOD",E385="DATA",E385="IF",E385="AG",E385="TOOL"),D385="references"),AND(B385="AIR",E385="AIR",D385="depends on"))),"Invalid relationship",IF(AND(M385&lt;&gt;"Superseded",COUNTIFS($B$4:$B$1003,B385,$C$4:$C$1003,C385,$D$4:$D$1003,D385,$E$4:$E$1003,E385,$F$4:$F$1003,F385,$G$4:$G$1003,G385,$M$4:$M$1003,"&lt;&gt;Superseded")&gt;1),"Duplicate relationship",IF(OR(IF(B385="UC",COUNTIF('Use cases'!$A$4:$A$253,C385),IF(B385="CAP",COUNTIF(Capabilities!$A$4:$A$253,C385),IF(B385="AIR",COUNTIF('System map'!$A$4:$A$203,C385),COUNTIFS(Components!$A$4:$A$253,C385,Components!$B$4:$B$253,B385))))&lt;&gt;1,IF(E385="UC",COUNTIF('Use cases'!$A$4:$A$253,F385),IF(E385="CAP",COUNTIF(Capabilities!$A$4:$A$253,F385),IF(E385="AIR",COUNTIF('System map'!$A$4:$A$203,F385),COUNTIFS(Components!$A$4:$A$253,F385,Components!$B$4:$B$253,E385))))&lt;&gt;1),"Endpoint missing or duplicated",IF(AND(NOT(AND(B385="UC",E385="CAP")),OR(G385="",COUNTIF('System map'!$A$4:$A$203,G385)&lt;&gt;1)),"AIR context missing / unknown",IF(AND(B385="CAP",E385="AIR",G385&lt;&gt;F385),"AIR context mismatch",IF(AND(B385="AIR",G385&lt;&gt;C385),"AIR context mismatch",IF(AND(B385="AIR",E385="AIR",C385=F385),"Self-dependency",IF(AND(B385="AIR",E385="AIR",M385&lt;&gt;"Superseded",COUNTIFS($B$4:$B$1003,"AIR",$C$4:$C$1003,F385,$E$4:$E$1003,"AIR",$F$4:$F$1003,C385,$M$4:$M$1003,"&lt;&gt;Superseded")&gt;0),"Dependency cycle (A↔B) — review",IF(AND(B385="AIR",OR(E385="MOD",E385="DATA",E385="IF",E385="AG",E385="TOOL"),IFERROR(INDEX(Components!$G$4:$G$253,MATCH(F385,Components!$A$4:$A$253,0)),"")&lt;&gt;"",IFERROR(INDEX(Components!$G$4:$G$253,MATCH(F385,Components!$A$4:$A$253,0)),"")&lt;&gt;C385),"Component owned by another AIR-ID",IF(AND(M385="Confirmed",OR(IF(B385="UC",COUNTIFS('Use cases'!$A$4:$A$253,C385,'Use cases'!$I$4:$I$253,"Confirmed",'Use cases'!$J$4:$J$253,"OK — verify source"),IF(B385="CAP",COUNTIFS(Capabilities!$A$4:$A$253,C385,Capabilities!$J$4:$J$253,"Confirmed",Capabilities!$K$4:$K$253,"OK — verify source"),IF(B385="AIR",COUNTIFS('System map'!$A$4:$A$203,C385,'System map'!$B$4:$B$203,"&lt;&gt;",'System map'!$C$4:$C$203,"&lt;&gt;",'System map'!$D$4:$D$203,"&lt;&gt;"),COUNTIFS(Components!$A$4:$A$253,C385,Components!$B$4:$B$253,B385,Components!$K$4:$K$253,"Confirmed",Components!$L$4:$L$253,"OK — verify source"))))&lt;&gt;1,IF(E385="UC",COUNTIFS('Use cases'!$A$4:$A$253,F385,'Use cases'!$I$4:$I$253,"Confirmed",'Use cases'!$J$4:$J$253,"OK — verify source"),IF(E385="CAP",COUNTIFS(Capabilities!$A$4:$A$253,F385,Capabilities!$J$4:$J$253,"Confirmed",Capabilities!$K$4:$K$253,"OK — verify source"),IF(E385="AIR",COUNTIFS('System map'!$A$4:$A$203,F385,'System map'!$B$4:$B$203,"&lt;&gt;",'System map'!$C$4:$C$203,"&lt;&gt;",'System map'!$D$4:$D$203,"&lt;&gt;"),COUNTIFS(Components!$A$4:$A$253,F385,Components!$B$4:$B$253,E385,Components!$K$4:$K$253,"Confirmed",Components!$L$4:$L$253,"OK — verify source"))))&lt;&gt;1)),"Endpoint not source-reconciled",IF(AND(M385="Confirmed",OR(L385="",K385="",K385="Unknown",K385="Low")),"Confirmed link lacks verification","OK — verify source"))))))))))))))</f>
        <v/>
      </c>
    </row>
    <row r="386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6" t="n"/>
      <c r="M386" s="25" t="n"/>
      <c r="N386" s="25">
        <f>IF(COUNTA(A386:M386)=0,"",IF(OR(A386="",B386="",C386="",D386="",E386="",F386="",I386="",J386="",K386="",M386=""),"Required link detail missing",IF(COUNTIF($A$4:$A$1003,A386)&gt;1,"Duplicate Map Edge ID",IF(NOT(OR(AND(B386="UC",E386="CAP",D386="requires"),AND(B386="CAP",E386="AIR",D386="provided by"),AND(B386="AIR",OR(E386="MOD",E386="DATA",E386="IF",E386="AG",E386="TOOL"),D386="references"),AND(B386="AIR",E386="AIR",D386="depends on"))),"Invalid relationship",IF(AND(M386&lt;&gt;"Superseded",COUNTIFS($B$4:$B$1003,B386,$C$4:$C$1003,C386,$D$4:$D$1003,D386,$E$4:$E$1003,E386,$F$4:$F$1003,F386,$G$4:$G$1003,G386,$M$4:$M$1003,"&lt;&gt;Superseded")&gt;1),"Duplicate relationship",IF(OR(IF(B386="UC",COUNTIF('Use cases'!$A$4:$A$253,C386),IF(B386="CAP",COUNTIF(Capabilities!$A$4:$A$253,C386),IF(B386="AIR",COUNTIF('System map'!$A$4:$A$203,C386),COUNTIFS(Components!$A$4:$A$253,C386,Components!$B$4:$B$253,B386))))&lt;&gt;1,IF(E386="UC",COUNTIF('Use cases'!$A$4:$A$253,F386),IF(E386="CAP",COUNTIF(Capabilities!$A$4:$A$253,F386),IF(E386="AIR",COUNTIF('System map'!$A$4:$A$203,F386),COUNTIFS(Components!$A$4:$A$253,F386,Components!$B$4:$B$253,E386))))&lt;&gt;1),"Endpoint missing or duplicated",IF(AND(NOT(AND(B386="UC",E386="CAP")),OR(G386="",COUNTIF('System map'!$A$4:$A$203,G386)&lt;&gt;1)),"AIR context missing / unknown",IF(AND(B386="CAP",E386="AIR",G386&lt;&gt;F386),"AIR context mismatch",IF(AND(B386="AIR",G386&lt;&gt;C386),"AIR context mismatch",IF(AND(B386="AIR",E386="AIR",C386=F386),"Self-dependency",IF(AND(B386="AIR",E386="AIR",M386&lt;&gt;"Superseded",COUNTIFS($B$4:$B$1003,"AIR",$C$4:$C$1003,F386,$E$4:$E$1003,"AIR",$F$4:$F$1003,C386,$M$4:$M$1003,"&lt;&gt;Superseded")&gt;0),"Dependency cycle (A↔B) — review",IF(AND(B386="AIR",OR(E386="MOD",E386="DATA",E386="IF",E386="AG",E386="TOOL"),IFERROR(INDEX(Components!$G$4:$G$253,MATCH(F386,Components!$A$4:$A$253,0)),"")&lt;&gt;"",IFERROR(INDEX(Components!$G$4:$G$253,MATCH(F386,Components!$A$4:$A$253,0)),"")&lt;&gt;C386),"Component owned by another AIR-ID",IF(AND(M386="Confirmed",OR(IF(B386="UC",COUNTIFS('Use cases'!$A$4:$A$253,C386,'Use cases'!$I$4:$I$253,"Confirmed",'Use cases'!$J$4:$J$253,"OK — verify source"),IF(B386="CAP",COUNTIFS(Capabilities!$A$4:$A$253,C386,Capabilities!$J$4:$J$253,"Confirmed",Capabilities!$K$4:$K$253,"OK — verify source"),IF(B386="AIR",COUNTIFS('System map'!$A$4:$A$203,C386,'System map'!$B$4:$B$203,"&lt;&gt;",'System map'!$C$4:$C$203,"&lt;&gt;",'System map'!$D$4:$D$203,"&lt;&gt;"),COUNTIFS(Components!$A$4:$A$253,C386,Components!$B$4:$B$253,B386,Components!$K$4:$K$253,"Confirmed",Components!$L$4:$L$253,"OK — verify source"))))&lt;&gt;1,IF(E386="UC",COUNTIFS('Use cases'!$A$4:$A$253,F386,'Use cases'!$I$4:$I$253,"Confirmed",'Use cases'!$J$4:$J$253,"OK — verify source"),IF(E386="CAP",COUNTIFS(Capabilities!$A$4:$A$253,F386,Capabilities!$J$4:$J$253,"Confirmed",Capabilities!$K$4:$K$253,"OK — verify source"),IF(E386="AIR",COUNTIFS('System map'!$A$4:$A$203,F386,'System map'!$B$4:$B$203,"&lt;&gt;",'System map'!$C$4:$C$203,"&lt;&gt;",'System map'!$D$4:$D$203,"&lt;&gt;"),COUNTIFS(Components!$A$4:$A$253,F386,Components!$B$4:$B$253,E386,Components!$K$4:$K$253,"Confirmed",Components!$L$4:$L$253,"OK — verify source"))))&lt;&gt;1)),"Endpoint not source-reconciled",IF(AND(M386="Confirmed",OR(L386="",K386="",K386="Unknown",K386="Low")),"Confirmed link lacks verification","OK — verify source"))))))))))))))</f>
        <v/>
      </c>
    </row>
    <row r="387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8" t="n"/>
      <c r="M387" s="27" t="n"/>
      <c r="N387" s="27">
        <f>IF(COUNTA(A387:M387)=0,"",IF(OR(A387="",B387="",C387="",D387="",E387="",F387="",I387="",J387="",K387="",M387=""),"Required link detail missing",IF(COUNTIF($A$4:$A$1003,A387)&gt;1,"Duplicate Map Edge ID",IF(NOT(OR(AND(B387="UC",E387="CAP",D387="requires"),AND(B387="CAP",E387="AIR",D387="provided by"),AND(B387="AIR",OR(E387="MOD",E387="DATA",E387="IF",E387="AG",E387="TOOL"),D387="references"),AND(B387="AIR",E387="AIR",D387="depends on"))),"Invalid relationship",IF(AND(M387&lt;&gt;"Superseded",COUNTIFS($B$4:$B$1003,B387,$C$4:$C$1003,C387,$D$4:$D$1003,D387,$E$4:$E$1003,E387,$F$4:$F$1003,F387,$G$4:$G$1003,G387,$M$4:$M$1003,"&lt;&gt;Superseded")&gt;1),"Duplicate relationship",IF(OR(IF(B387="UC",COUNTIF('Use cases'!$A$4:$A$253,C387),IF(B387="CAP",COUNTIF(Capabilities!$A$4:$A$253,C387),IF(B387="AIR",COUNTIF('System map'!$A$4:$A$203,C387),COUNTIFS(Components!$A$4:$A$253,C387,Components!$B$4:$B$253,B387))))&lt;&gt;1,IF(E387="UC",COUNTIF('Use cases'!$A$4:$A$253,F387),IF(E387="CAP",COUNTIF(Capabilities!$A$4:$A$253,F387),IF(E387="AIR",COUNTIF('System map'!$A$4:$A$203,F387),COUNTIFS(Components!$A$4:$A$253,F387,Components!$B$4:$B$253,E387))))&lt;&gt;1),"Endpoint missing or duplicated",IF(AND(NOT(AND(B387="UC",E387="CAP")),OR(G387="",COUNTIF('System map'!$A$4:$A$203,G387)&lt;&gt;1)),"AIR context missing / unknown",IF(AND(B387="CAP",E387="AIR",G387&lt;&gt;F387),"AIR context mismatch",IF(AND(B387="AIR",G387&lt;&gt;C387),"AIR context mismatch",IF(AND(B387="AIR",E387="AIR",C387=F387),"Self-dependency",IF(AND(B387="AIR",E387="AIR",M387&lt;&gt;"Superseded",COUNTIFS($B$4:$B$1003,"AIR",$C$4:$C$1003,F387,$E$4:$E$1003,"AIR",$F$4:$F$1003,C387,$M$4:$M$1003,"&lt;&gt;Superseded")&gt;0),"Dependency cycle (A↔B) — review",IF(AND(B387="AIR",OR(E387="MOD",E387="DATA",E387="IF",E387="AG",E387="TOOL"),IFERROR(INDEX(Components!$G$4:$G$253,MATCH(F387,Components!$A$4:$A$253,0)),"")&lt;&gt;"",IFERROR(INDEX(Components!$G$4:$G$253,MATCH(F387,Components!$A$4:$A$253,0)),"")&lt;&gt;C387),"Component owned by another AIR-ID",IF(AND(M387="Confirmed",OR(IF(B387="UC",COUNTIFS('Use cases'!$A$4:$A$253,C387,'Use cases'!$I$4:$I$253,"Confirmed",'Use cases'!$J$4:$J$253,"OK — verify source"),IF(B387="CAP",COUNTIFS(Capabilities!$A$4:$A$253,C387,Capabilities!$J$4:$J$253,"Confirmed",Capabilities!$K$4:$K$253,"OK — verify source"),IF(B387="AIR",COUNTIFS('System map'!$A$4:$A$203,C387,'System map'!$B$4:$B$203,"&lt;&gt;",'System map'!$C$4:$C$203,"&lt;&gt;",'System map'!$D$4:$D$203,"&lt;&gt;"),COUNTIFS(Components!$A$4:$A$253,C387,Components!$B$4:$B$253,B387,Components!$K$4:$K$253,"Confirmed",Components!$L$4:$L$253,"OK — verify source"))))&lt;&gt;1,IF(E387="UC",COUNTIFS('Use cases'!$A$4:$A$253,F387,'Use cases'!$I$4:$I$253,"Confirmed",'Use cases'!$J$4:$J$253,"OK — verify source"),IF(E387="CAP",COUNTIFS(Capabilities!$A$4:$A$253,F387,Capabilities!$J$4:$J$253,"Confirmed",Capabilities!$K$4:$K$253,"OK — verify source"),IF(E387="AIR",COUNTIFS('System map'!$A$4:$A$203,F387,'System map'!$B$4:$B$203,"&lt;&gt;",'System map'!$C$4:$C$203,"&lt;&gt;",'System map'!$D$4:$D$203,"&lt;&gt;"),COUNTIFS(Components!$A$4:$A$253,F387,Components!$B$4:$B$253,E387,Components!$K$4:$K$253,"Confirmed",Components!$L$4:$L$253,"OK — verify source"))))&lt;&gt;1)),"Endpoint not source-reconciled",IF(AND(M387="Confirmed",OR(L387="",K387="",K387="Unknown",K387="Low")),"Confirmed link lacks verification","OK — verify source"))))))))))))))</f>
        <v/>
      </c>
    </row>
    <row r="388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6" t="n"/>
      <c r="M388" s="25" t="n"/>
      <c r="N388" s="25">
        <f>IF(COUNTA(A388:M388)=0,"",IF(OR(A388="",B388="",C388="",D388="",E388="",F388="",I388="",J388="",K388="",M388=""),"Required link detail missing",IF(COUNTIF($A$4:$A$1003,A388)&gt;1,"Duplicate Map Edge ID",IF(NOT(OR(AND(B388="UC",E388="CAP",D388="requires"),AND(B388="CAP",E388="AIR",D388="provided by"),AND(B388="AIR",OR(E388="MOD",E388="DATA",E388="IF",E388="AG",E388="TOOL"),D388="references"),AND(B388="AIR",E388="AIR",D388="depends on"))),"Invalid relationship",IF(AND(M388&lt;&gt;"Superseded",COUNTIFS($B$4:$B$1003,B388,$C$4:$C$1003,C388,$D$4:$D$1003,D388,$E$4:$E$1003,E388,$F$4:$F$1003,F388,$G$4:$G$1003,G388,$M$4:$M$1003,"&lt;&gt;Superseded")&gt;1),"Duplicate relationship",IF(OR(IF(B388="UC",COUNTIF('Use cases'!$A$4:$A$253,C388),IF(B388="CAP",COUNTIF(Capabilities!$A$4:$A$253,C388),IF(B388="AIR",COUNTIF('System map'!$A$4:$A$203,C388),COUNTIFS(Components!$A$4:$A$253,C388,Components!$B$4:$B$253,B388))))&lt;&gt;1,IF(E388="UC",COUNTIF('Use cases'!$A$4:$A$253,F388),IF(E388="CAP",COUNTIF(Capabilities!$A$4:$A$253,F388),IF(E388="AIR",COUNTIF('System map'!$A$4:$A$203,F388),COUNTIFS(Components!$A$4:$A$253,F388,Components!$B$4:$B$253,E388))))&lt;&gt;1),"Endpoint missing or duplicated",IF(AND(NOT(AND(B388="UC",E388="CAP")),OR(G388="",COUNTIF('System map'!$A$4:$A$203,G388)&lt;&gt;1)),"AIR context missing / unknown",IF(AND(B388="CAP",E388="AIR",G388&lt;&gt;F388),"AIR context mismatch",IF(AND(B388="AIR",G388&lt;&gt;C388),"AIR context mismatch",IF(AND(B388="AIR",E388="AIR",C388=F388),"Self-dependency",IF(AND(B388="AIR",E388="AIR",M388&lt;&gt;"Superseded",COUNTIFS($B$4:$B$1003,"AIR",$C$4:$C$1003,F388,$E$4:$E$1003,"AIR",$F$4:$F$1003,C388,$M$4:$M$1003,"&lt;&gt;Superseded")&gt;0),"Dependency cycle (A↔B) — review",IF(AND(B388="AIR",OR(E388="MOD",E388="DATA",E388="IF",E388="AG",E388="TOOL"),IFERROR(INDEX(Components!$G$4:$G$253,MATCH(F388,Components!$A$4:$A$253,0)),"")&lt;&gt;"",IFERROR(INDEX(Components!$G$4:$G$253,MATCH(F388,Components!$A$4:$A$253,0)),"")&lt;&gt;C388),"Component owned by another AIR-ID",IF(AND(M388="Confirmed",OR(IF(B388="UC",COUNTIFS('Use cases'!$A$4:$A$253,C388,'Use cases'!$I$4:$I$253,"Confirmed",'Use cases'!$J$4:$J$253,"OK — verify source"),IF(B388="CAP",COUNTIFS(Capabilities!$A$4:$A$253,C388,Capabilities!$J$4:$J$253,"Confirmed",Capabilities!$K$4:$K$253,"OK — verify source"),IF(B388="AIR",COUNTIFS('System map'!$A$4:$A$203,C388,'System map'!$B$4:$B$203,"&lt;&gt;",'System map'!$C$4:$C$203,"&lt;&gt;",'System map'!$D$4:$D$203,"&lt;&gt;"),COUNTIFS(Components!$A$4:$A$253,C388,Components!$B$4:$B$253,B388,Components!$K$4:$K$253,"Confirmed",Components!$L$4:$L$253,"OK — verify source"))))&lt;&gt;1,IF(E388="UC",COUNTIFS('Use cases'!$A$4:$A$253,F388,'Use cases'!$I$4:$I$253,"Confirmed",'Use cases'!$J$4:$J$253,"OK — verify source"),IF(E388="CAP",COUNTIFS(Capabilities!$A$4:$A$253,F388,Capabilities!$J$4:$J$253,"Confirmed",Capabilities!$K$4:$K$253,"OK — verify source"),IF(E388="AIR",COUNTIFS('System map'!$A$4:$A$203,F388,'System map'!$B$4:$B$203,"&lt;&gt;",'System map'!$C$4:$C$203,"&lt;&gt;",'System map'!$D$4:$D$203,"&lt;&gt;"),COUNTIFS(Components!$A$4:$A$253,F388,Components!$B$4:$B$253,E388,Components!$K$4:$K$253,"Confirmed",Components!$L$4:$L$253,"OK — verify source"))))&lt;&gt;1)),"Endpoint not source-reconciled",IF(AND(M388="Confirmed",OR(L388="",K388="",K388="Unknown",K388="Low")),"Confirmed link lacks verification","OK — verify source"))))))))))))))</f>
        <v/>
      </c>
    </row>
    <row r="389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8" t="n"/>
      <c r="M389" s="27" t="n"/>
      <c r="N389" s="27">
        <f>IF(COUNTA(A389:M389)=0,"",IF(OR(A389="",B389="",C389="",D389="",E389="",F389="",I389="",J389="",K389="",M389=""),"Required link detail missing",IF(COUNTIF($A$4:$A$1003,A389)&gt;1,"Duplicate Map Edge ID",IF(NOT(OR(AND(B389="UC",E389="CAP",D389="requires"),AND(B389="CAP",E389="AIR",D389="provided by"),AND(B389="AIR",OR(E389="MOD",E389="DATA",E389="IF",E389="AG",E389="TOOL"),D389="references"),AND(B389="AIR",E389="AIR",D389="depends on"))),"Invalid relationship",IF(AND(M389&lt;&gt;"Superseded",COUNTIFS($B$4:$B$1003,B389,$C$4:$C$1003,C389,$D$4:$D$1003,D389,$E$4:$E$1003,E389,$F$4:$F$1003,F389,$G$4:$G$1003,G389,$M$4:$M$1003,"&lt;&gt;Superseded")&gt;1),"Duplicate relationship",IF(OR(IF(B389="UC",COUNTIF('Use cases'!$A$4:$A$253,C389),IF(B389="CAP",COUNTIF(Capabilities!$A$4:$A$253,C389),IF(B389="AIR",COUNTIF('System map'!$A$4:$A$203,C389),COUNTIFS(Components!$A$4:$A$253,C389,Components!$B$4:$B$253,B389))))&lt;&gt;1,IF(E389="UC",COUNTIF('Use cases'!$A$4:$A$253,F389),IF(E389="CAP",COUNTIF(Capabilities!$A$4:$A$253,F389),IF(E389="AIR",COUNTIF('System map'!$A$4:$A$203,F389),COUNTIFS(Components!$A$4:$A$253,F389,Components!$B$4:$B$253,E389))))&lt;&gt;1),"Endpoint missing or duplicated",IF(AND(NOT(AND(B389="UC",E389="CAP")),OR(G389="",COUNTIF('System map'!$A$4:$A$203,G389)&lt;&gt;1)),"AIR context missing / unknown",IF(AND(B389="CAP",E389="AIR",G389&lt;&gt;F389),"AIR context mismatch",IF(AND(B389="AIR",G389&lt;&gt;C389),"AIR context mismatch",IF(AND(B389="AIR",E389="AIR",C389=F389),"Self-dependency",IF(AND(B389="AIR",E389="AIR",M389&lt;&gt;"Superseded",COUNTIFS($B$4:$B$1003,"AIR",$C$4:$C$1003,F389,$E$4:$E$1003,"AIR",$F$4:$F$1003,C389,$M$4:$M$1003,"&lt;&gt;Superseded")&gt;0),"Dependency cycle (A↔B) — review",IF(AND(B389="AIR",OR(E389="MOD",E389="DATA",E389="IF",E389="AG",E389="TOOL"),IFERROR(INDEX(Components!$G$4:$G$253,MATCH(F389,Components!$A$4:$A$253,0)),"")&lt;&gt;"",IFERROR(INDEX(Components!$G$4:$G$253,MATCH(F389,Components!$A$4:$A$253,0)),"")&lt;&gt;C389),"Component owned by another AIR-ID",IF(AND(M389="Confirmed",OR(IF(B389="UC",COUNTIFS('Use cases'!$A$4:$A$253,C389,'Use cases'!$I$4:$I$253,"Confirmed",'Use cases'!$J$4:$J$253,"OK — verify source"),IF(B389="CAP",COUNTIFS(Capabilities!$A$4:$A$253,C389,Capabilities!$J$4:$J$253,"Confirmed",Capabilities!$K$4:$K$253,"OK — verify source"),IF(B389="AIR",COUNTIFS('System map'!$A$4:$A$203,C389,'System map'!$B$4:$B$203,"&lt;&gt;",'System map'!$C$4:$C$203,"&lt;&gt;",'System map'!$D$4:$D$203,"&lt;&gt;"),COUNTIFS(Components!$A$4:$A$253,C389,Components!$B$4:$B$253,B389,Components!$K$4:$K$253,"Confirmed",Components!$L$4:$L$253,"OK — verify source"))))&lt;&gt;1,IF(E389="UC",COUNTIFS('Use cases'!$A$4:$A$253,F389,'Use cases'!$I$4:$I$253,"Confirmed",'Use cases'!$J$4:$J$253,"OK — verify source"),IF(E389="CAP",COUNTIFS(Capabilities!$A$4:$A$253,F389,Capabilities!$J$4:$J$253,"Confirmed",Capabilities!$K$4:$K$253,"OK — verify source"),IF(E389="AIR",COUNTIFS('System map'!$A$4:$A$203,F389,'System map'!$B$4:$B$203,"&lt;&gt;",'System map'!$C$4:$C$203,"&lt;&gt;",'System map'!$D$4:$D$203,"&lt;&gt;"),COUNTIFS(Components!$A$4:$A$253,F389,Components!$B$4:$B$253,E389,Components!$K$4:$K$253,"Confirmed",Components!$L$4:$L$253,"OK — verify source"))))&lt;&gt;1)),"Endpoint not source-reconciled",IF(AND(M389="Confirmed",OR(L389="",K389="",K389="Unknown",K389="Low")),"Confirmed link lacks verification","OK — verify source"))))))))))))))</f>
        <v/>
      </c>
    </row>
    <row r="390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6" t="n"/>
      <c r="M390" s="25" t="n"/>
      <c r="N390" s="25">
        <f>IF(COUNTA(A390:M390)=0,"",IF(OR(A390="",B390="",C390="",D390="",E390="",F390="",I390="",J390="",K390="",M390=""),"Required link detail missing",IF(COUNTIF($A$4:$A$1003,A390)&gt;1,"Duplicate Map Edge ID",IF(NOT(OR(AND(B390="UC",E390="CAP",D390="requires"),AND(B390="CAP",E390="AIR",D390="provided by"),AND(B390="AIR",OR(E390="MOD",E390="DATA",E390="IF",E390="AG",E390="TOOL"),D390="references"),AND(B390="AIR",E390="AIR",D390="depends on"))),"Invalid relationship",IF(AND(M390&lt;&gt;"Superseded",COUNTIFS($B$4:$B$1003,B390,$C$4:$C$1003,C390,$D$4:$D$1003,D390,$E$4:$E$1003,E390,$F$4:$F$1003,F390,$G$4:$G$1003,G390,$M$4:$M$1003,"&lt;&gt;Superseded")&gt;1),"Duplicate relationship",IF(OR(IF(B390="UC",COUNTIF('Use cases'!$A$4:$A$253,C390),IF(B390="CAP",COUNTIF(Capabilities!$A$4:$A$253,C390),IF(B390="AIR",COUNTIF('System map'!$A$4:$A$203,C390),COUNTIFS(Components!$A$4:$A$253,C390,Components!$B$4:$B$253,B390))))&lt;&gt;1,IF(E390="UC",COUNTIF('Use cases'!$A$4:$A$253,F390),IF(E390="CAP",COUNTIF(Capabilities!$A$4:$A$253,F390),IF(E390="AIR",COUNTIF('System map'!$A$4:$A$203,F390),COUNTIFS(Components!$A$4:$A$253,F390,Components!$B$4:$B$253,E390))))&lt;&gt;1),"Endpoint missing or duplicated",IF(AND(NOT(AND(B390="UC",E390="CAP")),OR(G390="",COUNTIF('System map'!$A$4:$A$203,G390)&lt;&gt;1)),"AIR context missing / unknown",IF(AND(B390="CAP",E390="AIR",G390&lt;&gt;F390),"AIR context mismatch",IF(AND(B390="AIR",G390&lt;&gt;C390),"AIR context mismatch",IF(AND(B390="AIR",E390="AIR",C390=F390),"Self-dependency",IF(AND(B390="AIR",E390="AIR",M390&lt;&gt;"Superseded",COUNTIFS($B$4:$B$1003,"AIR",$C$4:$C$1003,F390,$E$4:$E$1003,"AIR",$F$4:$F$1003,C390,$M$4:$M$1003,"&lt;&gt;Superseded")&gt;0),"Dependency cycle (A↔B) — review",IF(AND(B390="AIR",OR(E390="MOD",E390="DATA",E390="IF",E390="AG",E390="TOOL"),IFERROR(INDEX(Components!$G$4:$G$253,MATCH(F390,Components!$A$4:$A$253,0)),"")&lt;&gt;"",IFERROR(INDEX(Components!$G$4:$G$253,MATCH(F390,Components!$A$4:$A$253,0)),"")&lt;&gt;C390),"Component owned by another AIR-ID",IF(AND(M390="Confirmed",OR(IF(B390="UC",COUNTIFS('Use cases'!$A$4:$A$253,C390,'Use cases'!$I$4:$I$253,"Confirmed",'Use cases'!$J$4:$J$253,"OK — verify source"),IF(B390="CAP",COUNTIFS(Capabilities!$A$4:$A$253,C390,Capabilities!$J$4:$J$253,"Confirmed",Capabilities!$K$4:$K$253,"OK — verify source"),IF(B390="AIR",COUNTIFS('System map'!$A$4:$A$203,C390,'System map'!$B$4:$B$203,"&lt;&gt;",'System map'!$C$4:$C$203,"&lt;&gt;",'System map'!$D$4:$D$203,"&lt;&gt;"),COUNTIFS(Components!$A$4:$A$253,C390,Components!$B$4:$B$253,B390,Components!$K$4:$K$253,"Confirmed",Components!$L$4:$L$253,"OK — verify source"))))&lt;&gt;1,IF(E390="UC",COUNTIFS('Use cases'!$A$4:$A$253,F390,'Use cases'!$I$4:$I$253,"Confirmed",'Use cases'!$J$4:$J$253,"OK — verify source"),IF(E390="CAP",COUNTIFS(Capabilities!$A$4:$A$253,F390,Capabilities!$J$4:$J$253,"Confirmed",Capabilities!$K$4:$K$253,"OK — verify source"),IF(E390="AIR",COUNTIFS('System map'!$A$4:$A$203,F390,'System map'!$B$4:$B$203,"&lt;&gt;",'System map'!$C$4:$C$203,"&lt;&gt;",'System map'!$D$4:$D$203,"&lt;&gt;"),COUNTIFS(Components!$A$4:$A$253,F390,Components!$B$4:$B$253,E390,Components!$K$4:$K$253,"Confirmed",Components!$L$4:$L$253,"OK — verify source"))))&lt;&gt;1)),"Endpoint not source-reconciled",IF(AND(M390="Confirmed",OR(L390="",K390="",K390="Unknown",K390="Low")),"Confirmed link lacks verification","OK — verify source"))))))))))))))</f>
        <v/>
      </c>
    </row>
    <row r="391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8" t="n"/>
      <c r="M391" s="27" t="n"/>
      <c r="N391" s="27">
        <f>IF(COUNTA(A391:M391)=0,"",IF(OR(A391="",B391="",C391="",D391="",E391="",F391="",I391="",J391="",K391="",M391=""),"Required link detail missing",IF(COUNTIF($A$4:$A$1003,A391)&gt;1,"Duplicate Map Edge ID",IF(NOT(OR(AND(B391="UC",E391="CAP",D391="requires"),AND(B391="CAP",E391="AIR",D391="provided by"),AND(B391="AIR",OR(E391="MOD",E391="DATA",E391="IF",E391="AG",E391="TOOL"),D391="references"),AND(B391="AIR",E391="AIR",D391="depends on"))),"Invalid relationship",IF(AND(M391&lt;&gt;"Superseded",COUNTIFS($B$4:$B$1003,B391,$C$4:$C$1003,C391,$D$4:$D$1003,D391,$E$4:$E$1003,E391,$F$4:$F$1003,F391,$G$4:$G$1003,G391,$M$4:$M$1003,"&lt;&gt;Superseded")&gt;1),"Duplicate relationship",IF(OR(IF(B391="UC",COUNTIF('Use cases'!$A$4:$A$253,C391),IF(B391="CAP",COUNTIF(Capabilities!$A$4:$A$253,C391),IF(B391="AIR",COUNTIF('System map'!$A$4:$A$203,C391),COUNTIFS(Components!$A$4:$A$253,C391,Components!$B$4:$B$253,B391))))&lt;&gt;1,IF(E391="UC",COUNTIF('Use cases'!$A$4:$A$253,F391),IF(E391="CAP",COUNTIF(Capabilities!$A$4:$A$253,F391),IF(E391="AIR",COUNTIF('System map'!$A$4:$A$203,F391),COUNTIFS(Components!$A$4:$A$253,F391,Components!$B$4:$B$253,E391))))&lt;&gt;1),"Endpoint missing or duplicated",IF(AND(NOT(AND(B391="UC",E391="CAP")),OR(G391="",COUNTIF('System map'!$A$4:$A$203,G391)&lt;&gt;1)),"AIR context missing / unknown",IF(AND(B391="CAP",E391="AIR",G391&lt;&gt;F391),"AIR context mismatch",IF(AND(B391="AIR",G391&lt;&gt;C391),"AIR context mismatch",IF(AND(B391="AIR",E391="AIR",C391=F391),"Self-dependency",IF(AND(B391="AIR",E391="AIR",M391&lt;&gt;"Superseded",COUNTIFS($B$4:$B$1003,"AIR",$C$4:$C$1003,F391,$E$4:$E$1003,"AIR",$F$4:$F$1003,C391,$M$4:$M$1003,"&lt;&gt;Superseded")&gt;0),"Dependency cycle (A↔B) — review",IF(AND(B391="AIR",OR(E391="MOD",E391="DATA",E391="IF",E391="AG",E391="TOOL"),IFERROR(INDEX(Components!$G$4:$G$253,MATCH(F391,Components!$A$4:$A$253,0)),"")&lt;&gt;"",IFERROR(INDEX(Components!$G$4:$G$253,MATCH(F391,Components!$A$4:$A$253,0)),"")&lt;&gt;C391),"Component owned by another AIR-ID",IF(AND(M391="Confirmed",OR(IF(B391="UC",COUNTIFS('Use cases'!$A$4:$A$253,C391,'Use cases'!$I$4:$I$253,"Confirmed",'Use cases'!$J$4:$J$253,"OK — verify source"),IF(B391="CAP",COUNTIFS(Capabilities!$A$4:$A$253,C391,Capabilities!$J$4:$J$253,"Confirmed",Capabilities!$K$4:$K$253,"OK — verify source"),IF(B391="AIR",COUNTIFS('System map'!$A$4:$A$203,C391,'System map'!$B$4:$B$203,"&lt;&gt;",'System map'!$C$4:$C$203,"&lt;&gt;",'System map'!$D$4:$D$203,"&lt;&gt;"),COUNTIFS(Components!$A$4:$A$253,C391,Components!$B$4:$B$253,B391,Components!$K$4:$K$253,"Confirmed",Components!$L$4:$L$253,"OK — verify source"))))&lt;&gt;1,IF(E391="UC",COUNTIFS('Use cases'!$A$4:$A$253,F391,'Use cases'!$I$4:$I$253,"Confirmed",'Use cases'!$J$4:$J$253,"OK — verify source"),IF(E391="CAP",COUNTIFS(Capabilities!$A$4:$A$253,F391,Capabilities!$J$4:$J$253,"Confirmed",Capabilities!$K$4:$K$253,"OK — verify source"),IF(E391="AIR",COUNTIFS('System map'!$A$4:$A$203,F391,'System map'!$B$4:$B$203,"&lt;&gt;",'System map'!$C$4:$C$203,"&lt;&gt;",'System map'!$D$4:$D$203,"&lt;&gt;"),COUNTIFS(Components!$A$4:$A$253,F391,Components!$B$4:$B$253,E391,Components!$K$4:$K$253,"Confirmed",Components!$L$4:$L$253,"OK — verify source"))))&lt;&gt;1)),"Endpoint not source-reconciled",IF(AND(M391="Confirmed",OR(L391="",K391="",K391="Unknown",K391="Low")),"Confirmed link lacks verification","OK — verify source"))))))))))))))</f>
        <v/>
      </c>
    </row>
    <row r="392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6" t="n"/>
      <c r="M392" s="25" t="n"/>
      <c r="N392" s="25">
        <f>IF(COUNTA(A392:M392)=0,"",IF(OR(A392="",B392="",C392="",D392="",E392="",F392="",I392="",J392="",K392="",M392=""),"Required link detail missing",IF(COUNTIF($A$4:$A$1003,A392)&gt;1,"Duplicate Map Edge ID",IF(NOT(OR(AND(B392="UC",E392="CAP",D392="requires"),AND(B392="CAP",E392="AIR",D392="provided by"),AND(B392="AIR",OR(E392="MOD",E392="DATA",E392="IF",E392="AG",E392="TOOL"),D392="references"),AND(B392="AIR",E392="AIR",D392="depends on"))),"Invalid relationship",IF(AND(M392&lt;&gt;"Superseded",COUNTIFS($B$4:$B$1003,B392,$C$4:$C$1003,C392,$D$4:$D$1003,D392,$E$4:$E$1003,E392,$F$4:$F$1003,F392,$G$4:$G$1003,G392,$M$4:$M$1003,"&lt;&gt;Superseded")&gt;1),"Duplicate relationship",IF(OR(IF(B392="UC",COUNTIF('Use cases'!$A$4:$A$253,C392),IF(B392="CAP",COUNTIF(Capabilities!$A$4:$A$253,C392),IF(B392="AIR",COUNTIF('System map'!$A$4:$A$203,C392),COUNTIFS(Components!$A$4:$A$253,C392,Components!$B$4:$B$253,B392))))&lt;&gt;1,IF(E392="UC",COUNTIF('Use cases'!$A$4:$A$253,F392),IF(E392="CAP",COUNTIF(Capabilities!$A$4:$A$253,F392),IF(E392="AIR",COUNTIF('System map'!$A$4:$A$203,F392),COUNTIFS(Components!$A$4:$A$253,F392,Components!$B$4:$B$253,E392))))&lt;&gt;1),"Endpoint missing or duplicated",IF(AND(NOT(AND(B392="UC",E392="CAP")),OR(G392="",COUNTIF('System map'!$A$4:$A$203,G392)&lt;&gt;1)),"AIR context missing / unknown",IF(AND(B392="CAP",E392="AIR",G392&lt;&gt;F392),"AIR context mismatch",IF(AND(B392="AIR",G392&lt;&gt;C392),"AIR context mismatch",IF(AND(B392="AIR",E392="AIR",C392=F392),"Self-dependency",IF(AND(B392="AIR",E392="AIR",M392&lt;&gt;"Superseded",COUNTIFS($B$4:$B$1003,"AIR",$C$4:$C$1003,F392,$E$4:$E$1003,"AIR",$F$4:$F$1003,C392,$M$4:$M$1003,"&lt;&gt;Superseded")&gt;0),"Dependency cycle (A↔B) — review",IF(AND(B392="AIR",OR(E392="MOD",E392="DATA",E392="IF",E392="AG",E392="TOOL"),IFERROR(INDEX(Components!$G$4:$G$253,MATCH(F392,Components!$A$4:$A$253,0)),"")&lt;&gt;"",IFERROR(INDEX(Components!$G$4:$G$253,MATCH(F392,Components!$A$4:$A$253,0)),"")&lt;&gt;C392),"Component owned by another AIR-ID",IF(AND(M392="Confirmed",OR(IF(B392="UC",COUNTIFS('Use cases'!$A$4:$A$253,C392,'Use cases'!$I$4:$I$253,"Confirmed",'Use cases'!$J$4:$J$253,"OK — verify source"),IF(B392="CAP",COUNTIFS(Capabilities!$A$4:$A$253,C392,Capabilities!$J$4:$J$253,"Confirmed",Capabilities!$K$4:$K$253,"OK — verify source"),IF(B392="AIR",COUNTIFS('System map'!$A$4:$A$203,C392,'System map'!$B$4:$B$203,"&lt;&gt;",'System map'!$C$4:$C$203,"&lt;&gt;",'System map'!$D$4:$D$203,"&lt;&gt;"),COUNTIFS(Components!$A$4:$A$253,C392,Components!$B$4:$B$253,B392,Components!$K$4:$K$253,"Confirmed",Components!$L$4:$L$253,"OK — verify source"))))&lt;&gt;1,IF(E392="UC",COUNTIFS('Use cases'!$A$4:$A$253,F392,'Use cases'!$I$4:$I$253,"Confirmed",'Use cases'!$J$4:$J$253,"OK — verify source"),IF(E392="CAP",COUNTIFS(Capabilities!$A$4:$A$253,F392,Capabilities!$J$4:$J$253,"Confirmed",Capabilities!$K$4:$K$253,"OK — verify source"),IF(E392="AIR",COUNTIFS('System map'!$A$4:$A$203,F392,'System map'!$B$4:$B$203,"&lt;&gt;",'System map'!$C$4:$C$203,"&lt;&gt;",'System map'!$D$4:$D$203,"&lt;&gt;"),COUNTIFS(Components!$A$4:$A$253,F392,Components!$B$4:$B$253,E392,Components!$K$4:$K$253,"Confirmed",Components!$L$4:$L$253,"OK — verify source"))))&lt;&gt;1)),"Endpoint not source-reconciled",IF(AND(M392="Confirmed",OR(L392="",K392="",K392="Unknown",K392="Low")),"Confirmed link lacks verification","OK — verify source"))))))))))))))</f>
        <v/>
      </c>
    </row>
    <row r="393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8" t="n"/>
      <c r="M393" s="27" t="n"/>
      <c r="N393" s="27">
        <f>IF(COUNTA(A393:M393)=0,"",IF(OR(A393="",B393="",C393="",D393="",E393="",F393="",I393="",J393="",K393="",M393=""),"Required link detail missing",IF(COUNTIF($A$4:$A$1003,A393)&gt;1,"Duplicate Map Edge ID",IF(NOT(OR(AND(B393="UC",E393="CAP",D393="requires"),AND(B393="CAP",E393="AIR",D393="provided by"),AND(B393="AIR",OR(E393="MOD",E393="DATA",E393="IF",E393="AG",E393="TOOL"),D393="references"),AND(B393="AIR",E393="AIR",D393="depends on"))),"Invalid relationship",IF(AND(M393&lt;&gt;"Superseded",COUNTIFS($B$4:$B$1003,B393,$C$4:$C$1003,C393,$D$4:$D$1003,D393,$E$4:$E$1003,E393,$F$4:$F$1003,F393,$G$4:$G$1003,G393,$M$4:$M$1003,"&lt;&gt;Superseded")&gt;1),"Duplicate relationship",IF(OR(IF(B393="UC",COUNTIF('Use cases'!$A$4:$A$253,C393),IF(B393="CAP",COUNTIF(Capabilities!$A$4:$A$253,C393),IF(B393="AIR",COUNTIF('System map'!$A$4:$A$203,C393),COUNTIFS(Components!$A$4:$A$253,C393,Components!$B$4:$B$253,B393))))&lt;&gt;1,IF(E393="UC",COUNTIF('Use cases'!$A$4:$A$253,F393),IF(E393="CAP",COUNTIF(Capabilities!$A$4:$A$253,F393),IF(E393="AIR",COUNTIF('System map'!$A$4:$A$203,F393),COUNTIFS(Components!$A$4:$A$253,F393,Components!$B$4:$B$253,E393))))&lt;&gt;1),"Endpoint missing or duplicated",IF(AND(NOT(AND(B393="UC",E393="CAP")),OR(G393="",COUNTIF('System map'!$A$4:$A$203,G393)&lt;&gt;1)),"AIR context missing / unknown",IF(AND(B393="CAP",E393="AIR",G393&lt;&gt;F393),"AIR context mismatch",IF(AND(B393="AIR",G393&lt;&gt;C393),"AIR context mismatch",IF(AND(B393="AIR",E393="AIR",C393=F393),"Self-dependency",IF(AND(B393="AIR",E393="AIR",M393&lt;&gt;"Superseded",COUNTIFS($B$4:$B$1003,"AIR",$C$4:$C$1003,F393,$E$4:$E$1003,"AIR",$F$4:$F$1003,C393,$M$4:$M$1003,"&lt;&gt;Superseded")&gt;0),"Dependency cycle (A↔B) — review",IF(AND(B393="AIR",OR(E393="MOD",E393="DATA",E393="IF",E393="AG",E393="TOOL"),IFERROR(INDEX(Components!$G$4:$G$253,MATCH(F393,Components!$A$4:$A$253,0)),"")&lt;&gt;"",IFERROR(INDEX(Components!$G$4:$G$253,MATCH(F393,Components!$A$4:$A$253,0)),"")&lt;&gt;C393),"Component owned by another AIR-ID",IF(AND(M393="Confirmed",OR(IF(B393="UC",COUNTIFS('Use cases'!$A$4:$A$253,C393,'Use cases'!$I$4:$I$253,"Confirmed",'Use cases'!$J$4:$J$253,"OK — verify source"),IF(B393="CAP",COUNTIFS(Capabilities!$A$4:$A$253,C393,Capabilities!$J$4:$J$253,"Confirmed",Capabilities!$K$4:$K$253,"OK — verify source"),IF(B393="AIR",COUNTIFS('System map'!$A$4:$A$203,C393,'System map'!$B$4:$B$203,"&lt;&gt;",'System map'!$C$4:$C$203,"&lt;&gt;",'System map'!$D$4:$D$203,"&lt;&gt;"),COUNTIFS(Components!$A$4:$A$253,C393,Components!$B$4:$B$253,B393,Components!$K$4:$K$253,"Confirmed",Components!$L$4:$L$253,"OK — verify source"))))&lt;&gt;1,IF(E393="UC",COUNTIFS('Use cases'!$A$4:$A$253,F393,'Use cases'!$I$4:$I$253,"Confirmed",'Use cases'!$J$4:$J$253,"OK — verify source"),IF(E393="CAP",COUNTIFS(Capabilities!$A$4:$A$253,F393,Capabilities!$J$4:$J$253,"Confirmed",Capabilities!$K$4:$K$253,"OK — verify source"),IF(E393="AIR",COUNTIFS('System map'!$A$4:$A$203,F393,'System map'!$B$4:$B$203,"&lt;&gt;",'System map'!$C$4:$C$203,"&lt;&gt;",'System map'!$D$4:$D$203,"&lt;&gt;"),COUNTIFS(Components!$A$4:$A$253,F393,Components!$B$4:$B$253,E393,Components!$K$4:$K$253,"Confirmed",Components!$L$4:$L$253,"OK — verify source"))))&lt;&gt;1)),"Endpoint not source-reconciled",IF(AND(M393="Confirmed",OR(L393="",K393="",K393="Unknown",K393="Low")),"Confirmed link lacks verification","OK — verify source"))))))))))))))</f>
        <v/>
      </c>
    </row>
    <row r="39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6" t="n"/>
      <c r="M394" s="25" t="n"/>
      <c r="N394" s="25">
        <f>IF(COUNTA(A394:M394)=0,"",IF(OR(A394="",B394="",C394="",D394="",E394="",F394="",I394="",J394="",K394="",M394=""),"Required link detail missing",IF(COUNTIF($A$4:$A$1003,A394)&gt;1,"Duplicate Map Edge ID",IF(NOT(OR(AND(B394="UC",E394="CAP",D394="requires"),AND(B394="CAP",E394="AIR",D394="provided by"),AND(B394="AIR",OR(E394="MOD",E394="DATA",E394="IF",E394="AG",E394="TOOL"),D394="references"),AND(B394="AIR",E394="AIR",D394="depends on"))),"Invalid relationship",IF(AND(M394&lt;&gt;"Superseded",COUNTIFS($B$4:$B$1003,B394,$C$4:$C$1003,C394,$D$4:$D$1003,D394,$E$4:$E$1003,E394,$F$4:$F$1003,F394,$G$4:$G$1003,G394,$M$4:$M$1003,"&lt;&gt;Superseded")&gt;1),"Duplicate relationship",IF(OR(IF(B394="UC",COUNTIF('Use cases'!$A$4:$A$253,C394),IF(B394="CAP",COUNTIF(Capabilities!$A$4:$A$253,C394),IF(B394="AIR",COUNTIF('System map'!$A$4:$A$203,C394),COUNTIFS(Components!$A$4:$A$253,C394,Components!$B$4:$B$253,B394))))&lt;&gt;1,IF(E394="UC",COUNTIF('Use cases'!$A$4:$A$253,F394),IF(E394="CAP",COUNTIF(Capabilities!$A$4:$A$253,F394),IF(E394="AIR",COUNTIF('System map'!$A$4:$A$203,F394),COUNTIFS(Components!$A$4:$A$253,F394,Components!$B$4:$B$253,E394))))&lt;&gt;1),"Endpoint missing or duplicated",IF(AND(NOT(AND(B394="UC",E394="CAP")),OR(G394="",COUNTIF('System map'!$A$4:$A$203,G394)&lt;&gt;1)),"AIR context missing / unknown",IF(AND(B394="CAP",E394="AIR",G394&lt;&gt;F394),"AIR context mismatch",IF(AND(B394="AIR",G394&lt;&gt;C394),"AIR context mismatch",IF(AND(B394="AIR",E394="AIR",C394=F394),"Self-dependency",IF(AND(B394="AIR",E394="AIR",M394&lt;&gt;"Superseded",COUNTIFS($B$4:$B$1003,"AIR",$C$4:$C$1003,F394,$E$4:$E$1003,"AIR",$F$4:$F$1003,C394,$M$4:$M$1003,"&lt;&gt;Superseded")&gt;0),"Dependency cycle (A↔B) — review",IF(AND(B394="AIR",OR(E394="MOD",E394="DATA",E394="IF",E394="AG",E394="TOOL"),IFERROR(INDEX(Components!$G$4:$G$253,MATCH(F394,Components!$A$4:$A$253,0)),"")&lt;&gt;"",IFERROR(INDEX(Components!$G$4:$G$253,MATCH(F394,Components!$A$4:$A$253,0)),"")&lt;&gt;C394),"Component owned by another AIR-ID",IF(AND(M394="Confirmed",OR(IF(B394="UC",COUNTIFS('Use cases'!$A$4:$A$253,C394,'Use cases'!$I$4:$I$253,"Confirmed",'Use cases'!$J$4:$J$253,"OK — verify source"),IF(B394="CAP",COUNTIFS(Capabilities!$A$4:$A$253,C394,Capabilities!$J$4:$J$253,"Confirmed",Capabilities!$K$4:$K$253,"OK — verify source"),IF(B394="AIR",COUNTIFS('System map'!$A$4:$A$203,C394,'System map'!$B$4:$B$203,"&lt;&gt;",'System map'!$C$4:$C$203,"&lt;&gt;",'System map'!$D$4:$D$203,"&lt;&gt;"),COUNTIFS(Components!$A$4:$A$253,C394,Components!$B$4:$B$253,B394,Components!$K$4:$K$253,"Confirmed",Components!$L$4:$L$253,"OK — verify source"))))&lt;&gt;1,IF(E394="UC",COUNTIFS('Use cases'!$A$4:$A$253,F394,'Use cases'!$I$4:$I$253,"Confirmed",'Use cases'!$J$4:$J$253,"OK — verify source"),IF(E394="CAP",COUNTIFS(Capabilities!$A$4:$A$253,F394,Capabilities!$J$4:$J$253,"Confirmed",Capabilities!$K$4:$K$253,"OK — verify source"),IF(E394="AIR",COUNTIFS('System map'!$A$4:$A$203,F394,'System map'!$B$4:$B$203,"&lt;&gt;",'System map'!$C$4:$C$203,"&lt;&gt;",'System map'!$D$4:$D$203,"&lt;&gt;"),COUNTIFS(Components!$A$4:$A$253,F394,Components!$B$4:$B$253,E394,Components!$K$4:$K$253,"Confirmed",Components!$L$4:$L$253,"OK — verify source"))))&lt;&gt;1)),"Endpoint not source-reconciled",IF(AND(M394="Confirmed",OR(L394="",K394="",K394="Unknown",K394="Low")),"Confirmed link lacks verification","OK — verify source"))))))))))))))</f>
        <v/>
      </c>
    </row>
    <row r="395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8" t="n"/>
      <c r="M395" s="27" t="n"/>
      <c r="N395" s="27">
        <f>IF(COUNTA(A395:M395)=0,"",IF(OR(A395="",B395="",C395="",D395="",E395="",F395="",I395="",J395="",K395="",M395=""),"Required link detail missing",IF(COUNTIF($A$4:$A$1003,A395)&gt;1,"Duplicate Map Edge ID",IF(NOT(OR(AND(B395="UC",E395="CAP",D395="requires"),AND(B395="CAP",E395="AIR",D395="provided by"),AND(B395="AIR",OR(E395="MOD",E395="DATA",E395="IF",E395="AG",E395="TOOL"),D395="references"),AND(B395="AIR",E395="AIR",D395="depends on"))),"Invalid relationship",IF(AND(M395&lt;&gt;"Superseded",COUNTIFS($B$4:$B$1003,B395,$C$4:$C$1003,C395,$D$4:$D$1003,D395,$E$4:$E$1003,E395,$F$4:$F$1003,F395,$G$4:$G$1003,G395,$M$4:$M$1003,"&lt;&gt;Superseded")&gt;1),"Duplicate relationship",IF(OR(IF(B395="UC",COUNTIF('Use cases'!$A$4:$A$253,C395),IF(B395="CAP",COUNTIF(Capabilities!$A$4:$A$253,C395),IF(B395="AIR",COUNTIF('System map'!$A$4:$A$203,C395),COUNTIFS(Components!$A$4:$A$253,C395,Components!$B$4:$B$253,B395))))&lt;&gt;1,IF(E395="UC",COUNTIF('Use cases'!$A$4:$A$253,F395),IF(E395="CAP",COUNTIF(Capabilities!$A$4:$A$253,F395),IF(E395="AIR",COUNTIF('System map'!$A$4:$A$203,F395),COUNTIFS(Components!$A$4:$A$253,F395,Components!$B$4:$B$253,E395))))&lt;&gt;1),"Endpoint missing or duplicated",IF(AND(NOT(AND(B395="UC",E395="CAP")),OR(G395="",COUNTIF('System map'!$A$4:$A$203,G395)&lt;&gt;1)),"AIR context missing / unknown",IF(AND(B395="CAP",E395="AIR",G395&lt;&gt;F395),"AIR context mismatch",IF(AND(B395="AIR",G395&lt;&gt;C395),"AIR context mismatch",IF(AND(B395="AIR",E395="AIR",C395=F395),"Self-dependency",IF(AND(B395="AIR",E395="AIR",M395&lt;&gt;"Superseded",COUNTIFS($B$4:$B$1003,"AIR",$C$4:$C$1003,F395,$E$4:$E$1003,"AIR",$F$4:$F$1003,C395,$M$4:$M$1003,"&lt;&gt;Superseded")&gt;0),"Dependency cycle (A↔B) — review",IF(AND(B395="AIR",OR(E395="MOD",E395="DATA",E395="IF",E395="AG",E395="TOOL"),IFERROR(INDEX(Components!$G$4:$G$253,MATCH(F395,Components!$A$4:$A$253,0)),"")&lt;&gt;"",IFERROR(INDEX(Components!$G$4:$G$253,MATCH(F395,Components!$A$4:$A$253,0)),"")&lt;&gt;C395),"Component owned by another AIR-ID",IF(AND(M395="Confirmed",OR(IF(B395="UC",COUNTIFS('Use cases'!$A$4:$A$253,C395,'Use cases'!$I$4:$I$253,"Confirmed",'Use cases'!$J$4:$J$253,"OK — verify source"),IF(B395="CAP",COUNTIFS(Capabilities!$A$4:$A$253,C395,Capabilities!$J$4:$J$253,"Confirmed",Capabilities!$K$4:$K$253,"OK — verify source"),IF(B395="AIR",COUNTIFS('System map'!$A$4:$A$203,C395,'System map'!$B$4:$B$203,"&lt;&gt;",'System map'!$C$4:$C$203,"&lt;&gt;",'System map'!$D$4:$D$203,"&lt;&gt;"),COUNTIFS(Components!$A$4:$A$253,C395,Components!$B$4:$B$253,B395,Components!$K$4:$K$253,"Confirmed",Components!$L$4:$L$253,"OK — verify source"))))&lt;&gt;1,IF(E395="UC",COUNTIFS('Use cases'!$A$4:$A$253,F395,'Use cases'!$I$4:$I$253,"Confirmed",'Use cases'!$J$4:$J$253,"OK — verify source"),IF(E395="CAP",COUNTIFS(Capabilities!$A$4:$A$253,F395,Capabilities!$J$4:$J$253,"Confirmed",Capabilities!$K$4:$K$253,"OK — verify source"),IF(E395="AIR",COUNTIFS('System map'!$A$4:$A$203,F395,'System map'!$B$4:$B$203,"&lt;&gt;",'System map'!$C$4:$C$203,"&lt;&gt;",'System map'!$D$4:$D$203,"&lt;&gt;"),COUNTIFS(Components!$A$4:$A$253,F395,Components!$B$4:$B$253,E395,Components!$K$4:$K$253,"Confirmed",Components!$L$4:$L$253,"OK — verify source"))))&lt;&gt;1)),"Endpoint not source-reconciled",IF(AND(M395="Confirmed",OR(L395="",K395="",K395="Unknown",K395="Low")),"Confirmed link lacks verification","OK — verify source"))))))))))))))</f>
        <v/>
      </c>
    </row>
    <row r="396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6" t="n"/>
      <c r="M396" s="25" t="n"/>
      <c r="N396" s="25">
        <f>IF(COUNTA(A396:M396)=0,"",IF(OR(A396="",B396="",C396="",D396="",E396="",F396="",I396="",J396="",K396="",M396=""),"Required link detail missing",IF(COUNTIF($A$4:$A$1003,A396)&gt;1,"Duplicate Map Edge ID",IF(NOT(OR(AND(B396="UC",E396="CAP",D396="requires"),AND(B396="CAP",E396="AIR",D396="provided by"),AND(B396="AIR",OR(E396="MOD",E396="DATA",E396="IF",E396="AG",E396="TOOL"),D396="references"),AND(B396="AIR",E396="AIR",D396="depends on"))),"Invalid relationship",IF(AND(M396&lt;&gt;"Superseded",COUNTIFS($B$4:$B$1003,B396,$C$4:$C$1003,C396,$D$4:$D$1003,D396,$E$4:$E$1003,E396,$F$4:$F$1003,F396,$G$4:$G$1003,G396,$M$4:$M$1003,"&lt;&gt;Superseded")&gt;1),"Duplicate relationship",IF(OR(IF(B396="UC",COUNTIF('Use cases'!$A$4:$A$253,C396),IF(B396="CAP",COUNTIF(Capabilities!$A$4:$A$253,C396),IF(B396="AIR",COUNTIF('System map'!$A$4:$A$203,C396),COUNTIFS(Components!$A$4:$A$253,C396,Components!$B$4:$B$253,B396))))&lt;&gt;1,IF(E396="UC",COUNTIF('Use cases'!$A$4:$A$253,F396),IF(E396="CAP",COUNTIF(Capabilities!$A$4:$A$253,F396),IF(E396="AIR",COUNTIF('System map'!$A$4:$A$203,F396),COUNTIFS(Components!$A$4:$A$253,F396,Components!$B$4:$B$253,E396))))&lt;&gt;1),"Endpoint missing or duplicated",IF(AND(NOT(AND(B396="UC",E396="CAP")),OR(G396="",COUNTIF('System map'!$A$4:$A$203,G396)&lt;&gt;1)),"AIR context missing / unknown",IF(AND(B396="CAP",E396="AIR",G396&lt;&gt;F396),"AIR context mismatch",IF(AND(B396="AIR",G396&lt;&gt;C396),"AIR context mismatch",IF(AND(B396="AIR",E396="AIR",C396=F396),"Self-dependency",IF(AND(B396="AIR",E396="AIR",M396&lt;&gt;"Superseded",COUNTIFS($B$4:$B$1003,"AIR",$C$4:$C$1003,F396,$E$4:$E$1003,"AIR",$F$4:$F$1003,C396,$M$4:$M$1003,"&lt;&gt;Superseded")&gt;0),"Dependency cycle (A↔B) — review",IF(AND(B396="AIR",OR(E396="MOD",E396="DATA",E396="IF",E396="AG",E396="TOOL"),IFERROR(INDEX(Components!$G$4:$G$253,MATCH(F396,Components!$A$4:$A$253,0)),"")&lt;&gt;"",IFERROR(INDEX(Components!$G$4:$G$253,MATCH(F396,Components!$A$4:$A$253,0)),"")&lt;&gt;C396),"Component owned by another AIR-ID",IF(AND(M396="Confirmed",OR(IF(B396="UC",COUNTIFS('Use cases'!$A$4:$A$253,C396,'Use cases'!$I$4:$I$253,"Confirmed",'Use cases'!$J$4:$J$253,"OK — verify source"),IF(B396="CAP",COUNTIFS(Capabilities!$A$4:$A$253,C396,Capabilities!$J$4:$J$253,"Confirmed",Capabilities!$K$4:$K$253,"OK — verify source"),IF(B396="AIR",COUNTIFS('System map'!$A$4:$A$203,C396,'System map'!$B$4:$B$203,"&lt;&gt;",'System map'!$C$4:$C$203,"&lt;&gt;",'System map'!$D$4:$D$203,"&lt;&gt;"),COUNTIFS(Components!$A$4:$A$253,C396,Components!$B$4:$B$253,B396,Components!$K$4:$K$253,"Confirmed",Components!$L$4:$L$253,"OK — verify source"))))&lt;&gt;1,IF(E396="UC",COUNTIFS('Use cases'!$A$4:$A$253,F396,'Use cases'!$I$4:$I$253,"Confirmed",'Use cases'!$J$4:$J$253,"OK — verify source"),IF(E396="CAP",COUNTIFS(Capabilities!$A$4:$A$253,F396,Capabilities!$J$4:$J$253,"Confirmed",Capabilities!$K$4:$K$253,"OK — verify source"),IF(E396="AIR",COUNTIFS('System map'!$A$4:$A$203,F396,'System map'!$B$4:$B$203,"&lt;&gt;",'System map'!$C$4:$C$203,"&lt;&gt;",'System map'!$D$4:$D$203,"&lt;&gt;"),COUNTIFS(Components!$A$4:$A$253,F396,Components!$B$4:$B$253,E396,Components!$K$4:$K$253,"Confirmed",Components!$L$4:$L$253,"OK — verify source"))))&lt;&gt;1)),"Endpoint not source-reconciled",IF(AND(M396="Confirmed",OR(L396="",K396="",K396="Unknown",K396="Low")),"Confirmed link lacks verification","OK — verify source"))))))))))))))</f>
        <v/>
      </c>
    </row>
    <row r="397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8" t="n"/>
      <c r="M397" s="27" t="n"/>
      <c r="N397" s="27">
        <f>IF(COUNTA(A397:M397)=0,"",IF(OR(A397="",B397="",C397="",D397="",E397="",F397="",I397="",J397="",K397="",M397=""),"Required link detail missing",IF(COUNTIF($A$4:$A$1003,A397)&gt;1,"Duplicate Map Edge ID",IF(NOT(OR(AND(B397="UC",E397="CAP",D397="requires"),AND(B397="CAP",E397="AIR",D397="provided by"),AND(B397="AIR",OR(E397="MOD",E397="DATA",E397="IF",E397="AG",E397="TOOL"),D397="references"),AND(B397="AIR",E397="AIR",D397="depends on"))),"Invalid relationship",IF(AND(M397&lt;&gt;"Superseded",COUNTIFS($B$4:$B$1003,B397,$C$4:$C$1003,C397,$D$4:$D$1003,D397,$E$4:$E$1003,E397,$F$4:$F$1003,F397,$G$4:$G$1003,G397,$M$4:$M$1003,"&lt;&gt;Superseded")&gt;1),"Duplicate relationship",IF(OR(IF(B397="UC",COUNTIF('Use cases'!$A$4:$A$253,C397),IF(B397="CAP",COUNTIF(Capabilities!$A$4:$A$253,C397),IF(B397="AIR",COUNTIF('System map'!$A$4:$A$203,C397),COUNTIFS(Components!$A$4:$A$253,C397,Components!$B$4:$B$253,B397))))&lt;&gt;1,IF(E397="UC",COUNTIF('Use cases'!$A$4:$A$253,F397),IF(E397="CAP",COUNTIF(Capabilities!$A$4:$A$253,F397),IF(E397="AIR",COUNTIF('System map'!$A$4:$A$203,F397),COUNTIFS(Components!$A$4:$A$253,F397,Components!$B$4:$B$253,E397))))&lt;&gt;1),"Endpoint missing or duplicated",IF(AND(NOT(AND(B397="UC",E397="CAP")),OR(G397="",COUNTIF('System map'!$A$4:$A$203,G397)&lt;&gt;1)),"AIR context missing / unknown",IF(AND(B397="CAP",E397="AIR",G397&lt;&gt;F397),"AIR context mismatch",IF(AND(B397="AIR",G397&lt;&gt;C397),"AIR context mismatch",IF(AND(B397="AIR",E397="AIR",C397=F397),"Self-dependency",IF(AND(B397="AIR",E397="AIR",M397&lt;&gt;"Superseded",COUNTIFS($B$4:$B$1003,"AIR",$C$4:$C$1003,F397,$E$4:$E$1003,"AIR",$F$4:$F$1003,C397,$M$4:$M$1003,"&lt;&gt;Superseded")&gt;0),"Dependency cycle (A↔B) — review",IF(AND(B397="AIR",OR(E397="MOD",E397="DATA",E397="IF",E397="AG",E397="TOOL"),IFERROR(INDEX(Components!$G$4:$G$253,MATCH(F397,Components!$A$4:$A$253,0)),"")&lt;&gt;"",IFERROR(INDEX(Components!$G$4:$G$253,MATCH(F397,Components!$A$4:$A$253,0)),"")&lt;&gt;C397),"Component owned by another AIR-ID",IF(AND(M397="Confirmed",OR(IF(B397="UC",COUNTIFS('Use cases'!$A$4:$A$253,C397,'Use cases'!$I$4:$I$253,"Confirmed",'Use cases'!$J$4:$J$253,"OK — verify source"),IF(B397="CAP",COUNTIFS(Capabilities!$A$4:$A$253,C397,Capabilities!$J$4:$J$253,"Confirmed",Capabilities!$K$4:$K$253,"OK — verify source"),IF(B397="AIR",COUNTIFS('System map'!$A$4:$A$203,C397,'System map'!$B$4:$B$203,"&lt;&gt;",'System map'!$C$4:$C$203,"&lt;&gt;",'System map'!$D$4:$D$203,"&lt;&gt;"),COUNTIFS(Components!$A$4:$A$253,C397,Components!$B$4:$B$253,B397,Components!$K$4:$K$253,"Confirmed",Components!$L$4:$L$253,"OK — verify source"))))&lt;&gt;1,IF(E397="UC",COUNTIFS('Use cases'!$A$4:$A$253,F397,'Use cases'!$I$4:$I$253,"Confirmed",'Use cases'!$J$4:$J$253,"OK — verify source"),IF(E397="CAP",COUNTIFS(Capabilities!$A$4:$A$253,F397,Capabilities!$J$4:$J$253,"Confirmed",Capabilities!$K$4:$K$253,"OK — verify source"),IF(E397="AIR",COUNTIFS('System map'!$A$4:$A$203,F397,'System map'!$B$4:$B$203,"&lt;&gt;",'System map'!$C$4:$C$203,"&lt;&gt;",'System map'!$D$4:$D$203,"&lt;&gt;"),COUNTIFS(Components!$A$4:$A$253,F397,Components!$B$4:$B$253,E397,Components!$K$4:$K$253,"Confirmed",Components!$L$4:$L$253,"OK — verify source"))))&lt;&gt;1)),"Endpoint not source-reconciled",IF(AND(M397="Confirmed",OR(L397="",K397="",K397="Unknown",K397="Low")),"Confirmed link lacks verification","OK — verify source"))))))))))))))</f>
        <v/>
      </c>
    </row>
    <row r="398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6" t="n"/>
      <c r="M398" s="25" t="n"/>
      <c r="N398" s="25">
        <f>IF(COUNTA(A398:M398)=0,"",IF(OR(A398="",B398="",C398="",D398="",E398="",F398="",I398="",J398="",K398="",M398=""),"Required link detail missing",IF(COUNTIF($A$4:$A$1003,A398)&gt;1,"Duplicate Map Edge ID",IF(NOT(OR(AND(B398="UC",E398="CAP",D398="requires"),AND(B398="CAP",E398="AIR",D398="provided by"),AND(B398="AIR",OR(E398="MOD",E398="DATA",E398="IF",E398="AG",E398="TOOL"),D398="references"),AND(B398="AIR",E398="AIR",D398="depends on"))),"Invalid relationship",IF(AND(M398&lt;&gt;"Superseded",COUNTIFS($B$4:$B$1003,B398,$C$4:$C$1003,C398,$D$4:$D$1003,D398,$E$4:$E$1003,E398,$F$4:$F$1003,F398,$G$4:$G$1003,G398,$M$4:$M$1003,"&lt;&gt;Superseded")&gt;1),"Duplicate relationship",IF(OR(IF(B398="UC",COUNTIF('Use cases'!$A$4:$A$253,C398),IF(B398="CAP",COUNTIF(Capabilities!$A$4:$A$253,C398),IF(B398="AIR",COUNTIF('System map'!$A$4:$A$203,C398),COUNTIFS(Components!$A$4:$A$253,C398,Components!$B$4:$B$253,B398))))&lt;&gt;1,IF(E398="UC",COUNTIF('Use cases'!$A$4:$A$253,F398),IF(E398="CAP",COUNTIF(Capabilities!$A$4:$A$253,F398),IF(E398="AIR",COUNTIF('System map'!$A$4:$A$203,F398),COUNTIFS(Components!$A$4:$A$253,F398,Components!$B$4:$B$253,E398))))&lt;&gt;1),"Endpoint missing or duplicated",IF(AND(NOT(AND(B398="UC",E398="CAP")),OR(G398="",COUNTIF('System map'!$A$4:$A$203,G398)&lt;&gt;1)),"AIR context missing / unknown",IF(AND(B398="CAP",E398="AIR",G398&lt;&gt;F398),"AIR context mismatch",IF(AND(B398="AIR",G398&lt;&gt;C398),"AIR context mismatch",IF(AND(B398="AIR",E398="AIR",C398=F398),"Self-dependency",IF(AND(B398="AIR",E398="AIR",M398&lt;&gt;"Superseded",COUNTIFS($B$4:$B$1003,"AIR",$C$4:$C$1003,F398,$E$4:$E$1003,"AIR",$F$4:$F$1003,C398,$M$4:$M$1003,"&lt;&gt;Superseded")&gt;0),"Dependency cycle (A↔B) — review",IF(AND(B398="AIR",OR(E398="MOD",E398="DATA",E398="IF",E398="AG",E398="TOOL"),IFERROR(INDEX(Components!$G$4:$G$253,MATCH(F398,Components!$A$4:$A$253,0)),"")&lt;&gt;"",IFERROR(INDEX(Components!$G$4:$G$253,MATCH(F398,Components!$A$4:$A$253,0)),"")&lt;&gt;C398),"Component owned by another AIR-ID",IF(AND(M398="Confirmed",OR(IF(B398="UC",COUNTIFS('Use cases'!$A$4:$A$253,C398,'Use cases'!$I$4:$I$253,"Confirmed",'Use cases'!$J$4:$J$253,"OK — verify source"),IF(B398="CAP",COUNTIFS(Capabilities!$A$4:$A$253,C398,Capabilities!$J$4:$J$253,"Confirmed",Capabilities!$K$4:$K$253,"OK — verify source"),IF(B398="AIR",COUNTIFS('System map'!$A$4:$A$203,C398,'System map'!$B$4:$B$203,"&lt;&gt;",'System map'!$C$4:$C$203,"&lt;&gt;",'System map'!$D$4:$D$203,"&lt;&gt;"),COUNTIFS(Components!$A$4:$A$253,C398,Components!$B$4:$B$253,B398,Components!$K$4:$K$253,"Confirmed",Components!$L$4:$L$253,"OK — verify source"))))&lt;&gt;1,IF(E398="UC",COUNTIFS('Use cases'!$A$4:$A$253,F398,'Use cases'!$I$4:$I$253,"Confirmed",'Use cases'!$J$4:$J$253,"OK — verify source"),IF(E398="CAP",COUNTIFS(Capabilities!$A$4:$A$253,F398,Capabilities!$J$4:$J$253,"Confirmed",Capabilities!$K$4:$K$253,"OK — verify source"),IF(E398="AIR",COUNTIFS('System map'!$A$4:$A$203,F398,'System map'!$B$4:$B$203,"&lt;&gt;",'System map'!$C$4:$C$203,"&lt;&gt;",'System map'!$D$4:$D$203,"&lt;&gt;"),COUNTIFS(Components!$A$4:$A$253,F398,Components!$B$4:$B$253,E398,Components!$K$4:$K$253,"Confirmed",Components!$L$4:$L$253,"OK — verify source"))))&lt;&gt;1)),"Endpoint not source-reconciled",IF(AND(M398="Confirmed",OR(L398="",K398="",K398="Unknown",K398="Low")),"Confirmed link lacks verification","OK — verify source"))))))))))))))</f>
        <v/>
      </c>
    </row>
    <row r="399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8" t="n"/>
      <c r="M399" s="27" t="n"/>
      <c r="N399" s="27">
        <f>IF(COUNTA(A399:M399)=0,"",IF(OR(A399="",B399="",C399="",D399="",E399="",F399="",I399="",J399="",K399="",M399=""),"Required link detail missing",IF(COUNTIF($A$4:$A$1003,A399)&gt;1,"Duplicate Map Edge ID",IF(NOT(OR(AND(B399="UC",E399="CAP",D399="requires"),AND(B399="CAP",E399="AIR",D399="provided by"),AND(B399="AIR",OR(E399="MOD",E399="DATA",E399="IF",E399="AG",E399="TOOL"),D399="references"),AND(B399="AIR",E399="AIR",D399="depends on"))),"Invalid relationship",IF(AND(M399&lt;&gt;"Superseded",COUNTIFS($B$4:$B$1003,B399,$C$4:$C$1003,C399,$D$4:$D$1003,D399,$E$4:$E$1003,E399,$F$4:$F$1003,F399,$G$4:$G$1003,G399,$M$4:$M$1003,"&lt;&gt;Superseded")&gt;1),"Duplicate relationship",IF(OR(IF(B399="UC",COUNTIF('Use cases'!$A$4:$A$253,C399),IF(B399="CAP",COUNTIF(Capabilities!$A$4:$A$253,C399),IF(B399="AIR",COUNTIF('System map'!$A$4:$A$203,C399),COUNTIFS(Components!$A$4:$A$253,C399,Components!$B$4:$B$253,B399))))&lt;&gt;1,IF(E399="UC",COUNTIF('Use cases'!$A$4:$A$253,F399),IF(E399="CAP",COUNTIF(Capabilities!$A$4:$A$253,F399),IF(E399="AIR",COUNTIF('System map'!$A$4:$A$203,F399),COUNTIFS(Components!$A$4:$A$253,F399,Components!$B$4:$B$253,E399))))&lt;&gt;1),"Endpoint missing or duplicated",IF(AND(NOT(AND(B399="UC",E399="CAP")),OR(G399="",COUNTIF('System map'!$A$4:$A$203,G399)&lt;&gt;1)),"AIR context missing / unknown",IF(AND(B399="CAP",E399="AIR",G399&lt;&gt;F399),"AIR context mismatch",IF(AND(B399="AIR",G399&lt;&gt;C399),"AIR context mismatch",IF(AND(B399="AIR",E399="AIR",C399=F399),"Self-dependency",IF(AND(B399="AIR",E399="AIR",M399&lt;&gt;"Superseded",COUNTIFS($B$4:$B$1003,"AIR",$C$4:$C$1003,F399,$E$4:$E$1003,"AIR",$F$4:$F$1003,C399,$M$4:$M$1003,"&lt;&gt;Superseded")&gt;0),"Dependency cycle (A↔B) — review",IF(AND(B399="AIR",OR(E399="MOD",E399="DATA",E399="IF",E399="AG",E399="TOOL"),IFERROR(INDEX(Components!$G$4:$G$253,MATCH(F399,Components!$A$4:$A$253,0)),"")&lt;&gt;"",IFERROR(INDEX(Components!$G$4:$G$253,MATCH(F399,Components!$A$4:$A$253,0)),"")&lt;&gt;C399),"Component owned by another AIR-ID",IF(AND(M399="Confirmed",OR(IF(B399="UC",COUNTIFS('Use cases'!$A$4:$A$253,C399,'Use cases'!$I$4:$I$253,"Confirmed",'Use cases'!$J$4:$J$253,"OK — verify source"),IF(B399="CAP",COUNTIFS(Capabilities!$A$4:$A$253,C399,Capabilities!$J$4:$J$253,"Confirmed",Capabilities!$K$4:$K$253,"OK — verify source"),IF(B399="AIR",COUNTIFS('System map'!$A$4:$A$203,C399,'System map'!$B$4:$B$203,"&lt;&gt;",'System map'!$C$4:$C$203,"&lt;&gt;",'System map'!$D$4:$D$203,"&lt;&gt;"),COUNTIFS(Components!$A$4:$A$253,C399,Components!$B$4:$B$253,B399,Components!$K$4:$K$253,"Confirmed",Components!$L$4:$L$253,"OK — verify source"))))&lt;&gt;1,IF(E399="UC",COUNTIFS('Use cases'!$A$4:$A$253,F399,'Use cases'!$I$4:$I$253,"Confirmed",'Use cases'!$J$4:$J$253,"OK — verify source"),IF(E399="CAP",COUNTIFS(Capabilities!$A$4:$A$253,F399,Capabilities!$J$4:$J$253,"Confirmed",Capabilities!$K$4:$K$253,"OK — verify source"),IF(E399="AIR",COUNTIFS('System map'!$A$4:$A$203,F399,'System map'!$B$4:$B$203,"&lt;&gt;",'System map'!$C$4:$C$203,"&lt;&gt;",'System map'!$D$4:$D$203,"&lt;&gt;"),COUNTIFS(Components!$A$4:$A$253,F399,Components!$B$4:$B$253,E399,Components!$K$4:$K$253,"Confirmed",Components!$L$4:$L$253,"OK — verify source"))))&lt;&gt;1)),"Endpoint not source-reconciled",IF(AND(M399="Confirmed",OR(L399="",K399="",K399="Unknown",K399="Low")),"Confirmed link lacks verification","OK — verify source"))))))))))))))</f>
        <v/>
      </c>
    </row>
    <row r="400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6" t="n"/>
      <c r="M400" s="25" t="n"/>
      <c r="N400" s="25">
        <f>IF(COUNTA(A400:M400)=0,"",IF(OR(A400="",B400="",C400="",D400="",E400="",F400="",I400="",J400="",K400="",M400=""),"Required link detail missing",IF(COUNTIF($A$4:$A$1003,A400)&gt;1,"Duplicate Map Edge ID",IF(NOT(OR(AND(B400="UC",E400="CAP",D400="requires"),AND(B400="CAP",E400="AIR",D400="provided by"),AND(B400="AIR",OR(E400="MOD",E400="DATA",E400="IF",E400="AG",E400="TOOL"),D400="references"),AND(B400="AIR",E400="AIR",D400="depends on"))),"Invalid relationship",IF(AND(M400&lt;&gt;"Superseded",COUNTIFS($B$4:$B$1003,B400,$C$4:$C$1003,C400,$D$4:$D$1003,D400,$E$4:$E$1003,E400,$F$4:$F$1003,F400,$G$4:$G$1003,G400,$M$4:$M$1003,"&lt;&gt;Superseded")&gt;1),"Duplicate relationship",IF(OR(IF(B400="UC",COUNTIF('Use cases'!$A$4:$A$253,C400),IF(B400="CAP",COUNTIF(Capabilities!$A$4:$A$253,C400),IF(B400="AIR",COUNTIF('System map'!$A$4:$A$203,C400),COUNTIFS(Components!$A$4:$A$253,C400,Components!$B$4:$B$253,B400))))&lt;&gt;1,IF(E400="UC",COUNTIF('Use cases'!$A$4:$A$253,F400),IF(E400="CAP",COUNTIF(Capabilities!$A$4:$A$253,F400),IF(E400="AIR",COUNTIF('System map'!$A$4:$A$203,F400),COUNTIFS(Components!$A$4:$A$253,F400,Components!$B$4:$B$253,E400))))&lt;&gt;1),"Endpoint missing or duplicated",IF(AND(NOT(AND(B400="UC",E400="CAP")),OR(G400="",COUNTIF('System map'!$A$4:$A$203,G400)&lt;&gt;1)),"AIR context missing / unknown",IF(AND(B400="CAP",E400="AIR",G400&lt;&gt;F400),"AIR context mismatch",IF(AND(B400="AIR",G400&lt;&gt;C400),"AIR context mismatch",IF(AND(B400="AIR",E400="AIR",C400=F400),"Self-dependency",IF(AND(B400="AIR",E400="AIR",M400&lt;&gt;"Superseded",COUNTIFS($B$4:$B$1003,"AIR",$C$4:$C$1003,F400,$E$4:$E$1003,"AIR",$F$4:$F$1003,C400,$M$4:$M$1003,"&lt;&gt;Superseded")&gt;0),"Dependency cycle (A↔B) — review",IF(AND(B400="AIR",OR(E400="MOD",E400="DATA",E400="IF",E400="AG",E400="TOOL"),IFERROR(INDEX(Components!$G$4:$G$253,MATCH(F400,Components!$A$4:$A$253,0)),"")&lt;&gt;"",IFERROR(INDEX(Components!$G$4:$G$253,MATCH(F400,Components!$A$4:$A$253,0)),"")&lt;&gt;C400),"Component owned by another AIR-ID",IF(AND(M400="Confirmed",OR(IF(B400="UC",COUNTIFS('Use cases'!$A$4:$A$253,C400,'Use cases'!$I$4:$I$253,"Confirmed",'Use cases'!$J$4:$J$253,"OK — verify source"),IF(B400="CAP",COUNTIFS(Capabilities!$A$4:$A$253,C400,Capabilities!$J$4:$J$253,"Confirmed",Capabilities!$K$4:$K$253,"OK — verify source"),IF(B400="AIR",COUNTIFS('System map'!$A$4:$A$203,C400,'System map'!$B$4:$B$203,"&lt;&gt;",'System map'!$C$4:$C$203,"&lt;&gt;",'System map'!$D$4:$D$203,"&lt;&gt;"),COUNTIFS(Components!$A$4:$A$253,C400,Components!$B$4:$B$253,B400,Components!$K$4:$K$253,"Confirmed",Components!$L$4:$L$253,"OK — verify source"))))&lt;&gt;1,IF(E400="UC",COUNTIFS('Use cases'!$A$4:$A$253,F400,'Use cases'!$I$4:$I$253,"Confirmed",'Use cases'!$J$4:$J$253,"OK — verify source"),IF(E400="CAP",COUNTIFS(Capabilities!$A$4:$A$253,F400,Capabilities!$J$4:$J$253,"Confirmed",Capabilities!$K$4:$K$253,"OK — verify source"),IF(E400="AIR",COUNTIFS('System map'!$A$4:$A$203,F400,'System map'!$B$4:$B$203,"&lt;&gt;",'System map'!$C$4:$C$203,"&lt;&gt;",'System map'!$D$4:$D$203,"&lt;&gt;"),COUNTIFS(Components!$A$4:$A$253,F400,Components!$B$4:$B$253,E400,Components!$K$4:$K$253,"Confirmed",Components!$L$4:$L$253,"OK — verify source"))))&lt;&gt;1)),"Endpoint not source-reconciled",IF(AND(M400="Confirmed",OR(L400="",K400="",K400="Unknown",K400="Low")),"Confirmed link lacks verification","OK — verify source"))))))))))))))</f>
        <v/>
      </c>
    </row>
    <row r="401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8" t="n"/>
      <c r="M401" s="27" t="n"/>
      <c r="N401" s="27">
        <f>IF(COUNTA(A401:M401)=0,"",IF(OR(A401="",B401="",C401="",D401="",E401="",F401="",I401="",J401="",K401="",M401=""),"Required link detail missing",IF(COUNTIF($A$4:$A$1003,A401)&gt;1,"Duplicate Map Edge ID",IF(NOT(OR(AND(B401="UC",E401="CAP",D401="requires"),AND(B401="CAP",E401="AIR",D401="provided by"),AND(B401="AIR",OR(E401="MOD",E401="DATA",E401="IF",E401="AG",E401="TOOL"),D401="references"),AND(B401="AIR",E401="AIR",D401="depends on"))),"Invalid relationship",IF(AND(M401&lt;&gt;"Superseded",COUNTIFS($B$4:$B$1003,B401,$C$4:$C$1003,C401,$D$4:$D$1003,D401,$E$4:$E$1003,E401,$F$4:$F$1003,F401,$G$4:$G$1003,G401,$M$4:$M$1003,"&lt;&gt;Superseded")&gt;1),"Duplicate relationship",IF(OR(IF(B401="UC",COUNTIF('Use cases'!$A$4:$A$253,C401),IF(B401="CAP",COUNTIF(Capabilities!$A$4:$A$253,C401),IF(B401="AIR",COUNTIF('System map'!$A$4:$A$203,C401),COUNTIFS(Components!$A$4:$A$253,C401,Components!$B$4:$B$253,B401))))&lt;&gt;1,IF(E401="UC",COUNTIF('Use cases'!$A$4:$A$253,F401),IF(E401="CAP",COUNTIF(Capabilities!$A$4:$A$253,F401),IF(E401="AIR",COUNTIF('System map'!$A$4:$A$203,F401),COUNTIFS(Components!$A$4:$A$253,F401,Components!$B$4:$B$253,E401))))&lt;&gt;1),"Endpoint missing or duplicated",IF(AND(NOT(AND(B401="UC",E401="CAP")),OR(G401="",COUNTIF('System map'!$A$4:$A$203,G401)&lt;&gt;1)),"AIR context missing / unknown",IF(AND(B401="CAP",E401="AIR",G401&lt;&gt;F401),"AIR context mismatch",IF(AND(B401="AIR",G401&lt;&gt;C401),"AIR context mismatch",IF(AND(B401="AIR",E401="AIR",C401=F401),"Self-dependency",IF(AND(B401="AIR",E401="AIR",M401&lt;&gt;"Superseded",COUNTIFS($B$4:$B$1003,"AIR",$C$4:$C$1003,F401,$E$4:$E$1003,"AIR",$F$4:$F$1003,C401,$M$4:$M$1003,"&lt;&gt;Superseded")&gt;0),"Dependency cycle (A↔B) — review",IF(AND(B401="AIR",OR(E401="MOD",E401="DATA",E401="IF",E401="AG",E401="TOOL"),IFERROR(INDEX(Components!$G$4:$G$253,MATCH(F401,Components!$A$4:$A$253,0)),"")&lt;&gt;"",IFERROR(INDEX(Components!$G$4:$G$253,MATCH(F401,Components!$A$4:$A$253,0)),"")&lt;&gt;C401),"Component owned by another AIR-ID",IF(AND(M401="Confirmed",OR(IF(B401="UC",COUNTIFS('Use cases'!$A$4:$A$253,C401,'Use cases'!$I$4:$I$253,"Confirmed",'Use cases'!$J$4:$J$253,"OK — verify source"),IF(B401="CAP",COUNTIFS(Capabilities!$A$4:$A$253,C401,Capabilities!$J$4:$J$253,"Confirmed",Capabilities!$K$4:$K$253,"OK — verify source"),IF(B401="AIR",COUNTIFS('System map'!$A$4:$A$203,C401,'System map'!$B$4:$B$203,"&lt;&gt;",'System map'!$C$4:$C$203,"&lt;&gt;",'System map'!$D$4:$D$203,"&lt;&gt;"),COUNTIFS(Components!$A$4:$A$253,C401,Components!$B$4:$B$253,B401,Components!$K$4:$K$253,"Confirmed",Components!$L$4:$L$253,"OK — verify source"))))&lt;&gt;1,IF(E401="UC",COUNTIFS('Use cases'!$A$4:$A$253,F401,'Use cases'!$I$4:$I$253,"Confirmed",'Use cases'!$J$4:$J$253,"OK — verify source"),IF(E401="CAP",COUNTIFS(Capabilities!$A$4:$A$253,F401,Capabilities!$J$4:$J$253,"Confirmed",Capabilities!$K$4:$K$253,"OK — verify source"),IF(E401="AIR",COUNTIFS('System map'!$A$4:$A$203,F401,'System map'!$B$4:$B$203,"&lt;&gt;",'System map'!$C$4:$C$203,"&lt;&gt;",'System map'!$D$4:$D$203,"&lt;&gt;"),COUNTIFS(Components!$A$4:$A$253,F401,Components!$B$4:$B$253,E401,Components!$K$4:$K$253,"Confirmed",Components!$L$4:$L$253,"OK — verify source"))))&lt;&gt;1)),"Endpoint not source-reconciled",IF(AND(M401="Confirmed",OR(L401="",K401="",K401="Unknown",K401="Low")),"Confirmed link lacks verification","OK — verify source"))))))))))))))</f>
        <v/>
      </c>
    </row>
    <row r="402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6" t="n"/>
      <c r="M402" s="25" t="n"/>
      <c r="N402" s="25">
        <f>IF(COUNTA(A402:M402)=0,"",IF(OR(A402="",B402="",C402="",D402="",E402="",F402="",I402="",J402="",K402="",M402=""),"Required link detail missing",IF(COUNTIF($A$4:$A$1003,A402)&gt;1,"Duplicate Map Edge ID",IF(NOT(OR(AND(B402="UC",E402="CAP",D402="requires"),AND(B402="CAP",E402="AIR",D402="provided by"),AND(B402="AIR",OR(E402="MOD",E402="DATA",E402="IF",E402="AG",E402="TOOL"),D402="references"),AND(B402="AIR",E402="AIR",D402="depends on"))),"Invalid relationship",IF(AND(M402&lt;&gt;"Superseded",COUNTIFS($B$4:$B$1003,B402,$C$4:$C$1003,C402,$D$4:$D$1003,D402,$E$4:$E$1003,E402,$F$4:$F$1003,F402,$G$4:$G$1003,G402,$M$4:$M$1003,"&lt;&gt;Superseded")&gt;1),"Duplicate relationship",IF(OR(IF(B402="UC",COUNTIF('Use cases'!$A$4:$A$253,C402),IF(B402="CAP",COUNTIF(Capabilities!$A$4:$A$253,C402),IF(B402="AIR",COUNTIF('System map'!$A$4:$A$203,C402),COUNTIFS(Components!$A$4:$A$253,C402,Components!$B$4:$B$253,B402))))&lt;&gt;1,IF(E402="UC",COUNTIF('Use cases'!$A$4:$A$253,F402),IF(E402="CAP",COUNTIF(Capabilities!$A$4:$A$253,F402),IF(E402="AIR",COUNTIF('System map'!$A$4:$A$203,F402),COUNTIFS(Components!$A$4:$A$253,F402,Components!$B$4:$B$253,E402))))&lt;&gt;1),"Endpoint missing or duplicated",IF(AND(NOT(AND(B402="UC",E402="CAP")),OR(G402="",COUNTIF('System map'!$A$4:$A$203,G402)&lt;&gt;1)),"AIR context missing / unknown",IF(AND(B402="CAP",E402="AIR",G402&lt;&gt;F402),"AIR context mismatch",IF(AND(B402="AIR",G402&lt;&gt;C402),"AIR context mismatch",IF(AND(B402="AIR",E402="AIR",C402=F402),"Self-dependency",IF(AND(B402="AIR",E402="AIR",M402&lt;&gt;"Superseded",COUNTIFS($B$4:$B$1003,"AIR",$C$4:$C$1003,F402,$E$4:$E$1003,"AIR",$F$4:$F$1003,C402,$M$4:$M$1003,"&lt;&gt;Superseded")&gt;0),"Dependency cycle (A↔B) — review",IF(AND(B402="AIR",OR(E402="MOD",E402="DATA",E402="IF",E402="AG",E402="TOOL"),IFERROR(INDEX(Components!$G$4:$G$253,MATCH(F402,Components!$A$4:$A$253,0)),"")&lt;&gt;"",IFERROR(INDEX(Components!$G$4:$G$253,MATCH(F402,Components!$A$4:$A$253,0)),"")&lt;&gt;C402),"Component owned by another AIR-ID",IF(AND(M402="Confirmed",OR(IF(B402="UC",COUNTIFS('Use cases'!$A$4:$A$253,C402,'Use cases'!$I$4:$I$253,"Confirmed",'Use cases'!$J$4:$J$253,"OK — verify source"),IF(B402="CAP",COUNTIFS(Capabilities!$A$4:$A$253,C402,Capabilities!$J$4:$J$253,"Confirmed",Capabilities!$K$4:$K$253,"OK — verify source"),IF(B402="AIR",COUNTIFS('System map'!$A$4:$A$203,C402,'System map'!$B$4:$B$203,"&lt;&gt;",'System map'!$C$4:$C$203,"&lt;&gt;",'System map'!$D$4:$D$203,"&lt;&gt;"),COUNTIFS(Components!$A$4:$A$253,C402,Components!$B$4:$B$253,B402,Components!$K$4:$K$253,"Confirmed",Components!$L$4:$L$253,"OK — verify source"))))&lt;&gt;1,IF(E402="UC",COUNTIFS('Use cases'!$A$4:$A$253,F402,'Use cases'!$I$4:$I$253,"Confirmed",'Use cases'!$J$4:$J$253,"OK — verify source"),IF(E402="CAP",COUNTIFS(Capabilities!$A$4:$A$253,F402,Capabilities!$J$4:$J$253,"Confirmed",Capabilities!$K$4:$K$253,"OK — verify source"),IF(E402="AIR",COUNTIFS('System map'!$A$4:$A$203,F402,'System map'!$B$4:$B$203,"&lt;&gt;",'System map'!$C$4:$C$203,"&lt;&gt;",'System map'!$D$4:$D$203,"&lt;&gt;"),COUNTIFS(Components!$A$4:$A$253,F402,Components!$B$4:$B$253,E402,Components!$K$4:$K$253,"Confirmed",Components!$L$4:$L$253,"OK — verify source"))))&lt;&gt;1)),"Endpoint not source-reconciled",IF(AND(M402="Confirmed",OR(L402="",K402="",K402="Unknown",K402="Low")),"Confirmed link lacks verification","OK — verify source"))))))))))))))</f>
        <v/>
      </c>
    </row>
    <row r="403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8" t="n"/>
      <c r="M403" s="27" t="n"/>
      <c r="N403" s="27">
        <f>IF(COUNTA(A403:M403)=0,"",IF(OR(A403="",B403="",C403="",D403="",E403="",F403="",I403="",J403="",K403="",M403=""),"Required link detail missing",IF(COUNTIF($A$4:$A$1003,A403)&gt;1,"Duplicate Map Edge ID",IF(NOT(OR(AND(B403="UC",E403="CAP",D403="requires"),AND(B403="CAP",E403="AIR",D403="provided by"),AND(B403="AIR",OR(E403="MOD",E403="DATA",E403="IF",E403="AG",E403="TOOL"),D403="references"),AND(B403="AIR",E403="AIR",D403="depends on"))),"Invalid relationship",IF(AND(M403&lt;&gt;"Superseded",COUNTIFS($B$4:$B$1003,B403,$C$4:$C$1003,C403,$D$4:$D$1003,D403,$E$4:$E$1003,E403,$F$4:$F$1003,F403,$G$4:$G$1003,G403,$M$4:$M$1003,"&lt;&gt;Superseded")&gt;1),"Duplicate relationship",IF(OR(IF(B403="UC",COUNTIF('Use cases'!$A$4:$A$253,C403),IF(B403="CAP",COUNTIF(Capabilities!$A$4:$A$253,C403),IF(B403="AIR",COUNTIF('System map'!$A$4:$A$203,C403),COUNTIFS(Components!$A$4:$A$253,C403,Components!$B$4:$B$253,B403))))&lt;&gt;1,IF(E403="UC",COUNTIF('Use cases'!$A$4:$A$253,F403),IF(E403="CAP",COUNTIF(Capabilities!$A$4:$A$253,F403),IF(E403="AIR",COUNTIF('System map'!$A$4:$A$203,F403),COUNTIFS(Components!$A$4:$A$253,F403,Components!$B$4:$B$253,E403))))&lt;&gt;1),"Endpoint missing or duplicated",IF(AND(NOT(AND(B403="UC",E403="CAP")),OR(G403="",COUNTIF('System map'!$A$4:$A$203,G403)&lt;&gt;1)),"AIR context missing / unknown",IF(AND(B403="CAP",E403="AIR",G403&lt;&gt;F403),"AIR context mismatch",IF(AND(B403="AIR",G403&lt;&gt;C403),"AIR context mismatch",IF(AND(B403="AIR",E403="AIR",C403=F403),"Self-dependency",IF(AND(B403="AIR",E403="AIR",M403&lt;&gt;"Superseded",COUNTIFS($B$4:$B$1003,"AIR",$C$4:$C$1003,F403,$E$4:$E$1003,"AIR",$F$4:$F$1003,C403,$M$4:$M$1003,"&lt;&gt;Superseded")&gt;0),"Dependency cycle (A↔B) — review",IF(AND(B403="AIR",OR(E403="MOD",E403="DATA",E403="IF",E403="AG",E403="TOOL"),IFERROR(INDEX(Components!$G$4:$G$253,MATCH(F403,Components!$A$4:$A$253,0)),"")&lt;&gt;"",IFERROR(INDEX(Components!$G$4:$G$253,MATCH(F403,Components!$A$4:$A$253,0)),"")&lt;&gt;C403),"Component owned by another AIR-ID",IF(AND(M403="Confirmed",OR(IF(B403="UC",COUNTIFS('Use cases'!$A$4:$A$253,C403,'Use cases'!$I$4:$I$253,"Confirmed",'Use cases'!$J$4:$J$253,"OK — verify source"),IF(B403="CAP",COUNTIFS(Capabilities!$A$4:$A$253,C403,Capabilities!$J$4:$J$253,"Confirmed",Capabilities!$K$4:$K$253,"OK — verify source"),IF(B403="AIR",COUNTIFS('System map'!$A$4:$A$203,C403,'System map'!$B$4:$B$203,"&lt;&gt;",'System map'!$C$4:$C$203,"&lt;&gt;",'System map'!$D$4:$D$203,"&lt;&gt;"),COUNTIFS(Components!$A$4:$A$253,C403,Components!$B$4:$B$253,B403,Components!$K$4:$K$253,"Confirmed",Components!$L$4:$L$253,"OK — verify source"))))&lt;&gt;1,IF(E403="UC",COUNTIFS('Use cases'!$A$4:$A$253,F403,'Use cases'!$I$4:$I$253,"Confirmed",'Use cases'!$J$4:$J$253,"OK — verify source"),IF(E403="CAP",COUNTIFS(Capabilities!$A$4:$A$253,F403,Capabilities!$J$4:$J$253,"Confirmed",Capabilities!$K$4:$K$253,"OK — verify source"),IF(E403="AIR",COUNTIFS('System map'!$A$4:$A$203,F403,'System map'!$B$4:$B$203,"&lt;&gt;",'System map'!$C$4:$C$203,"&lt;&gt;",'System map'!$D$4:$D$203,"&lt;&gt;"),COUNTIFS(Components!$A$4:$A$253,F403,Components!$B$4:$B$253,E403,Components!$K$4:$K$253,"Confirmed",Components!$L$4:$L$253,"OK — verify source"))))&lt;&gt;1)),"Endpoint not source-reconciled",IF(AND(M403="Confirmed",OR(L403="",K403="",K403="Unknown",K403="Low")),"Confirmed link lacks verification","OK — verify source"))))))))))))))</f>
        <v/>
      </c>
    </row>
    <row r="40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6" t="n"/>
      <c r="M404" s="25" t="n"/>
      <c r="N404" s="25">
        <f>IF(COUNTA(A404:M404)=0,"",IF(OR(A404="",B404="",C404="",D404="",E404="",F404="",I404="",J404="",K404="",M404=""),"Required link detail missing",IF(COUNTIF($A$4:$A$1003,A404)&gt;1,"Duplicate Map Edge ID",IF(NOT(OR(AND(B404="UC",E404="CAP",D404="requires"),AND(B404="CAP",E404="AIR",D404="provided by"),AND(B404="AIR",OR(E404="MOD",E404="DATA",E404="IF",E404="AG",E404="TOOL"),D404="references"),AND(B404="AIR",E404="AIR",D404="depends on"))),"Invalid relationship",IF(AND(M404&lt;&gt;"Superseded",COUNTIFS($B$4:$B$1003,B404,$C$4:$C$1003,C404,$D$4:$D$1003,D404,$E$4:$E$1003,E404,$F$4:$F$1003,F404,$G$4:$G$1003,G404,$M$4:$M$1003,"&lt;&gt;Superseded")&gt;1),"Duplicate relationship",IF(OR(IF(B404="UC",COUNTIF('Use cases'!$A$4:$A$253,C404),IF(B404="CAP",COUNTIF(Capabilities!$A$4:$A$253,C404),IF(B404="AIR",COUNTIF('System map'!$A$4:$A$203,C404),COUNTIFS(Components!$A$4:$A$253,C404,Components!$B$4:$B$253,B404))))&lt;&gt;1,IF(E404="UC",COUNTIF('Use cases'!$A$4:$A$253,F404),IF(E404="CAP",COUNTIF(Capabilities!$A$4:$A$253,F404),IF(E404="AIR",COUNTIF('System map'!$A$4:$A$203,F404),COUNTIFS(Components!$A$4:$A$253,F404,Components!$B$4:$B$253,E404))))&lt;&gt;1),"Endpoint missing or duplicated",IF(AND(NOT(AND(B404="UC",E404="CAP")),OR(G404="",COUNTIF('System map'!$A$4:$A$203,G404)&lt;&gt;1)),"AIR context missing / unknown",IF(AND(B404="CAP",E404="AIR",G404&lt;&gt;F404),"AIR context mismatch",IF(AND(B404="AIR",G404&lt;&gt;C404),"AIR context mismatch",IF(AND(B404="AIR",E404="AIR",C404=F404),"Self-dependency",IF(AND(B404="AIR",E404="AIR",M404&lt;&gt;"Superseded",COUNTIFS($B$4:$B$1003,"AIR",$C$4:$C$1003,F404,$E$4:$E$1003,"AIR",$F$4:$F$1003,C404,$M$4:$M$1003,"&lt;&gt;Superseded")&gt;0),"Dependency cycle (A↔B) — review",IF(AND(B404="AIR",OR(E404="MOD",E404="DATA",E404="IF",E404="AG",E404="TOOL"),IFERROR(INDEX(Components!$G$4:$G$253,MATCH(F404,Components!$A$4:$A$253,0)),"")&lt;&gt;"",IFERROR(INDEX(Components!$G$4:$G$253,MATCH(F404,Components!$A$4:$A$253,0)),"")&lt;&gt;C404),"Component owned by another AIR-ID",IF(AND(M404="Confirmed",OR(IF(B404="UC",COUNTIFS('Use cases'!$A$4:$A$253,C404,'Use cases'!$I$4:$I$253,"Confirmed",'Use cases'!$J$4:$J$253,"OK — verify source"),IF(B404="CAP",COUNTIFS(Capabilities!$A$4:$A$253,C404,Capabilities!$J$4:$J$253,"Confirmed",Capabilities!$K$4:$K$253,"OK — verify source"),IF(B404="AIR",COUNTIFS('System map'!$A$4:$A$203,C404,'System map'!$B$4:$B$203,"&lt;&gt;",'System map'!$C$4:$C$203,"&lt;&gt;",'System map'!$D$4:$D$203,"&lt;&gt;"),COUNTIFS(Components!$A$4:$A$253,C404,Components!$B$4:$B$253,B404,Components!$K$4:$K$253,"Confirmed",Components!$L$4:$L$253,"OK — verify source"))))&lt;&gt;1,IF(E404="UC",COUNTIFS('Use cases'!$A$4:$A$253,F404,'Use cases'!$I$4:$I$253,"Confirmed",'Use cases'!$J$4:$J$253,"OK — verify source"),IF(E404="CAP",COUNTIFS(Capabilities!$A$4:$A$253,F404,Capabilities!$J$4:$J$253,"Confirmed",Capabilities!$K$4:$K$253,"OK — verify source"),IF(E404="AIR",COUNTIFS('System map'!$A$4:$A$203,F404,'System map'!$B$4:$B$203,"&lt;&gt;",'System map'!$C$4:$C$203,"&lt;&gt;",'System map'!$D$4:$D$203,"&lt;&gt;"),COUNTIFS(Components!$A$4:$A$253,F404,Components!$B$4:$B$253,E404,Components!$K$4:$K$253,"Confirmed",Components!$L$4:$L$253,"OK — verify source"))))&lt;&gt;1)),"Endpoint not source-reconciled",IF(AND(M404="Confirmed",OR(L404="",K404="",K404="Unknown",K404="Low")),"Confirmed link lacks verification","OK — verify source"))))))))))))))</f>
        <v/>
      </c>
    </row>
    <row r="405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8" t="n"/>
      <c r="M405" s="27" t="n"/>
      <c r="N405" s="27">
        <f>IF(COUNTA(A405:M405)=0,"",IF(OR(A405="",B405="",C405="",D405="",E405="",F405="",I405="",J405="",K405="",M405=""),"Required link detail missing",IF(COUNTIF($A$4:$A$1003,A405)&gt;1,"Duplicate Map Edge ID",IF(NOT(OR(AND(B405="UC",E405="CAP",D405="requires"),AND(B405="CAP",E405="AIR",D405="provided by"),AND(B405="AIR",OR(E405="MOD",E405="DATA",E405="IF",E405="AG",E405="TOOL"),D405="references"),AND(B405="AIR",E405="AIR",D405="depends on"))),"Invalid relationship",IF(AND(M405&lt;&gt;"Superseded",COUNTIFS($B$4:$B$1003,B405,$C$4:$C$1003,C405,$D$4:$D$1003,D405,$E$4:$E$1003,E405,$F$4:$F$1003,F405,$G$4:$G$1003,G405,$M$4:$M$1003,"&lt;&gt;Superseded")&gt;1),"Duplicate relationship",IF(OR(IF(B405="UC",COUNTIF('Use cases'!$A$4:$A$253,C405),IF(B405="CAP",COUNTIF(Capabilities!$A$4:$A$253,C405),IF(B405="AIR",COUNTIF('System map'!$A$4:$A$203,C405),COUNTIFS(Components!$A$4:$A$253,C405,Components!$B$4:$B$253,B405))))&lt;&gt;1,IF(E405="UC",COUNTIF('Use cases'!$A$4:$A$253,F405),IF(E405="CAP",COUNTIF(Capabilities!$A$4:$A$253,F405),IF(E405="AIR",COUNTIF('System map'!$A$4:$A$203,F405),COUNTIFS(Components!$A$4:$A$253,F405,Components!$B$4:$B$253,E405))))&lt;&gt;1),"Endpoint missing or duplicated",IF(AND(NOT(AND(B405="UC",E405="CAP")),OR(G405="",COUNTIF('System map'!$A$4:$A$203,G405)&lt;&gt;1)),"AIR context missing / unknown",IF(AND(B405="CAP",E405="AIR",G405&lt;&gt;F405),"AIR context mismatch",IF(AND(B405="AIR",G405&lt;&gt;C405),"AIR context mismatch",IF(AND(B405="AIR",E405="AIR",C405=F405),"Self-dependency",IF(AND(B405="AIR",E405="AIR",M405&lt;&gt;"Superseded",COUNTIFS($B$4:$B$1003,"AIR",$C$4:$C$1003,F405,$E$4:$E$1003,"AIR",$F$4:$F$1003,C405,$M$4:$M$1003,"&lt;&gt;Superseded")&gt;0),"Dependency cycle (A↔B) — review",IF(AND(B405="AIR",OR(E405="MOD",E405="DATA",E405="IF",E405="AG",E405="TOOL"),IFERROR(INDEX(Components!$G$4:$G$253,MATCH(F405,Components!$A$4:$A$253,0)),"")&lt;&gt;"",IFERROR(INDEX(Components!$G$4:$G$253,MATCH(F405,Components!$A$4:$A$253,0)),"")&lt;&gt;C405),"Component owned by another AIR-ID",IF(AND(M405="Confirmed",OR(IF(B405="UC",COUNTIFS('Use cases'!$A$4:$A$253,C405,'Use cases'!$I$4:$I$253,"Confirmed",'Use cases'!$J$4:$J$253,"OK — verify source"),IF(B405="CAP",COUNTIFS(Capabilities!$A$4:$A$253,C405,Capabilities!$J$4:$J$253,"Confirmed",Capabilities!$K$4:$K$253,"OK — verify source"),IF(B405="AIR",COUNTIFS('System map'!$A$4:$A$203,C405,'System map'!$B$4:$B$203,"&lt;&gt;",'System map'!$C$4:$C$203,"&lt;&gt;",'System map'!$D$4:$D$203,"&lt;&gt;"),COUNTIFS(Components!$A$4:$A$253,C405,Components!$B$4:$B$253,B405,Components!$K$4:$K$253,"Confirmed",Components!$L$4:$L$253,"OK — verify source"))))&lt;&gt;1,IF(E405="UC",COUNTIFS('Use cases'!$A$4:$A$253,F405,'Use cases'!$I$4:$I$253,"Confirmed",'Use cases'!$J$4:$J$253,"OK — verify source"),IF(E405="CAP",COUNTIFS(Capabilities!$A$4:$A$253,F405,Capabilities!$J$4:$J$253,"Confirmed",Capabilities!$K$4:$K$253,"OK — verify source"),IF(E405="AIR",COUNTIFS('System map'!$A$4:$A$203,F405,'System map'!$B$4:$B$203,"&lt;&gt;",'System map'!$C$4:$C$203,"&lt;&gt;",'System map'!$D$4:$D$203,"&lt;&gt;"),COUNTIFS(Components!$A$4:$A$253,F405,Components!$B$4:$B$253,E405,Components!$K$4:$K$253,"Confirmed",Components!$L$4:$L$253,"OK — verify source"))))&lt;&gt;1)),"Endpoint not source-reconciled",IF(AND(M405="Confirmed",OR(L405="",K405="",K405="Unknown",K405="Low")),"Confirmed link lacks verification","OK — verify source"))))))))))))))</f>
        <v/>
      </c>
    </row>
    <row r="406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6" t="n"/>
      <c r="M406" s="25" t="n"/>
      <c r="N406" s="25">
        <f>IF(COUNTA(A406:M406)=0,"",IF(OR(A406="",B406="",C406="",D406="",E406="",F406="",I406="",J406="",K406="",M406=""),"Required link detail missing",IF(COUNTIF($A$4:$A$1003,A406)&gt;1,"Duplicate Map Edge ID",IF(NOT(OR(AND(B406="UC",E406="CAP",D406="requires"),AND(B406="CAP",E406="AIR",D406="provided by"),AND(B406="AIR",OR(E406="MOD",E406="DATA",E406="IF",E406="AG",E406="TOOL"),D406="references"),AND(B406="AIR",E406="AIR",D406="depends on"))),"Invalid relationship",IF(AND(M406&lt;&gt;"Superseded",COUNTIFS($B$4:$B$1003,B406,$C$4:$C$1003,C406,$D$4:$D$1003,D406,$E$4:$E$1003,E406,$F$4:$F$1003,F406,$G$4:$G$1003,G406,$M$4:$M$1003,"&lt;&gt;Superseded")&gt;1),"Duplicate relationship",IF(OR(IF(B406="UC",COUNTIF('Use cases'!$A$4:$A$253,C406),IF(B406="CAP",COUNTIF(Capabilities!$A$4:$A$253,C406),IF(B406="AIR",COUNTIF('System map'!$A$4:$A$203,C406),COUNTIFS(Components!$A$4:$A$253,C406,Components!$B$4:$B$253,B406))))&lt;&gt;1,IF(E406="UC",COUNTIF('Use cases'!$A$4:$A$253,F406),IF(E406="CAP",COUNTIF(Capabilities!$A$4:$A$253,F406),IF(E406="AIR",COUNTIF('System map'!$A$4:$A$203,F406),COUNTIFS(Components!$A$4:$A$253,F406,Components!$B$4:$B$253,E406))))&lt;&gt;1),"Endpoint missing or duplicated",IF(AND(NOT(AND(B406="UC",E406="CAP")),OR(G406="",COUNTIF('System map'!$A$4:$A$203,G406)&lt;&gt;1)),"AIR context missing / unknown",IF(AND(B406="CAP",E406="AIR",G406&lt;&gt;F406),"AIR context mismatch",IF(AND(B406="AIR",G406&lt;&gt;C406),"AIR context mismatch",IF(AND(B406="AIR",E406="AIR",C406=F406),"Self-dependency",IF(AND(B406="AIR",E406="AIR",M406&lt;&gt;"Superseded",COUNTIFS($B$4:$B$1003,"AIR",$C$4:$C$1003,F406,$E$4:$E$1003,"AIR",$F$4:$F$1003,C406,$M$4:$M$1003,"&lt;&gt;Superseded")&gt;0),"Dependency cycle (A↔B) — review",IF(AND(B406="AIR",OR(E406="MOD",E406="DATA",E406="IF",E406="AG",E406="TOOL"),IFERROR(INDEX(Components!$G$4:$G$253,MATCH(F406,Components!$A$4:$A$253,0)),"")&lt;&gt;"",IFERROR(INDEX(Components!$G$4:$G$253,MATCH(F406,Components!$A$4:$A$253,0)),"")&lt;&gt;C406),"Component owned by another AIR-ID",IF(AND(M406="Confirmed",OR(IF(B406="UC",COUNTIFS('Use cases'!$A$4:$A$253,C406,'Use cases'!$I$4:$I$253,"Confirmed",'Use cases'!$J$4:$J$253,"OK — verify source"),IF(B406="CAP",COUNTIFS(Capabilities!$A$4:$A$253,C406,Capabilities!$J$4:$J$253,"Confirmed",Capabilities!$K$4:$K$253,"OK — verify source"),IF(B406="AIR",COUNTIFS('System map'!$A$4:$A$203,C406,'System map'!$B$4:$B$203,"&lt;&gt;",'System map'!$C$4:$C$203,"&lt;&gt;",'System map'!$D$4:$D$203,"&lt;&gt;"),COUNTIFS(Components!$A$4:$A$253,C406,Components!$B$4:$B$253,B406,Components!$K$4:$K$253,"Confirmed",Components!$L$4:$L$253,"OK — verify source"))))&lt;&gt;1,IF(E406="UC",COUNTIFS('Use cases'!$A$4:$A$253,F406,'Use cases'!$I$4:$I$253,"Confirmed",'Use cases'!$J$4:$J$253,"OK — verify source"),IF(E406="CAP",COUNTIFS(Capabilities!$A$4:$A$253,F406,Capabilities!$J$4:$J$253,"Confirmed",Capabilities!$K$4:$K$253,"OK — verify source"),IF(E406="AIR",COUNTIFS('System map'!$A$4:$A$203,F406,'System map'!$B$4:$B$203,"&lt;&gt;",'System map'!$C$4:$C$203,"&lt;&gt;",'System map'!$D$4:$D$203,"&lt;&gt;"),COUNTIFS(Components!$A$4:$A$253,F406,Components!$B$4:$B$253,E406,Components!$K$4:$K$253,"Confirmed",Components!$L$4:$L$253,"OK — verify source"))))&lt;&gt;1)),"Endpoint not source-reconciled",IF(AND(M406="Confirmed",OR(L406="",K406="",K406="Unknown",K406="Low")),"Confirmed link lacks verification","OK — verify source"))))))))))))))</f>
        <v/>
      </c>
    </row>
    <row r="407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8" t="n"/>
      <c r="M407" s="27" t="n"/>
      <c r="N407" s="27">
        <f>IF(COUNTA(A407:M407)=0,"",IF(OR(A407="",B407="",C407="",D407="",E407="",F407="",I407="",J407="",K407="",M407=""),"Required link detail missing",IF(COUNTIF($A$4:$A$1003,A407)&gt;1,"Duplicate Map Edge ID",IF(NOT(OR(AND(B407="UC",E407="CAP",D407="requires"),AND(B407="CAP",E407="AIR",D407="provided by"),AND(B407="AIR",OR(E407="MOD",E407="DATA",E407="IF",E407="AG",E407="TOOL"),D407="references"),AND(B407="AIR",E407="AIR",D407="depends on"))),"Invalid relationship",IF(AND(M407&lt;&gt;"Superseded",COUNTIFS($B$4:$B$1003,B407,$C$4:$C$1003,C407,$D$4:$D$1003,D407,$E$4:$E$1003,E407,$F$4:$F$1003,F407,$G$4:$G$1003,G407,$M$4:$M$1003,"&lt;&gt;Superseded")&gt;1),"Duplicate relationship",IF(OR(IF(B407="UC",COUNTIF('Use cases'!$A$4:$A$253,C407),IF(B407="CAP",COUNTIF(Capabilities!$A$4:$A$253,C407),IF(B407="AIR",COUNTIF('System map'!$A$4:$A$203,C407),COUNTIFS(Components!$A$4:$A$253,C407,Components!$B$4:$B$253,B407))))&lt;&gt;1,IF(E407="UC",COUNTIF('Use cases'!$A$4:$A$253,F407),IF(E407="CAP",COUNTIF(Capabilities!$A$4:$A$253,F407),IF(E407="AIR",COUNTIF('System map'!$A$4:$A$203,F407),COUNTIFS(Components!$A$4:$A$253,F407,Components!$B$4:$B$253,E407))))&lt;&gt;1),"Endpoint missing or duplicated",IF(AND(NOT(AND(B407="UC",E407="CAP")),OR(G407="",COUNTIF('System map'!$A$4:$A$203,G407)&lt;&gt;1)),"AIR context missing / unknown",IF(AND(B407="CAP",E407="AIR",G407&lt;&gt;F407),"AIR context mismatch",IF(AND(B407="AIR",G407&lt;&gt;C407),"AIR context mismatch",IF(AND(B407="AIR",E407="AIR",C407=F407),"Self-dependency",IF(AND(B407="AIR",E407="AIR",M407&lt;&gt;"Superseded",COUNTIFS($B$4:$B$1003,"AIR",$C$4:$C$1003,F407,$E$4:$E$1003,"AIR",$F$4:$F$1003,C407,$M$4:$M$1003,"&lt;&gt;Superseded")&gt;0),"Dependency cycle (A↔B) — review",IF(AND(B407="AIR",OR(E407="MOD",E407="DATA",E407="IF",E407="AG",E407="TOOL"),IFERROR(INDEX(Components!$G$4:$G$253,MATCH(F407,Components!$A$4:$A$253,0)),"")&lt;&gt;"",IFERROR(INDEX(Components!$G$4:$G$253,MATCH(F407,Components!$A$4:$A$253,0)),"")&lt;&gt;C407),"Component owned by another AIR-ID",IF(AND(M407="Confirmed",OR(IF(B407="UC",COUNTIFS('Use cases'!$A$4:$A$253,C407,'Use cases'!$I$4:$I$253,"Confirmed",'Use cases'!$J$4:$J$253,"OK — verify source"),IF(B407="CAP",COUNTIFS(Capabilities!$A$4:$A$253,C407,Capabilities!$J$4:$J$253,"Confirmed",Capabilities!$K$4:$K$253,"OK — verify source"),IF(B407="AIR",COUNTIFS('System map'!$A$4:$A$203,C407,'System map'!$B$4:$B$203,"&lt;&gt;",'System map'!$C$4:$C$203,"&lt;&gt;",'System map'!$D$4:$D$203,"&lt;&gt;"),COUNTIFS(Components!$A$4:$A$253,C407,Components!$B$4:$B$253,B407,Components!$K$4:$K$253,"Confirmed",Components!$L$4:$L$253,"OK — verify source"))))&lt;&gt;1,IF(E407="UC",COUNTIFS('Use cases'!$A$4:$A$253,F407,'Use cases'!$I$4:$I$253,"Confirmed",'Use cases'!$J$4:$J$253,"OK — verify source"),IF(E407="CAP",COUNTIFS(Capabilities!$A$4:$A$253,F407,Capabilities!$J$4:$J$253,"Confirmed",Capabilities!$K$4:$K$253,"OK — verify source"),IF(E407="AIR",COUNTIFS('System map'!$A$4:$A$203,F407,'System map'!$B$4:$B$203,"&lt;&gt;",'System map'!$C$4:$C$203,"&lt;&gt;",'System map'!$D$4:$D$203,"&lt;&gt;"),COUNTIFS(Components!$A$4:$A$253,F407,Components!$B$4:$B$253,E407,Components!$K$4:$K$253,"Confirmed",Components!$L$4:$L$253,"OK — verify source"))))&lt;&gt;1)),"Endpoint not source-reconciled",IF(AND(M407="Confirmed",OR(L407="",K407="",K407="Unknown",K407="Low")),"Confirmed link lacks verification","OK — verify source"))))))))))))))</f>
        <v/>
      </c>
    </row>
    <row r="408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6" t="n"/>
      <c r="M408" s="25" t="n"/>
      <c r="N408" s="25">
        <f>IF(COUNTA(A408:M408)=0,"",IF(OR(A408="",B408="",C408="",D408="",E408="",F408="",I408="",J408="",K408="",M408=""),"Required link detail missing",IF(COUNTIF($A$4:$A$1003,A408)&gt;1,"Duplicate Map Edge ID",IF(NOT(OR(AND(B408="UC",E408="CAP",D408="requires"),AND(B408="CAP",E408="AIR",D408="provided by"),AND(B408="AIR",OR(E408="MOD",E408="DATA",E408="IF",E408="AG",E408="TOOL"),D408="references"),AND(B408="AIR",E408="AIR",D408="depends on"))),"Invalid relationship",IF(AND(M408&lt;&gt;"Superseded",COUNTIFS($B$4:$B$1003,B408,$C$4:$C$1003,C408,$D$4:$D$1003,D408,$E$4:$E$1003,E408,$F$4:$F$1003,F408,$G$4:$G$1003,G408,$M$4:$M$1003,"&lt;&gt;Superseded")&gt;1),"Duplicate relationship",IF(OR(IF(B408="UC",COUNTIF('Use cases'!$A$4:$A$253,C408),IF(B408="CAP",COUNTIF(Capabilities!$A$4:$A$253,C408),IF(B408="AIR",COUNTIF('System map'!$A$4:$A$203,C408),COUNTIFS(Components!$A$4:$A$253,C408,Components!$B$4:$B$253,B408))))&lt;&gt;1,IF(E408="UC",COUNTIF('Use cases'!$A$4:$A$253,F408),IF(E408="CAP",COUNTIF(Capabilities!$A$4:$A$253,F408),IF(E408="AIR",COUNTIF('System map'!$A$4:$A$203,F408),COUNTIFS(Components!$A$4:$A$253,F408,Components!$B$4:$B$253,E408))))&lt;&gt;1),"Endpoint missing or duplicated",IF(AND(NOT(AND(B408="UC",E408="CAP")),OR(G408="",COUNTIF('System map'!$A$4:$A$203,G408)&lt;&gt;1)),"AIR context missing / unknown",IF(AND(B408="CAP",E408="AIR",G408&lt;&gt;F408),"AIR context mismatch",IF(AND(B408="AIR",G408&lt;&gt;C408),"AIR context mismatch",IF(AND(B408="AIR",E408="AIR",C408=F408),"Self-dependency",IF(AND(B408="AIR",E408="AIR",M408&lt;&gt;"Superseded",COUNTIFS($B$4:$B$1003,"AIR",$C$4:$C$1003,F408,$E$4:$E$1003,"AIR",$F$4:$F$1003,C408,$M$4:$M$1003,"&lt;&gt;Superseded")&gt;0),"Dependency cycle (A↔B) — review",IF(AND(B408="AIR",OR(E408="MOD",E408="DATA",E408="IF",E408="AG",E408="TOOL"),IFERROR(INDEX(Components!$G$4:$G$253,MATCH(F408,Components!$A$4:$A$253,0)),"")&lt;&gt;"",IFERROR(INDEX(Components!$G$4:$G$253,MATCH(F408,Components!$A$4:$A$253,0)),"")&lt;&gt;C408),"Component owned by another AIR-ID",IF(AND(M408="Confirmed",OR(IF(B408="UC",COUNTIFS('Use cases'!$A$4:$A$253,C408,'Use cases'!$I$4:$I$253,"Confirmed",'Use cases'!$J$4:$J$253,"OK — verify source"),IF(B408="CAP",COUNTIFS(Capabilities!$A$4:$A$253,C408,Capabilities!$J$4:$J$253,"Confirmed",Capabilities!$K$4:$K$253,"OK — verify source"),IF(B408="AIR",COUNTIFS('System map'!$A$4:$A$203,C408,'System map'!$B$4:$B$203,"&lt;&gt;",'System map'!$C$4:$C$203,"&lt;&gt;",'System map'!$D$4:$D$203,"&lt;&gt;"),COUNTIFS(Components!$A$4:$A$253,C408,Components!$B$4:$B$253,B408,Components!$K$4:$K$253,"Confirmed",Components!$L$4:$L$253,"OK — verify source"))))&lt;&gt;1,IF(E408="UC",COUNTIFS('Use cases'!$A$4:$A$253,F408,'Use cases'!$I$4:$I$253,"Confirmed",'Use cases'!$J$4:$J$253,"OK — verify source"),IF(E408="CAP",COUNTIFS(Capabilities!$A$4:$A$253,F408,Capabilities!$J$4:$J$253,"Confirmed",Capabilities!$K$4:$K$253,"OK — verify source"),IF(E408="AIR",COUNTIFS('System map'!$A$4:$A$203,F408,'System map'!$B$4:$B$203,"&lt;&gt;",'System map'!$C$4:$C$203,"&lt;&gt;",'System map'!$D$4:$D$203,"&lt;&gt;"),COUNTIFS(Components!$A$4:$A$253,F408,Components!$B$4:$B$253,E408,Components!$K$4:$K$253,"Confirmed",Components!$L$4:$L$253,"OK — verify source"))))&lt;&gt;1)),"Endpoint not source-reconciled",IF(AND(M408="Confirmed",OR(L408="",K408="",K408="Unknown",K408="Low")),"Confirmed link lacks verification","OK — verify source"))))))))))))))</f>
        <v/>
      </c>
    </row>
    <row r="409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8" t="n"/>
      <c r="M409" s="27" t="n"/>
      <c r="N409" s="27">
        <f>IF(COUNTA(A409:M409)=0,"",IF(OR(A409="",B409="",C409="",D409="",E409="",F409="",I409="",J409="",K409="",M409=""),"Required link detail missing",IF(COUNTIF($A$4:$A$1003,A409)&gt;1,"Duplicate Map Edge ID",IF(NOT(OR(AND(B409="UC",E409="CAP",D409="requires"),AND(B409="CAP",E409="AIR",D409="provided by"),AND(B409="AIR",OR(E409="MOD",E409="DATA",E409="IF",E409="AG",E409="TOOL"),D409="references"),AND(B409="AIR",E409="AIR",D409="depends on"))),"Invalid relationship",IF(AND(M409&lt;&gt;"Superseded",COUNTIFS($B$4:$B$1003,B409,$C$4:$C$1003,C409,$D$4:$D$1003,D409,$E$4:$E$1003,E409,$F$4:$F$1003,F409,$G$4:$G$1003,G409,$M$4:$M$1003,"&lt;&gt;Superseded")&gt;1),"Duplicate relationship",IF(OR(IF(B409="UC",COUNTIF('Use cases'!$A$4:$A$253,C409),IF(B409="CAP",COUNTIF(Capabilities!$A$4:$A$253,C409),IF(B409="AIR",COUNTIF('System map'!$A$4:$A$203,C409),COUNTIFS(Components!$A$4:$A$253,C409,Components!$B$4:$B$253,B409))))&lt;&gt;1,IF(E409="UC",COUNTIF('Use cases'!$A$4:$A$253,F409),IF(E409="CAP",COUNTIF(Capabilities!$A$4:$A$253,F409),IF(E409="AIR",COUNTIF('System map'!$A$4:$A$203,F409),COUNTIFS(Components!$A$4:$A$253,F409,Components!$B$4:$B$253,E409))))&lt;&gt;1),"Endpoint missing or duplicated",IF(AND(NOT(AND(B409="UC",E409="CAP")),OR(G409="",COUNTIF('System map'!$A$4:$A$203,G409)&lt;&gt;1)),"AIR context missing / unknown",IF(AND(B409="CAP",E409="AIR",G409&lt;&gt;F409),"AIR context mismatch",IF(AND(B409="AIR",G409&lt;&gt;C409),"AIR context mismatch",IF(AND(B409="AIR",E409="AIR",C409=F409),"Self-dependency",IF(AND(B409="AIR",E409="AIR",M409&lt;&gt;"Superseded",COUNTIFS($B$4:$B$1003,"AIR",$C$4:$C$1003,F409,$E$4:$E$1003,"AIR",$F$4:$F$1003,C409,$M$4:$M$1003,"&lt;&gt;Superseded")&gt;0),"Dependency cycle (A↔B) — review",IF(AND(B409="AIR",OR(E409="MOD",E409="DATA",E409="IF",E409="AG",E409="TOOL"),IFERROR(INDEX(Components!$G$4:$G$253,MATCH(F409,Components!$A$4:$A$253,0)),"")&lt;&gt;"",IFERROR(INDEX(Components!$G$4:$G$253,MATCH(F409,Components!$A$4:$A$253,0)),"")&lt;&gt;C409),"Component owned by another AIR-ID",IF(AND(M409="Confirmed",OR(IF(B409="UC",COUNTIFS('Use cases'!$A$4:$A$253,C409,'Use cases'!$I$4:$I$253,"Confirmed",'Use cases'!$J$4:$J$253,"OK — verify source"),IF(B409="CAP",COUNTIFS(Capabilities!$A$4:$A$253,C409,Capabilities!$J$4:$J$253,"Confirmed",Capabilities!$K$4:$K$253,"OK — verify source"),IF(B409="AIR",COUNTIFS('System map'!$A$4:$A$203,C409,'System map'!$B$4:$B$203,"&lt;&gt;",'System map'!$C$4:$C$203,"&lt;&gt;",'System map'!$D$4:$D$203,"&lt;&gt;"),COUNTIFS(Components!$A$4:$A$253,C409,Components!$B$4:$B$253,B409,Components!$K$4:$K$253,"Confirmed",Components!$L$4:$L$253,"OK — verify source"))))&lt;&gt;1,IF(E409="UC",COUNTIFS('Use cases'!$A$4:$A$253,F409,'Use cases'!$I$4:$I$253,"Confirmed",'Use cases'!$J$4:$J$253,"OK — verify source"),IF(E409="CAP",COUNTIFS(Capabilities!$A$4:$A$253,F409,Capabilities!$J$4:$J$253,"Confirmed",Capabilities!$K$4:$K$253,"OK — verify source"),IF(E409="AIR",COUNTIFS('System map'!$A$4:$A$203,F409,'System map'!$B$4:$B$203,"&lt;&gt;",'System map'!$C$4:$C$203,"&lt;&gt;",'System map'!$D$4:$D$203,"&lt;&gt;"),COUNTIFS(Components!$A$4:$A$253,F409,Components!$B$4:$B$253,E409,Components!$K$4:$K$253,"Confirmed",Components!$L$4:$L$253,"OK — verify source"))))&lt;&gt;1)),"Endpoint not source-reconciled",IF(AND(M409="Confirmed",OR(L409="",K409="",K409="Unknown",K409="Low")),"Confirmed link lacks verification","OK — verify source"))))))))))))))</f>
        <v/>
      </c>
    </row>
    <row r="410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6" t="n"/>
      <c r="M410" s="25" t="n"/>
      <c r="N410" s="25">
        <f>IF(COUNTA(A410:M410)=0,"",IF(OR(A410="",B410="",C410="",D410="",E410="",F410="",I410="",J410="",K410="",M410=""),"Required link detail missing",IF(COUNTIF($A$4:$A$1003,A410)&gt;1,"Duplicate Map Edge ID",IF(NOT(OR(AND(B410="UC",E410="CAP",D410="requires"),AND(B410="CAP",E410="AIR",D410="provided by"),AND(B410="AIR",OR(E410="MOD",E410="DATA",E410="IF",E410="AG",E410="TOOL"),D410="references"),AND(B410="AIR",E410="AIR",D410="depends on"))),"Invalid relationship",IF(AND(M410&lt;&gt;"Superseded",COUNTIFS($B$4:$B$1003,B410,$C$4:$C$1003,C410,$D$4:$D$1003,D410,$E$4:$E$1003,E410,$F$4:$F$1003,F410,$G$4:$G$1003,G410,$M$4:$M$1003,"&lt;&gt;Superseded")&gt;1),"Duplicate relationship",IF(OR(IF(B410="UC",COUNTIF('Use cases'!$A$4:$A$253,C410),IF(B410="CAP",COUNTIF(Capabilities!$A$4:$A$253,C410),IF(B410="AIR",COUNTIF('System map'!$A$4:$A$203,C410),COUNTIFS(Components!$A$4:$A$253,C410,Components!$B$4:$B$253,B410))))&lt;&gt;1,IF(E410="UC",COUNTIF('Use cases'!$A$4:$A$253,F410),IF(E410="CAP",COUNTIF(Capabilities!$A$4:$A$253,F410),IF(E410="AIR",COUNTIF('System map'!$A$4:$A$203,F410),COUNTIFS(Components!$A$4:$A$253,F410,Components!$B$4:$B$253,E410))))&lt;&gt;1),"Endpoint missing or duplicated",IF(AND(NOT(AND(B410="UC",E410="CAP")),OR(G410="",COUNTIF('System map'!$A$4:$A$203,G410)&lt;&gt;1)),"AIR context missing / unknown",IF(AND(B410="CAP",E410="AIR",G410&lt;&gt;F410),"AIR context mismatch",IF(AND(B410="AIR",G410&lt;&gt;C410),"AIR context mismatch",IF(AND(B410="AIR",E410="AIR",C410=F410),"Self-dependency",IF(AND(B410="AIR",E410="AIR",M410&lt;&gt;"Superseded",COUNTIFS($B$4:$B$1003,"AIR",$C$4:$C$1003,F410,$E$4:$E$1003,"AIR",$F$4:$F$1003,C410,$M$4:$M$1003,"&lt;&gt;Superseded")&gt;0),"Dependency cycle (A↔B) — review",IF(AND(B410="AIR",OR(E410="MOD",E410="DATA",E410="IF",E410="AG",E410="TOOL"),IFERROR(INDEX(Components!$G$4:$G$253,MATCH(F410,Components!$A$4:$A$253,0)),"")&lt;&gt;"",IFERROR(INDEX(Components!$G$4:$G$253,MATCH(F410,Components!$A$4:$A$253,0)),"")&lt;&gt;C410),"Component owned by another AIR-ID",IF(AND(M410="Confirmed",OR(IF(B410="UC",COUNTIFS('Use cases'!$A$4:$A$253,C410,'Use cases'!$I$4:$I$253,"Confirmed",'Use cases'!$J$4:$J$253,"OK — verify source"),IF(B410="CAP",COUNTIFS(Capabilities!$A$4:$A$253,C410,Capabilities!$J$4:$J$253,"Confirmed",Capabilities!$K$4:$K$253,"OK — verify source"),IF(B410="AIR",COUNTIFS('System map'!$A$4:$A$203,C410,'System map'!$B$4:$B$203,"&lt;&gt;",'System map'!$C$4:$C$203,"&lt;&gt;",'System map'!$D$4:$D$203,"&lt;&gt;"),COUNTIFS(Components!$A$4:$A$253,C410,Components!$B$4:$B$253,B410,Components!$K$4:$K$253,"Confirmed",Components!$L$4:$L$253,"OK — verify source"))))&lt;&gt;1,IF(E410="UC",COUNTIFS('Use cases'!$A$4:$A$253,F410,'Use cases'!$I$4:$I$253,"Confirmed",'Use cases'!$J$4:$J$253,"OK — verify source"),IF(E410="CAP",COUNTIFS(Capabilities!$A$4:$A$253,F410,Capabilities!$J$4:$J$253,"Confirmed",Capabilities!$K$4:$K$253,"OK — verify source"),IF(E410="AIR",COUNTIFS('System map'!$A$4:$A$203,F410,'System map'!$B$4:$B$203,"&lt;&gt;",'System map'!$C$4:$C$203,"&lt;&gt;",'System map'!$D$4:$D$203,"&lt;&gt;"),COUNTIFS(Components!$A$4:$A$253,F410,Components!$B$4:$B$253,E410,Components!$K$4:$K$253,"Confirmed",Components!$L$4:$L$253,"OK — verify source"))))&lt;&gt;1)),"Endpoint not source-reconciled",IF(AND(M410="Confirmed",OR(L410="",K410="",K410="Unknown",K410="Low")),"Confirmed link lacks verification","OK — verify source"))))))))))))))</f>
        <v/>
      </c>
    </row>
    <row r="411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8" t="n"/>
      <c r="M411" s="27" t="n"/>
      <c r="N411" s="27">
        <f>IF(COUNTA(A411:M411)=0,"",IF(OR(A411="",B411="",C411="",D411="",E411="",F411="",I411="",J411="",K411="",M411=""),"Required link detail missing",IF(COUNTIF($A$4:$A$1003,A411)&gt;1,"Duplicate Map Edge ID",IF(NOT(OR(AND(B411="UC",E411="CAP",D411="requires"),AND(B411="CAP",E411="AIR",D411="provided by"),AND(B411="AIR",OR(E411="MOD",E411="DATA",E411="IF",E411="AG",E411="TOOL"),D411="references"),AND(B411="AIR",E411="AIR",D411="depends on"))),"Invalid relationship",IF(AND(M411&lt;&gt;"Superseded",COUNTIFS($B$4:$B$1003,B411,$C$4:$C$1003,C411,$D$4:$D$1003,D411,$E$4:$E$1003,E411,$F$4:$F$1003,F411,$G$4:$G$1003,G411,$M$4:$M$1003,"&lt;&gt;Superseded")&gt;1),"Duplicate relationship",IF(OR(IF(B411="UC",COUNTIF('Use cases'!$A$4:$A$253,C411),IF(B411="CAP",COUNTIF(Capabilities!$A$4:$A$253,C411),IF(B411="AIR",COUNTIF('System map'!$A$4:$A$203,C411),COUNTIFS(Components!$A$4:$A$253,C411,Components!$B$4:$B$253,B411))))&lt;&gt;1,IF(E411="UC",COUNTIF('Use cases'!$A$4:$A$253,F411),IF(E411="CAP",COUNTIF(Capabilities!$A$4:$A$253,F411),IF(E411="AIR",COUNTIF('System map'!$A$4:$A$203,F411),COUNTIFS(Components!$A$4:$A$253,F411,Components!$B$4:$B$253,E411))))&lt;&gt;1),"Endpoint missing or duplicated",IF(AND(NOT(AND(B411="UC",E411="CAP")),OR(G411="",COUNTIF('System map'!$A$4:$A$203,G411)&lt;&gt;1)),"AIR context missing / unknown",IF(AND(B411="CAP",E411="AIR",G411&lt;&gt;F411),"AIR context mismatch",IF(AND(B411="AIR",G411&lt;&gt;C411),"AIR context mismatch",IF(AND(B411="AIR",E411="AIR",C411=F411),"Self-dependency",IF(AND(B411="AIR",E411="AIR",M411&lt;&gt;"Superseded",COUNTIFS($B$4:$B$1003,"AIR",$C$4:$C$1003,F411,$E$4:$E$1003,"AIR",$F$4:$F$1003,C411,$M$4:$M$1003,"&lt;&gt;Superseded")&gt;0),"Dependency cycle (A↔B) — review",IF(AND(B411="AIR",OR(E411="MOD",E411="DATA",E411="IF",E411="AG",E411="TOOL"),IFERROR(INDEX(Components!$G$4:$G$253,MATCH(F411,Components!$A$4:$A$253,0)),"")&lt;&gt;"",IFERROR(INDEX(Components!$G$4:$G$253,MATCH(F411,Components!$A$4:$A$253,0)),"")&lt;&gt;C411),"Component owned by another AIR-ID",IF(AND(M411="Confirmed",OR(IF(B411="UC",COUNTIFS('Use cases'!$A$4:$A$253,C411,'Use cases'!$I$4:$I$253,"Confirmed",'Use cases'!$J$4:$J$253,"OK — verify source"),IF(B411="CAP",COUNTIFS(Capabilities!$A$4:$A$253,C411,Capabilities!$J$4:$J$253,"Confirmed",Capabilities!$K$4:$K$253,"OK — verify source"),IF(B411="AIR",COUNTIFS('System map'!$A$4:$A$203,C411,'System map'!$B$4:$B$203,"&lt;&gt;",'System map'!$C$4:$C$203,"&lt;&gt;",'System map'!$D$4:$D$203,"&lt;&gt;"),COUNTIFS(Components!$A$4:$A$253,C411,Components!$B$4:$B$253,B411,Components!$K$4:$K$253,"Confirmed",Components!$L$4:$L$253,"OK — verify source"))))&lt;&gt;1,IF(E411="UC",COUNTIFS('Use cases'!$A$4:$A$253,F411,'Use cases'!$I$4:$I$253,"Confirmed",'Use cases'!$J$4:$J$253,"OK — verify source"),IF(E411="CAP",COUNTIFS(Capabilities!$A$4:$A$253,F411,Capabilities!$J$4:$J$253,"Confirmed",Capabilities!$K$4:$K$253,"OK — verify source"),IF(E411="AIR",COUNTIFS('System map'!$A$4:$A$203,F411,'System map'!$B$4:$B$203,"&lt;&gt;",'System map'!$C$4:$C$203,"&lt;&gt;",'System map'!$D$4:$D$203,"&lt;&gt;"),COUNTIFS(Components!$A$4:$A$253,F411,Components!$B$4:$B$253,E411,Components!$K$4:$K$253,"Confirmed",Components!$L$4:$L$253,"OK — verify source"))))&lt;&gt;1)),"Endpoint not source-reconciled",IF(AND(M411="Confirmed",OR(L411="",K411="",K411="Unknown",K411="Low")),"Confirmed link lacks verification","OK — verify source"))))))))))))))</f>
        <v/>
      </c>
    </row>
    <row r="412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6" t="n"/>
      <c r="M412" s="25" t="n"/>
      <c r="N412" s="25">
        <f>IF(COUNTA(A412:M412)=0,"",IF(OR(A412="",B412="",C412="",D412="",E412="",F412="",I412="",J412="",K412="",M412=""),"Required link detail missing",IF(COUNTIF($A$4:$A$1003,A412)&gt;1,"Duplicate Map Edge ID",IF(NOT(OR(AND(B412="UC",E412="CAP",D412="requires"),AND(B412="CAP",E412="AIR",D412="provided by"),AND(B412="AIR",OR(E412="MOD",E412="DATA",E412="IF",E412="AG",E412="TOOL"),D412="references"),AND(B412="AIR",E412="AIR",D412="depends on"))),"Invalid relationship",IF(AND(M412&lt;&gt;"Superseded",COUNTIFS($B$4:$B$1003,B412,$C$4:$C$1003,C412,$D$4:$D$1003,D412,$E$4:$E$1003,E412,$F$4:$F$1003,F412,$G$4:$G$1003,G412,$M$4:$M$1003,"&lt;&gt;Superseded")&gt;1),"Duplicate relationship",IF(OR(IF(B412="UC",COUNTIF('Use cases'!$A$4:$A$253,C412),IF(B412="CAP",COUNTIF(Capabilities!$A$4:$A$253,C412),IF(B412="AIR",COUNTIF('System map'!$A$4:$A$203,C412),COUNTIFS(Components!$A$4:$A$253,C412,Components!$B$4:$B$253,B412))))&lt;&gt;1,IF(E412="UC",COUNTIF('Use cases'!$A$4:$A$253,F412),IF(E412="CAP",COUNTIF(Capabilities!$A$4:$A$253,F412),IF(E412="AIR",COUNTIF('System map'!$A$4:$A$203,F412),COUNTIFS(Components!$A$4:$A$253,F412,Components!$B$4:$B$253,E412))))&lt;&gt;1),"Endpoint missing or duplicated",IF(AND(NOT(AND(B412="UC",E412="CAP")),OR(G412="",COUNTIF('System map'!$A$4:$A$203,G412)&lt;&gt;1)),"AIR context missing / unknown",IF(AND(B412="CAP",E412="AIR",G412&lt;&gt;F412),"AIR context mismatch",IF(AND(B412="AIR",G412&lt;&gt;C412),"AIR context mismatch",IF(AND(B412="AIR",E412="AIR",C412=F412),"Self-dependency",IF(AND(B412="AIR",E412="AIR",M412&lt;&gt;"Superseded",COUNTIFS($B$4:$B$1003,"AIR",$C$4:$C$1003,F412,$E$4:$E$1003,"AIR",$F$4:$F$1003,C412,$M$4:$M$1003,"&lt;&gt;Superseded")&gt;0),"Dependency cycle (A↔B) — review",IF(AND(B412="AIR",OR(E412="MOD",E412="DATA",E412="IF",E412="AG",E412="TOOL"),IFERROR(INDEX(Components!$G$4:$G$253,MATCH(F412,Components!$A$4:$A$253,0)),"")&lt;&gt;"",IFERROR(INDEX(Components!$G$4:$G$253,MATCH(F412,Components!$A$4:$A$253,0)),"")&lt;&gt;C412),"Component owned by another AIR-ID",IF(AND(M412="Confirmed",OR(IF(B412="UC",COUNTIFS('Use cases'!$A$4:$A$253,C412,'Use cases'!$I$4:$I$253,"Confirmed",'Use cases'!$J$4:$J$253,"OK — verify source"),IF(B412="CAP",COUNTIFS(Capabilities!$A$4:$A$253,C412,Capabilities!$J$4:$J$253,"Confirmed",Capabilities!$K$4:$K$253,"OK — verify source"),IF(B412="AIR",COUNTIFS('System map'!$A$4:$A$203,C412,'System map'!$B$4:$B$203,"&lt;&gt;",'System map'!$C$4:$C$203,"&lt;&gt;",'System map'!$D$4:$D$203,"&lt;&gt;"),COUNTIFS(Components!$A$4:$A$253,C412,Components!$B$4:$B$253,B412,Components!$K$4:$K$253,"Confirmed",Components!$L$4:$L$253,"OK — verify source"))))&lt;&gt;1,IF(E412="UC",COUNTIFS('Use cases'!$A$4:$A$253,F412,'Use cases'!$I$4:$I$253,"Confirmed",'Use cases'!$J$4:$J$253,"OK — verify source"),IF(E412="CAP",COUNTIFS(Capabilities!$A$4:$A$253,F412,Capabilities!$J$4:$J$253,"Confirmed",Capabilities!$K$4:$K$253,"OK — verify source"),IF(E412="AIR",COUNTIFS('System map'!$A$4:$A$203,F412,'System map'!$B$4:$B$203,"&lt;&gt;",'System map'!$C$4:$C$203,"&lt;&gt;",'System map'!$D$4:$D$203,"&lt;&gt;"),COUNTIFS(Components!$A$4:$A$253,F412,Components!$B$4:$B$253,E412,Components!$K$4:$K$253,"Confirmed",Components!$L$4:$L$253,"OK — verify source"))))&lt;&gt;1)),"Endpoint not source-reconciled",IF(AND(M412="Confirmed",OR(L412="",K412="",K412="Unknown",K412="Low")),"Confirmed link lacks verification","OK — verify source"))))))))))))))</f>
        <v/>
      </c>
    </row>
    <row r="413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8" t="n"/>
      <c r="M413" s="27" t="n"/>
      <c r="N413" s="27">
        <f>IF(COUNTA(A413:M413)=0,"",IF(OR(A413="",B413="",C413="",D413="",E413="",F413="",I413="",J413="",K413="",M413=""),"Required link detail missing",IF(COUNTIF($A$4:$A$1003,A413)&gt;1,"Duplicate Map Edge ID",IF(NOT(OR(AND(B413="UC",E413="CAP",D413="requires"),AND(B413="CAP",E413="AIR",D413="provided by"),AND(B413="AIR",OR(E413="MOD",E413="DATA",E413="IF",E413="AG",E413="TOOL"),D413="references"),AND(B413="AIR",E413="AIR",D413="depends on"))),"Invalid relationship",IF(AND(M413&lt;&gt;"Superseded",COUNTIFS($B$4:$B$1003,B413,$C$4:$C$1003,C413,$D$4:$D$1003,D413,$E$4:$E$1003,E413,$F$4:$F$1003,F413,$G$4:$G$1003,G413,$M$4:$M$1003,"&lt;&gt;Superseded")&gt;1),"Duplicate relationship",IF(OR(IF(B413="UC",COUNTIF('Use cases'!$A$4:$A$253,C413),IF(B413="CAP",COUNTIF(Capabilities!$A$4:$A$253,C413),IF(B413="AIR",COUNTIF('System map'!$A$4:$A$203,C413),COUNTIFS(Components!$A$4:$A$253,C413,Components!$B$4:$B$253,B413))))&lt;&gt;1,IF(E413="UC",COUNTIF('Use cases'!$A$4:$A$253,F413),IF(E413="CAP",COUNTIF(Capabilities!$A$4:$A$253,F413),IF(E413="AIR",COUNTIF('System map'!$A$4:$A$203,F413),COUNTIFS(Components!$A$4:$A$253,F413,Components!$B$4:$B$253,E413))))&lt;&gt;1),"Endpoint missing or duplicated",IF(AND(NOT(AND(B413="UC",E413="CAP")),OR(G413="",COUNTIF('System map'!$A$4:$A$203,G413)&lt;&gt;1)),"AIR context missing / unknown",IF(AND(B413="CAP",E413="AIR",G413&lt;&gt;F413),"AIR context mismatch",IF(AND(B413="AIR",G413&lt;&gt;C413),"AIR context mismatch",IF(AND(B413="AIR",E413="AIR",C413=F413),"Self-dependency",IF(AND(B413="AIR",E413="AIR",M413&lt;&gt;"Superseded",COUNTIFS($B$4:$B$1003,"AIR",$C$4:$C$1003,F413,$E$4:$E$1003,"AIR",$F$4:$F$1003,C413,$M$4:$M$1003,"&lt;&gt;Superseded")&gt;0),"Dependency cycle (A↔B) — review",IF(AND(B413="AIR",OR(E413="MOD",E413="DATA",E413="IF",E413="AG",E413="TOOL"),IFERROR(INDEX(Components!$G$4:$G$253,MATCH(F413,Components!$A$4:$A$253,0)),"")&lt;&gt;"",IFERROR(INDEX(Components!$G$4:$G$253,MATCH(F413,Components!$A$4:$A$253,0)),"")&lt;&gt;C413),"Component owned by another AIR-ID",IF(AND(M413="Confirmed",OR(IF(B413="UC",COUNTIFS('Use cases'!$A$4:$A$253,C413,'Use cases'!$I$4:$I$253,"Confirmed",'Use cases'!$J$4:$J$253,"OK — verify source"),IF(B413="CAP",COUNTIFS(Capabilities!$A$4:$A$253,C413,Capabilities!$J$4:$J$253,"Confirmed",Capabilities!$K$4:$K$253,"OK — verify source"),IF(B413="AIR",COUNTIFS('System map'!$A$4:$A$203,C413,'System map'!$B$4:$B$203,"&lt;&gt;",'System map'!$C$4:$C$203,"&lt;&gt;",'System map'!$D$4:$D$203,"&lt;&gt;"),COUNTIFS(Components!$A$4:$A$253,C413,Components!$B$4:$B$253,B413,Components!$K$4:$K$253,"Confirmed",Components!$L$4:$L$253,"OK — verify source"))))&lt;&gt;1,IF(E413="UC",COUNTIFS('Use cases'!$A$4:$A$253,F413,'Use cases'!$I$4:$I$253,"Confirmed",'Use cases'!$J$4:$J$253,"OK — verify source"),IF(E413="CAP",COUNTIFS(Capabilities!$A$4:$A$253,F413,Capabilities!$J$4:$J$253,"Confirmed",Capabilities!$K$4:$K$253,"OK — verify source"),IF(E413="AIR",COUNTIFS('System map'!$A$4:$A$203,F413,'System map'!$B$4:$B$203,"&lt;&gt;",'System map'!$C$4:$C$203,"&lt;&gt;",'System map'!$D$4:$D$203,"&lt;&gt;"),COUNTIFS(Components!$A$4:$A$253,F413,Components!$B$4:$B$253,E413,Components!$K$4:$K$253,"Confirmed",Components!$L$4:$L$253,"OK — verify source"))))&lt;&gt;1)),"Endpoint not source-reconciled",IF(AND(M413="Confirmed",OR(L413="",K413="",K413="Unknown",K413="Low")),"Confirmed link lacks verification","OK — verify source"))))))))))))))</f>
        <v/>
      </c>
    </row>
    <row r="41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6" t="n"/>
      <c r="M414" s="25" t="n"/>
      <c r="N414" s="25">
        <f>IF(COUNTA(A414:M414)=0,"",IF(OR(A414="",B414="",C414="",D414="",E414="",F414="",I414="",J414="",K414="",M414=""),"Required link detail missing",IF(COUNTIF($A$4:$A$1003,A414)&gt;1,"Duplicate Map Edge ID",IF(NOT(OR(AND(B414="UC",E414="CAP",D414="requires"),AND(B414="CAP",E414="AIR",D414="provided by"),AND(B414="AIR",OR(E414="MOD",E414="DATA",E414="IF",E414="AG",E414="TOOL"),D414="references"),AND(B414="AIR",E414="AIR",D414="depends on"))),"Invalid relationship",IF(AND(M414&lt;&gt;"Superseded",COUNTIFS($B$4:$B$1003,B414,$C$4:$C$1003,C414,$D$4:$D$1003,D414,$E$4:$E$1003,E414,$F$4:$F$1003,F414,$G$4:$G$1003,G414,$M$4:$M$1003,"&lt;&gt;Superseded")&gt;1),"Duplicate relationship",IF(OR(IF(B414="UC",COUNTIF('Use cases'!$A$4:$A$253,C414),IF(B414="CAP",COUNTIF(Capabilities!$A$4:$A$253,C414),IF(B414="AIR",COUNTIF('System map'!$A$4:$A$203,C414),COUNTIFS(Components!$A$4:$A$253,C414,Components!$B$4:$B$253,B414))))&lt;&gt;1,IF(E414="UC",COUNTIF('Use cases'!$A$4:$A$253,F414),IF(E414="CAP",COUNTIF(Capabilities!$A$4:$A$253,F414),IF(E414="AIR",COUNTIF('System map'!$A$4:$A$203,F414),COUNTIFS(Components!$A$4:$A$253,F414,Components!$B$4:$B$253,E414))))&lt;&gt;1),"Endpoint missing or duplicated",IF(AND(NOT(AND(B414="UC",E414="CAP")),OR(G414="",COUNTIF('System map'!$A$4:$A$203,G414)&lt;&gt;1)),"AIR context missing / unknown",IF(AND(B414="CAP",E414="AIR",G414&lt;&gt;F414),"AIR context mismatch",IF(AND(B414="AIR",G414&lt;&gt;C414),"AIR context mismatch",IF(AND(B414="AIR",E414="AIR",C414=F414),"Self-dependency",IF(AND(B414="AIR",E414="AIR",M414&lt;&gt;"Superseded",COUNTIFS($B$4:$B$1003,"AIR",$C$4:$C$1003,F414,$E$4:$E$1003,"AIR",$F$4:$F$1003,C414,$M$4:$M$1003,"&lt;&gt;Superseded")&gt;0),"Dependency cycle (A↔B) — review",IF(AND(B414="AIR",OR(E414="MOD",E414="DATA",E414="IF",E414="AG",E414="TOOL"),IFERROR(INDEX(Components!$G$4:$G$253,MATCH(F414,Components!$A$4:$A$253,0)),"")&lt;&gt;"",IFERROR(INDEX(Components!$G$4:$G$253,MATCH(F414,Components!$A$4:$A$253,0)),"")&lt;&gt;C414),"Component owned by another AIR-ID",IF(AND(M414="Confirmed",OR(IF(B414="UC",COUNTIFS('Use cases'!$A$4:$A$253,C414,'Use cases'!$I$4:$I$253,"Confirmed",'Use cases'!$J$4:$J$253,"OK — verify source"),IF(B414="CAP",COUNTIFS(Capabilities!$A$4:$A$253,C414,Capabilities!$J$4:$J$253,"Confirmed",Capabilities!$K$4:$K$253,"OK — verify source"),IF(B414="AIR",COUNTIFS('System map'!$A$4:$A$203,C414,'System map'!$B$4:$B$203,"&lt;&gt;",'System map'!$C$4:$C$203,"&lt;&gt;",'System map'!$D$4:$D$203,"&lt;&gt;"),COUNTIFS(Components!$A$4:$A$253,C414,Components!$B$4:$B$253,B414,Components!$K$4:$K$253,"Confirmed",Components!$L$4:$L$253,"OK — verify source"))))&lt;&gt;1,IF(E414="UC",COUNTIFS('Use cases'!$A$4:$A$253,F414,'Use cases'!$I$4:$I$253,"Confirmed",'Use cases'!$J$4:$J$253,"OK — verify source"),IF(E414="CAP",COUNTIFS(Capabilities!$A$4:$A$253,F414,Capabilities!$J$4:$J$253,"Confirmed",Capabilities!$K$4:$K$253,"OK — verify source"),IF(E414="AIR",COUNTIFS('System map'!$A$4:$A$203,F414,'System map'!$B$4:$B$203,"&lt;&gt;",'System map'!$C$4:$C$203,"&lt;&gt;",'System map'!$D$4:$D$203,"&lt;&gt;"),COUNTIFS(Components!$A$4:$A$253,F414,Components!$B$4:$B$253,E414,Components!$K$4:$K$253,"Confirmed",Components!$L$4:$L$253,"OK — verify source"))))&lt;&gt;1)),"Endpoint not source-reconciled",IF(AND(M414="Confirmed",OR(L414="",K414="",K414="Unknown",K414="Low")),"Confirmed link lacks verification","OK — verify source"))))))))))))))</f>
        <v/>
      </c>
    </row>
    <row r="415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8" t="n"/>
      <c r="M415" s="27" t="n"/>
      <c r="N415" s="27">
        <f>IF(COUNTA(A415:M415)=0,"",IF(OR(A415="",B415="",C415="",D415="",E415="",F415="",I415="",J415="",K415="",M415=""),"Required link detail missing",IF(COUNTIF($A$4:$A$1003,A415)&gt;1,"Duplicate Map Edge ID",IF(NOT(OR(AND(B415="UC",E415="CAP",D415="requires"),AND(B415="CAP",E415="AIR",D415="provided by"),AND(B415="AIR",OR(E415="MOD",E415="DATA",E415="IF",E415="AG",E415="TOOL"),D415="references"),AND(B415="AIR",E415="AIR",D415="depends on"))),"Invalid relationship",IF(AND(M415&lt;&gt;"Superseded",COUNTIFS($B$4:$B$1003,B415,$C$4:$C$1003,C415,$D$4:$D$1003,D415,$E$4:$E$1003,E415,$F$4:$F$1003,F415,$G$4:$G$1003,G415,$M$4:$M$1003,"&lt;&gt;Superseded")&gt;1),"Duplicate relationship",IF(OR(IF(B415="UC",COUNTIF('Use cases'!$A$4:$A$253,C415),IF(B415="CAP",COUNTIF(Capabilities!$A$4:$A$253,C415),IF(B415="AIR",COUNTIF('System map'!$A$4:$A$203,C415),COUNTIFS(Components!$A$4:$A$253,C415,Components!$B$4:$B$253,B415))))&lt;&gt;1,IF(E415="UC",COUNTIF('Use cases'!$A$4:$A$253,F415),IF(E415="CAP",COUNTIF(Capabilities!$A$4:$A$253,F415),IF(E415="AIR",COUNTIF('System map'!$A$4:$A$203,F415),COUNTIFS(Components!$A$4:$A$253,F415,Components!$B$4:$B$253,E415))))&lt;&gt;1),"Endpoint missing or duplicated",IF(AND(NOT(AND(B415="UC",E415="CAP")),OR(G415="",COUNTIF('System map'!$A$4:$A$203,G415)&lt;&gt;1)),"AIR context missing / unknown",IF(AND(B415="CAP",E415="AIR",G415&lt;&gt;F415),"AIR context mismatch",IF(AND(B415="AIR",G415&lt;&gt;C415),"AIR context mismatch",IF(AND(B415="AIR",E415="AIR",C415=F415),"Self-dependency",IF(AND(B415="AIR",E415="AIR",M415&lt;&gt;"Superseded",COUNTIFS($B$4:$B$1003,"AIR",$C$4:$C$1003,F415,$E$4:$E$1003,"AIR",$F$4:$F$1003,C415,$M$4:$M$1003,"&lt;&gt;Superseded")&gt;0),"Dependency cycle (A↔B) — review",IF(AND(B415="AIR",OR(E415="MOD",E415="DATA",E415="IF",E415="AG",E415="TOOL"),IFERROR(INDEX(Components!$G$4:$G$253,MATCH(F415,Components!$A$4:$A$253,0)),"")&lt;&gt;"",IFERROR(INDEX(Components!$G$4:$G$253,MATCH(F415,Components!$A$4:$A$253,0)),"")&lt;&gt;C415),"Component owned by another AIR-ID",IF(AND(M415="Confirmed",OR(IF(B415="UC",COUNTIFS('Use cases'!$A$4:$A$253,C415,'Use cases'!$I$4:$I$253,"Confirmed",'Use cases'!$J$4:$J$253,"OK — verify source"),IF(B415="CAP",COUNTIFS(Capabilities!$A$4:$A$253,C415,Capabilities!$J$4:$J$253,"Confirmed",Capabilities!$K$4:$K$253,"OK — verify source"),IF(B415="AIR",COUNTIFS('System map'!$A$4:$A$203,C415,'System map'!$B$4:$B$203,"&lt;&gt;",'System map'!$C$4:$C$203,"&lt;&gt;",'System map'!$D$4:$D$203,"&lt;&gt;"),COUNTIFS(Components!$A$4:$A$253,C415,Components!$B$4:$B$253,B415,Components!$K$4:$K$253,"Confirmed",Components!$L$4:$L$253,"OK — verify source"))))&lt;&gt;1,IF(E415="UC",COUNTIFS('Use cases'!$A$4:$A$253,F415,'Use cases'!$I$4:$I$253,"Confirmed",'Use cases'!$J$4:$J$253,"OK — verify source"),IF(E415="CAP",COUNTIFS(Capabilities!$A$4:$A$253,F415,Capabilities!$J$4:$J$253,"Confirmed",Capabilities!$K$4:$K$253,"OK — verify source"),IF(E415="AIR",COUNTIFS('System map'!$A$4:$A$203,F415,'System map'!$B$4:$B$203,"&lt;&gt;",'System map'!$C$4:$C$203,"&lt;&gt;",'System map'!$D$4:$D$203,"&lt;&gt;"),COUNTIFS(Components!$A$4:$A$253,F415,Components!$B$4:$B$253,E415,Components!$K$4:$K$253,"Confirmed",Components!$L$4:$L$253,"OK — verify source"))))&lt;&gt;1)),"Endpoint not source-reconciled",IF(AND(M415="Confirmed",OR(L415="",K415="",K415="Unknown",K415="Low")),"Confirmed link lacks verification","OK — verify source"))))))))))))))</f>
        <v/>
      </c>
    </row>
    <row r="416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6" t="n"/>
      <c r="M416" s="25" t="n"/>
      <c r="N416" s="25">
        <f>IF(COUNTA(A416:M416)=0,"",IF(OR(A416="",B416="",C416="",D416="",E416="",F416="",I416="",J416="",K416="",M416=""),"Required link detail missing",IF(COUNTIF($A$4:$A$1003,A416)&gt;1,"Duplicate Map Edge ID",IF(NOT(OR(AND(B416="UC",E416="CAP",D416="requires"),AND(B416="CAP",E416="AIR",D416="provided by"),AND(B416="AIR",OR(E416="MOD",E416="DATA",E416="IF",E416="AG",E416="TOOL"),D416="references"),AND(B416="AIR",E416="AIR",D416="depends on"))),"Invalid relationship",IF(AND(M416&lt;&gt;"Superseded",COUNTIFS($B$4:$B$1003,B416,$C$4:$C$1003,C416,$D$4:$D$1003,D416,$E$4:$E$1003,E416,$F$4:$F$1003,F416,$G$4:$G$1003,G416,$M$4:$M$1003,"&lt;&gt;Superseded")&gt;1),"Duplicate relationship",IF(OR(IF(B416="UC",COUNTIF('Use cases'!$A$4:$A$253,C416),IF(B416="CAP",COUNTIF(Capabilities!$A$4:$A$253,C416),IF(B416="AIR",COUNTIF('System map'!$A$4:$A$203,C416),COUNTIFS(Components!$A$4:$A$253,C416,Components!$B$4:$B$253,B416))))&lt;&gt;1,IF(E416="UC",COUNTIF('Use cases'!$A$4:$A$253,F416),IF(E416="CAP",COUNTIF(Capabilities!$A$4:$A$253,F416),IF(E416="AIR",COUNTIF('System map'!$A$4:$A$203,F416),COUNTIFS(Components!$A$4:$A$253,F416,Components!$B$4:$B$253,E416))))&lt;&gt;1),"Endpoint missing or duplicated",IF(AND(NOT(AND(B416="UC",E416="CAP")),OR(G416="",COUNTIF('System map'!$A$4:$A$203,G416)&lt;&gt;1)),"AIR context missing / unknown",IF(AND(B416="CAP",E416="AIR",G416&lt;&gt;F416),"AIR context mismatch",IF(AND(B416="AIR",G416&lt;&gt;C416),"AIR context mismatch",IF(AND(B416="AIR",E416="AIR",C416=F416),"Self-dependency",IF(AND(B416="AIR",E416="AIR",M416&lt;&gt;"Superseded",COUNTIFS($B$4:$B$1003,"AIR",$C$4:$C$1003,F416,$E$4:$E$1003,"AIR",$F$4:$F$1003,C416,$M$4:$M$1003,"&lt;&gt;Superseded")&gt;0),"Dependency cycle (A↔B) — review",IF(AND(B416="AIR",OR(E416="MOD",E416="DATA",E416="IF",E416="AG",E416="TOOL"),IFERROR(INDEX(Components!$G$4:$G$253,MATCH(F416,Components!$A$4:$A$253,0)),"")&lt;&gt;"",IFERROR(INDEX(Components!$G$4:$G$253,MATCH(F416,Components!$A$4:$A$253,0)),"")&lt;&gt;C416),"Component owned by another AIR-ID",IF(AND(M416="Confirmed",OR(IF(B416="UC",COUNTIFS('Use cases'!$A$4:$A$253,C416,'Use cases'!$I$4:$I$253,"Confirmed",'Use cases'!$J$4:$J$253,"OK — verify source"),IF(B416="CAP",COUNTIFS(Capabilities!$A$4:$A$253,C416,Capabilities!$J$4:$J$253,"Confirmed",Capabilities!$K$4:$K$253,"OK — verify source"),IF(B416="AIR",COUNTIFS('System map'!$A$4:$A$203,C416,'System map'!$B$4:$B$203,"&lt;&gt;",'System map'!$C$4:$C$203,"&lt;&gt;",'System map'!$D$4:$D$203,"&lt;&gt;"),COUNTIFS(Components!$A$4:$A$253,C416,Components!$B$4:$B$253,B416,Components!$K$4:$K$253,"Confirmed",Components!$L$4:$L$253,"OK — verify source"))))&lt;&gt;1,IF(E416="UC",COUNTIFS('Use cases'!$A$4:$A$253,F416,'Use cases'!$I$4:$I$253,"Confirmed",'Use cases'!$J$4:$J$253,"OK — verify source"),IF(E416="CAP",COUNTIFS(Capabilities!$A$4:$A$253,F416,Capabilities!$J$4:$J$253,"Confirmed",Capabilities!$K$4:$K$253,"OK — verify source"),IF(E416="AIR",COUNTIFS('System map'!$A$4:$A$203,F416,'System map'!$B$4:$B$203,"&lt;&gt;",'System map'!$C$4:$C$203,"&lt;&gt;",'System map'!$D$4:$D$203,"&lt;&gt;"),COUNTIFS(Components!$A$4:$A$253,F416,Components!$B$4:$B$253,E416,Components!$K$4:$K$253,"Confirmed",Components!$L$4:$L$253,"OK — verify source"))))&lt;&gt;1)),"Endpoint not source-reconciled",IF(AND(M416="Confirmed",OR(L416="",K416="",K416="Unknown",K416="Low")),"Confirmed link lacks verification","OK — verify source"))))))))))))))</f>
        <v/>
      </c>
    </row>
    <row r="417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8" t="n"/>
      <c r="M417" s="27" t="n"/>
      <c r="N417" s="27">
        <f>IF(COUNTA(A417:M417)=0,"",IF(OR(A417="",B417="",C417="",D417="",E417="",F417="",I417="",J417="",K417="",M417=""),"Required link detail missing",IF(COUNTIF($A$4:$A$1003,A417)&gt;1,"Duplicate Map Edge ID",IF(NOT(OR(AND(B417="UC",E417="CAP",D417="requires"),AND(B417="CAP",E417="AIR",D417="provided by"),AND(B417="AIR",OR(E417="MOD",E417="DATA",E417="IF",E417="AG",E417="TOOL"),D417="references"),AND(B417="AIR",E417="AIR",D417="depends on"))),"Invalid relationship",IF(AND(M417&lt;&gt;"Superseded",COUNTIFS($B$4:$B$1003,B417,$C$4:$C$1003,C417,$D$4:$D$1003,D417,$E$4:$E$1003,E417,$F$4:$F$1003,F417,$G$4:$G$1003,G417,$M$4:$M$1003,"&lt;&gt;Superseded")&gt;1),"Duplicate relationship",IF(OR(IF(B417="UC",COUNTIF('Use cases'!$A$4:$A$253,C417),IF(B417="CAP",COUNTIF(Capabilities!$A$4:$A$253,C417),IF(B417="AIR",COUNTIF('System map'!$A$4:$A$203,C417),COUNTIFS(Components!$A$4:$A$253,C417,Components!$B$4:$B$253,B417))))&lt;&gt;1,IF(E417="UC",COUNTIF('Use cases'!$A$4:$A$253,F417),IF(E417="CAP",COUNTIF(Capabilities!$A$4:$A$253,F417),IF(E417="AIR",COUNTIF('System map'!$A$4:$A$203,F417),COUNTIFS(Components!$A$4:$A$253,F417,Components!$B$4:$B$253,E417))))&lt;&gt;1),"Endpoint missing or duplicated",IF(AND(NOT(AND(B417="UC",E417="CAP")),OR(G417="",COUNTIF('System map'!$A$4:$A$203,G417)&lt;&gt;1)),"AIR context missing / unknown",IF(AND(B417="CAP",E417="AIR",G417&lt;&gt;F417),"AIR context mismatch",IF(AND(B417="AIR",G417&lt;&gt;C417),"AIR context mismatch",IF(AND(B417="AIR",E417="AIR",C417=F417),"Self-dependency",IF(AND(B417="AIR",E417="AIR",M417&lt;&gt;"Superseded",COUNTIFS($B$4:$B$1003,"AIR",$C$4:$C$1003,F417,$E$4:$E$1003,"AIR",$F$4:$F$1003,C417,$M$4:$M$1003,"&lt;&gt;Superseded")&gt;0),"Dependency cycle (A↔B) — review",IF(AND(B417="AIR",OR(E417="MOD",E417="DATA",E417="IF",E417="AG",E417="TOOL"),IFERROR(INDEX(Components!$G$4:$G$253,MATCH(F417,Components!$A$4:$A$253,0)),"")&lt;&gt;"",IFERROR(INDEX(Components!$G$4:$G$253,MATCH(F417,Components!$A$4:$A$253,0)),"")&lt;&gt;C417),"Component owned by another AIR-ID",IF(AND(M417="Confirmed",OR(IF(B417="UC",COUNTIFS('Use cases'!$A$4:$A$253,C417,'Use cases'!$I$4:$I$253,"Confirmed",'Use cases'!$J$4:$J$253,"OK — verify source"),IF(B417="CAP",COUNTIFS(Capabilities!$A$4:$A$253,C417,Capabilities!$J$4:$J$253,"Confirmed",Capabilities!$K$4:$K$253,"OK — verify source"),IF(B417="AIR",COUNTIFS('System map'!$A$4:$A$203,C417,'System map'!$B$4:$B$203,"&lt;&gt;",'System map'!$C$4:$C$203,"&lt;&gt;",'System map'!$D$4:$D$203,"&lt;&gt;"),COUNTIFS(Components!$A$4:$A$253,C417,Components!$B$4:$B$253,B417,Components!$K$4:$K$253,"Confirmed",Components!$L$4:$L$253,"OK — verify source"))))&lt;&gt;1,IF(E417="UC",COUNTIFS('Use cases'!$A$4:$A$253,F417,'Use cases'!$I$4:$I$253,"Confirmed",'Use cases'!$J$4:$J$253,"OK — verify source"),IF(E417="CAP",COUNTIFS(Capabilities!$A$4:$A$253,F417,Capabilities!$J$4:$J$253,"Confirmed",Capabilities!$K$4:$K$253,"OK — verify source"),IF(E417="AIR",COUNTIFS('System map'!$A$4:$A$203,F417,'System map'!$B$4:$B$203,"&lt;&gt;",'System map'!$C$4:$C$203,"&lt;&gt;",'System map'!$D$4:$D$203,"&lt;&gt;"),COUNTIFS(Components!$A$4:$A$253,F417,Components!$B$4:$B$253,E417,Components!$K$4:$K$253,"Confirmed",Components!$L$4:$L$253,"OK — verify source"))))&lt;&gt;1)),"Endpoint not source-reconciled",IF(AND(M417="Confirmed",OR(L417="",K417="",K417="Unknown",K417="Low")),"Confirmed link lacks verification","OK — verify source"))))))))))))))</f>
        <v/>
      </c>
    </row>
    <row r="418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6" t="n"/>
      <c r="M418" s="25" t="n"/>
      <c r="N418" s="25">
        <f>IF(COUNTA(A418:M418)=0,"",IF(OR(A418="",B418="",C418="",D418="",E418="",F418="",I418="",J418="",K418="",M418=""),"Required link detail missing",IF(COUNTIF($A$4:$A$1003,A418)&gt;1,"Duplicate Map Edge ID",IF(NOT(OR(AND(B418="UC",E418="CAP",D418="requires"),AND(B418="CAP",E418="AIR",D418="provided by"),AND(B418="AIR",OR(E418="MOD",E418="DATA",E418="IF",E418="AG",E418="TOOL"),D418="references"),AND(B418="AIR",E418="AIR",D418="depends on"))),"Invalid relationship",IF(AND(M418&lt;&gt;"Superseded",COUNTIFS($B$4:$B$1003,B418,$C$4:$C$1003,C418,$D$4:$D$1003,D418,$E$4:$E$1003,E418,$F$4:$F$1003,F418,$G$4:$G$1003,G418,$M$4:$M$1003,"&lt;&gt;Superseded")&gt;1),"Duplicate relationship",IF(OR(IF(B418="UC",COUNTIF('Use cases'!$A$4:$A$253,C418),IF(B418="CAP",COUNTIF(Capabilities!$A$4:$A$253,C418),IF(B418="AIR",COUNTIF('System map'!$A$4:$A$203,C418),COUNTIFS(Components!$A$4:$A$253,C418,Components!$B$4:$B$253,B418))))&lt;&gt;1,IF(E418="UC",COUNTIF('Use cases'!$A$4:$A$253,F418),IF(E418="CAP",COUNTIF(Capabilities!$A$4:$A$253,F418),IF(E418="AIR",COUNTIF('System map'!$A$4:$A$203,F418),COUNTIFS(Components!$A$4:$A$253,F418,Components!$B$4:$B$253,E418))))&lt;&gt;1),"Endpoint missing or duplicated",IF(AND(NOT(AND(B418="UC",E418="CAP")),OR(G418="",COUNTIF('System map'!$A$4:$A$203,G418)&lt;&gt;1)),"AIR context missing / unknown",IF(AND(B418="CAP",E418="AIR",G418&lt;&gt;F418),"AIR context mismatch",IF(AND(B418="AIR",G418&lt;&gt;C418),"AIR context mismatch",IF(AND(B418="AIR",E418="AIR",C418=F418),"Self-dependency",IF(AND(B418="AIR",E418="AIR",M418&lt;&gt;"Superseded",COUNTIFS($B$4:$B$1003,"AIR",$C$4:$C$1003,F418,$E$4:$E$1003,"AIR",$F$4:$F$1003,C418,$M$4:$M$1003,"&lt;&gt;Superseded")&gt;0),"Dependency cycle (A↔B) — review",IF(AND(B418="AIR",OR(E418="MOD",E418="DATA",E418="IF",E418="AG",E418="TOOL"),IFERROR(INDEX(Components!$G$4:$G$253,MATCH(F418,Components!$A$4:$A$253,0)),"")&lt;&gt;"",IFERROR(INDEX(Components!$G$4:$G$253,MATCH(F418,Components!$A$4:$A$253,0)),"")&lt;&gt;C418),"Component owned by another AIR-ID",IF(AND(M418="Confirmed",OR(IF(B418="UC",COUNTIFS('Use cases'!$A$4:$A$253,C418,'Use cases'!$I$4:$I$253,"Confirmed",'Use cases'!$J$4:$J$253,"OK — verify source"),IF(B418="CAP",COUNTIFS(Capabilities!$A$4:$A$253,C418,Capabilities!$J$4:$J$253,"Confirmed",Capabilities!$K$4:$K$253,"OK — verify source"),IF(B418="AIR",COUNTIFS('System map'!$A$4:$A$203,C418,'System map'!$B$4:$B$203,"&lt;&gt;",'System map'!$C$4:$C$203,"&lt;&gt;",'System map'!$D$4:$D$203,"&lt;&gt;"),COUNTIFS(Components!$A$4:$A$253,C418,Components!$B$4:$B$253,B418,Components!$K$4:$K$253,"Confirmed",Components!$L$4:$L$253,"OK — verify source"))))&lt;&gt;1,IF(E418="UC",COUNTIFS('Use cases'!$A$4:$A$253,F418,'Use cases'!$I$4:$I$253,"Confirmed",'Use cases'!$J$4:$J$253,"OK — verify source"),IF(E418="CAP",COUNTIFS(Capabilities!$A$4:$A$253,F418,Capabilities!$J$4:$J$253,"Confirmed",Capabilities!$K$4:$K$253,"OK — verify source"),IF(E418="AIR",COUNTIFS('System map'!$A$4:$A$203,F418,'System map'!$B$4:$B$203,"&lt;&gt;",'System map'!$C$4:$C$203,"&lt;&gt;",'System map'!$D$4:$D$203,"&lt;&gt;"),COUNTIFS(Components!$A$4:$A$253,F418,Components!$B$4:$B$253,E418,Components!$K$4:$K$253,"Confirmed",Components!$L$4:$L$253,"OK — verify source"))))&lt;&gt;1)),"Endpoint not source-reconciled",IF(AND(M418="Confirmed",OR(L418="",K418="",K418="Unknown",K418="Low")),"Confirmed link lacks verification","OK — verify source"))))))))))))))</f>
        <v/>
      </c>
    </row>
    <row r="419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8" t="n"/>
      <c r="M419" s="27" t="n"/>
      <c r="N419" s="27">
        <f>IF(COUNTA(A419:M419)=0,"",IF(OR(A419="",B419="",C419="",D419="",E419="",F419="",I419="",J419="",K419="",M419=""),"Required link detail missing",IF(COUNTIF($A$4:$A$1003,A419)&gt;1,"Duplicate Map Edge ID",IF(NOT(OR(AND(B419="UC",E419="CAP",D419="requires"),AND(B419="CAP",E419="AIR",D419="provided by"),AND(B419="AIR",OR(E419="MOD",E419="DATA",E419="IF",E419="AG",E419="TOOL"),D419="references"),AND(B419="AIR",E419="AIR",D419="depends on"))),"Invalid relationship",IF(AND(M419&lt;&gt;"Superseded",COUNTIFS($B$4:$B$1003,B419,$C$4:$C$1003,C419,$D$4:$D$1003,D419,$E$4:$E$1003,E419,$F$4:$F$1003,F419,$G$4:$G$1003,G419,$M$4:$M$1003,"&lt;&gt;Superseded")&gt;1),"Duplicate relationship",IF(OR(IF(B419="UC",COUNTIF('Use cases'!$A$4:$A$253,C419),IF(B419="CAP",COUNTIF(Capabilities!$A$4:$A$253,C419),IF(B419="AIR",COUNTIF('System map'!$A$4:$A$203,C419),COUNTIFS(Components!$A$4:$A$253,C419,Components!$B$4:$B$253,B419))))&lt;&gt;1,IF(E419="UC",COUNTIF('Use cases'!$A$4:$A$253,F419),IF(E419="CAP",COUNTIF(Capabilities!$A$4:$A$253,F419),IF(E419="AIR",COUNTIF('System map'!$A$4:$A$203,F419),COUNTIFS(Components!$A$4:$A$253,F419,Components!$B$4:$B$253,E419))))&lt;&gt;1),"Endpoint missing or duplicated",IF(AND(NOT(AND(B419="UC",E419="CAP")),OR(G419="",COUNTIF('System map'!$A$4:$A$203,G419)&lt;&gt;1)),"AIR context missing / unknown",IF(AND(B419="CAP",E419="AIR",G419&lt;&gt;F419),"AIR context mismatch",IF(AND(B419="AIR",G419&lt;&gt;C419),"AIR context mismatch",IF(AND(B419="AIR",E419="AIR",C419=F419),"Self-dependency",IF(AND(B419="AIR",E419="AIR",M419&lt;&gt;"Superseded",COUNTIFS($B$4:$B$1003,"AIR",$C$4:$C$1003,F419,$E$4:$E$1003,"AIR",$F$4:$F$1003,C419,$M$4:$M$1003,"&lt;&gt;Superseded")&gt;0),"Dependency cycle (A↔B) — review",IF(AND(B419="AIR",OR(E419="MOD",E419="DATA",E419="IF",E419="AG",E419="TOOL"),IFERROR(INDEX(Components!$G$4:$G$253,MATCH(F419,Components!$A$4:$A$253,0)),"")&lt;&gt;"",IFERROR(INDEX(Components!$G$4:$G$253,MATCH(F419,Components!$A$4:$A$253,0)),"")&lt;&gt;C419),"Component owned by another AIR-ID",IF(AND(M419="Confirmed",OR(IF(B419="UC",COUNTIFS('Use cases'!$A$4:$A$253,C419,'Use cases'!$I$4:$I$253,"Confirmed",'Use cases'!$J$4:$J$253,"OK — verify source"),IF(B419="CAP",COUNTIFS(Capabilities!$A$4:$A$253,C419,Capabilities!$J$4:$J$253,"Confirmed",Capabilities!$K$4:$K$253,"OK — verify source"),IF(B419="AIR",COUNTIFS('System map'!$A$4:$A$203,C419,'System map'!$B$4:$B$203,"&lt;&gt;",'System map'!$C$4:$C$203,"&lt;&gt;",'System map'!$D$4:$D$203,"&lt;&gt;"),COUNTIFS(Components!$A$4:$A$253,C419,Components!$B$4:$B$253,B419,Components!$K$4:$K$253,"Confirmed",Components!$L$4:$L$253,"OK — verify source"))))&lt;&gt;1,IF(E419="UC",COUNTIFS('Use cases'!$A$4:$A$253,F419,'Use cases'!$I$4:$I$253,"Confirmed",'Use cases'!$J$4:$J$253,"OK — verify source"),IF(E419="CAP",COUNTIFS(Capabilities!$A$4:$A$253,F419,Capabilities!$J$4:$J$253,"Confirmed",Capabilities!$K$4:$K$253,"OK — verify source"),IF(E419="AIR",COUNTIFS('System map'!$A$4:$A$203,F419,'System map'!$B$4:$B$203,"&lt;&gt;",'System map'!$C$4:$C$203,"&lt;&gt;",'System map'!$D$4:$D$203,"&lt;&gt;"),COUNTIFS(Components!$A$4:$A$253,F419,Components!$B$4:$B$253,E419,Components!$K$4:$K$253,"Confirmed",Components!$L$4:$L$253,"OK — verify source"))))&lt;&gt;1)),"Endpoint not source-reconciled",IF(AND(M419="Confirmed",OR(L419="",K419="",K419="Unknown",K419="Low")),"Confirmed link lacks verification","OK — verify source"))))))))))))))</f>
        <v/>
      </c>
    </row>
    <row r="420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6" t="n"/>
      <c r="M420" s="25" t="n"/>
      <c r="N420" s="25">
        <f>IF(COUNTA(A420:M420)=0,"",IF(OR(A420="",B420="",C420="",D420="",E420="",F420="",I420="",J420="",K420="",M420=""),"Required link detail missing",IF(COUNTIF($A$4:$A$1003,A420)&gt;1,"Duplicate Map Edge ID",IF(NOT(OR(AND(B420="UC",E420="CAP",D420="requires"),AND(B420="CAP",E420="AIR",D420="provided by"),AND(B420="AIR",OR(E420="MOD",E420="DATA",E420="IF",E420="AG",E420="TOOL"),D420="references"),AND(B420="AIR",E420="AIR",D420="depends on"))),"Invalid relationship",IF(AND(M420&lt;&gt;"Superseded",COUNTIFS($B$4:$B$1003,B420,$C$4:$C$1003,C420,$D$4:$D$1003,D420,$E$4:$E$1003,E420,$F$4:$F$1003,F420,$G$4:$G$1003,G420,$M$4:$M$1003,"&lt;&gt;Superseded")&gt;1),"Duplicate relationship",IF(OR(IF(B420="UC",COUNTIF('Use cases'!$A$4:$A$253,C420),IF(B420="CAP",COUNTIF(Capabilities!$A$4:$A$253,C420),IF(B420="AIR",COUNTIF('System map'!$A$4:$A$203,C420),COUNTIFS(Components!$A$4:$A$253,C420,Components!$B$4:$B$253,B420))))&lt;&gt;1,IF(E420="UC",COUNTIF('Use cases'!$A$4:$A$253,F420),IF(E420="CAP",COUNTIF(Capabilities!$A$4:$A$253,F420),IF(E420="AIR",COUNTIF('System map'!$A$4:$A$203,F420),COUNTIFS(Components!$A$4:$A$253,F420,Components!$B$4:$B$253,E420))))&lt;&gt;1),"Endpoint missing or duplicated",IF(AND(NOT(AND(B420="UC",E420="CAP")),OR(G420="",COUNTIF('System map'!$A$4:$A$203,G420)&lt;&gt;1)),"AIR context missing / unknown",IF(AND(B420="CAP",E420="AIR",G420&lt;&gt;F420),"AIR context mismatch",IF(AND(B420="AIR",G420&lt;&gt;C420),"AIR context mismatch",IF(AND(B420="AIR",E420="AIR",C420=F420),"Self-dependency",IF(AND(B420="AIR",E420="AIR",M420&lt;&gt;"Superseded",COUNTIFS($B$4:$B$1003,"AIR",$C$4:$C$1003,F420,$E$4:$E$1003,"AIR",$F$4:$F$1003,C420,$M$4:$M$1003,"&lt;&gt;Superseded")&gt;0),"Dependency cycle (A↔B) — review",IF(AND(B420="AIR",OR(E420="MOD",E420="DATA",E420="IF",E420="AG",E420="TOOL"),IFERROR(INDEX(Components!$G$4:$G$253,MATCH(F420,Components!$A$4:$A$253,0)),"")&lt;&gt;"",IFERROR(INDEX(Components!$G$4:$G$253,MATCH(F420,Components!$A$4:$A$253,0)),"")&lt;&gt;C420),"Component owned by another AIR-ID",IF(AND(M420="Confirmed",OR(IF(B420="UC",COUNTIFS('Use cases'!$A$4:$A$253,C420,'Use cases'!$I$4:$I$253,"Confirmed",'Use cases'!$J$4:$J$253,"OK — verify source"),IF(B420="CAP",COUNTIFS(Capabilities!$A$4:$A$253,C420,Capabilities!$J$4:$J$253,"Confirmed",Capabilities!$K$4:$K$253,"OK — verify source"),IF(B420="AIR",COUNTIFS('System map'!$A$4:$A$203,C420,'System map'!$B$4:$B$203,"&lt;&gt;",'System map'!$C$4:$C$203,"&lt;&gt;",'System map'!$D$4:$D$203,"&lt;&gt;"),COUNTIFS(Components!$A$4:$A$253,C420,Components!$B$4:$B$253,B420,Components!$K$4:$K$253,"Confirmed",Components!$L$4:$L$253,"OK — verify source"))))&lt;&gt;1,IF(E420="UC",COUNTIFS('Use cases'!$A$4:$A$253,F420,'Use cases'!$I$4:$I$253,"Confirmed",'Use cases'!$J$4:$J$253,"OK — verify source"),IF(E420="CAP",COUNTIFS(Capabilities!$A$4:$A$253,F420,Capabilities!$J$4:$J$253,"Confirmed",Capabilities!$K$4:$K$253,"OK — verify source"),IF(E420="AIR",COUNTIFS('System map'!$A$4:$A$203,F420,'System map'!$B$4:$B$203,"&lt;&gt;",'System map'!$C$4:$C$203,"&lt;&gt;",'System map'!$D$4:$D$203,"&lt;&gt;"),COUNTIFS(Components!$A$4:$A$253,F420,Components!$B$4:$B$253,E420,Components!$K$4:$K$253,"Confirmed",Components!$L$4:$L$253,"OK — verify source"))))&lt;&gt;1)),"Endpoint not source-reconciled",IF(AND(M420="Confirmed",OR(L420="",K420="",K420="Unknown",K420="Low")),"Confirmed link lacks verification","OK — verify source"))))))))))))))</f>
        <v/>
      </c>
    </row>
    <row r="421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8" t="n"/>
      <c r="M421" s="27" t="n"/>
      <c r="N421" s="27">
        <f>IF(COUNTA(A421:M421)=0,"",IF(OR(A421="",B421="",C421="",D421="",E421="",F421="",I421="",J421="",K421="",M421=""),"Required link detail missing",IF(COUNTIF($A$4:$A$1003,A421)&gt;1,"Duplicate Map Edge ID",IF(NOT(OR(AND(B421="UC",E421="CAP",D421="requires"),AND(B421="CAP",E421="AIR",D421="provided by"),AND(B421="AIR",OR(E421="MOD",E421="DATA",E421="IF",E421="AG",E421="TOOL"),D421="references"),AND(B421="AIR",E421="AIR",D421="depends on"))),"Invalid relationship",IF(AND(M421&lt;&gt;"Superseded",COUNTIFS($B$4:$B$1003,B421,$C$4:$C$1003,C421,$D$4:$D$1003,D421,$E$4:$E$1003,E421,$F$4:$F$1003,F421,$G$4:$G$1003,G421,$M$4:$M$1003,"&lt;&gt;Superseded")&gt;1),"Duplicate relationship",IF(OR(IF(B421="UC",COUNTIF('Use cases'!$A$4:$A$253,C421),IF(B421="CAP",COUNTIF(Capabilities!$A$4:$A$253,C421),IF(B421="AIR",COUNTIF('System map'!$A$4:$A$203,C421),COUNTIFS(Components!$A$4:$A$253,C421,Components!$B$4:$B$253,B421))))&lt;&gt;1,IF(E421="UC",COUNTIF('Use cases'!$A$4:$A$253,F421),IF(E421="CAP",COUNTIF(Capabilities!$A$4:$A$253,F421),IF(E421="AIR",COUNTIF('System map'!$A$4:$A$203,F421),COUNTIFS(Components!$A$4:$A$253,F421,Components!$B$4:$B$253,E421))))&lt;&gt;1),"Endpoint missing or duplicated",IF(AND(NOT(AND(B421="UC",E421="CAP")),OR(G421="",COUNTIF('System map'!$A$4:$A$203,G421)&lt;&gt;1)),"AIR context missing / unknown",IF(AND(B421="CAP",E421="AIR",G421&lt;&gt;F421),"AIR context mismatch",IF(AND(B421="AIR",G421&lt;&gt;C421),"AIR context mismatch",IF(AND(B421="AIR",E421="AIR",C421=F421),"Self-dependency",IF(AND(B421="AIR",E421="AIR",M421&lt;&gt;"Superseded",COUNTIFS($B$4:$B$1003,"AIR",$C$4:$C$1003,F421,$E$4:$E$1003,"AIR",$F$4:$F$1003,C421,$M$4:$M$1003,"&lt;&gt;Superseded")&gt;0),"Dependency cycle (A↔B) — review",IF(AND(B421="AIR",OR(E421="MOD",E421="DATA",E421="IF",E421="AG",E421="TOOL"),IFERROR(INDEX(Components!$G$4:$G$253,MATCH(F421,Components!$A$4:$A$253,0)),"")&lt;&gt;"",IFERROR(INDEX(Components!$G$4:$G$253,MATCH(F421,Components!$A$4:$A$253,0)),"")&lt;&gt;C421),"Component owned by another AIR-ID",IF(AND(M421="Confirmed",OR(IF(B421="UC",COUNTIFS('Use cases'!$A$4:$A$253,C421,'Use cases'!$I$4:$I$253,"Confirmed",'Use cases'!$J$4:$J$253,"OK — verify source"),IF(B421="CAP",COUNTIFS(Capabilities!$A$4:$A$253,C421,Capabilities!$J$4:$J$253,"Confirmed",Capabilities!$K$4:$K$253,"OK — verify source"),IF(B421="AIR",COUNTIFS('System map'!$A$4:$A$203,C421,'System map'!$B$4:$B$203,"&lt;&gt;",'System map'!$C$4:$C$203,"&lt;&gt;",'System map'!$D$4:$D$203,"&lt;&gt;"),COUNTIFS(Components!$A$4:$A$253,C421,Components!$B$4:$B$253,B421,Components!$K$4:$K$253,"Confirmed",Components!$L$4:$L$253,"OK — verify source"))))&lt;&gt;1,IF(E421="UC",COUNTIFS('Use cases'!$A$4:$A$253,F421,'Use cases'!$I$4:$I$253,"Confirmed",'Use cases'!$J$4:$J$253,"OK — verify source"),IF(E421="CAP",COUNTIFS(Capabilities!$A$4:$A$253,F421,Capabilities!$J$4:$J$253,"Confirmed",Capabilities!$K$4:$K$253,"OK — verify source"),IF(E421="AIR",COUNTIFS('System map'!$A$4:$A$203,F421,'System map'!$B$4:$B$203,"&lt;&gt;",'System map'!$C$4:$C$203,"&lt;&gt;",'System map'!$D$4:$D$203,"&lt;&gt;"),COUNTIFS(Components!$A$4:$A$253,F421,Components!$B$4:$B$253,E421,Components!$K$4:$K$253,"Confirmed",Components!$L$4:$L$253,"OK — verify source"))))&lt;&gt;1)),"Endpoint not source-reconciled",IF(AND(M421="Confirmed",OR(L421="",K421="",K421="Unknown",K421="Low")),"Confirmed link lacks verification","OK — verify source"))))))))))))))</f>
        <v/>
      </c>
    </row>
    <row r="422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6" t="n"/>
      <c r="M422" s="25" t="n"/>
      <c r="N422" s="25">
        <f>IF(COUNTA(A422:M422)=0,"",IF(OR(A422="",B422="",C422="",D422="",E422="",F422="",I422="",J422="",K422="",M422=""),"Required link detail missing",IF(COUNTIF($A$4:$A$1003,A422)&gt;1,"Duplicate Map Edge ID",IF(NOT(OR(AND(B422="UC",E422="CAP",D422="requires"),AND(B422="CAP",E422="AIR",D422="provided by"),AND(B422="AIR",OR(E422="MOD",E422="DATA",E422="IF",E422="AG",E422="TOOL"),D422="references"),AND(B422="AIR",E422="AIR",D422="depends on"))),"Invalid relationship",IF(AND(M422&lt;&gt;"Superseded",COUNTIFS($B$4:$B$1003,B422,$C$4:$C$1003,C422,$D$4:$D$1003,D422,$E$4:$E$1003,E422,$F$4:$F$1003,F422,$G$4:$G$1003,G422,$M$4:$M$1003,"&lt;&gt;Superseded")&gt;1),"Duplicate relationship",IF(OR(IF(B422="UC",COUNTIF('Use cases'!$A$4:$A$253,C422),IF(B422="CAP",COUNTIF(Capabilities!$A$4:$A$253,C422),IF(B422="AIR",COUNTIF('System map'!$A$4:$A$203,C422),COUNTIFS(Components!$A$4:$A$253,C422,Components!$B$4:$B$253,B422))))&lt;&gt;1,IF(E422="UC",COUNTIF('Use cases'!$A$4:$A$253,F422),IF(E422="CAP",COUNTIF(Capabilities!$A$4:$A$253,F422),IF(E422="AIR",COUNTIF('System map'!$A$4:$A$203,F422),COUNTIFS(Components!$A$4:$A$253,F422,Components!$B$4:$B$253,E422))))&lt;&gt;1),"Endpoint missing or duplicated",IF(AND(NOT(AND(B422="UC",E422="CAP")),OR(G422="",COUNTIF('System map'!$A$4:$A$203,G422)&lt;&gt;1)),"AIR context missing / unknown",IF(AND(B422="CAP",E422="AIR",G422&lt;&gt;F422),"AIR context mismatch",IF(AND(B422="AIR",G422&lt;&gt;C422),"AIR context mismatch",IF(AND(B422="AIR",E422="AIR",C422=F422),"Self-dependency",IF(AND(B422="AIR",E422="AIR",M422&lt;&gt;"Superseded",COUNTIFS($B$4:$B$1003,"AIR",$C$4:$C$1003,F422,$E$4:$E$1003,"AIR",$F$4:$F$1003,C422,$M$4:$M$1003,"&lt;&gt;Superseded")&gt;0),"Dependency cycle (A↔B) — review",IF(AND(B422="AIR",OR(E422="MOD",E422="DATA",E422="IF",E422="AG",E422="TOOL"),IFERROR(INDEX(Components!$G$4:$G$253,MATCH(F422,Components!$A$4:$A$253,0)),"")&lt;&gt;"",IFERROR(INDEX(Components!$G$4:$G$253,MATCH(F422,Components!$A$4:$A$253,0)),"")&lt;&gt;C422),"Component owned by another AIR-ID",IF(AND(M422="Confirmed",OR(IF(B422="UC",COUNTIFS('Use cases'!$A$4:$A$253,C422,'Use cases'!$I$4:$I$253,"Confirmed",'Use cases'!$J$4:$J$253,"OK — verify source"),IF(B422="CAP",COUNTIFS(Capabilities!$A$4:$A$253,C422,Capabilities!$J$4:$J$253,"Confirmed",Capabilities!$K$4:$K$253,"OK — verify source"),IF(B422="AIR",COUNTIFS('System map'!$A$4:$A$203,C422,'System map'!$B$4:$B$203,"&lt;&gt;",'System map'!$C$4:$C$203,"&lt;&gt;",'System map'!$D$4:$D$203,"&lt;&gt;"),COUNTIFS(Components!$A$4:$A$253,C422,Components!$B$4:$B$253,B422,Components!$K$4:$K$253,"Confirmed",Components!$L$4:$L$253,"OK — verify source"))))&lt;&gt;1,IF(E422="UC",COUNTIFS('Use cases'!$A$4:$A$253,F422,'Use cases'!$I$4:$I$253,"Confirmed",'Use cases'!$J$4:$J$253,"OK — verify source"),IF(E422="CAP",COUNTIFS(Capabilities!$A$4:$A$253,F422,Capabilities!$J$4:$J$253,"Confirmed",Capabilities!$K$4:$K$253,"OK — verify source"),IF(E422="AIR",COUNTIFS('System map'!$A$4:$A$203,F422,'System map'!$B$4:$B$203,"&lt;&gt;",'System map'!$C$4:$C$203,"&lt;&gt;",'System map'!$D$4:$D$203,"&lt;&gt;"),COUNTIFS(Components!$A$4:$A$253,F422,Components!$B$4:$B$253,E422,Components!$K$4:$K$253,"Confirmed",Components!$L$4:$L$253,"OK — verify source"))))&lt;&gt;1)),"Endpoint not source-reconciled",IF(AND(M422="Confirmed",OR(L422="",K422="",K422="Unknown",K422="Low")),"Confirmed link lacks verification","OK — verify source"))))))))))))))</f>
        <v/>
      </c>
    </row>
    <row r="423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8" t="n"/>
      <c r="M423" s="27" t="n"/>
      <c r="N423" s="27">
        <f>IF(COUNTA(A423:M423)=0,"",IF(OR(A423="",B423="",C423="",D423="",E423="",F423="",I423="",J423="",K423="",M423=""),"Required link detail missing",IF(COUNTIF($A$4:$A$1003,A423)&gt;1,"Duplicate Map Edge ID",IF(NOT(OR(AND(B423="UC",E423="CAP",D423="requires"),AND(B423="CAP",E423="AIR",D423="provided by"),AND(B423="AIR",OR(E423="MOD",E423="DATA",E423="IF",E423="AG",E423="TOOL"),D423="references"),AND(B423="AIR",E423="AIR",D423="depends on"))),"Invalid relationship",IF(AND(M423&lt;&gt;"Superseded",COUNTIFS($B$4:$B$1003,B423,$C$4:$C$1003,C423,$D$4:$D$1003,D423,$E$4:$E$1003,E423,$F$4:$F$1003,F423,$G$4:$G$1003,G423,$M$4:$M$1003,"&lt;&gt;Superseded")&gt;1),"Duplicate relationship",IF(OR(IF(B423="UC",COUNTIF('Use cases'!$A$4:$A$253,C423),IF(B423="CAP",COUNTIF(Capabilities!$A$4:$A$253,C423),IF(B423="AIR",COUNTIF('System map'!$A$4:$A$203,C423),COUNTIFS(Components!$A$4:$A$253,C423,Components!$B$4:$B$253,B423))))&lt;&gt;1,IF(E423="UC",COUNTIF('Use cases'!$A$4:$A$253,F423),IF(E423="CAP",COUNTIF(Capabilities!$A$4:$A$253,F423),IF(E423="AIR",COUNTIF('System map'!$A$4:$A$203,F423),COUNTIFS(Components!$A$4:$A$253,F423,Components!$B$4:$B$253,E423))))&lt;&gt;1),"Endpoint missing or duplicated",IF(AND(NOT(AND(B423="UC",E423="CAP")),OR(G423="",COUNTIF('System map'!$A$4:$A$203,G423)&lt;&gt;1)),"AIR context missing / unknown",IF(AND(B423="CAP",E423="AIR",G423&lt;&gt;F423),"AIR context mismatch",IF(AND(B423="AIR",G423&lt;&gt;C423),"AIR context mismatch",IF(AND(B423="AIR",E423="AIR",C423=F423),"Self-dependency",IF(AND(B423="AIR",E423="AIR",M423&lt;&gt;"Superseded",COUNTIFS($B$4:$B$1003,"AIR",$C$4:$C$1003,F423,$E$4:$E$1003,"AIR",$F$4:$F$1003,C423,$M$4:$M$1003,"&lt;&gt;Superseded")&gt;0),"Dependency cycle (A↔B) — review",IF(AND(B423="AIR",OR(E423="MOD",E423="DATA",E423="IF",E423="AG",E423="TOOL"),IFERROR(INDEX(Components!$G$4:$G$253,MATCH(F423,Components!$A$4:$A$253,0)),"")&lt;&gt;"",IFERROR(INDEX(Components!$G$4:$G$253,MATCH(F423,Components!$A$4:$A$253,0)),"")&lt;&gt;C423),"Component owned by another AIR-ID",IF(AND(M423="Confirmed",OR(IF(B423="UC",COUNTIFS('Use cases'!$A$4:$A$253,C423,'Use cases'!$I$4:$I$253,"Confirmed",'Use cases'!$J$4:$J$253,"OK — verify source"),IF(B423="CAP",COUNTIFS(Capabilities!$A$4:$A$253,C423,Capabilities!$J$4:$J$253,"Confirmed",Capabilities!$K$4:$K$253,"OK — verify source"),IF(B423="AIR",COUNTIFS('System map'!$A$4:$A$203,C423,'System map'!$B$4:$B$203,"&lt;&gt;",'System map'!$C$4:$C$203,"&lt;&gt;",'System map'!$D$4:$D$203,"&lt;&gt;"),COUNTIFS(Components!$A$4:$A$253,C423,Components!$B$4:$B$253,B423,Components!$K$4:$K$253,"Confirmed",Components!$L$4:$L$253,"OK — verify source"))))&lt;&gt;1,IF(E423="UC",COUNTIFS('Use cases'!$A$4:$A$253,F423,'Use cases'!$I$4:$I$253,"Confirmed",'Use cases'!$J$4:$J$253,"OK — verify source"),IF(E423="CAP",COUNTIFS(Capabilities!$A$4:$A$253,F423,Capabilities!$J$4:$J$253,"Confirmed",Capabilities!$K$4:$K$253,"OK — verify source"),IF(E423="AIR",COUNTIFS('System map'!$A$4:$A$203,F423,'System map'!$B$4:$B$203,"&lt;&gt;",'System map'!$C$4:$C$203,"&lt;&gt;",'System map'!$D$4:$D$203,"&lt;&gt;"),COUNTIFS(Components!$A$4:$A$253,F423,Components!$B$4:$B$253,E423,Components!$K$4:$K$253,"Confirmed",Components!$L$4:$L$253,"OK — verify source"))))&lt;&gt;1)),"Endpoint not source-reconciled",IF(AND(M423="Confirmed",OR(L423="",K423="",K423="Unknown",K423="Low")),"Confirmed link lacks verification","OK — verify source"))))))))))))))</f>
        <v/>
      </c>
    </row>
    <row r="42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6" t="n"/>
      <c r="M424" s="25" t="n"/>
      <c r="N424" s="25">
        <f>IF(COUNTA(A424:M424)=0,"",IF(OR(A424="",B424="",C424="",D424="",E424="",F424="",I424="",J424="",K424="",M424=""),"Required link detail missing",IF(COUNTIF($A$4:$A$1003,A424)&gt;1,"Duplicate Map Edge ID",IF(NOT(OR(AND(B424="UC",E424="CAP",D424="requires"),AND(B424="CAP",E424="AIR",D424="provided by"),AND(B424="AIR",OR(E424="MOD",E424="DATA",E424="IF",E424="AG",E424="TOOL"),D424="references"),AND(B424="AIR",E424="AIR",D424="depends on"))),"Invalid relationship",IF(AND(M424&lt;&gt;"Superseded",COUNTIFS($B$4:$B$1003,B424,$C$4:$C$1003,C424,$D$4:$D$1003,D424,$E$4:$E$1003,E424,$F$4:$F$1003,F424,$G$4:$G$1003,G424,$M$4:$M$1003,"&lt;&gt;Superseded")&gt;1),"Duplicate relationship",IF(OR(IF(B424="UC",COUNTIF('Use cases'!$A$4:$A$253,C424),IF(B424="CAP",COUNTIF(Capabilities!$A$4:$A$253,C424),IF(B424="AIR",COUNTIF('System map'!$A$4:$A$203,C424),COUNTIFS(Components!$A$4:$A$253,C424,Components!$B$4:$B$253,B424))))&lt;&gt;1,IF(E424="UC",COUNTIF('Use cases'!$A$4:$A$253,F424),IF(E424="CAP",COUNTIF(Capabilities!$A$4:$A$253,F424),IF(E424="AIR",COUNTIF('System map'!$A$4:$A$203,F424),COUNTIFS(Components!$A$4:$A$253,F424,Components!$B$4:$B$253,E424))))&lt;&gt;1),"Endpoint missing or duplicated",IF(AND(NOT(AND(B424="UC",E424="CAP")),OR(G424="",COUNTIF('System map'!$A$4:$A$203,G424)&lt;&gt;1)),"AIR context missing / unknown",IF(AND(B424="CAP",E424="AIR",G424&lt;&gt;F424),"AIR context mismatch",IF(AND(B424="AIR",G424&lt;&gt;C424),"AIR context mismatch",IF(AND(B424="AIR",E424="AIR",C424=F424),"Self-dependency",IF(AND(B424="AIR",E424="AIR",M424&lt;&gt;"Superseded",COUNTIFS($B$4:$B$1003,"AIR",$C$4:$C$1003,F424,$E$4:$E$1003,"AIR",$F$4:$F$1003,C424,$M$4:$M$1003,"&lt;&gt;Superseded")&gt;0),"Dependency cycle (A↔B) — review",IF(AND(B424="AIR",OR(E424="MOD",E424="DATA",E424="IF",E424="AG",E424="TOOL"),IFERROR(INDEX(Components!$G$4:$G$253,MATCH(F424,Components!$A$4:$A$253,0)),"")&lt;&gt;"",IFERROR(INDEX(Components!$G$4:$G$253,MATCH(F424,Components!$A$4:$A$253,0)),"")&lt;&gt;C424),"Component owned by another AIR-ID",IF(AND(M424="Confirmed",OR(IF(B424="UC",COUNTIFS('Use cases'!$A$4:$A$253,C424,'Use cases'!$I$4:$I$253,"Confirmed",'Use cases'!$J$4:$J$253,"OK — verify source"),IF(B424="CAP",COUNTIFS(Capabilities!$A$4:$A$253,C424,Capabilities!$J$4:$J$253,"Confirmed",Capabilities!$K$4:$K$253,"OK — verify source"),IF(B424="AIR",COUNTIFS('System map'!$A$4:$A$203,C424,'System map'!$B$4:$B$203,"&lt;&gt;",'System map'!$C$4:$C$203,"&lt;&gt;",'System map'!$D$4:$D$203,"&lt;&gt;"),COUNTIFS(Components!$A$4:$A$253,C424,Components!$B$4:$B$253,B424,Components!$K$4:$K$253,"Confirmed",Components!$L$4:$L$253,"OK — verify source"))))&lt;&gt;1,IF(E424="UC",COUNTIFS('Use cases'!$A$4:$A$253,F424,'Use cases'!$I$4:$I$253,"Confirmed",'Use cases'!$J$4:$J$253,"OK — verify source"),IF(E424="CAP",COUNTIFS(Capabilities!$A$4:$A$253,F424,Capabilities!$J$4:$J$253,"Confirmed",Capabilities!$K$4:$K$253,"OK — verify source"),IF(E424="AIR",COUNTIFS('System map'!$A$4:$A$203,F424,'System map'!$B$4:$B$203,"&lt;&gt;",'System map'!$C$4:$C$203,"&lt;&gt;",'System map'!$D$4:$D$203,"&lt;&gt;"),COUNTIFS(Components!$A$4:$A$253,F424,Components!$B$4:$B$253,E424,Components!$K$4:$K$253,"Confirmed",Components!$L$4:$L$253,"OK — verify source"))))&lt;&gt;1)),"Endpoint not source-reconciled",IF(AND(M424="Confirmed",OR(L424="",K424="",K424="Unknown",K424="Low")),"Confirmed link lacks verification","OK — verify source"))))))))))))))</f>
        <v/>
      </c>
    </row>
    <row r="425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8" t="n"/>
      <c r="M425" s="27" t="n"/>
      <c r="N425" s="27">
        <f>IF(COUNTA(A425:M425)=0,"",IF(OR(A425="",B425="",C425="",D425="",E425="",F425="",I425="",J425="",K425="",M425=""),"Required link detail missing",IF(COUNTIF($A$4:$A$1003,A425)&gt;1,"Duplicate Map Edge ID",IF(NOT(OR(AND(B425="UC",E425="CAP",D425="requires"),AND(B425="CAP",E425="AIR",D425="provided by"),AND(B425="AIR",OR(E425="MOD",E425="DATA",E425="IF",E425="AG",E425="TOOL"),D425="references"),AND(B425="AIR",E425="AIR",D425="depends on"))),"Invalid relationship",IF(AND(M425&lt;&gt;"Superseded",COUNTIFS($B$4:$B$1003,B425,$C$4:$C$1003,C425,$D$4:$D$1003,D425,$E$4:$E$1003,E425,$F$4:$F$1003,F425,$G$4:$G$1003,G425,$M$4:$M$1003,"&lt;&gt;Superseded")&gt;1),"Duplicate relationship",IF(OR(IF(B425="UC",COUNTIF('Use cases'!$A$4:$A$253,C425),IF(B425="CAP",COUNTIF(Capabilities!$A$4:$A$253,C425),IF(B425="AIR",COUNTIF('System map'!$A$4:$A$203,C425),COUNTIFS(Components!$A$4:$A$253,C425,Components!$B$4:$B$253,B425))))&lt;&gt;1,IF(E425="UC",COUNTIF('Use cases'!$A$4:$A$253,F425),IF(E425="CAP",COUNTIF(Capabilities!$A$4:$A$253,F425),IF(E425="AIR",COUNTIF('System map'!$A$4:$A$203,F425),COUNTIFS(Components!$A$4:$A$253,F425,Components!$B$4:$B$253,E425))))&lt;&gt;1),"Endpoint missing or duplicated",IF(AND(NOT(AND(B425="UC",E425="CAP")),OR(G425="",COUNTIF('System map'!$A$4:$A$203,G425)&lt;&gt;1)),"AIR context missing / unknown",IF(AND(B425="CAP",E425="AIR",G425&lt;&gt;F425),"AIR context mismatch",IF(AND(B425="AIR",G425&lt;&gt;C425),"AIR context mismatch",IF(AND(B425="AIR",E425="AIR",C425=F425),"Self-dependency",IF(AND(B425="AIR",E425="AIR",M425&lt;&gt;"Superseded",COUNTIFS($B$4:$B$1003,"AIR",$C$4:$C$1003,F425,$E$4:$E$1003,"AIR",$F$4:$F$1003,C425,$M$4:$M$1003,"&lt;&gt;Superseded")&gt;0),"Dependency cycle (A↔B) — review",IF(AND(B425="AIR",OR(E425="MOD",E425="DATA",E425="IF",E425="AG",E425="TOOL"),IFERROR(INDEX(Components!$G$4:$G$253,MATCH(F425,Components!$A$4:$A$253,0)),"")&lt;&gt;"",IFERROR(INDEX(Components!$G$4:$G$253,MATCH(F425,Components!$A$4:$A$253,0)),"")&lt;&gt;C425),"Component owned by another AIR-ID",IF(AND(M425="Confirmed",OR(IF(B425="UC",COUNTIFS('Use cases'!$A$4:$A$253,C425,'Use cases'!$I$4:$I$253,"Confirmed",'Use cases'!$J$4:$J$253,"OK — verify source"),IF(B425="CAP",COUNTIFS(Capabilities!$A$4:$A$253,C425,Capabilities!$J$4:$J$253,"Confirmed",Capabilities!$K$4:$K$253,"OK — verify source"),IF(B425="AIR",COUNTIFS('System map'!$A$4:$A$203,C425,'System map'!$B$4:$B$203,"&lt;&gt;",'System map'!$C$4:$C$203,"&lt;&gt;",'System map'!$D$4:$D$203,"&lt;&gt;"),COUNTIFS(Components!$A$4:$A$253,C425,Components!$B$4:$B$253,B425,Components!$K$4:$K$253,"Confirmed",Components!$L$4:$L$253,"OK — verify source"))))&lt;&gt;1,IF(E425="UC",COUNTIFS('Use cases'!$A$4:$A$253,F425,'Use cases'!$I$4:$I$253,"Confirmed",'Use cases'!$J$4:$J$253,"OK — verify source"),IF(E425="CAP",COUNTIFS(Capabilities!$A$4:$A$253,F425,Capabilities!$J$4:$J$253,"Confirmed",Capabilities!$K$4:$K$253,"OK — verify source"),IF(E425="AIR",COUNTIFS('System map'!$A$4:$A$203,F425,'System map'!$B$4:$B$203,"&lt;&gt;",'System map'!$C$4:$C$203,"&lt;&gt;",'System map'!$D$4:$D$203,"&lt;&gt;"),COUNTIFS(Components!$A$4:$A$253,F425,Components!$B$4:$B$253,E425,Components!$K$4:$K$253,"Confirmed",Components!$L$4:$L$253,"OK — verify source"))))&lt;&gt;1)),"Endpoint not source-reconciled",IF(AND(M425="Confirmed",OR(L425="",K425="",K425="Unknown",K425="Low")),"Confirmed link lacks verification","OK — verify source"))))))))))))))</f>
        <v/>
      </c>
    </row>
    <row r="426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6" t="n"/>
      <c r="M426" s="25" t="n"/>
      <c r="N426" s="25">
        <f>IF(COUNTA(A426:M426)=0,"",IF(OR(A426="",B426="",C426="",D426="",E426="",F426="",I426="",J426="",K426="",M426=""),"Required link detail missing",IF(COUNTIF($A$4:$A$1003,A426)&gt;1,"Duplicate Map Edge ID",IF(NOT(OR(AND(B426="UC",E426="CAP",D426="requires"),AND(B426="CAP",E426="AIR",D426="provided by"),AND(B426="AIR",OR(E426="MOD",E426="DATA",E426="IF",E426="AG",E426="TOOL"),D426="references"),AND(B426="AIR",E426="AIR",D426="depends on"))),"Invalid relationship",IF(AND(M426&lt;&gt;"Superseded",COUNTIFS($B$4:$B$1003,B426,$C$4:$C$1003,C426,$D$4:$D$1003,D426,$E$4:$E$1003,E426,$F$4:$F$1003,F426,$G$4:$G$1003,G426,$M$4:$M$1003,"&lt;&gt;Superseded")&gt;1),"Duplicate relationship",IF(OR(IF(B426="UC",COUNTIF('Use cases'!$A$4:$A$253,C426),IF(B426="CAP",COUNTIF(Capabilities!$A$4:$A$253,C426),IF(B426="AIR",COUNTIF('System map'!$A$4:$A$203,C426),COUNTIFS(Components!$A$4:$A$253,C426,Components!$B$4:$B$253,B426))))&lt;&gt;1,IF(E426="UC",COUNTIF('Use cases'!$A$4:$A$253,F426),IF(E426="CAP",COUNTIF(Capabilities!$A$4:$A$253,F426),IF(E426="AIR",COUNTIF('System map'!$A$4:$A$203,F426),COUNTIFS(Components!$A$4:$A$253,F426,Components!$B$4:$B$253,E426))))&lt;&gt;1),"Endpoint missing or duplicated",IF(AND(NOT(AND(B426="UC",E426="CAP")),OR(G426="",COUNTIF('System map'!$A$4:$A$203,G426)&lt;&gt;1)),"AIR context missing / unknown",IF(AND(B426="CAP",E426="AIR",G426&lt;&gt;F426),"AIR context mismatch",IF(AND(B426="AIR",G426&lt;&gt;C426),"AIR context mismatch",IF(AND(B426="AIR",E426="AIR",C426=F426),"Self-dependency",IF(AND(B426="AIR",E426="AIR",M426&lt;&gt;"Superseded",COUNTIFS($B$4:$B$1003,"AIR",$C$4:$C$1003,F426,$E$4:$E$1003,"AIR",$F$4:$F$1003,C426,$M$4:$M$1003,"&lt;&gt;Superseded")&gt;0),"Dependency cycle (A↔B) — review",IF(AND(B426="AIR",OR(E426="MOD",E426="DATA",E426="IF",E426="AG",E426="TOOL"),IFERROR(INDEX(Components!$G$4:$G$253,MATCH(F426,Components!$A$4:$A$253,0)),"")&lt;&gt;"",IFERROR(INDEX(Components!$G$4:$G$253,MATCH(F426,Components!$A$4:$A$253,0)),"")&lt;&gt;C426),"Component owned by another AIR-ID",IF(AND(M426="Confirmed",OR(IF(B426="UC",COUNTIFS('Use cases'!$A$4:$A$253,C426,'Use cases'!$I$4:$I$253,"Confirmed",'Use cases'!$J$4:$J$253,"OK — verify source"),IF(B426="CAP",COUNTIFS(Capabilities!$A$4:$A$253,C426,Capabilities!$J$4:$J$253,"Confirmed",Capabilities!$K$4:$K$253,"OK — verify source"),IF(B426="AIR",COUNTIFS('System map'!$A$4:$A$203,C426,'System map'!$B$4:$B$203,"&lt;&gt;",'System map'!$C$4:$C$203,"&lt;&gt;",'System map'!$D$4:$D$203,"&lt;&gt;"),COUNTIFS(Components!$A$4:$A$253,C426,Components!$B$4:$B$253,B426,Components!$K$4:$K$253,"Confirmed",Components!$L$4:$L$253,"OK — verify source"))))&lt;&gt;1,IF(E426="UC",COUNTIFS('Use cases'!$A$4:$A$253,F426,'Use cases'!$I$4:$I$253,"Confirmed",'Use cases'!$J$4:$J$253,"OK — verify source"),IF(E426="CAP",COUNTIFS(Capabilities!$A$4:$A$253,F426,Capabilities!$J$4:$J$253,"Confirmed",Capabilities!$K$4:$K$253,"OK — verify source"),IF(E426="AIR",COUNTIFS('System map'!$A$4:$A$203,F426,'System map'!$B$4:$B$203,"&lt;&gt;",'System map'!$C$4:$C$203,"&lt;&gt;",'System map'!$D$4:$D$203,"&lt;&gt;"),COUNTIFS(Components!$A$4:$A$253,F426,Components!$B$4:$B$253,E426,Components!$K$4:$K$253,"Confirmed",Components!$L$4:$L$253,"OK — verify source"))))&lt;&gt;1)),"Endpoint not source-reconciled",IF(AND(M426="Confirmed",OR(L426="",K426="",K426="Unknown",K426="Low")),"Confirmed link lacks verification","OK — verify source"))))))))))))))</f>
        <v/>
      </c>
    </row>
    <row r="427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8" t="n"/>
      <c r="M427" s="27" t="n"/>
      <c r="N427" s="27">
        <f>IF(COUNTA(A427:M427)=0,"",IF(OR(A427="",B427="",C427="",D427="",E427="",F427="",I427="",J427="",K427="",M427=""),"Required link detail missing",IF(COUNTIF($A$4:$A$1003,A427)&gt;1,"Duplicate Map Edge ID",IF(NOT(OR(AND(B427="UC",E427="CAP",D427="requires"),AND(B427="CAP",E427="AIR",D427="provided by"),AND(B427="AIR",OR(E427="MOD",E427="DATA",E427="IF",E427="AG",E427="TOOL"),D427="references"),AND(B427="AIR",E427="AIR",D427="depends on"))),"Invalid relationship",IF(AND(M427&lt;&gt;"Superseded",COUNTIFS($B$4:$B$1003,B427,$C$4:$C$1003,C427,$D$4:$D$1003,D427,$E$4:$E$1003,E427,$F$4:$F$1003,F427,$G$4:$G$1003,G427,$M$4:$M$1003,"&lt;&gt;Superseded")&gt;1),"Duplicate relationship",IF(OR(IF(B427="UC",COUNTIF('Use cases'!$A$4:$A$253,C427),IF(B427="CAP",COUNTIF(Capabilities!$A$4:$A$253,C427),IF(B427="AIR",COUNTIF('System map'!$A$4:$A$203,C427),COUNTIFS(Components!$A$4:$A$253,C427,Components!$B$4:$B$253,B427))))&lt;&gt;1,IF(E427="UC",COUNTIF('Use cases'!$A$4:$A$253,F427),IF(E427="CAP",COUNTIF(Capabilities!$A$4:$A$253,F427),IF(E427="AIR",COUNTIF('System map'!$A$4:$A$203,F427),COUNTIFS(Components!$A$4:$A$253,F427,Components!$B$4:$B$253,E427))))&lt;&gt;1),"Endpoint missing or duplicated",IF(AND(NOT(AND(B427="UC",E427="CAP")),OR(G427="",COUNTIF('System map'!$A$4:$A$203,G427)&lt;&gt;1)),"AIR context missing / unknown",IF(AND(B427="CAP",E427="AIR",G427&lt;&gt;F427),"AIR context mismatch",IF(AND(B427="AIR",G427&lt;&gt;C427),"AIR context mismatch",IF(AND(B427="AIR",E427="AIR",C427=F427),"Self-dependency",IF(AND(B427="AIR",E427="AIR",M427&lt;&gt;"Superseded",COUNTIFS($B$4:$B$1003,"AIR",$C$4:$C$1003,F427,$E$4:$E$1003,"AIR",$F$4:$F$1003,C427,$M$4:$M$1003,"&lt;&gt;Superseded")&gt;0),"Dependency cycle (A↔B) — review",IF(AND(B427="AIR",OR(E427="MOD",E427="DATA",E427="IF",E427="AG",E427="TOOL"),IFERROR(INDEX(Components!$G$4:$G$253,MATCH(F427,Components!$A$4:$A$253,0)),"")&lt;&gt;"",IFERROR(INDEX(Components!$G$4:$G$253,MATCH(F427,Components!$A$4:$A$253,0)),"")&lt;&gt;C427),"Component owned by another AIR-ID",IF(AND(M427="Confirmed",OR(IF(B427="UC",COUNTIFS('Use cases'!$A$4:$A$253,C427,'Use cases'!$I$4:$I$253,"Confirmed",'Use cases'!$J$4:$J$253,"OK — verify source"),IF(B427="CAP",COUNTIFS(Capabilities!$A$4:$A$253,C427,Capabilities!$J$4:$J$253,"Confirmed",Capabilities!$K$4:$K$253,"OK — verify source"),IF(B427="AIR",COUNTIFS('System map'!$A$4:$A$203,C427,'System map'!$B$4:$B$203,"&lt;&gt;",'System map'!$C$4:$C$203,"&lt;&gt;",'System map'!$D$4:$D$203,"&lt;&gt;"),COUNTIFS(Components!$A$4:$A$253,C427,Components!$B$4:$B$253,B427,Components!$K$4:$K$253,"Confirmed",Components!$L$4:$L$253,"OK — verify source"))))&lt;&gt;1,IF(E427="UC",COUNTIFS('Use cases'!$A$4:$A$253,F427,'Use cases'!$I$4:$I$253,"Confirmed",'Use cases'!$J$4:$J$253,"OK — verify source"),IF(E427="CAP",COUNTIFS(Capabilities!$A$4:$A$253,F427,Capabilities!$J$4:$J$253,"Confirmed",Capabilities!$K$4:$K$253,"OK — verify source"),IF(E427="AIR",COUNTIFS('System map'!$A$4:$A$203,F427,'System map'!$B$4:$B$203,"&lt;&gt;",'System map'!$C$4:$C$203,"&lt;&gt;",'System map'!$D$4:$D$203,"&lt;&gt;"),COUNTIFS(Components!$A$4:$A$253,F427,Components!$B$4:$B$253,E427,Components!$K$4:$K$253,"Confirmed",Components!$L$4:$L$253,"OK — verify source"))))&lt;&gt;1)),"Endpoint not source-reconciled",IF(AND(M427="Confirmed",OR(L427="",K427="",K427="Unknown",K427="Low")),"Confirmed link lacks verification","OK — verify source"))))))))))))))</f>
        <v/>
      </c>
    </row>
    <row r="428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6" t="n"/>
      <c r="M428" s="25" t="n"/>
      <c r="N428" s="25">
        <f>IF(COUNTA(A428:M428)=0,"",IF(OR(A428="",B428="",C428="",D428="",E428="",F428="",I428="",J428="",K428="",M428=""),"Required link detail missing",IF(COUNTIF($A$4:$A$1003,A428)&gt;1,"Duplicate Map Edge ID",IF(NOT(OR(AND(B428="UC",E428="CAP",D428="requires"),AND(B428="CAP",E428="AIR",D428="provided by"),AND(B428="AIR",OR(E428="MOD",E428="DATA",E428="IF",E428="AG",E428="TOOL"),D428="references"),AND(B428="AIR",E428="AIR",D428="depends on"))),"Invalid relationship",IF(AND(M428&lt;&gt;"Superseded",COUNTIFS($B$4:$B$1003,B428,$C$4:$C$1003,C428,$D$4:$D$1003,D428,$E$4:$E$1003,E428,$F$4:$F$1003,F428,$G$4:$G$1003,G428,$M$4:$M$1003,"&lt;&gt;Superseded")&gt;1),"Duplicate relationship",IF(OR(IF(B428="UC",COUNTIF('Use cases'!$A$4:$A$253,C428),IF(B428="CAP",COUNTIF(Capabilities!$A$4:$A$253,C428),IF(B428="AIR",COUNTIF('System map'!$A$4:$A$203,C428),COUNTIFS(Components!$A$4:$A$253,C428,Components!$B$4:$B$253,B428))))&lt;&gt;1,IF(E428="UC",COUNTIF('Use cases'!$A$4:$A$253,F428),IF(E428="CAP",COUNTIF(Capabilities!$A$4:$A$253,F428),IF(E428="AIR",COUNTIF('System map'!$A$4:$A$203,F428),COUNTIFS(Components!$A$4:$A$253,F428,Components!$B$4:$B$253,E428))))&lt;&gt;1),"Endpoint missing or duplicated",IF(AND(NOT(AND(B428="UC",E428="CAP")),OR(G428="",COUNTIF('System map'!$A$4:$A$203,G428)&lt;&gt;1)),"AIR context missing / unknown",IF(AND(B428="CAP",E428="AIR",G428&lt;&gt;F428),"AIR context mismatch",IF(AND(B428="AIR",G428&lt;&gt;C428),"AIR context mismatch",IF(AND(B428="AIR",E428="AIR",C428=F428),"Self-dependency",IF(AND(B428="AIR",E428="AIR",M428&lt;&gt;"Superseded",COUNTIFS($B$4:$B$1003,"AIR",$C$4:$C$1003,F428,$E$4:$E$1003,"AIR",$F$4:$F$1003,C428,$M$4:$M$1003,"&lt;&gt;Superseded")&gt;0),"Dependency cycle (A↔B) — review",IF(AND(B428="AIR",OR(E428="MOD",E428="DATA",E428="IF",E428="AG",E428="TOOL"),IFERROR(INDEX(Components!$G$4:$G$253,MATCH(F428,Components!$A$4:$A$253,0)),"")&lt;&gt;"",IFERROR(INDEX(Components!$G$4:$G$253,MATCH(F428,Components!$A$4:$A$253,0)),"")&lt;&gt;C428),"Component owned by another AIR-ID",IF(AND(M428="Confirmed",OR(IF(B428="UC",COUNTIFS('Use cases'!$A$4:$A$253,C428,'Use cases'!$I$4:$I$253,"Confirmed",'Use cases'!$J$4:$J$253,"OK — verify source"),IF(B428="CAP",COUNTIFS(Capabilities!$A$4:$A$253,C428,Capabilities!$J$4:$J$253,"Confirmed",Capabilities!$K$4:$K$253,"OK — verify source"),IF(B428="AIR",COUNTIFS('System map'!$A$4:$A$203,C428,'System map'!$B$4:$B$203,"&lt;&gt;",'System map'!$C$4:$C$203,"&lt;&gt;",'System map'!$D$4:$D$203,"&lt;&gt;"),COUNTIFS(Components!$A$4:$A$253,C428,Components!$B$4:$B$253,B428,Components!$K$4:$K$253,"Confirmed",Components!$L$4:$L$253,"OK — verify source"))))&lt;&gt;1,IF(E428="UC",COUNTIFS('Use cases'!$A$4:$A$253,F428,'Use cases'!$I$4:$I$253,"Confirmed",'Use cases'!$J$4:$J$253,"OK — verify source"),IF(E428="CAP",COUNTIFS(Capabilities!$A$4:$A$253,F428,Capabilities!$J$4:$J$253,"Confirmed",Capabilities!$K$4:$K$253,"OK — verify source"),IF(E428="AIR",COUNTIFS('System map'!$A$4:$A$203,F428,'System map'!$B$4:$B$203,"&lt;&gt;",'System map'!$C$4:$C$203,"&lt;&gt;",'System map'!$D$4:$D$203,"&lt;&gt;"),COUNTIFS(Components!$A$4:$A$253,F428,Components!$B$4:$B$253,E428,Components!$K$4:$K$253,"Confirmed",Components!$L$4:$L$253,"OK — verify source"))))&lt;&gt;1)),"Endpoint not source-reconciled",IF(AND(M428="Confirmed",OR(L428="",K428="",K428="Unknown",K428="Low")),"Confirmed link lacks verification","OK — verify source"))))))))))))))</f>
        <v/>
      </c>
    </row>
    <row r="429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8" t="n"/>
      <c r="M429" s="27" t="n"/>
      <c r="N429" s="27">
        <f>IF(COUNTA(A429:M429)=0,"",IF(OR(A429="",B429="",C429="",D429="",E429="",F429="",I429="",J429="",K429="",M429=""),"Required link detail missing",IF(COUNTIF($A$4:$A$1003,A429)&gt;1,"Duplicate Map Edge ID",IF(NOT(OR(AND(B429="UC",E429="CAP",D429="requires"),AND(B429="CAP",E429="AIR",D429="provided by"),AND(B429="AIR",OR(E429="MOD",E429="DATA",E429="IF",E429="AG",E429="TOOL"),D429="references"),AND(B429="AIR",E429="AIR",D429="depends on"))),"Invalid relationship",IF(AND(M429&lt;&gt;"Superseded",COUNTIFS($B$4:$B$1003,B429,$C$4:$C$1003,C429,$D$4:$D$1003,D429,$E$4:$E$1003,E429,$F$4:$F$1003,F429,$G$4:$G$1003,G429,$M$4:$M$1003,"&lt;&gt;Superseded")&gt;1),"Duplicate relationship",IF(OR(IF(B429="UC",COUNTIF('Use cases'!$A$4:$A$253,C429),IF(B429="CAP",COUNTIF(Capabilities!$A$4:$A$253,C429),IF(B429="AIR",COUNTIF('System map'!$A$4:$A$203,C429),COUNTIFS(Components!$A$4:$A$253,C429,Components!$B$4:$B$253,B429))))&lt;&gt;1,IF(E429="UC",COUNTIF('Use cases'!$A$4:$A$253,F429),IF(E429="CAP",COUNTIF(Capabilities!$A$4:$A$253,F429),IF(E429="AIR",COUNTIF('System map'!$A$4:$A$203,F429),COUNTIFS(Components!$A$4:$A$253,F429,Components!$B$4:$B$253,E429))))&lt;&gt;1),"Endpoint missing or duplicated",IF(AND(NOT(AND(B429="UC",E429="CAP")),OR(G429="",COUNTIF('System map'!$A$4:$A$203,G429)&lt;&gt;1)),"AIR context missing / unknown",IF(AND(B429="CAP",E429="AIR",G429&lt;&gt;F429),"AIR context mismatch",IF(AND(B429="AIR",G429&lt;&gt;C429),"AIR context mismatch",IF(AND(B429="AIR",E429="AIR",C429=F429),"Self-dependency",IF(AND(B429="AIR",E429="AIR",M429&lt;&gt;"Superseded",COUNTIFS($B$4:$B$1003,"AIR",$C$4:$C$1003,F429,$E$4:$E$1003,"AIR",$F$4:$F$1003,C429,$M$4:$M$1003,"&lt;&gt;Superseded")&gt;0),"Dependency cycle (A↔B) — review",IF(AND(B429="AIR",OR(E429="MOD",E429="DATA",E429="IF",E429="AG",E429="TOOL"),IFERROR(INDEX(Components!$G$4:$G$253,MATCH(F429,Components!$A$4:$A$253,0)),"")&lt;&gt;"",IFERROR(INDEX(Components!$G$4:$G$253,MATCH(F429,Components!$A$4:$A$253,0)),"")&lt;&gt;C429),"Component owned by another AIR-ID",IF(AND(M429="Confirmed",OR(IF(B429="UC",COUNTIFS('Use cases'!$A$4:$A$253,C429,'Use cases'!$I$4:$I$253,"Confirmed",'Use cases'!$J$4:$J$253,"OK — verify source"),IF(B429="CAP",COUNTIFS(Capabilities!$A$4:$A$253,C429,Capabilities!$J$4:$J$253,"Confirmed",Capabilities!$K$4:$K$253,"OK — verify source"),IF(B429="AIR",COUNTIFS('System map'!$A$4:$A$203,C429,'System map'!$B$4:$B$203,"&lt;&gt;",'System map'!$C$4:$C$203,"&lt;&gt;",'System map'!$D$4:$D$203,"&lt;&gt;"),COUNTIFS(Components!$A$4:$A$253,C429,Components!$B$4:$B$253,B429,Components!$K$4:$K$253,"Confirmed",Components!$L$4:$L$253,"OK — verify source"))))&lt;&gt;1,IF(E429="UC",COUNTIFS('Use cases'!$A$4:$A$253,F429,'Use cases'!$I$4:$I$253,"Confirmed",'Use cases'!$J$4:$J$253,"OK — verify source"),IF(E429="CAP",COUNTIFS(Capabilities!$A$4:$A$253,F429,Capabilities!$J$4:$J$253,"Confirmed",Capabilities!$K$4:$K$253,"OK — verify source"),IF(E429="AIR",COUNTIFS('System map'!$A$4:$A$203,F429,'System map'!$B$4:$B$203,"&lt;&gt;",'System map'!$C$4:$C$203,"&lt;&gt;",'System map'!$D$4:$D$203,"&lt;&gt;"),COUNTIFS(Components!$A$4:$A$253,F429,Components!$B$4:$B$253,E429,Components!$K$4:$K$253,"Confirmed",Components!$L$4:$L$253,"OK — verify source"))))&lt;&gt;1)),"Endpoint not source-reconciled",IF(AND(M429="Confirmed",OR(L429="",K429="",K429="Unknown",K429="Low")),"Confirmed link lacks verification","OK — verify source"))))))))))))))</f>
        <v/>
      </c>
    </row>
    <row r="430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6" t="n"/>
      <c r="M430" s="25" t="n"/>
      <c r="N430" s="25">
        <f>IF(COUNTA(A430:M430)=0,"",IF(OR(A430="",B430="",C430="",D430="",E430="",F430="",I430="",J430="",K430="",M430=""),"Required link detail missing",IF(COUNTIF($A$4:$A$1003,A430)&gt;1,"Duplicate Map Edge ID",IF(NOT(OR(AND(B430="UC",E430="CAP",D430="requires"),AND(B430="CAP",E430="AIR",D430="provided by"),AND(B430="AIR",OR(E430="MOD",E430="DATA",E430="IF",E430="AG",E430="TOOL"),D430="references"),AND(B430="AIR",E430="AIR",D430="depends on"))),"Invalid relationship",IF(AND(M430&lt;&gt;"Superseded",COUNTIFS($B$4:$B$1003,B430,$C$4:$C$1003,C430,$D$4:$D$1003,D430,$E$4:$E$1003,E430,$F$4:$F$1003,F430,$G$4:$G$1003,G430,$M$4:$M$1003,"&lt;&gt;Superseded")&gt;1),"Duplicate relationship",IF(OR(IF(B430="UC",COUNTIF('Use cases'!$A$4:$A$253,C430),IF(B430="CAP",COUNTIF(Capabilities!$A$4:$A$253,C430),IF(B430="AIR",COUNTIF('System map'!$A$4:$A$203,C430),COUNTIFS(Components!$A$4:$A$253,C430,Components!$B$4:$B$253,B430))))&lt;&gt;1,IF(E430="UC",COUNTIF('Use cases'!$A$4:$A$253,F430),IF(E430="CAP",COUNTIF(Capabilities!$A$4:$A$253,F430),IF(E430="AIR",COUNTIF('System map'!$A$4:$A$203,F430),COUNTIFS(Components!$A$4:$A$253,F430,Components!$B$4:$B$253,E430))))&lt;&gt;1),"Endpoint missing or duplicated",IF(AND(NOT(AND(B430="UC",E430="CAP")),OR(G430="",COUNTIF('System map'!$A$4:$A$203,G430)&lt;&gt;1)),"AIR context missing / unknown",IF(AND(B430="CAP",E430="AIR",G430&lt;&gt;F430),"AIR context mismatch",IF(AND(B430="AIR",G430&lt;&gt;C430),"AIR context mismatch",IF(AND(B430="AIR",E430="AIR",C430=F430),"Self-dependency",IF(AND(B430="AIR",E430="AIR",M430&lt;&gt;"Superseded",COUNTIFS($B$4:$B$1003,"AIR",$C$4:$C$1003,F430,$E$4:$E$1003,"AIR",$F$4:$F$1003,C430,$M$4:$M$1003,"&lt;&gt;Superseded")&gt;0),"Dependency cycle (A↔B) — review",IF(AND(B430="AIR",OR(E430="MOD",E430="DATA",E430="IF",E430="AG",E430="TOOL"),IFERROR(INDEX(Components!$G$4:$G$253,MATCH(F430,Components!$A$4:$A$253,0)),"")&lt;&gt;"",IFERROR(INDEX(Components!$G$4:$G$253,MATCH(F430,Components!$A$4:$A$253,0)),"")&lt;&gt;C430),"Component owned by another AIR-ID",IF(AND(M430="Confirmed",OR(IF(B430="UC",COUNTIFS('Use cases'!$A$4:$A$253,C430,'Use cases'!$I$4:$I$253,"Confirmed",'Use cases'!$J$4:$J$253,"OK — verify source"),IF(B430="CAP",COUNTIFS(Capabilities!$A$4:$A$253,C430,Capabilities!$J$4:$J$253,"Confirmed",Capabilities!$K$4:$K$253,"OK — verify source"),IF(B430="AIR",COUNTIFS('System map'!$A$4:$A$203,C430,'System map'!$B$4:$B$203,"&lt;&gt;",'System map'!$C$4:$C$203,"&lt;&gt;",'System map'!$D$4:$D$203,"&lt;&gt;"),COUNTIFS(Components!$A$4:$A$253,C430,Components!$B$4:$B$253,B430,Components!$K$4:$K$253,"Confirmed",Components!$L$4:$L$253,"OK — verify source"))))&lt;&gt;1,IF(E430="UC",COUNTIFS('Use cases'!$A$4:$A$253,F430,'Use cases'!$I$4:$I$253,"Confirmed",'Use cases'!$J$4:$J$253,"OK — verify source"),IF(E430="CAP",COUNTIFS(Capabilities!$A$4:$A$253,F430,Capabilities!$J$4:$J$253,"Confirmed",Capabilities!$K$4:$K$253,"OK — verify source"),IF(E430="AIR",COUNTIFS('System map'!$A$4:$A$203,F430,'System map'!$B$4:$B$203,"&lt;&gt;",'System map'!$C$4:$C$203,"&lt;&gt;",'System map'!$D$4:$D$203,"&lt;&gt;"),COUNTIFS(Components!$A$4:$A$253,F430,Components!$B$4:$B$253,E430,Components!$K$4:$K$253,"Confirmed",Components!$L$4:$L$253,"OK — verify source"))))&lt;&gt;1)),"Endpoint not source-reconciled",IF(AND(M430="Confirmed",OR(L430="",K430="",K430="Unknown",K430="Low")),"Confirmed link lacks verification","OK — verify source"))))))))))))))</f>
        <v/>
      </c>
    </row>
    <row r="431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8" t="n"/>
      <c r="M431" s="27" t="n"/>
      <c r="N431" s="27">
        <f>IF(COUNTA(A431:M431)=0,"",IF(OR(A431="",B431="",C431="",D431="",E431="",F431="",I431="",J431="",K431="",M431=""),"Required link detail missing",IF(COUNTIF($A$4:$A$1003,A431)&gt;1,"Duplicate Map Edge ID",IF(NOT(OR(AND(B431="UC",E431="CAP",D431="requires"),AND(B431="CAP",E431="AIR",D431="provided by"),AND(B431="AIR",OR(E431="MOD",E431="DATA",E431="IF",E431="AG",E431="TOOL"),D431="references"),AND(B431="AIR",E431="AIR",D431="depends on"))),"Invalid relationship",IF(AND(M431&lt;&gt;"Superseded",COUNTIFS($B$4:$B$1003,B431,$C$4:$C$1003,C431,$D$4:$D$1003,D431,$E$4:$E$1003,E431,$F$4:$F$1003,F431,$G$4:$G$1003,G431,$M$4:$M$1003,"&lt;&gt;Superseded")&gt;1),"Duplicate relationship",IF(OR(IF(B431="UC",COUNTIF('Use cases'!$A$4:$A$253,C431),IF(B431="CAP",COUNTIF(Capabilities!$A$4:$A$253,C431),IF(B431="AIR",COUNTIF('System map'!$A$4:$A$203,C431),COUNTIFS(Components!$A$4:$A$253,C431,Components!$B$4:$B$253,B431))))&lt;&gt;1,IF(E431="UC",COUNTIF('Use cases'!$A$4:$A$253,F431),IF(E431="CAP",COUNTIF(Capabilities!$A$4:$A$253,F431),IF(E431="AIR",COUNTIF('System map'!$A$4:$A$203,F431),COUNTIFS(Components!$A$4:$A$253,F431,Components!$B$4:$B$253,E431))))&lt;&gt;1),"Endpoint missing or duplicated",IF(AND(NOT(AND(B431="UC",E431="CAP")),OR(G431="",COUNTIF('System map'!$A$4:$A$203,G431)&lt;&gt;1)),"AIR context missing / unknown",IF(AND(B431="CAP",E431="AIR",G431&lt;&gt;F431),"AIR context mismatch",IF(AND(B431="AIR",G431&lt;&gt;C431),"AIR context mismatch",IF(AND(B431="AIR",E431="AIR",C431=F431),"Self-dependency",IF(AND(B431="AIR",E431="AIR",M431&lt;&gt;"Superseded",COUNTIFS($B$4:$B$1003,"AIR",$C$4:$C$1003,F431,$E$4:$E$1003,"AIR",$F$4:$F$1003,C431,$M$4:$M$1003,"&lt;&gt;Superseded")&gt;0),"Dependency cycle (A↔B) — review",IF(AND(B431="AIR",OR(E431="MOD",E431="DATA",E431="IF",E431="AG",E431="TOOL"),IFERROR(INDEX(Components!$G$4:$G$253,MATCH(F431,Components!$A$4:$A$253,0)),"")&lt;&gt;"",IFERROR(INDEX(Components!$G$4:$G$253,MATCH(F431,Components!$A$4:$A$253,0)),"")&lt;&gt;C431),"Component owned by another AIR-ID",IF(AND(M431="Confirmed",OR(IF(B431="UC",COUNTIFS('Use cases'!$A$4:$A$253,C431,'Use cases'!$I$4:$I$253,"Confirmed",'Use cases'!$J$4:$J$253,"OK — verify source"),IF(B431="CAP",COUNTIFS(Capabilities!$A$4:$A$253,C431,Capabilities!$J$4:$J$253,"Confirmed",Capabilities!$K$4:$K$253,"OK — verify source"),IF(B431="AIR",COUNTIFS('System map'!$A$4:$A$203,C431,'System map'!$B$4:$B$203,"&lt;&gt;",'System map'!$C$4:$C$203,"&lt;&gt;",'System map'!$D$4:$D$203,"&lt;&gt;"),COUNTIFS(Components!$A$4:$A$253,C431,Components!$B$4:$B$253,B431,Components!$K$4:$K$253,"Confirmed",Components!$L$4:$L$253,"OK — verify source"))))&lt;&gt;1,IF(E431="UC",COUNTIFS('Use cases'!$A$4:$A$253,F431,'Use cases'!$I$4:$I$253,"Confirmed",'Use cases'!$J$4:$J$253,"OK — verify source"),IF(E431="CAP",COUNTIFS(Capabilities!$A$4:$A$253,F431,Capabilities!$J$4:$J$253,"Confirmed",Capabilities!$K$4:$K$253,"OK — verify source"),IF(E431="AIR",COUNTIFS('System map'!$A$4:$A$203,F431,'System map'!$B$4:$B$203,"&lt;&gt;",'System map'!$C$4:$C$203,"&lt;&gt;",'System map'!$D$4:$D$203,"&lt;&gt;"),COUNTIFS(Components!$A$4:$A$253,F431,Components!$B$4:$B$253,E431,Components!$K$4:$K$253,"Confirmed",Components!$L$4:$L$253,"OK — verify source"))))&lt;&gt;1)),"Endpoint not source-reconciled",IF(AND(M431="Confirmed",OR(L431="",K431="",K431="Unknown",K431="Low")),"Confirmed link lacks verification","OK — verify source"))))))))))))))</f>
        <v/>
      </c>
    </row>
    <row r="432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6" t="n"/>
      <c r="M432" s="25" t="n"/>
      <c r="N432" s="25">
        <f>IF(COUNTA(A432:M432)=0,"",IF(OR(A432="",B432="",C432="",D432="",E432="",F432="",I432="",J432="",K432="",M432=""),"Required link detail missing",IF(COUNTIF($A$4:$A$1003,A432)&gt;1,"Duplicate Map Edge ID",IF(NOT(OR(AND(B432="UC",E432="CAP",D432="requires"),AND(B432="CAP",E432="AIR",D432="provided by"),AND(B432="AIR",OR(E432="MOD",E432="DATA",E432="IF",E432="AG",E432="TOOL"),D432="references"),AND(B432="AIR",E432="AIR",D432="depends on"))),"Invalid relationship",IF(AND(M432&lt;&gt;"Superseded",COUNTIFS($B$4:$B$1003,B432,$C$4:$C$1003,C432,$D$4:$D$1003,D432,$E$4:$E$1003,E432,$F$4:$F$1003,F432,$G$4:$G$1003,G432,$M$4:$M$1003,"&lt;&gt;Superseded")&gt;1),"Duplicate relationship",IF(OR(IF(B432="UC",COUNTIF('Use cases'!$A$4:$A$253,C432),IF(B432="CAP",COUNTIF(Capabilities!$A$4:$A$253,C432),IF(B432="AIR",COUNTIF('System map'!$A$4:$A$203,C432),COUNTIFS(Components!$A$4:$A$253,C432,Components!$B$4:$B$253,B432))))&lt;&gt;1,IF(E432="UC",COUNTIF('Use cases'!$A$4:$A$253,F432),IF(E432="CAP",COUNTIF(Capabilities!$A$4:$A$253,F432),IF(E432="AIR",COUNTIF('System map'!$A$4:$A$203,F432),COUNTIFS(Components!$A$4:$A$253,F432,Components!$B$4:$B$253,E432))))&lt;&gt;1),"Endpoint missing or duplicated",IF(AND(NOT(AND(B432="UC",E432="CAP")),OR(G432="",COUNTIF('System map'!$A$4:$A$203,G432)&lt;&gt;1)),"AIR context missing / unknown",IF(AND(B432="CAP",E432="AIR",G432&lt;&gt;F432),"AIR context mismatch",IF(AND(B432="AIR",G432&lt;&gt;C432),"AIR context mismatch",IF(AND(B432="AIR",E432="AIR",C432=F432),"Self-dependency",IF(AND(B432="AIR",E432="AIR",M432&lt;&gt;"Superseded",COUNTIFS($B$4:$B$1003,"AIR",$C$4:$C$1003,F432,$E$4:$E$1003,"AIR",$F$4:$F$1003,C432,$M$4:$M$1003,"&lt;&gt;Superseded")&gt;0),"Dependency cycle (A↔B) — review",IF(AND(B432="AIR",OR(E432="MOD",E432="DATA",E432="IF",E432="AG",E432="TOOL"),IFERROR(INDEX(Components!$G$4:$G$253,MATCH(F432,Components!$A$4:$A$253,0)),"")&lt;&gt;"",IFERROR(INDEX(Components!$G$4:$G$253,MATCH(F432,Components!$A$4:$A$253,0)),"")&lt;&gt;C432),"Component owned by another AIR-ID",IF(AND(M432="Confirmed",OR(IF(B432="UC",COUNTIFS('Use cases'!$A$4:$A$253,C432,'Use cases'!$I$4:$I$253,"Confirmed",'Use cases'!$J$4:$J$253,"OK — verify source"),IF(B432="CAP",COUNTIFS(Capabilities!$A$4:$A$253,C432,Capabilities!$J$4:$J$253,"Confirmed",Capabilities!$K$4:$K$253,"OK — verify source"),IF(B432="AIR",COUNTIFS('System map'!$A$4:$A$203,C432,'System map'!$B$4:$B$203,"&lt;&gt;",'System map'!$C$4:$C$203,"&lt;&gt;",'System map'!$D$4:$D$203,"&lt;&gt;"),COUNTIFS(Components!$A$4:$A$253,C432,Components!$B$4:$B$253,B432,Components!$K$4:$K$253,"Confirmed",Components!$L$4:$L$253,"OK — verify source"))))&lt;&gt;1,IF(E432="UC",COUNTIFS('Use cases'!$A$4:$A$253,F432,'Use cases'!$I$4:$I$253,"Confirmed",'Use cases'!$J$4:$J$253,"OK — verify source"),IF(E432="CAP",COUNTIFS(Capabilities!$A$4:$A$253,F432,Capabilities!$J$4:$J$253,"Confirmed",Capabilities!$K$4:$K$253,"OK — verify source"),IF(E432="AIR",COUNTIFS('System map'!$A$4:$A$203,F432,'System map'!$B$4:$B$203,"&lt;&gt;",'System map'!$C$4:$C$203,"&lt;&gt;",'System map'!$D$4:$D$203,"&lt;&gt;"),COUNTIFS(Components!$A$4:$A$253,F432,Components!$B$4:$B$253,E432,Components!$K$4:$K$253,"Confirmed",Components!$L$4:$L$253,"OK — verify source"))))&lt;&gt;1)),"Endpoint not source-reconciled",IF(AND(M432="Confirmed",OR(L432="",K432="",K432="Unknown",K432="Low")),"Confirmed link lacks verification","OK — verify source"))))))))))))))</f>
        <v/>
      </c>
    </row>
    <row r="433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8" t="n"/>
      <c r="M433" s="27" t="n"/>
      <c r="N433" s="27">
        <f>IF(COUNTA(A433:M433)=0,"",IF(OR(A433="",B433="",C433="",D433="",E433="",F433="",I433="",J433="",K433="",M433=""),"Required link detail missing",IF(COUNTIF($A$4:$A$1003,A433)&gt;1,"Duplicate Map Edge ID",IF(NOT(OR(AND(B433="UC",E433="CAP",D433="requires"),AND(B433="CAP",E433="AIR",D433="provided by"),AND(B433="AIR",OR(E433="MOD",E433="DATA",E433="IF",E433="AG",E433="TOOL"),D433="references"),AND(B433="AIR",E433="AIR",D433="depends on"))),"Invalid relationship",IF(AND(M433&lt;&gt;"Superseded",COUNTIFS($B$4:$B$1003,B433,$C$4:$C$1003,C433,$D$4:$D$1003,D433,$E$4:$E$1003,E433,$F$4:$F$1003,F433,$G$4:$G$1003,G433,$M$4:$M$1003,"&lt;&gt;Superseded")&gt;1),"Duplicate relationship",IF(OR(IF(B433="UC",COUNTIF('Use cases'!$A$4:$A$253,C433),IF(B433="CAP",COUNTIF(Capabilities!$A$4:$A$253,C433),IF(B433="AIR",COUNTIF('System map'!$A$4:$A$203,C433),COUNTIFS(Components!$A$4:$A$253,C433,Components!$B$4:$B$253,B433))))&lt;&gt;1,IF(E433="UC",COUNTIF('Use cases'!$A$4:$A$253,F433),IF(E433="CAP",COUNTIF(Capabilities!$A$4:$A$253,F433),IF(E433="AIR",COUNTIF('System map'!$A$4:$A$203,F433),COUNTIFS(Components!$A$4:$A$253,F433,Components!$B$4:$B$253,E433))))&lt;&gt;1),"Endpoint missing or duplicated",IF(AND(NOT(AND(B433="UC",E433="CAP")),OR(G433="",COUNTIF('System map'!$A$4:$A$203,G433)&lt;&gt;1)),"AIR context missing / unknown",IF(AND(B433="CAP",E433="AIR",G433&lt;&gt;F433),"AIR context mismatch",IF(AND(B433="AIR",G433&lt;&gt;C433),"AIR context mismatch",IF(AND(B433="AIR",E433="AIR",C433=F433),"Self-dependency",IF(AND(B433="AIR",E433="AIR",M433&lt;&gt;"Superseded",COUNTIFS($B$4:$B$1003,"AIR",$C$4:$C$1003,F433,$E$4:$E$1003,"AIR",$F$4:$F$1003,C433,$M$4:$M$1003,"&lt;&gt;Superseded")&gt;0),"Dependency cycle (A↔B) — review",IF(AND(B433="AIR",OR(E433="MOD",E433="DATA",E433="IF",E433="AG",E433="TOOL"),IFERROR(INDEX(Components!$G$4:$G$253,MATCH(F433,Components!$A$4:$A$253,0)),"")&lt;&gt;"",IFERROR(INDEX(Components!$G$4:$G$253,MATCH(F433,Components!$A$4:$A$253,0)),"")&lt;&gt;C433),"Component owned by another AIR-ID",IF(AND(M433="Confirmed",OR(IF(B433="UC",COUNTIFS('Use cases'!$A$4:$A$253,C433,'Use cases'!$I$4:$I$253,"Confirmed",'Use cases'!$J$4:$J$253,"OK — verify source"),IF(B433="CAP",COUNTIFS(Capabilities!$A$4:$A$253,C433,Capabilities!$J$4:$J$253,"Confirmed",Capabilities!$K$4:$K$253,"OK — verify source"),IF(B433="AIR",COUNTIFS('System map'!$A$4:$A$203,C433,'System map'!$B$4:$B$203,"&lt;&gt;",'System map'!$C$4:$C$203,"&lt;&gt;",'System map'!$D$4:$D$203,"&lt;&gt;"),COUNTIFS(Components!$A$4:$A$253,C433,Components!$B$4:$B$253,B433,Components!$K$4:$K$253,"Confirmed",Components!$L$4:$L$253,"OK — verify source"))))&lt;&gt;1,IF(E433="UC",COUNTIFS('Use cases'!$A$4:$A$253,F433,'Use cases'!$I$4:$I$253,"Confirmed",'Use cases'!$J$4:$J$253,"OK — verify source"),IF(E433="CAP",COUNTIFS(Capabilities!$A$4:$A$253,F433,Capabilities!$J$4:$J$253,"Confirmed",Capabilities!$K$4:$K$253,"OK — verify source"),IF(E433="AIR",COUNTIFS('System map'!$A$4:$A$203,F433,'System map'!$B$4:$B$203,"&lt;&gt;",'System map'!$C$4:$C$203,"&lt;&gt;",'System map'!$D$4:$D$203,"&lt;&gt;"),COUNTIFS(Components!$A$4:$A$253,F433,Components!$B$4:$B$253,E433,Components!$K$4:$K$253,"Confirmed",Components!$L$4:$L$253,"OK — verify source"))))&lt;&gt;1)),"Endpoint not source-reconciled",IF(AND(M433="Confirmed",OR(L433="",K433="",K433="Unknown",K433="Low")),"Confirmed link lacks verification","OK — verify source"))))))))))))))</f>
        <v/>
      </c>
    </row>
    <row r="43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6" t="n"/>
      <c r="M434" s="25" t="n"/>
      <c r="N434" s="25">
        <f>IF(COUNTA(A434:M434)=0,"",IF(OR(A434="",B434="",C434="",D434="",E434="",F434="",I434="",J434="",K434="",M434=""),"Required link detail missing",IF(COUNTIF($A$4:$A$1003,A434)&gt;1,"Duplicate Map Edge ID",IF(NOT(OR(AND(B434="UC",E434="CAP",D434="requires"),AND(B434="CAP",E434="AIR",D434="provided by"),AND(B434="AIR",OR(E434="MOD",E434="DATA",E434="IF",E434="AG",E434="TOOL"),D434="references"),AND(B434="AIR",E434="AIR",D434="depends on"))),"Invalid relationship",IF(AND(M434&lt;&gt;"Superseded",COUNTIFS($B$4:$B$1003,B434,$C$4:$C$1003,C434,$D$4:$D$1003,D434,$E$4:$E$1003,E434,$F$4:$F$1003,F434,$G$4:$G$1003,G434,$M$4:$M$1003,"&lt;&gt;Superseded")&gt;1),"Duplicate relationship",IF(OR(IF(B434="UC",COUNTIF('Use cases'!$A$4:$A$253,C434),IF(B434="CAP",COUNTIF(Capabilities!$A$4:$A$253,C434),IF(B434="AIR",COUNTIF('System map'!$A$4:$A$203,C434),COUNTIFS(Components!$A$4:$A$253,C434,Components!$B$4:$B$253,B434))))&lt;&gt;1,IF(E434="UC",COUNTIF('Use cases'!$A$4:$A$253,F434),IF(E434="CAP",COUNTIF(Capabilities!$A$4:$A$253,F434),IF(E434="AIR",COUNTIF('System map'!$A$4:$A$203,F434),COUNTIFS(Components!$A$4:$A$253,F434,Components!$B$4:$B$253,E434))))&lt;&gt;1),"Endpoint missing or duplicated",IF(AND(NOT(AND(B434="UC",E434="CAP")),OR(G434="",COUNTIF('System map'!$A$4:$A$203,G434)&lt;&gt;1)),"AIR context missing / unknown",IF(AND(B434="CAP",E434="AIR",G434&lt;&gt;F434),"AIR context mismatch",IF(AND(B434="AIR",G434&lt;&gt;C434),"AIR context mismatch",IF(AND(B434="AIR",E434="AIR",C434=F434),"Self-dependency",IF(AND(B434="AIR",E434="AIR",M434&lt;&gt;"Superseded",COUNTIFS($B$4:$B$1003,"AIR",$C$4:$C$1003,F434,$E$4:$E$1003,"AIR",$F$4:$F$1003,C434,$M$4:$M$1003,"&lt;&gt;Superseded")&gt;0),"Dependency cycle (A↔B) — review",IF(AND(B434="AIR",OR(E434="MOD",E434="DATA",E434="IF",E434="AG",E434="TOOL"),IFERROR(INDEX(Components!$G$4:$G$253,MATCH(F434,Components!$A$4:$A$253,0)),"")&lt;&gt;"",IFERROR(INDEX(Components!$G$4:$G$253,MATCH(F434,Components!$A$4:$A$253,0)),"")&lt;&gt;C434),"Component owned by another AIR-ID",IF(AND(M434="Confirmed",OR(IF(B434="UC",COUNTIFS('Use cases'!$A$4:$A$253,C434,'Use cases'!$I$4:$I$253,"Confirmed",'Use cases'!$J$4:$J$253,"OK — verify source"),IF(B434="CAP",COUNTIFS(Capabilities!$A$4:$A$253,C434,Capabilities!$J$4:$J$253,"Confirmed",Capabilities!$K$4:$K$253,"OK — verify source"),IF(B434="AIR",COUNTIFS('System map'!$A$4:$A$203,C434,'System map'!$B$4:$B$203,"&lt;&gt;",'System map'!$C$4:$C$203,"&lt;&gt;",'System map'!$D$4:$D$203,"&lt;&gt;"),COUNTIFS(Components!$A$4:$A$253,C434,Components!$B$4:$B$253,B434,Components!$K$4:$K$253,"Confirmed",Components!$L$4:$L$253,"OK — verify source"))))&lt;&gt;1,IF(E434="UC",COUNTIFS('Use cases'!$A$4:$A$253,F434,'Use cases'!$I$4:$I$253,"Confirmed",'Use cases'!$J$4:$J$253,"OK — verify source"),IF(E434="CAP",COUNTIFS(Capabilities!$A$4:$A$253,F434,Capabilities!$J$4:$J$253,"Confirmed",Capabilities!$K$4:$K$253,"OK — verify source"),IF(E434="AIR",COUNTIFS('System map'!$A$4:$A$203,F434,'System map'!$B$4:$B$203,"&lt;&gt;",'System map'!$C$4:$C$203,"&lt;&gt;",'System map'!$D$4:$D$203,"&lt;&gt;"),COUNTIFS(Components!$A$4:$A$253,F434,Components!$B$4:$B$253,E434,Components!$K$4:$K$253,"Confirmed",Components!$L$4:$L$253,"OK — verify source"))))&lt;&gt;1)),"Endpoint not source-reconciled",IF(AND(M434="Confirmed",OR(L434="",K434="",K434="Unknown",K434="Low")),"Confirmed link lacks verification","OK — verify source"))))))))))))))</f>
        <v/>
      </c>
    </row>
    <row r="435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8" t="n"/>
      <c r="M435" s="27" t="n"/>
      <c r="N435" s="27">
        <f>IF(COUNTA(A435:M435)=0,"",IF(OR(A435="",B435="",C435="",D435="",E435="",F435="",I435="",J435="",K435="",M435=""),"Required link detail missing",IF(COUNTIF($A$4:$A$1003,A435)&gt;1,"Duplicate Map Edge ID",IF(NOT(OR(AND(B435="UC",E435="CAP",D435="requires"),AND(B435="CAP",E435="AIR",D435="provided by"),AND(B435="AIR",OR(E435="MOD",E435="DATA",E435="IF",E435="AG",E435="TOOL"),D435="references"),AND(B435="AIR",E435="AIR",D435="depends on"))),"Invalid relationship",IF(AND(M435&lt;&gt;"Superseded",COUNTIFS($B$4:$B$1003,B435,$C$4:$C$1003,C435,$D$4:$D$1003,D435,$E$4:$E$1003,E435,$F$4:$F$1003,F435,$G$4:$G$1003,G435,$M$4:$M$1003,"&lt;&gt;Superseded")&gt;1),"Duplicate relationship",IF(OR(IF(B435="UC",COUNTIF('Use cases'!$A$4:$A$253,C435),IF(B435="CAP",COUNTIF(Capabilities!$A$4:$A$253,C435),IF(B435="AIR",COUNTIF('System map'!$A$4:$A$203,C435),COUNTIFS(Components!$A$4:$A$253,C435,Components!$B$4:$B$253,B435))))&lt;&gt;1,IF(E435="UC",COUNTIF('Use cases'!$A$4:$A$253,F435),IF(E435="CAP",COUNTIF(Capabilities!$A$4:$A$253,F435),IF(E435="AIR",COUNTIF('System map'!$A$4:$A$203,F435),COUNTIFS(Components!$A$4:$A$253,F435,Components!$B$4:$B$253,E435))))&lt;&gt;1),"Endpoint missing or duplicated",IF(AND(NOT(AND(B435="UC",E435="CAP")),OR(G435="",COUNTIF('System map'!$A$4:$A$203,G435)&lt;&gt;1)),"AIR context missing / unknown",IF(AND(B435="CAP",E435="AIR",G435&lt;&gt;F435),"AIR context mismatch",IF(AND(B435="AIR",G435&lt;&gt;C435),"AIR context mismatch",IF(AND(B435="AIR",E435="AIR",C435=F435),"Self-dependency",IF(AND(B435="AIR",E435="AIR",M435&lt;&gt;"Superseded",COUNTIFS($B$4:$B$1003,"AIR",$C$4:$C$1003,F435,$E$4:$E$1003,"AIR",$F$4:$F$1003,C435,$M$4:$M$1003,"&lt;&gt;Superseded")&gt;0),"Dependency cycle (A↔B) — review",IF(AND(B435="AIR",OR(E435="MOD",E435="DATA",E435="IF",E435="AG",E435="TOOL"),IFERROR(INDEX(Components!$G$4:$G$253,MATCH(F435,Components!$A$4:$A$253,0)),"")&lt;&gt;"",IFERROR(INDEX(Components!$G$4:$G$253,MATCH(F435,Components!$A$4:$A$253,0)),"")&lt;&gt;C435),"Component owned by another AIR-ID",IF(AND(M435="Confirmed",OR(IF(B435="UC",COUNTIFS('Use cases'!$A$4:$A$253,C435,'Use cases'!$I$4:$I$253,"Confirmed",'Use cases'!$J$4:$J$253,"OK — verify source"),IF(B435="CAP",COUNTIFS(Capabilities!$A$4:$A$253,C435,Capabilities!$J$4:$J$253,"Confirmed",Capabilities!$K$4:$K$253,"OK — verify source"),IF(B435="AIR",COUNTIFS('System map'!$A$4:$A$203,C435,'System map'!$B$4:$B$203,"&lt;&gt;",'System map'!$C$4:$C$203,"&lt;&gt;",'System map'!$D$4:$D$203,"&lt;&gt;"),COUNTIFS(Components!$A$4:$A$253,C435,Components!$B$4:$B$253,B435,Components!$K$4:$K$253,"Confirmed",Components!$L$4:$L$253,"OK — verify source"))))&lt;&gt;1,IF(E435="UC",COUNTIFS('Use cases'!$A$4:$A$253,F435,'Use cases'!$I$4:$I$253,"Confirmed",'Use cases'!$J$4:$J$253,"OK — verify source"),IF(E435="CAP",COUNTIFS(Capabilities!$A$4:$A$253,F435,Capabilities!$J$4:$J$253,"Confirmed",Capabilities!$K$4:$K$253,"OK — verify source"),IF(E435="AIR",COUNTIFS('System map'!$A$4:$A$203,F435,'System map'!$B$4:$B$203,"&lt;&gt;",'System map'!$C$4:$C$203,"&lt;&gt;",'System map'!$D$4:$D$203,"&lt;&gt;"),COUNTIFS(Components!$A$4:$A$253,F435,Components!$B$4:$B$253,E435,Components!$K$4:$K$253,"Confirmed",Components!$L$4:$L$253,"OK — verify source"))))&lt;&gt;1)),"Endpoint not source-reconciled",IF(AND(M435="Confirmed",OR(L435="",K435="",K435="Unknown",K435="Low")),"Confirmed link lacks verification","OK — verify source"))))))))))))))</f>
        <v/>
      </c>
    </row>
    <row r="436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6" t="n"/>
      <c r="M436" s="25" t="n"/>
      <c r="N436" s="25">
        <f>IF(COUNTA(A436:M436)=0,"",IF(OR(A436="",B436="",C436="",D436="",E436="",F436="",I436="",J436="",K436="",M436=""),"Required link detail missing",IF(COUNTIF($A$4:$A$1003,A436)&gt;1,"Duplicate Map Edge ID",IF(NOT(OR(AND(B436="UC",E436="CAP",D436="requires"),AND(B436="CAP",E436="AIR",D436="provided by"),AND(B436="AIR",OR(E436="MOD",E436="DATA",E436="IF",E436="AG",E436="TOOL"),D436="references"),AND(B436="AIR",E436="AIR",D436="depends on"))),"Invalid relationship",IF(AND(M436&lt;&gt;"Superseded",COUNTIFS($B$4:$B$1003,B436,$C$4:$C$1003,C436,$D$4:$D$1003,D436,$E$4:$E$1003,E436,$F$4:$F$1003,F436,$G$4:$G$1003,G436,$M$4:$M$1003,"&lt;&gt;Superseded")&gt;1),"Duplicate relationship",IF(OR(IF(B436="UC",COUNTIF('Use cases'!$A$4:$A$253,C436),IF(B436="CAP",COUNTIF(Capabilities!$A$4:$A$253,C436),IF(B436="AIR",COUNTIF('System map'!$A$4:$A$203,C436),COUNTIFS(Components!$A$4:$A$253,C436,Components!$B$4:$B$253,B436))))&lt;&gt;1,IF(E436="UC",COUNTIF('Use cases'!$A$4:$A$253,F436),IF(E436="CAP",COUNTIF(Capabilities!$A$4:$A$253,F436),IF(E436="AIR",COUNTIF('System map'!$A$4:$A$203,F436),COUNTIFS(Components!$A$4:$A$253,F436,Components!$B$4:$B$253,E436))))&lt;&gt;1),"Endpoint missing or duplicated",IF(AND(NOT(AND(B436="UC",E436="CAP")),OR(G436="",COUNTIF('System map'!$A$4:$A$203,G436)&lt;&gt;1)),"AIR context missing / unknown",IF(AND(B436="CAP",E436="AIR",G436&lt;&gt;F436),"AIR context mismatch",IF(AND(B436="AIR",G436&lt;&gt;C436),"AIR context mismatch",IF(AND(B436="AIR",E436="AIR",C436=F436),"Self-dependency",IF(AND(B436="AIR",E436="AIR",M436&lt;&gt;"Superseded",COUNTIFS($B$4:$B$1003,"AIR",$C$4:$C$1003,F436,$E$4:$E$1003,"AIR",$F$4:$F$1003,C436,$M$4:$M$1003,"&lt;&gt;Superseded")&gt;0),"Dependency cycle (A↔B) — review",IF(AND(B436="AIR",OR(E436="MOD",E436="DATA",E436="IF",E436="AG",E436="TOOL"),IFERROR(INDEX(Components!$G$4:$G$253,MATCH(F436,Components!$A$4:$A$253,0)),"")&lt;&gt;"",IFERROR(INDEX(Components!$G$4:$G$253,MATCH(F436,Components!$A$4:$A$253,0)),"")&lt;&gt;C436),"Component owned by another AIR-ID",IF(AND(M436="Confirmed",OR(IF(B436="UC",COUNTIFS('Use cases'!$A$4:$A$253,C436,'Use cases'!$I$4:$I$253,"Confirmed",'Use cases'!$J$4:$J$253,"OK — verify source"),IF(B436="CAP",COUNTIFS(Capabilities!$A$4:$A$253,C436,Capabilities!$J$4:$J$253,"Confirmed",Capabilities!$K$4:$K$253,"OK — verify source"),IF(B436="AIR",COUNTIFS('System map'!$A$4:$A$203,C436,'System map'!$B$4:$B$203,"&lt;&gt;",'System map'!$C$4:$C$203,"&lt;&gt;",'System map'!$D$4:$D$203,"&lt;&gt;"),COUNTIFS(Components!$A$4:$A$253,C436,Components!$B$4:$B$253,B436,Components!$K$4:$K$253,"Confirmed",Components!$L$4:$L$253,"OK — verify source"))))&lt;&gt;1,IF(E436="UC",COUNTIFS('Use cases'!$A$4:$A$253,F436,'Use cases'!$I$4:$I$253,"Confirmed",'Use cases'!$J$4:$J$253,"OK — verify source"),IF(E436="CAP",COUNTIFS(Capabilities!$A$4:$A$253,F436,Capabilities!$J$4:$J$253,"Confirmed",Capabilities!$K$4:$K$253,"OK — verify source"),IF(E436="AIR",COUNTIFS('System map'!$A$4:$A$203,F436,'System map'!$B$4:$B$203,"&lt;&gt;",'System map'!$C$4:$C$203,"&lt;&gt;",'System map'!$D$4:$D$203,"&lt;&gt;"),COUNTIFS(Components!$A$4:$A$253,F436,Components!$B$4:$B$253,E436,Components!$K$4:$K$253,"Confirmed",Components!$L$4:$L$253,"OK — verify source"))))&lt;&gt;1)),"Endpoint not source-reconciled",IF(AND(M436="Confirmed",OR(L436="",K436="",K436="Unknown",K436="Low")),"Confirmed link lacks verification","OK — verify source"))))))))))))))</f>
        <v/>
      </c>
    </row>
    <row r="437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8" t="n"/>
      <c r="M437" s="27" t="n"/>
      <c r="N437" s="27">
        <f>IF(COUNTA(A437:M437)=0,"",IF(OR(A437="",B437="",C437="",D437="",E437="",F437="",I437="",J437="",K437="",M437=""),"Required link detail missing",IF(COUNTIF($A$4:$A$1003,A437)&gt;1,"Duplicate Map Edge ID",IF(NOT(OR(AND(B437="UC",E437="CAP",D437="requires"),AND(B437="CAP",E437="AIR",D437="provided by"),AND(B437="AIR",OR(E437="MOD",E437="DATA",E437="IF",E437="AG",E437="TOOL"),D437="references"),AND(B437="AIR",E437="AIR",D437="depends on"))),"Invalid relationship",IF(AND(M437&lt;&gt;"Superseded",COUNTIFS($B$4:$B$1003,B437,$C$4:$C$1003,C437,$D$4:$D$1003,D437,$E$4:$E$1003,E437,$F$4:$F$1003,F437,$G$4:$G$1003,G437,$M$4:$M$1003,"&lt;&gt;Superseded")&gt;1),"Duplicate relationship",IF(OR(IF(B437="UC",COUNTIF('Use cases'!$A$4:$A$253,C437),IF(B437="CAP",COUNTIF(Capabilities!$A$4:$A$253,C437),IF(B437="AIR",COUNTIF('System map'!$A$4:$A$203,C437),COUNTIFS(Components!$A$4:$A$253,C437,Components!$B$4:$B$253,B437))))&lt;&gt;1,IF(E437="UC",COUNTIF('Use cases'!$A$4:$A$253,F437),IF(E437="CAP",COUNTIF(Capabilities!$A$4:$A$253,F437),IF(E437="AIR",COUNTIF('System map'!$A$4:$A$203,F437),COUNTIFS(Components!$A$4:$A$253,F437,Components!$B$4:$B$253,E437))))&lt;&gt;1),"Endpoint missing or duplicated",IF(AND(NOT(AND(B437="UC",E437="CAP")),OR(G437="",COUNTIF('System map'!$A$4:$A$203,G437)&lt;&gt;1)),"AIR context missing / unknown",IF(AND(B437="CAP",E437="AIR",G437&lt;&gt;F437),"AIR context mismatch",IF(AND(B437="AIR",G437&lt;&gt;C437),"AIR context mismatch",IF(AND(B437="AIR",E437="AIR",C437=F437),"Self-dependency",IF(AND(B437="AIR",E437="AIR",M437&lt;&gt;"Superseded",COUNTIFS($B$4:$B$1003,"AIR",$C$4:$C$1003,F437,$E$4:$E$1003,"AIR",$F$4:$F$1003,C437,$M$4:$M$1003,"&lt;&gt;Superseded")&gt;0),"Dependency cycle (A↔B) — review",IF(AND(B437="AIR",OR(E437="MOD",E437="DATA",E437="IF",E437="AG",E437="TOOL"),IFERROR(INDEX(Components!$G$4:$G$253,MATCH(F437,Components!$A$4:$A$253,0)),"")&lt;&gt;"",IFERROR(INDEX(Components!$G$4:$G$253,MATCH(F437,Components!$A$4:$A$253,0)),"")&lt;&gt;C437),"Component owned by another AIR-ID",IF(AND(M437="Confirmed",OR(IF(B437="UC",COUNTIFS('Use cases'!$A$4:$A$253,C437,'Use cases'!$I$4:$I$253,"Confirmed",'Use cases'!$J$4:$J$253,"OK — verify source"),IF(B437="CAP",COUNTIFS(Capabilities!$A$4:$A$253,C437,Capabilities!$J$4:$J$253,"Confirmed",Capabilities!$K$4:$K$253,"OK — verify source"),IF(B437="AIR",COUNTIFS('System map'!$A$4:$A$203,C437,'System map'!$B$4:$B$203,"&lt;&gt;",'System map'!$C$4:$C$203,"&lt;&gt;",'System map'!$D$4:$D$203,"&lt;&gt;"),COUNTIFS(Components!$A$4:$A$253,C437,Components!$B$4:$B$253,B437,Components!$K$4:$K$253,"Confirmed",Components!$L$4:$L$253,"OK — verify source"))))&lt;&gt;1,IF(E437="UC",COUNTIFS('Use cases'!$A$4:$A$253,F437,'Use cases'!$I$4:$I$253,"Confirmed",'Use cases'!$J$4:$J$253,"OK — verify source"),IF(E437="CAP",COUNTIFS(Capabilities!$A$4:$A$253,F437,Capabilities!$J$4:$J$253,"Confirmed",Capabilities!$K$4:$K$253,"OK — verify source"),IF(E437="AIR",COUNTIFS('System map'!$A$4:$A$203,F437,'System map'!$B$4:$B$203,"&lt;&gt;",'System map'!$C$4:$C$203,"&lt;&gt;",'System map'!$D$4:$D$203,"&lt;&gt;"),COUNTIFS(Components!$A$4:$A$253,F437,Components!$B$4:$B$253,E437,Components!$K$4:$K$253,"Confirmed",Components!$L$4:$L$253,"OK — verify source"))))&lt;&gt;1)),"Endpoint not source-reconciled",IF(AND(M437="Confirmed",OR(L437="",K437="",K437="Unknown",K437="Low")),"Confirmed link lacks verification","OK — verify source"))))))))))))))</f>
        <v/>
      </c>
    </row>
    <row r="438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6" t="n"/>
      <c r="M438" s="25" t="n"/>
      <c r="N438" s="25">
        <f>IF(COUNTA(A438:M438)=0,"",IF(OR(A438="",B438="",C438="",D438="",E438="",F438="",I438="",J438="",K438="",M438=""),"Required link detail missing",IF(COUNTIF($A$4:$A$1003,A438)&gt;1,"Duplicate Map Edge ID",IF(NOT(OR(AND(B438="UC",E438="CAP",D438="requires"),AND(B438="CAP",E438="AIR",D438="provided by"),AND(B438="AIR",OR(E438="MOD",E438="DATA",E438="IF",E438="AG",E438="TOOL"),D438="references"),AND(B438="AIR",E438="AIR",D438="depends on"))),"Invalid relationship",IF(AND(M438&lt;&gt;"Superseded",COUNTIFS($B$4:$B$1003,B438,$C$4:$C$1003,C438,$D$4:$D$1003,D438,$E$4:$E$1003,E438,$F$4:$F$1003,F438,$G$4:$G$1003,G438,$M$4:$M$1003,"&lt;&gt;Superseded")&gt;1),"Duplicate relationship",IF(OR(IF(B438="UC",COUNTIF('Use cases'!$A$4:$A$253,C438),IF(B438="CAP",COUNTIF(Capabilities!$A$4:$A$253,C438),IF(B438="AIR",COUNTIF('System map'!$A$4:$A$203,C438),COUNTIFS(Components!$A$4:$A$253,C438,Components!$B$4:$B$253,B438))))&lt;&gt;1,IF(E438="UC",COUNTIF('Use cases'!$A$4:$A$253,F438),IF(E438="CAP",COUNTIF(Capabilities!$A$4:$A$253,F438),IF(E438="AIR",COUNTIF('System map'!$A$4:$A$203,F438),COUNTIFS(Components!$A$4:$A$253,F438,Components!$B$4:$B$253,E438))))&lt;&gt;1),"Endpoint missing or duplicated",IF(AND(NOT(AND(B438="UC",E438="CAP")),OR(G438="",COUNTIF('System map'!$A$4:$A$203,G438)&lt;&gt;1)),"AIR context missing / unknown",IF(AND(B438="CAP",E438="AIR",G438&lt;&gt;F438),"AIR context mismatch",IF(AND(B438="AIR",G438&lt;&gt;C438),"AIR context mismatch",IF(AND(B438="AIR",E438="AIR",C438=F438),"Self-dependency",IF(AND(B438="AIR",E438="AIR",M438&lt;&gt;"Superseded",COUNTIFS($B$4:$B$1003,"AIR",$C$4:$C$1003,F438,$E$4:$E$1003,"AIR",$F$4:$F$1003,C438,$M$4:$M$1003,"&lt;&gt;Superseded")&gt;0),"Dependency cycle (A↔B) — review",IF(AND(B438="AIR",OR(E438="MOD",E438="DATA",E438="IF",E438="AG",E438="TOOL"),IFERROR(INDEX(Components!$G$4:$G$253,MATCH(F438,Components!$A$4:$A$253,0)),"")&lt;&gt;"",IFERROR(INDEX(Components!$G$4:$G$253,MATCH(F438,Components!$A$4:$A$253,0)),"")&lt;&gt;C438),"Component owned by another AIR-ID",IF(AND(M438="Confirmed",OR(IF(B438="UC",COUNTIFS('Use cases'!$A$4:$A$253,C438,'Use cases'!$I$4:$I$253,"Confirmed",'Use cases'!$J$4:$J$253,"OK — verify source"),IF(B438="CAP",COUNTIFS(Capabilities!$A$4:$A$253,C438,Capabilities!$J$4:$J$253,"Confirmed",Capabilities!$K$4:$K$253,"OK — verify source"),IF(B438="AIR",COUNTIFS('System map'!$A$4:$A$203,C438,'System map'!$B$4:$B$203,"&lt;&gt;",'System map'!$C$4:$C$203,"&lt;&gt;",'System map'!$D$4:$D$203,"&lt;&gt;"),COUNTIFS(Components!$A$4:$A$253,C438,Components!$B$4:$B$253,B438,Components!$K$4:$K$253,"Confirmed",Components!$L$4:$L$253,"OK — verify source"))))&lt;&gt;1,IF(E438="UC",COUNTIFS('Use cases'!$A$4:$A$253,F438,'Use cases'!$I$4:$I$253,"Confirmed",'Use cases'!$J$4:$J$253,"OK — verify source"),IF(E438="CAP",COUNTIFS(Capabilities!$A$4:$A$253,F438,Capabilities!$J$4:$J$253,"Confirmed",Capabilities!$K$4:$K$253,"OK — verify source"),IF(E438="AIR",COUNTIFS('System map'!$A$4:$A$203,F438,'System map'!$B$4:$B$203,"&lt;&gt;",'System map'!$C$4:$C$203,"&lt;&gt;",'System map'!$D$4:$D$203,"&lt;&gt;"),COUNTIFS(Components!$A$4:$A$253,F438,Components!$B$4:$B$253,E438,Components!$K$4:$K$253,"Confirmed",Components!$L$4:$L$253,"OK — verify source"))))&lt;&gt;1)),"Endpoint not source-reconciled",IF(AND(M438="Confirmed",OR(L438="",K438="",K438="Unknown",K438="Low")),"Confirmed link lacks verification","OK — verify source"))))))))))))))</f>
        <v/>
      </c>
    </row>
    <row r="439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8" t="n"/>
      <c r="M439" s="27" t="n"/>
      <c r="N439" s="27">
        <f>IF(COUNTA(A439:M439)=0,"",IF(OR(A439="",B439="",C439="",D439="",E439="",F439="",I439="",J439="",K439="",M439=""),"Required link detail missing",IF(COUNTIF($A$4:$A$1003,A439)&gt;1,"Duplicate Map Edge ID",IF(NOT(OR(AND(B439="UC",E439="CAP",D439="requires"),AND(B439="CAP",E439="AIR",D439="provided by"),AND(B439="AIR",OR(E439="MOD",E439="DATA",E439="IF",E439="AG",E439="TOOL"),D439="references"),AND(B439="AIR",E439="AIR",D439="depends on"))),"Invalid relationship",IF(AND(M439&lt;&gt;"Superseded",COUNTIFS($B$4:$B$1003,B439,$C$4:$C$1003,C439,$D$4:$D$1003,D439,$E$4:$E$1003,E439,$F$4:$F$1003,F439,$G$4:$G$1003,G439,$M$4:$M$1003,"&lt;&gt;Superseded")&gt;1),"Duplicate relationship",IF(OR(IF(B439="UC",COUNTIF('Use cases'!$A$4:$A$253,C439),IF(B439="CAP",COUNTIF(Capabilities!$A$4:$A$253,C439),IF(B439="AIR",COUNTIF('System map'!$A$4:$A$203,C439),COUNTIFS(Components!$A$4:$A$253,C439,Components!$B$4:$B$253,B439))))&lt;&gt;1,IF(E439="UC",COUNTIF('Use cases'!$A$4:$A$253,F439),IF(E439="CAP",COUNTIF(Capabilities!$A$4:$A$253,F439),IF(E439="AIR",COUNTIF('System map'!$A$4:$A$203,F439),COUNTIFS(Components!$A$4:$A$253,F439,Components!$B$4:$B$253,E439))))&lt;&gt;1),"Endpoint missing or duplicated",IF(AND(NOT(AND(B439="UC",E439="CAP")),OR(G439="",COUNTIF('System map'!$A$4:$A$203,G439)&lt;&gt;1)),"AIR context missing / unknown",IF(AND(B439="CAP",E439="AIR",G439&lt;&gt;F439),"AIR context mismatch",IF(AND(B439="AIR",G439&lt;&gt;C439),"AIR context mismatch",IF(AND(B439="AIR",E439="AIR",C439=F439),"Self-dependency",IF(AND(B439="AIR",E439="AIR",M439&lt;&gt;"Superseded",COUNTIFS($B$4:$B$1003,"AIR",$C$4:$C$1003,F439,$E$4:$E$1003,"AIR",$F$4:$F$1003,C439,$M$4:$M$1003,"&lt;&gt;Superseded")&gt;0),"Dependency cycle (A↔B) — review",IF(AND(B439="AIR",OR(E439="MOD",E439="DATA",E439="IF",E439="AG",E439="TOOL"),IFERROR(INDEX(Components!$G$4:$G$253,MATCH(F439,Components!$A$4:$A$253,0)),"")&lt;&gt;"",IFERROR(INDEX(Components!$G$4:$G$253,MATCH(F439,Components!$A$4:$A$253,0)),"")&lt;&gt;C439),"Component owned by another AIR-ID",IF(AND(M439="Confirmed",OR(IF(B439="UC",COUNTIFS('Use cases'!$A$4:$A$253,C439,'Use cases'!$I$4:$I$253,"Confirmed",'Use cases'!$J$4:$J$253,"OK — verify source"),IF(B439="CAP",COUNTIFS(Capabilities!$A$4:$A$253,C439,Capabilities!$J$4:$J$253,"Confirmed",Capabilities!$K$4:$K$253,"OK — verify source"),IF(B439="AIR",COUNTIFS('System map'!$A$4:$A$203,C439,'System map'!$B$4:$B$203,"&lt;&gt;",'System map'!$C$4:$C$203,"&lt;&gt;",'System map'!$D$4:$D$203,"&lt;&gt;"),COUNTIFS(Components!$A$4:$A$253,C439,Components!$B$4:$B$253,B439,Components!$K$4:$K$253,"Confirmed",Components!$L$4:$L$253,"OK — verify source"))))&lt;&gt;1,IF(E439="UC",COUNTIFS('Use cases'!$A$4:$A$253,F439,'Use cases'!$I$4:$I$253,"Confirmed",'Use cases'!$J$4:$J$253,"OK — verify source"),IF(E439="CAP",COUNTIFS(Capabilities!$A$4:$A$253,F439,Capabilities!$J$4:$J$253,"Confirmed",Capabilities!$K$4:$K$253,"OK — verify source"),IF(E439="AIR",COUNTIFS('System map'!$A$4:$A$203,F439,'System map'!$B$4:$B$203,"&lt;&gt;",'System map'!$C$4:$C$203,"&lt;&gt;",'System map'!$D$4:$D$203,"&lt;&gt;"),COUNTIFS(Components!$A$4:$A$253,F439,Components!$B$4:$B$253,E439,Components!$K$4:$K$253,"Confirmed",Components!$L$4:$L$253,"OK — verify source"))))&lt;&gt;1)),"Endpoint not source-reconciled",IF(AND(M439="Confirmed",OR(L439="",K439="",K439="Unknown",K439="Low")),"Confirmed link lacks verification","OK — verify source"))))))))))))))</f>
        <v/>
      </c>
    </row>
    <row r="440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6" t="n"/>
      <c r="M440" s="25" t="n"/>
      <c r="N440" s="25">
        <f>IF(COUNTA(A440:M440)=0,"",IF(OR(A440="",B440="",C440="",D440="",E440="",F440="",I440="",J440="",K440="",M440=""),"Required link detail missing",IF(COUNTIF($A$4:$A$1003,A440)&gt;1,"Duplicate Map Edge ID",IF(NOT(OR(AND(B440="UC",E440="CAP",D440="requires"),AND(B440="CAP",E440="AIR",D440="provided by"),AND(B440="AIR",OR(E440="MOD",E440="DATA",E440="IF",E440="AG",E440="TOOL"),D440="references"),AND(B440="AIR",E440="AIR",D440="depends on"))),"Invalid relationship",IF(AND(M440&lt;&gt;"Superseded",COUNTIFS($B$4:$B$1003,B440,$C$4:$C$1003,C440,$D$4:$D$1003,D440,$E$4:$E$1003,E440,$F$4:$F$1003,F440,$G$4:$G$1003,G440,$M$4:$M$1003,"&lt;&gt;Superseded")&gt;1),"Duplicate relationship",IF(OR(IF(B440="UC",COUNTIF('Use cases'!$A$4:$A$253,C440),IF(B440="CAP",COUNTIF(Capabilities!$A$4:$A$253,C440),IF(B440="AIR",COUNTIF('System map'!$A$4:$A$203,C440),COUNTIFS(Components!$A$4:$A$253,C440,Components!$B$4:$B$253,B440))))&lt;&gt;1,IF(E440="UC",COUNTIF('Use cases'!$A$4:$A$253,F440),IF(E440="CAP",COUNTIF(Capabilities!$A$4:$A$253,F440),IF(E440="AIR",COUNTIF('System map'!$A$4:$A$203,F440),COUNTIFS(Components!$A$4:$A$253,F440,Components!$B$4:$B$253,E440))))&lt;&gt;1),"Endpoint missing or duplicated",IF(AND(NOT(AND(B440="UC",E440="CAP")),OR(G440="",COUNTIF('System map'!$A$4:$A$203,G440)&lt;&gt;1)),"AIR context missing / unknown",IF(AND(B440="CAP",E440="AIR",G440&lt;&gt;F440),"AIR context mismatch",IF(AND(B440="AIR",G440&lt;&gt;C440),"AIR context mismatch",IF(AND(B440="AIR",E440="AIR",C440=F440),"Self-dependency",IF(AND(B440="AIR",E440="AIR",M440&lt;&gt;"Superseded",COUNTIFS($B$4:$B$1003,"AIR",$C$4:$C$1003,F440,$E$4:$E$1003,"AIR",$F$4:$F$1003,C440,$M$4:$M$1003,"&lt;&gt;Superseded")&gt;0),"Dependency cycle (A↔B) — review",IF(AND(B440="AIR",OR(E440="MOD",E440="DATA",E440="IF",E440="AG",E440="TOOL"),IFERROR(INDEX(Components!$G$4:$G$253,MATCH(F440,Components!$A$4:$A$253,0)),"")&lt;&gt;"",IFERROR(INDEX(Components!$G$4:$G$253,MATCH(F440,Components!$A$4:$A$253,0)),"")&lt;&gt;C440),"Component owned by another AIR-ID",IF(AND(M440="Confirmed",OR(IF(B440="UC",COUNTIFS('Use cases'!$A$4:$A$253,C440,'Use cases'!$I$4:$I$253,"Confirmed",'Use cases'!$J$4:$J$253,"OK — verify source"),IF(B440="CAP",COUNTIFS(Capabilities!$A$4:$A$253,C440,Capabilities!$J$4:$J$253,"Confirmed",Capabilities!$K$4:$K$253,"OK — verify source"),IF(B440="AIR",COUNTIFS('System map'!$A$4:$A$203,C440,'System map'!$B$4:$B$203,"&lt;&gt;",'System map'!$C$4:$C$203,"&lt;&gt;",'System map'!$D$4:$D$203,"&lt;&gt;"),COUNTIFS(Components!$A$4:$A$253,C440,Components!$B$4:$B$253,B440,Components!$K$4:$K$253,"Confirmed",Components!$L$4:$L$253,"OK — verify source"))))&lt;&gt;1,IF(E440="UC",COUNTIFS('Use cases'!$A$4:$A$253,F440,'Use cases'!$I$4:$I$253,"Confirmed",'Use cases'!$J$4:$J$253,"OK — verify source"),IF(E440="CAP",COUNTIFS(Capabilities!$A$4:$A$253,F440,Capabilities!$J$4:$J$253,"Confirmed",Capabilities!$K$4:$K$253,"OK — verify source"),IF(E440="AIR",COUNTIFS('System map'!$A$4:$A$203,F440,'System map'!$B$4:$B$203,"&lt;&gt;",'System map'!$C$4:$C$203,"&lt;&gt;",'System map'!$D$4:$D$203,"&lt;&gt;"),COUNTIFS(Components!$A$4:$A$253,F440,Components!$B$4:$B$253,E440,Components!$K$4:$K$253,"Confirmed",Components!$L$4:$L$253,"OK — verify source"))))&lt;&gt;1)),"Endpoint not source-reconciled",IF(AND(M440="Confirmed",OR(L440="",K440="",K440="Unknown",K440="Low")),"Confirmed link lacks verification","OK — verify source"))))))))))))))</f>
        <v/>
      </c>
    </row>
    <row r="441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8" t="n"/>
      <c r="M441" s="27" t="n"/>
      <c r="N441" s="27">
        <f>IF(COUNTA(A441:M441)=0,"",IF(OR(A441="",B441="",C441="",D441="",E441="",F441="",I441="",J441="",K441="",M441=""),"Required link detail missing",IF(COUNTIF($A$4:$A$1003,A441)&gt;1,"Duplicate Map Edge ID",IF(NOT(OR(AND(B441="UC",E441="CAP",D441="requires"),AND(B441="CAP",E441="AIR",D441="provided by"),AND(B441="AIR",OR(E441="MOD",E441="DATA",E441="IF",E441="AG",E441="TOOL"),D441="references"),AND(B441="AIR",E441="AIR",D441="depends on"))),"Invalid relationship",IF(AND(M441&lt;&gt;"Superseded",COUNTIFS($B$4:$B$1003,B441,$C$4:$C$1003,C441,$D$4:$D$1003,D441,$E$4:$E$1003,E441,$F$4:$F$1003,F441,$G$4:$G$1003,G441,$M$4:$M$1003,"&lt;&gt;Superseded")&gt;1),"Duplicate relationship",IF(OR(IF(B441="UC",COUNTIF('Use cases'!$A$4:$A$253,C441),IF(B441="CAP",COUNTIF(Capabilities!$A$4:$A$253,C441),IF(B441="AIR",COUNTIF('System map'!$A$4:$A$203,C441),COUNTIFS(Components!$A$4:$A$253,C441,Components!$B$4:$B$253,B441))))&lt;&gt;1,IF(E441="UC",COUNTIF('Use cases'!$A$4:$A$253,F441),IF(E441="CAP",COUNTIF(Capabilities!$A$4:$A$253,F441),IF(E441="AIR",COUNTIF('System map'!$A$4:$A$203,F441),COUNTIFS(Components!$A$4:$A$253,F441,Components!$B$4:$B$253,E441))))&lt;&gt;1),"Endpoint missing or duplicated",IF(AND(NOT(AND(B441="UC",E441="CAP")),OR(G441="",COUNTIF('System map'!$A$4:$A$203,G441)&lt;&gt;1)),"AIR context missing / unknown",IF(AND(B441="CAP",E441="AIR",G441&lt;&gt;F441),"AIR context mismatch",IF(AND(B441="AIR",G441&lt;&gt;C441),"AIR context mismatch",IF(AND(B441="AIR",E441="AIR",C441=F441),"Self-dependency",IF(AND(B441="AIR",E441="AIR",M441&lt;&gt;"Superseded",COUNTIFS($B$4:$B$1003,"AIR",$C$4:$C$1003,F441,$E$4:$E$1003,"AIR",$F$4:$F$1003,C441,$M$4:$M$1003,"&lt;&gt;Superseded")&gt;0),"Dependency cycle (A↔B) — review",IF(AND(B441="AIR",OR(E441="MOD",E441="DATA",E441="IF",E441="AG",E441="TOOL"),IFERROR(INDEX(Components!$G$4:$G$253,MATCH(F441,Components!$A$4:$A$253,0)),"")&lt;&gt;"",IFERROR(INDEX(Components!$G$4:$G$253,MATCH(F441,Components!$A$4:$A$253,0)),"")&lt;&gt;C441),"Component owned by another AIR-ID",IF(AND(M441="Confirmed",OR(IF(B441="UC",COUNTIFS('Use cases'!$A$4:$A$253,C441,'Use cases'!$I$4:$I$253,"Confirmed",'Use cases'!$J$4:$J$253,"OK — verify source"),IF(B441="CAP",COUNTIFS(Capabilities!$A$4:$A$253,C441,Capabilities!$J$4:$J$253,"Confirmed",Capabilities!$K$4:$K$253,"OK — verify source"),IF(B441="AIR",COUNTIFS('System map'!$A$4:$A$203,C441,'System map'!$B$4:$B$203,"&lt;&gt;",'System map'!$C$4:$C$203,"&lt;&gt;",'System map'!$D$4:$D$203,"&lt;&gt;"),COUNTIFS(Components!$A$4:$A$253,C441,Components!$B$4:$B$253,B441,Components!$K$4:$K$253,"Confirmed",Components!$L$4:$L$253,"OK — verify source"))))&lt;&gt;1,IF(E441="UC",COUNTIFS('Use cases'!$A$4:$A$253,F441,'Use cases'!$I$4:$I$253,"Confirmed",'Use cases'!$J$4:$J$253,"OK — verify source"),IF(E441="CAP",COUNTIFS(Capabilities!$A$4:$A$253,F441,Capabilities!$J$4:$J$253,"Confirmed",Capabilities!$K$4:$K$253,"OK — verify source"),IF(E441="AIR",COUNTIFS('System map'!$A$4:$A$203,F441,'System map'!$B$4:$B$203,"&lt;&gt;",'System map'!$C$4:$C$203,"&lt;&gt;",'System map'!$D$4:$D$203,"&lt;&gt;"),COUNTIFS(Components!$A$4:$A$253,F441,Components!$B$4:$B$253,E441,Components!$K$4:$K$253,"Confirmed",Components!$L$4:$L$253,"OK — verify source"))))&lt;&gt;1)),"Endpoint not source-reconciled",IF(AND(M441="Confirmed",OR(L441="",K441="",K441="Unknown",K441="Low")),"Confirmed link lacks verification","OK — verify source"))))))))))))))</f>
        <v/>
      </c>
    </row>
    <row r="442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6" t="n"/>
      <c r="M442" s="25" t="n"/>
      <c r="N442" s="25">
        <f>IF(COUNTA(A442:M442)=0,"",IF(OR(A442="",B442="",C442="",D442="",E442="",F442="",I442="",J442="",K442="",M442=""),"Required link detail missing",IF(COUNTIF($A$4:$A$1003,A442)&gt;1,"Duplicate Map Edge ID",IF(NOT(OR(AND(B442="UC",E442="CAP",D442="requires"),AND(B442="CAP",E442="AIR",D442="provided by"),AND(B442="AIR",OR(E442="MOD",E442="DATA",E442="IF",E442="AG",E442="TOOL"),D442="references"),AND(B442="AIR",E442="AIR",D442="depends on"))),"Invalid relationship",IF(AND(M442&lt;&gt;"Superseded",COUNTIFS($B$4:$B$1003,B442,$C$4:$C$1003,C442,$D$4:$D$1003,D442,$E$4:$E$1003,E442,$F$4:$F$1003,F442,$G$4:$G$1003,G442,$M$4:$M$1003,"&lt;&gt;Superseded")&gt;1),"Duplicate relationship",IF(OR(IF(B442="UC",COUNTIF('Use cases'!$A$4:$A$253,C442),IF(B442="CAP",COUNTIF(Capabilities!$A$4:$A$253,C442),IF(B442="AIR",COUNTIF('System map'!$A$4:$A$203,C442),COUNTIFS(Components!$A$4:$A$253,C442,Components!$B$4:$B$253,B442))))&lt;&gt;1,IF(E442="UC",COUNTIF('Use cases'!$A$4:$A$253,F442),IF(E442="CAP",COUNTIF(Capabilities!$A$4:$A$253,F442),IF(E442="AIR",COUNTIF('System map'!$A$4:$A$203,F442),COUNTIFS(Components!$A$4:$A$253,F442,Components!$B$4:$B$253,E442))))&lt;&gt;1),"Endpoint missing or duplicated",IF(AND(NOT(AND(B442="UC",E442="CAP")),OR(G442="",COUNTIF('System map'!$A$4:$A$203,G442)&lt;&gt;1)),"AIR context missing / unknown",IF(AND(B442="CAP",E442="AIR",G442&lt;&gt;F442),"AIR context mismatch",IF(AND(B442="AIR",G442&lt;&gt;C442),"AIR context mismatch",IF(AND(B442="AIR",E442="AIR",C442=F442),"Self-dependency",IF(AND(B442="AIR",E442="AIR",M442&lt;&gt;"Superseded",COUNTIFS($B$4:$B$1003,"AIR",$C$4:$C$1003,F442,$E$4:$E$1003,"AIR",$F$4:$F$1003,C442,$M$4:$M$1003,"&lt;&gt;Superseded")&gt;0),"Dependency cycle (A↔B) — review",IF(AND(B442="AIR",OR(E442="MOD",E442="DATA",E442="IF",E442="AG",E442="TOOL"),IFERROR(INDEX(Components!$G$4:$G$253,MATCH(F442,Components!$A$4:$A$253,0)),"")&lt;&gt;"",IFERROR(INDEX(Components!$G$4:$G$253,MATCH(F442,Components!$A$4:$A$253,0)),"")&lt;&gt;C442),"Component owned by another AIR-ID",IF(AND(M442="Confirmed",OR(IF(B442="UC",COUNTIFS('Use cases'!$A$4:$A$253,C442,'Use cases'!$I$4:$I$253,"Confirmed",'Use cases'!$J$4:$J$253,"OK — verify source"),IF(B442="CAP",COUNTIFS(Capabilities!$A$4:$A$253,C442,Capabilities!$J$4:$J$253,"Confirmed",Capabilities!$K$4:$K$253,"OK — verify source"),IF(B442="AIR",COUNTIFS('System map'!$A$4:$A$203,C442,'System map'!$B$4:$B$203,"&lt;&gt;",'System map'!$C$4:$C$203,"&lt;&gt;",'System map'!$D$4:$D$203,"&lt;&gt;"),COUNTIFS(Components!$A$4:$A$253,C442,Components!$B$4:$B$253,B442,Components!$K$4:$K$253,"Confirmed",Components!$L$4:$L$253,"OK — verify source"))))&lt;&gt;1,IF(E442="UC",COUNTIFS('Use cases'!$A$4:$A$253,F442,'Use cases'!$I$4:$I$253,"Confirmed",'Use cases'!$J$4:$J$253,"OK — verify source"),IF(E442="CAP",COUNTIFS(Capabilities!$A$4:$A$253,F442,Capabilities!$J$4:$J$253,"Confirmed",Capabilities!$K$4:$K$253,"OK — verify source"),IF(E442="AIR",COUNTIFS('System map'!$A$4:$A$203,F442,'System map'!$B$4:$B$203,"&lt;&gt;",'System map'!$C$4:$C$203,"&lt;&gt;",'System map'!$D$4:$D$203,"&lt;&gt;"),COUNTIFS(Components!$A$4:$A$253,F442,Components!$B$4:$B$253,E442,Components!$K$4:$K$253,"Confirmed",Components!$L$4:$L$253,"OK — verify source"))))&lt;&gt;1)),"Endpoint not source-reconciled",IF(AND(M442="Confirmed",OR(L442="",K442="",K442="Unknown",K442="Low")),"Confirmed link lacks verification","OK — verify source"))))))))))))))</f>
        <v/>
      </c>
    </row>
    <row r="443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8" t="n"/>
      <c r="M443" s="27" t="n"/>
      <c r="N443" s="27">
        <f>IF(COUNTA(A443:M443)=0,"",IF(OR(A443="",B443="",C443="",D443="",E443="",F443="",I443="",J443="",K443="",M443=""),"Required link detail missing",IF(COUNTIF($A$4:$A$1003,A443)&gt;1,"Duplicate Map Edge ID",IF(NOT(OR(AND(B443="UC",E443="CAP",D443="requires"),AND(B443="CAP",E443="AIR",D443="provided by"),AND(B443="AIR",OR(E443="MOD",E443="DATA",E443="IF",E443="AG",E443="TOOL"),D443="references"),AND(B443="AIR",E443="AIR",D443="depends on"))),"Invalid relationship",IF(AND(M443&lt;&gt;"Superseded",COUNTIFS($B$4:$B$1003,B443,$C$4:$C$1003,C443,$D$4:$D$1003,D443,$E$4:$E$1003,E443,$F$4:$F$1003,F443,$G$4:$G$1003,G443,$M$4:$M$1003,"&lt;&gt;Superseded")&gt;1),"Duplicate relationship",IF(OR(IF(B443="UC",COUNTIF('Use cases'!$A$4:$A$253,C443),IF(B443="CAP",COUNTIF(Capabilities!$A$4:$A$253,C443),IF(B443="AIR",COUNTIF('System map'!$A$4:$A$203,C443),COUNTIFS(Components!$A$4:$A$253,C443,Components!$B$4:$B$253,B443))))&lt;&gt;1,IF(E443="UC",COUNTIF('Use cases'!$A$4:$A$253,F443),IF(E443="CAP",COUNTIF(Capabilities!$A$4:$A$253,F443),IF(E443="AIR",COUNTIF('System map'!$A$4:$A$203,F443),COUNTIFS(Components!$A$4:$A$253,F443,Components!$B$4:$B$253,E443))))&lt;&gt;1),"Endpoint missing or duplicated",IF(AND(NOT(AND(B443="UC",E443="CAP")),OR(G443="",COUNTIF('System map'!$A$4:$A$203,G443)&lt;&gt;1)),"AIR context missing / unknown",IF(AND(B443="CAP",E443="AIR",G443&lt;&gt;F443),"AIR context mismatch",IF(AND(B443="AIR",G443&lt;&gt;C443),"AIR context mismatch",IF(AND(B443="AIR",E443="AIR",C443=F443),"Self-dependency",IF(AND(B443="AIR",E443="AIR",M443&lt;&gt;"Superseded",COUNTIFS($B$4:$B$1003,"AIR",$C$4:$C$1003,F443,$E$4:$E$1003,"AIR",$F$4:$F$1003,C443,$M$4:$M$1003,"&lt;&gt;Superseded")&gt;0),"Dependency cycle (A↔B) — review",IF(AND(B443="AIR",OR(E443="MOD",E443="DATA",E443="IF",E443="AG",E443="TOOL"),IFERROR(INDEX(Components!$G$4:$G$253,MATCH(F443,Components!$A$4:$A$253,0)),"")&lt;&gt;"",IFERROR(INDEX(Components!$G$4:$G$253,MATCH(F443,Components!$A$4:$A$253,0)),"")&lt;&gt;C443),"Component owned by another AIR-ID",IF(AND(M443="Confirmed",OR(IF(B443="UC",COUNTIFS('Use cases'!$A$4:$A$253,C443,'Use cases'!$I$4:$I$253,"Confirmed",'Use cases'!$J$4:$J$253,"OK — verify source"),IF(B443="CAP",COUNTIFS(Capabilities!$A$4:$A$253,C443,Capabilities!$J$4:$J$253,"Confirmed",Capabilities!$K$4:$K$253,"OK — verify source"),IF(B443="AIR",COUNTIFS('System map'!$A$4:$A$203,C443,'System map'!$B$4:$B$203,"&lt;&gt;",'System map'!$C$4:$C$203,"&lt;&gt;",'System map'!$D$4:$D$203,"&lt;&gt;"),COUNTIFS(Components!$A$4:$A$253,C443,Components!$B$4:$B$253,B443,Components!$K$4:$K$253,"Confirmed",Components!$L$4:$L$253,"OK — verify source"))))&lt;&gt;1,IF(E443="UC",COUNTIFS('Use cases'!$A$4:$A$253,F443,'Use cases'!$I$4:$I$253,"Confirmed",'Use cases'!$J$4:$J$253,"OK — verify source"),IF(E443="CAP",COUNTIFS(Capabilities!$A$4:$A$253,F443,Capabilities!$J$4:$J$253,"Confirmed",Capabilities!$K$4:$K$253,"OK — verify source"),IF(E443="AIR",COUNTIFS('System map'!$A$4:$A$203,F443,'System map'!$B$4:$B$203,"&lt;&gt;",'System map'!$C$4:$C$203,"&lt;&gt;",'System map'!$D$4:$D$203,"&lt;&gt;"),COUNTIFS(Components!$A$4:$A$253,F443,Components!$B$4:$B$253,E443,Components!$K$4:$K$253,"Confirmed",Components!$L$4:$L$253,"OK — verify source"))))&lt;&gt;1)),"Endpoint not source-reconciled",IF(AND(M443="Confirmed",OR(L443="",K443="",K443="Unknown",K443="Low")),"Confirmed link lacks verification","OK — verify source"))))))))))))))</f>
        <v/>
      </c>
    </row>
    <row r="44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6" t="n"/>
      <c r="M444" s="25" t="n"/>
      <c r="N444" s="25">
        <f>IF(COUNTA(A444:M444)=0,"",IF(OR(A444="",B444="",C444="",D444="",E444="",F444="",I444="",J444="",K444="",M444=""),"Required link detail missing",IF(COUNTIF($A$4:$A$1003,A444)&gt;1,"Duplicate Map Edge ID",IF(NOT(OR(AND(B444="UC",E444="CAP",D444="requires"),AND(B444="CAP",E444="AIR",D444="provided by"),AND(B444="AIR",OR(E444="MOD",E444="DATA",E444="IF",E444="AG",E444="TOOL"),D444="references"),AND(B444="AIR",E444="AIR",D444="depends on"))),"Invalid relationship",IF(AND(M444&lt;&gt;"Superseded",COUNTIFS($B$4:$B$1003,B444,$C$4:$C$1003,C444,$D$4:$D$1003,D444,$E$4:$E$1003,E444,$F$4:$F$1003,F444,$G$4:$G$1003,G444,$M$4:$M$1003,"&lt;&gt;Superseded")&gt;1),"Duplicate relationship",IF(OR(IF(B444="UC",COUNTIF('Use cases'!$A$4:$A$253,C444),IF(B444="CAP",COUNTIF(Capabilities!$A$4:$A$253,C444),IF(B444="AIR",COUNTIF('System map'!$A$4:$A$203,C444),COUNTIFS(Components!$A$4:$A$253,C444,Components!$B$4:$B$253,B444))))&lt;&gt;1,IF(E444="UC",COUNTIF('Use cases'!$A$4:$A$253,F444),IF(E444="CAP",COUNTIF(Capabilities!$A$4:$A$253,F444),IF(E444="AIR",COUNTIF('System map'!$A$4:$A$203,F444),COUNTIFS(Components!$A$4:$A$253,F444,Components!$B$4:$B$253,E444))))&lt;&gt;1),"Endpoint missing or duplicated",IF(AND(NOT(AND(B444="UC",E444="CAP")),OR(G444="",COUNTIF('System map'!$A$4:$A$203,G444)&lt;&gt;1)),"AIR context missing / unknown",IF(AND(B444="CAP",E444="AIR",G444&lt;&gt;F444),"AIR context mismatch",IF(AND(B444="AIR",G444&lt;&gt;C444),"AIR context mismatch",IF(AND(B444="AIR",E444="AIR",C444=F444),"Self-dependency",IF(AND(B444="AIR",E444="AIR",M444&lt;&gt;"Superseded",COUNTIFS($B$4:$B$1003,"AIR",$C$4:$C$1003,F444,$E$4:$E$1003,"AIR",$F$4:$F$1003,C444,$M$4:$M$1003,"&lt;&gt;Superseded")&gt;0),"Dependency cycle (A↔B) — review",IF(AND(B444="AIR",OR(E444="MOD",E444="DATA",E444="IF",E444="AG",E444="TOOL"),IFERROR(INDEX(Components!$G$4:$G$253,MATCH(F444,Components!$A$4:$A$253,0)),"")&lt;&gt;"",IFERROR(INDEX(Components!$G$4:$G$253,MATCH(F444,Components!$A$4:$A$253,0)),"")&lt;&gt;C444),"Component owned by another AIR-ID",IF(AND(M444="Confirmed",OR(IF(B444="UC",COUNTIFS('Use cases'!$A$4:$A$253,C444,'Use cases'!$I$4:$I$253,"Confirmed",'Use cases'!$J$4:$J$253,"OK — verify source"),IF(B444="CAP",COUNTIFS(Capabilities!$A$4:$A$253,C444,Capabilities!$J$4:$J$253,"Confirmed",Capabilities!$K$4:$K$253,"OK — verify source"),IF(B444="AIR",COUNTIFS('System map'!$A$4:$A$203,C444,'System map'!$B$4:$B$203,"&lt;&gt;",'System map'!$C$4:$C$203,"&lt;&gt;",'System map'!$D$4:$D$203,"&lt;&gt;"),COUNTIFS(Components!$A$4:$A$253,C444,Components!$B$4:$B$253,B444,Components!$K$4:$K$253,"Confirmed",Components!$L$4:$L$253,"OK — verify source"))))&lt;&gt;1,IF(E444="UC",COUNTIFS('Use cases'!$A$4:$A$253,F444,'Use cases'!$I$4:$I$253,"Confirmed",'Use cases'!$J$4:$J$253,"OK — verify source"),IF(E444="CAP",COUNTIFS(Capabilities!$A$4:$A$253,F444,Capabilities!$J$4:$J$253,"Confirmed",Capabilities!$K$4:$K$253,"OK — verify source"),IF(E444="AIR",COUNTIFS('System map'!$A$4:$A$203,F444,'System map'!$B$4:$B$203,"&lt;&gt;",'System map'!$C$4:$C$203,"&lt;&gt;",'System map'!$D$4:$D$203,"&lt;&gt;"),COUNTIFS(Components!$A$4:$A$253,F444,Components!$B$4:$B$253,E444,Components!$K$4:$K$253,"Confirmed",Components!$L$4:$L$253,"OK — verify source"))))&lt;&gt;1)),"Endpoint not source-reconciled",IF(AND(M444="Confirmed",OR(L444="",K444="",K444="Unknown",K444="Low")),"Confirmed link lacks verification","OK — verify source"))))))))))))))</f>
        <v/>
      </c>
    </row>
    <row r="445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8" t="n"/>
      <c r="M445" s="27" t="n"/>
      <c r="N445" s="27">
        <f>IF(COUNTA(A445:M445)=0,"",IF(OR(A445="",B445="",C445="",D445="",E445="",F445="",I445="",J445="",K445="",M445=""),"Required link detail missing",IF(COUNTIF($A$4:$A$1003,A445)&gt;1,"Duplicate Map Edge ID",IF(NOT(OR(AND(B445="UC",E445="CAP",D445="requires"),AND(B445="CAP",E445="AIR",D445="provided by"),AND(B445="AIR",OR(E445="MOD",E445="DATA",E445="IF",E445="AG",E445="TOOL"),D445="references"),AND(B445="AIR",E445="AIR",D445="depends on"))),"Invalid relationship",IF(AND(M445&lt;&gt;"Superseded",COUNTIFS($B$4:$B$1003,B445,$C$4:$C$1003,C445,$D$4:$D$1003,D445,$E$4:$E$1003,E445,$F$4:$F$1003,F445,$G$4:$G$1003,G445,$M$4:$M$1003,"&lt;&gt;Superseded")&gt;1),"Duplicate relationship",IF(OR(IF(B445="UC",COUNTIF('Use cases'!$A$4:$A$253,C445),IF(B445="CAP",COUNTIF(Capabilities!$A$4:$A$253,C445),IF(B445="AIR",COUNTIF('System map'!$A$4:$A$203,C445),COUNTIFS(Components!$A$4:$A$253,C445,Components!$B$4:$B$253,B445))))&lt;&gt;1,IF(E445="UC",COUNTIF('Use cases'!$A$4:$A$253,F445),IF(E445="CAP",COUNTIF(Capabilities!$A$4:$A$253,F445),IF(E445="AIR",COUNTIF('System map'!$A$4:$A$203,F445),COUNTIFS(Components!$A$4:$A$253,F445,Components!$B$4:$B$253,E445))))&lt;&gt;1),"Endpoint missing or duplicated",IF(AND(NOT(AND(B445="UC",E445="CAP")),OR(G445="",COUNTIF('System map'!$A$4:$A$203,G445)&lt;&gt;1)),"AIR context missing / unknown",IF(AND(B445="CAP",E445="AIR",G445&lt;&gt;F445),"AIR context mismatch",IF(AND(B445="AIR",G445&lt;&gt;C445),"AIR context mismatch",IF(AND(B445="AIR",E445="AIR",C445=F445),"Self-dependency",IF(AND(B445="AIR",E445="AIR",M445&lt;&gt;"Superseded",COUNTIFS($B$4:$B$1003,"AIR",$C$4:$C$1003,F445,$E$4:$E$1003,"AIR",$F$4:$F$1003,C445,$M$4:$M$1003,"&lt;&gt;Superseded")&gt;0),"Dependency cycle (A↔B) — review",IF(AND(B445="AIR",OR(E445="MOD",E445="DATA",E445="IF",E445="AG",E445="TOOL"),IFERROR(INDEX(Components!$G$4:$G$253,MATCH(F445,Components!$A$4:$A$253,0)),"")&lt;&gt;"",IFERROR(INDEX(Components!$G$4:$G$253,MATCH(F445,Components!$A$4:$A$253,0)),"")&lt;&gt;C445),"Component owned by another AIR-ID",IF(AND(M445="Confirmed",OR(IF(B445="UC",COUNTIFS('Use cases'!$A$4:$A$253,C445,'Use cases'!$I$4:$I$253,"Confirmed",'Use cases'!$J$4:$J$253,"OK — verify source"),IF(B445="CAP",COUNTIFS(Capabilities!$A$4:$A$253,C445,Capabilities!$J$4:$J$253,"Confirmed",Capabilities!$K$4:$K$253,"OK — verify source"),IF(B445="AIR",COUNTIFS('System map'!$A$4:$A$203,C445,'System map'!$B$4:$B$203,"&lt;&gt;",'System map'!$C$4:$C$203,"&lt;&gt;",'System map'!$D$4:$D$203,"&lt;&gt;"),COUNTIFS(Components!$A$4:$A$253,C445,Components!$B$4:$B$253,B445,Components!$K$4:$K$253,"Confirmed",Components!$L$4:$L$253,"OK — verify source"))))&lt;&gt;1,IF(E445="UC",COUNTIFS('Use cases'!$A$4:$A$253,F445,'Use cases'!$I$4:$I$253,"Confirmed",'Use cases'!$J$4:$J$253,"OK — verify source"),IF(E445="CAP",COUNTIFS(Capabilities!$A$4:$A$253,F445,Capabilities!$J$4:$J$253,"Confirmed",Capabilities!$K$4:$K$253,"OK — verify source"),IF(E445="AIR",COUNTIFS('System map'!$A$4:$A$203,F445,'System map'!$B$4:$B$203,"&lt;&gt;",'System map'!$C$4:$C$203,"&lt;&gt;",'System map'!$D$4:$D$203,"&lt;&gt;"),COUNTIFS(Components!$A$4:$A$253,F445,Components!$B$4:$B$253,E445,Components!$K$4:$K$253,"Confirmed",Components!$L$4:$L$253,"OK — verify source"))))&lt;&gt;1)),"Endpoint not source-reconciled",IF(AND(M445="Confirmed",OR(L445="",K445="",K445="Unknown",K445="Low")),"Confirmed link lacks verification","OK — verify source"))))))))))))))</f>
        <v/>
      </c>
    </row>
    <row r="446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6" t="n"/>
      <c r="M446" s="25" t="n"/>
      <c r="N446" s="25">
        <f>IF(COUNTA(A446:M446)=0,"",IF(OR(A446="",B446="",C446="",D446="",E446="",F446="",I446="",J446="",K446="",M446=""),"Required link detail missing",IF(COUNTIF($A$4:$A$1003,A446)&gt;1,"Duplicate Map Edge ID",IF(NOT(OR(AND(B446="UC",E446="CAP",D446="requires"),AND(B446="CAP",E446="AIR",D446="provided by"),AND(B446="AIR",OR(E446="MOD",E446="DATA",E446="IF",E446="AG",E446="TOOL"),D446="references"),AND(B446="AIR",E446="AIR",D446="depends on"))),"Invalid relationship",IF(AND(M446&lt;&gt;"Superseded",COUNTIFS($B$4:$B$1003,B446,$C$4:$C$1003,C446,$D$4:$D$1003,D446,$E$4:$E$1003,E446,$F$4:$F$1003,F446,$G$4:$G$1003,G446,$M$4:$M$1003,"&lt;&gt;Superseded")&gt;1),"Duplicate relationship",IF(OR(IF(B446="UC",COUNTIF('Use cases'!$A$4:$A$253,C446),IF(B446="CAP",COUNTIF(Capabilities!$A$4:$A$253,C446),IF(B446="AIR",COUNTIF('System map'!$A$4:$A$203,C446),COUNTIFS(Components!$A$4:$A$253,C446,Components!$B$4:$B$253,B446))))&lt;&gt;1,IF(E446="UC",COUNTIF('Use cases'!$A$4:$A$253,F446),IF(E446="CAP",COUNTIF(Capabilities!$A$4:$A$253,F446),IF(E446="AIR",COUNTIF('System map'!$A$4:$A$203,F446),COUNTIFS(Components!$A$4:$A$253,F446,Components!$B$4:$B$253,E446))))&lt;&gt;1),"Endpoint missing or duplicated",IF(AND(NOT(AND(B446="UC",E446="CAP")),OR(G446="",COUNTIF('System map'!$A$4:$A$203,G446)&lt;&gt;1)),"AIR context missing / unknown",IF(AND(B446="CAP",E446="AIR",G446&lt;&gt;F446),"AIR context mismatch",IF(AND(B446="AIR",G446&lt;&gt;C446),"AIR context mismatch",IF(AND(B446="AIR",E446="AIR",C446=F446),"Self-dependency",IF(AND(B446="AIR",E446="AIR",M446&lt;&gt;"Superseded",COUNTIFS($B$4:$B$1003,"AIR",$C$4:$C$1003,F446,$E$4:$E$1003,"AIR",$F$4:$F$1003,C446,$M$4:$M$1003,"&lt;&gt;Superseded")&gt;0),"Dependency cycle (A↔B) — review",IF(AND(B446="AIR",OR(E446="MOD",E446="DATA",E446="IF",E446="AG",E446="TOOL"),IFERROR(INDEX(Components!$G$4:$G$253,MATCH(F446,Components!$A$4:$A$253,0)),"")&lt;&gt;"",IFERROR(INDEX(Components!$G$4:$G$253,MATCH(F446,Components!$A$4:$A$253,0)),"")&lt;&gt;C446),"Component owned by another AIR-ID",IF(AND(M446="Confirmed",OR(IF(B446="UC",COUNTIFS('Use cases'!$A$4:$A$253,C446,'Use cases'!$I$4:$I$253,"Confirmed",'Use cases'!$J$4:$J$253,"OK — verify source"),IF(B446="CAP",COUNTIFS(Capabilities!$A$4:$A$253,C446,Capabilities!$J$4:$J$253,"Confirmed",Capabilities!$K$4:$K$253,"OK — verify source"),IF(B446="AIR",COUNTIFS('System map'!$A$4:$A$203,C446,'System map'!$B$4:$B$203,"&lt;&gt;",'System map'!$C$4:$C$203,"&lt;&gt;",'System map'!$D$4:$D$203,"&lt;&gt;"),COUNTIFS(Components!$A$4:$A$253,C446,Components!$B$4:$B$253,B446,Components!$K$4:$K$253,"Confirmed",Components!$L$4:$L$253,"OK — verify source"))))&lt;&gt;1,IF(E446="UC",COUNTIFS('Use cases'!$A$4:$A$253,F446,'Use cases'!$I$4:$I$253,"Confirmed",'Use cases'!$J$4:$J$253,"OK — verify source"),IF(E446="CAP",COUNTIFS(Capabilities!$A$4:$A$253,F446,Capabilities!$J$4:$J$253,"Confirmed",Capabilities!$K$4:$K$253,"OK — verify source"),IF(E446="AIR",COUNTIFS('System map'!$A$4:$A$203,F446,'System map'!$B$4:$B$203,"&lt;&gt;",'System map'!$C$4:$C$203,"&lt;&gt;",'System map'!$D$4:$D$203,"&lt;&gt;"),COUNTIFS(Components!$A$4:$A$253,F446,Components!$B$4:$B$253,E446,Components!$K$4:$K$253,"Confirmed",Components!$L$4:$L$253,"OK — verify source"))))&lt;&gt;1)),"Endpoint not source-reconciled",IF(AND(M446="Confirmed",OR(L446="",K446="",K446="Unknown",K446="Low")),"Confirmed link lacks verification","OK — verify source"))))))))))))))</f>
        <v/>
      </c>
    </row>
    <row r="447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8" t="n"/>
      <c r="M447" s="27" t="n"/>
      <c r="N447" s="27">
        <f>IF(COUNTA(A447:M447)=0,"",IF(OR(A447="",B447="",C447="",D447="",E447="",F447="",I447="",J447="",K447="",M447=""),"Required link detail missing",IF(COUNTIF($A$4:$A$1003,A447)&gt;1,"Duplicate Map Edge ID",IF(NOT(OR(AND(B447="UC",E447="CAP",D447="requires"),AND(B447="CAP",E447="AIR",D447="provided by"),AND(B447="AIR",OR(E447="MOD",E447="DATA",E447="IF",E447="AG",E447="TOOL"),D447="references"),AND(B447="AIR",E447="AIR",D447="depends on"))),"Invalid relationship",IF(AND(M447&lt;&gt;"Superseded",COUNTIFS($B$4:$B$1003,B447,$C$4:$C$1003,C447,$D$4:$D$1003,D447,$E$4:$E$1003,E447,$F$4:$F$1003,F447,$G$4:$G$1003,G447,$M$4:$M$1003,"&lt;&gt;Superseded")&gt;1),"Duplicate relationship",IF(OR(IF(B447="UC",COUNTIF('Use cases'!$A$4:$A$253,C447),IF(B447="CAP",COUNTIF(Capabilities!$A$4:$A$253,C447),IF(B447="AIR",COUNTIF('System map'!$A$4:$A$203,C447),COUNTIFS(Components!$A$4:$A$253,C447,Components!$B$4:$B$253,B447))))&lt;&gt;1,IF(E447="UC",COUNTIF('Use cases'!$A$4:$A$253,F447),IF(E447="CAP",COUNTIF(Capabilities!$A$4:$A$253,F447),IF(E447="AIR",COUNTIF('System map'!$A$4:$A$203,F447),COUNTIFS(Components!$A$4:$A$253,F447,Components!$B$4:$B$253,E447))))&lt;&gt;1),"Endpoint missing or duplicated",IF(AND(NOT(AND(B447="UC",E447="CAP")),OR(G447="",COUNTIF('System map'!$A$4:$A$203,G447)&lt;&gt;1)),"AIR context missing / unknown",IF(AND(B447="CAP",E447="AIR",G447&lt;&gt;F447),"AIR context mismatch",IF(AND(B447="AIR",G447&lt;&gt;C447),"AIR context mismatch",IF(AND(B447="AIR",E447="AIR",C447=F447),"Self-dependency",IF(AND(B447="AIR",E447="AIR",M447&lt;&gt;"Superseded",COUNTIFS($B$4:$B$1003,"AIR",$C$4:$C$1003,F447,$E$4:$E$1003,"AIR",$F$4:$F$1003,C447,$M$4:$M$1003,"&lt;&gt;Superseded")&gt;0),"Dependency cycle (A↔B) — review",IF(AND(B447="AIR",OR(E447="MOD",E447="DATA",E447="IF",E447="AG",E447="TOOL"),IFERROR(INDEX(Components!$G$4:$G$253,MATCH(F447,Components!$A$4:$A$253,0)),"")&lt;&gt;"",IFERROR(INDEX(Components!$G$4:$G$253,MATCH(F447,Components!$A$4:$A$253,0)),"")&lt;&gt;C447),"Component owned by another AIR-ID",IF(AND(M447="Confirmed",OR(IF(B447="UC",COUNTIFS('Use cases'!$A$4:$A$253,C447,'Use cases'!$I$4:$I$253,"Confirmed",'Use cases'!$J$4:$J$253,"OK — verify source"),IF(B447="CAP",COUNTIFS(Capabilities!$A$4:$A$253,C447,Capabilities!$J$4:$J$253,"Confirmed",Capabilities!$K$4:$K$253,"OK — verify source"),IF(B447="AIR",COUNTIFS('System map'!$A$4:$A$203,C447,'System map'!$B$4:$B$203,"&lt;&gt;",'System map'!$C$4:$C$203,"&lt;&gt;",'System map'!$D$4:$D$203,"&lt;&gt;"),COUNTIFS(Components!$A$4:$A$253,C447,Components!$B$4:$B$253,B447,Components!$K$4:$K$253,"Confirmed",Components!$L$4:$L$253,"OK — verify source"))))&lt;&gt;1,IF(E447="UC",COUNTIFS('Use cases'!$A$4:$A$253,F447,'Use cases'!$I$4:$I$253,"Confirmed",'Use cases'!$J$4:$J$253,"OK — verify source"),IF(E447="CAP",COUNTIFS(Capabilities!$A$4:$A$253,F447,Capabilities!$J$4:$J$253,"Confirmed",Capabilities!$K$4:$K$253,"OK — verify source"),IF(E447="AIR",COUNTIFS('System map'!$A$4:$A$203,F447,'System map'!$B$4:$B$203,"&lt;&gt;",'System map'!$C$4:$C$203,"&lt;&gt;",'System map'!$D$4:$D$203,"&lt;&gt;"),COUNTIFS(Components!$A$4:$A$253,F447,Components!$B$4:$B$253,E447,Components!$K$4:$K$253,"Confirmed",Components!$L$4:$L$253,"OK — verify source"))))&lt;&gt;1)),"Endpoint not source-reconciled",IF(AND(M447="Confirmed",OR(L447="",K447="",K447="Unknown",K447="Low")),"Confirmed link lacks verification","OK — verify source"))))))))))))))</f>
        <v/>
      </c>
    </row>
    <row r="448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6" t="n"/>
      <c r="M448" s="25" t="n"/>
      <c r="N448" s="25">
        <f>IF(COUNTA(A448:M448)=0,"",IF(OR(A448="",B448="",C448="",D448="",E448="",F448="",I448="",J448="",K448="",M448=""),"Required link detail missing",IF(COUNTIF($A$4:$A$1003,A448)&gt;1,"Duplicate Map Edge ID",IF(NOT(OR(AND(B448="UC",E448="CAP",D448="requires"),AND(B448="CAP",E448="AIR",D448="provided by"),AND(B448="AIR",OR(E448="MOD",E448="DATA",E448="IF",E448="AG",E448="TOOL"),D448="references"),AND(B448="AIR",E448="AIR",D448="depends on"))),"Invalid relationship",IF(AND(M448&lt;&gt;"Superseded",COUNTIFS($B$4:$B$1003,B448,$C$4:$C$1003,C448,$D$4:$D$1003,D448,$E$4:$E$1003,E448,$F$4:$F$1003,F448,$G$4:$G$1003,G448,$M$4:$M$1003,"&lt;&gt;Superseded")&gt;1),"Duplicate relationship",IF(OR(IF(B448="UC",COUNTIF('Use cases'!$A$4:$A$253,C448),IF(B448="CAP",COUNTIF(Capabilities!$A$4:$A$253,C448),IF(B448="AIR",COUNTIF('System map'!$A$4:$A$203,C448),COUNTIFS(Components!$A$4:$A$253,C448,Components!$B$4:$B$253,B448))))&lt;&gt;1,IF(E448="UC",COUNTIF('Use cases'!$A$4:$A$253,F448),IF(E448="CAP",COUNTIF(Capabilities!$A$4:$A$253,F448),IF(E448="AIR",COUNTIF('System map'!$A$4:$A$203,F448),COUNTIFS(Components!$A$4:$A$253,F448,Components!$B$4:$B$253,E448))))&lt;&gt;1),"Endpoint missing or duplicated",IF(AND(NOT(AND(B448="UC",E448="CAP")),OR(G448="",COUNTIF('System map'!$A$4:$A$203,G448)&lt;&gt;1)),"AIR context missing / unknown",IF(AND(B448="CAP",E448="AIR",G448&lt;&gt;F448),"AIR context mismatch",IF(AND(B448="AIR",G448&lt;&gt;C448),"AIR context mismatch",IF(AND(B448="AIR",E448="AIR",C448=F448),"Self-dependency",IF(AND(B448="AIR",E448="AIR",M448&lt;&gt;"Superseded",COUNTIFS($B$4:$B$1003,"AIR",$C$4:$C$1003,F448,$E$4:$E$1003,"AIR",$F$4:$F$1003,C448,$M$4:$M$1003,"&lt;&gt;Superseded")&gt;0),"Dependency cycle (A↔B) — review",IF(AND(B448="AIR",OR(E448="MOD",E448="DATA",E448="IF",E448="AG",E448="TOOL"),IFERROR(INDEX(Components!$G$4:$G$253,MATCH(F448,Components!$A$4:$A$253,0)),"")&lt;&gt;"",IFERROR(INDEX(Components!$G$4:$G$253,MATCH(F448,Components!$A$4:$A$253,0)),"")&lt;&gt;C448),"Component owned by another AIR-ID",IF(AND(M448="Confirmed",OR(IF(B448="UC",COUNTIFS('Use cases'!$A$4:$A$253,C448,'Use cases'!$I$4:$I$253,"Confirmed",'Use cases'!$J$4:$J$253,"OK — verify source"),IF(B448="CAP",COUNTIFS(Capabilities!$A$4:$A$253,C448,Capabilities!$J$4:$J$253,"Confirmed",Capabilities!$K$4:$K$253,"OK — verify source"),IF(B448="AIR",COUNTIFS('System map'!$A$4:$A$203,C448,'System map'!$B$4:$B$203,"&lt;&gt;",'System map'!$C$4:$C$203,"&lt;&gt;",'System map'!$D$4:$D$203,"&lt;&gt;"),COUNTIFS(Components!$A$4:$A$253,C448,Components!$B$4:$B$253,B448,Components!$K$4:$K$253,"Confirmed",Components!$L$4:$L$253,"OK — verify source"))))&lt;&gt;1,IF(E448="UC",COUNTIFS('Use cases'!$A$4:$A$253,F448,'Use cases'!$I$4:$I$253,"Confirmed",'Use cases'!$J$4:$J$253,"OK — verify source"),IF(E448="CAP",COUNTIFS(Capabilities!$A$4:$A$253,F448,Capabilities!$J$4:$J$253,"Confirmed",Capabilities!$K$4:$K$253,"OK — verify source"),IF(E448="AIR",COUNTIFS('System map'!$A$4:$A$203,F448,'System map'!$B$4:$B$203,"&lt;&gt;",'System map'!$C$4:$C$203,"&lt;&gt;",'System map'!$D$4:$D$203,"&lt;&gt;"),COUNTIFS(Components!$A$4:$A$253,F448,Components!$B$4:$B$253,E448,Components!$K$4:$K$253,"Confirmed",Components!$L$4:$L$253,"OK — verify source"))))&lt;&gt;1)),"Endpoint not source-reconciled",IF(AND(M448="Confirmed",OR(L448="",K448="",K448="Unknown",K448="Low")),"Confirmed link lacks verification","OK — verify source"))))))))))))))</f>
        <v/>
      </c>
    </row>
    <row r="449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8" t="n"/>
      <c r="M449" s="27" t="n"/>
      <c r="N449" s="27">
        <f>IF(COUNTA(A449:M449)=0,"",IF(OR(A449="",B449="",C449="",D449="",E449="",F449="",I449="",J449="",K449="",M449=""),"Required link detail missing",IF(COUNTIF($A$4:$A$1003,A449)&gt;1,"Duplicate Map Edge ID",IF(NOT(OR(AND(B449="UC",E449="CAP",D449="requires"),AND(B449="CAP",E449="AIR",D449="provided by"),AND(B449="AIR",OR(E449="MOD",E449="DATA",E449="IF",E449="AG",E449="TOOL"),D449="references"),AND(B449="AIR",E449="AIR",D449="depends on"))),"Invalid relationship",IF(AND(M449&lt;&gt;"Superseded",COUNTIFS($B$4:$B$1003,B449,$C$4:$C$1003,C449,$D$4:$D$1003,D449,$E$4:$E$1003,E449,$F$4:$F$1003,F449,$G$4:$G$1003,G449,$M$4:$M$1003,"&lt;&gt;Superseded")&gt;1),"Duplicate relationship",IF(OR(IF(B449="UC",COUNTIF('Use cases'!$A$4:$A$253,C449),IF(B449="CAP",COUNTIF(Capabilities!$A$4:$A$253,C449),IF(B449="AIR",COUNTIF('System map'!$A$4:$A$203,C449),COUNTIFS(Components!$A$4:$A$253,C449,Components!$B$4:$B$253,B449))))&lt;&gt;1,IF(E449="UC",COUNTIF('Use cases'!$A$4:$A$253,F449),IF(E449="CAP",COUNTIF(Capabilities!$A$4:$A$253,F449),IF(E449="AIR",COUNTIF('System map'!$A$4:$A$203,F449),COUNTIFS(Components!$A$4:$A$253,F449,Components!$B$4:$B$253,E449))))&lt;&gt;1),"Endpoint missing or duplicated",IF(AND(NOT(AND(B449="UC",E449="CAP")),OR(G449="",COUNTIF('System map'!$A$4:$A$203,G449)&lt;&gt;1)),"AIR context missing / unknown",IF(AND(B449="CAP",E449="AIR",G449&lt;&gt;F449),"AIR context mismatch",IF(AND(B449="AIR",G449&lt;&gt;C449),"AIR context mismatch",IF(AND(B449="AIR",E449="AIR",C449=F449),"Self-dependency",IF(AND(B449="AIR",E449="AIR",M449&lt;&gt;"Superseded",COUNTIFS($B$4:$B$1003,"AIR",$C$4:$C$1003,F449,$E$4:$E$1003,"AIR",$F$4:$F$1003,C449,$M$4:$M$1003,"&lt;&gt;Superseded")&gt;0),"Dependency cycle (A↔B) — review",IF(AND(B449="AIR",OR(E449="MOD",E449="DATA",E449="IF",E449="AG",E449="TOOL"),IFERROR(INDEX(Components!$G$4:$G$253,MATCH(F449,Components!$A$4:$A$253,0)),"")&lt;&gt;"",IFERROR(INDEX(Components!$G$4:$G$253,MATCH(F449,Components!$A$4:$A$253,0)),"")&lt;&gt;C449),"Component owned by another AIR-ID",IF(AND(M449="Confirmed",OR(IF(B449="UC",COUNTIFS('Use cases'!$A$4:$A$253,C449,'Use cases'!$I$4:$I$253,"Confirmed",'Use cases'!$J$4:$J$253,"OK — verify source"),IF(B449="CAP",COUNTIFS(Capabilities!$A$4:$A$253,C449,Capabilities!$J$4:$J$253,"Confirmed",Capabilities!$K$4:$K$253,"OK — verify source"),IF(B449="AIR",COUNTIFS('System map'!$A$4:$A$203,C449,'System map'!$B$4:$B$203,"&lt;&gt;",'System map'!$C$4:$C$203,"&lt;&gt;",'System map'!$D$4:$D$203,"&lt;&gt;"),COUNTIFS(Components!$A$4:$A$253,C449,Components!$B$4:$B$253,B449,Components!$K$4:$K$253,"Confirmed",Components!$L$4:$L$253,"OK — verify source"))))&lt;&gt;1,IF(E449="UC",COUNTIFS('Use cases'!$A$4:$A$253,F449,'Use cases'!$I$4:$I$253,"Confirmed",'Use cases'!$J$4:$J$253,"OK — verify source"),IF(E449="CAP",COUNTIFS(Capabilities!$A$4:$A$253,F449,Capabilities!$J$4:$J$253,"Confirmed",Capabilities!$K$4:$K$253,"OK — verify source"),IF(E449="AIR",COUNTIFS('System map'!$A$4:$A$203,F449,'System map'!$B$4:$B$203,"&lt;&gt;",'System map'!$C$4:$C$203,"&lt;&gt;",'System map'!$D$4:$D$203,"&lt;&gt;"),COUNTIFS(Components!$A$4:$A$253,F449,Components!$B$4:$B$253,E449,Components!$K$4:$K$253,"Confirmed",Components!$L$4:$L$253,"OK — verify source"))))&lt;&gt;1)),"Endpoint not source-reconciled",IF(AND(M449="Confirmed",OR(L449="",K449="",K449="Unknown",K449="Low")),"Confirmed link lacks verification","OK — verify source"))))))))))))))</f>
        <v/>
      </c>
    </row>
    <row r="450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6" t="n"/>
      <c r="M450" s="25" t="n"/>
      <c r="N450" s="25">
        <f>IF(COUNTA(A450:M450)=0,"",IF(OR(A450="",B450="",C450="",D450="",E450="",F450="",I450="",J450="",K450="",M450=""),"Required link detail missing",IF(COUNTIF($A$4:$A$1003,A450)&gt;1,"Duplicate Map Edge ID",IF(NOT(OR(AND(B450="UC",E450="CAP",D450="requires"),AND(B450="CAP",E450="AIR",D450="provided by"),AND(B450="AIR",OR(E450="MOD",E450="DATA",E450="IF",E450="AG",E450="TOOL"),D450="references"),AND(B450="AIR",E450="AIR",D450="depends on"))),"Invalid relationship",IF(AND(M450&lt;&gt;"Superseded",COUNTIFS($B$4:$B$1003,B450,$C$4:$C$1003,C450,$D$4:$D$1003,D450,$E$4:$E$1003,E450,$F$4:$F$1003,F450,$G$4:$G$1003,G450,$M$4:$M$1003,"&lt;&gt;Superseded")&gt;1),"Duplicate relationship",IF(OR(IF(B450="UC",COUNTIF('Use cases'!$A$4:$A$253,C450),IF(B450="CAP",COUNTIF(Capabilities!$A$4:$A$253,C450),IF(B450="AIR",COUNTIF('System map'!$A$4:$A$203,C450),COUNTIFS(Components!$A$4:$A$253,C450,Components!$B$4:$B$253,B450))))&lt;&gt;1,IF(E450="UC",COUNTIF('Use cases'!$A$4:$A$253,F450),IF(E450="CAP",COUNTIF(Capabilities!$A$4:$A$253,F450),IF(E450="AIR",COUNTIF('System map'!$A$4:$A$203,F450),COUNTIFS(Components!$A$4:$A$253,F450,Components!$B$4:$B$253,E450))))&lt;&gt;1),"Endpoint missing or duplicated",IF(AND(NOT(AND(B450="UC",E450="CAP")),OR(G450="",COUNTIF('System map'!$A$4:$A$203,G450)&lt;&gt;1)),"AIR context missing / unknown",IF(AND(B450="CAP",E450="AIR",G450&lt;&gt;F450),"AIR context mismatch",IF(AND(B450="AIR",G450&lt;&gt;C450),"AIR context mismatch",IF(AND(B450="AIR",E450="AIR",C450=F450),"Self-dependency",IF(AND(B450="AIR",E450="AIR",M450&lt;&gt;"Superseded",COUNTIFS($B$4:$B$1003,"AIR",$C$4:$C$1003,F450,$E$4:$E$1003,"AIR",$F$4:$F$1003,C450,$M$4:$M$1003,"&lt;&gt;Superseded")&gt;0),"Dependency cycle (A↔B) — review",IF(AND(B450="AIR",OR(E450="MOD",E450="DATA",E450="IF",E450="AG",E450="TOOL"),IFERROR(INDEX(Components!$G$4:$G$253,MATCH(F450,Components!$A$4:$A$253,0)),"")&lt;&gt;"",IFERROR(INDEX(Components!$G$4:$G$253,MATCH(F450,Components!$A$4:$A$253,0)),"")&lt;&gt;C450),"Component owned by another AIR-ID",IF(AND(M450="Confirmed",OR(IF(B450="UC",COUNTIFS('Use cases'!$A$4:$A$253,C450,'Use cases'!$I$4:$I$253,"Confirmed",'Use cases'!$J$4:$J$253,"OK — verify source"),IF(B450="CAP",COUNTIFS(Capabilities!$A$4:$A$253,C450,Capabilities!$J$4:$J$253,"Confirmed",Capabilities!$K$4:$K$253,"OK — verify source"),IF(B450="AIR",COUNTIFS('System map'!$A$4:$A$203,C450,'System map'!$B$4:$B$203,"&lt;&gt;",'System map'!$C$4:$C$203,"&lt;&gt;",'System map'!$D$4:$D$203,"&lt;&gt;"),COUNTIFS(Components!$A$4:$A$253,C450,Components!$B$4:$B$253,B450,Components!$K$4:$K$253,"Confirmed",Components!$L$4:$L$253,"OK — verify source"))))&lt;&gt;1,IF(E450="UC",COUNTIFS('Use cases'!$A$4:$A$253,F450,'Use cases'!$I$4:$I$253,"Confirmed",'Use cases'!$J$4:$J$253,"OK — verify source"),IF(E450="CAP",COUNTIFS(Capabilities!$A$4:$A$253,F450,Capabilities!$J$4:$J$253,"Confirmed",Capabilities!$K$4:$K$253,"OK — verify source"),IF(E450="AIR",COUNTIFS('System map'!$A$4:$A$203,F450,'System map'!$B$4:$B$203,"&lt;&gt;",'System map'!$C$4:$C$203,"&lt;&gt;",'System map'!$D$4:$D$203,"&lt;&gt;"),COUNTIFS(Components!$A$4:$A$253,F450,Components!$B$4:$B$253,E450,Components!$K$4:$K$253,"Confirmed",Components!$L$4:$L$253,"OK — verify source"))))&lt;&gt;1)),"Endpoint not source-reconciled",IF(AND(M450="Confirmed",OR(L450="",K450="",K450="Unknown",K450="Low")),"Confirmed link lacks verification","OK — verify source"))))))))))))))</f>
        <v/>
      </c>
    </row>
    <row r="451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8" t="n"/>
      <c r="M451" s="27" t="n"/>
      <c r="N451" s="27">
        <f>IF(COUNTA(A451:M451)=0,"",IF(OR(A451="",B451="",C451="",D451="",E451="",F451="",I451="",J451="",K451="",M451=""),"Required link detail missing",IF(COUNTIF($A$4:$A$1003,A451)&gt;1,"Duplicate Map Edge ID",IF(NOT(OR(AND(B451="UC",E451="CAP",D451="requires"),AND(B451="CAP",E451="AIR",D451="provided by"),AND(B451="AIR",OR(E451="MOD",E451="DATA",E451="IF",E451="AG",E451="TOOL"),D451="references"),AND(B451="AIR",E451="AIR",D451="depends on"))),"Invalid relationship",IF(AND(M451&lt;&gt;"Superseded",COUNTIFS($B$4:$B$1003,B451,$C$4:$C$1003,C451,$D$4:$D$1003,D451,$E$4:$E$1003,E451,$F$4:$F$1003,F451,$G$4:$G$1003,G451,$M$4:$M$1003,"&lt;&gt;Superseded")&gt;1),"Duplicate relationship",IF(OR(IF(B451="UC",COUNTIF('Use cases'!$A$4:$A$253,C451),IF(B451="CAP",COUNTIF(Capabilities!$A$4:$A$253,C451),IF(B451="AIR",COUNTIF('System map'!$A$4:$A$203,C451),COUNTIFS(Components!$A$4:$A$253,C451,Components!$B$4:$B$253,B451))))&lt;&gt;1,IF(E451="UC",COUNTIF('Use cases'!$A$4:$A$253,F451),IF(E451="CAP",COUNTIF(Capabilities!$A$4:$A$253,F451),IF(E451="AIR",COUNTIF('System map'!$A$4:$A$203,F451),COUNTIFS(Components!$A$4:$A$253,F451,Components!$B$4:$B$253,E451))))&lt;&gt;1),"Endpoint missing or duplicated",IF(AND(NOT(AND(B451="UC",E451="CAP")),OR(G451="",COUNTIF('System map'!$A$4:$A$203,G451)&lt;&gt;1)),"AIR context missing / unknown",IF(AND(B451="CAP",E451="AIR",G451&lt;&gt;F451),"AIR context mismatch",IF(AND(B451="AIR",G451&lt;&gt;C451),"AIR context mismatch",IF(AND(B451="AIR",E451="AIR",C451=F451),"Self-dependency",IF(AND(B451="AIR",E451="AIR",M451&lt;&gt;"Superseded",COUNTIFS($B$4:$B$1003,"AIR",$C$4:$C$1003,F451,$E$4:$E$1003,"AIR",$F$4:$F$1003,C451,$M$4:$M$1003,"&lt;&gt;Superseded")&gt;0),"Dependency cycle (A↔B) — review",IF(AND(B451="AIR",OR(E451="MOD",E451="DATA",E451="IF",E451="AG",E451="TOOL"),IFERROR(INDEX(Components!$G$4:$G$253,MATCH(F451,Components!$A$4:$A$253,0)),"")&lt;&gt;"",IFERROR(INDEX(Components!$G$4:$G$253,MATCH(F451,Components!$A$4:$A$253,0)),"")&lt;&gt;C451),"Component owned by another AIR-ID",IF(AND(M451="Confirmed",OR(IF(B451="UC",COUNTIFS('Use cases'!$A$4:$A$253,C451,'Use cases'!$I$4:$I$253,"Confirmed",'Use cases'!$J$4:$J$253,"OK — verify source"),IF(B451="CAP",COUNTIFS(Capabilities!$A$4:$A$253,C451,Capabilities!$J$4:$J$253,"Confirmed",Capabilities!$K$4:$K$253,"OK — verify source"),IF(B451="AIR",COUNTIFS('System map'!$A$4:$A$203,C451,'System map'!$B$4:$B$203,"&lt;&gt;",'System map'!$C$4:$C$203,"&lt;&gt;",'System map'!$D$4:$D$203,"&lt;&gt;"),COUNTIFS(Components!$A$4:$A$253,C451,Components!$B$4:$B$253,B451,Components!$K$4:$K$253,"Confirmed",Components!$L$4:$L$253,"OK — verify source"))))&lt;&gt;1,IF(E451="UC",COUNTIFS('Use cases'!$A$4:$A$253,F451,'Use cases'!$I$4:$I$253,"Confirmed",'Use cases'!$J$4:$J$253,"OK — verify source"),IF(E451="CAP",COUNTIFS(Capabilities!$A$4:$A$253,F451,Capabilities!$J$4:$J$253,"Confirmed",Capabilities!$K$4:$K$253,"OK — verify source"),IF(E451="AIR",COUNTIFS('System map'!$A$4:$A$203,F451,'System map'!$B$4:$B$203,"&lt;&gt;",'System map'!$C$4:$C$203,"&lt;&gt;",'System map'!$D$4:$D$203,"&lt;&gt;"),COUNTIFS(Components!$A$4:$A$253,F451,Components!$B$4:$B$253,E451,Components!$K$4:$K$253,"Confirmed",Components!$L$4:$L$253,"OK — verify source"))))&lt;&gt;1)),"Endpoint not source-reconciled",IF(AND(M451="Confirmed",OR(L451="",K451="",K451="Unknown",K451="Low")),"Confirmed link lacks verification","OK — verify source"))))))))))))))</f>
        <v/>
      </c>
    </row>
    <row r="452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6" t="n"/>
      <c r="M452" s="25" t="n"/>
      <c r="N452" s="25">
        <f>IF(COUNTA(A452:M452)=0,"",IF(OR(A452="",B452="",C452="",D452="",E452="",F452="",I452="",J452="",K452="",M452=""),"Required link detail missing",IF(COUNTIF($A$4:$A$1003,A452)&gt;1,"Duplicate Map Edge ID",IF(NOT(OR(AND(B452="UC",E452="CAP",D452="requires"),AND(B452="CAP",E452="AIR",D452="provided by"),AND(B452="AIR",OR(E452="MOD",E452="DATA",E452="IF",E452="AG",E452="TOOL"),D452="references"),AND(B452="AIR",E452="AIR",D452="depends on"))),"Invalid relationship",IF(AND(M452&lt;&gt;"Superseded",COUNTIFS($B$4:$B$1003,B452,$C$4:$C$1003,C452,$D$4:$D$1003,D452,$E$4:$E$1003,E452,$F$4:$F$1003,F452,$G$4:$G$1003,G452,$M$4:$M$1003,"&lt;&gt;Superseded")&gt;1),"Duplicate relationship",IF(OR(IF(B452="UC",COUNTIF('Use cases'!$A$4:$A$253,C452),IF(B452="CAP",COUNTIF(Capabilities!$A$4:$A$253,C452),IF(B452="AIR",COUNTIF('System map'!$A$4:$A$203,C452),COUNTIFS(Components!$A$4:$A$253,C452,Components!$B$4:$B$253,B452))))&lt;&gt;1,IF(E452="UC",COUNTIF('Use cases'!$A$4:$A$253,F452),IF(E452="CAP",COUNTIF(Capabilities!$A$4:$A$253,F452),IF(E452="AIR",COUNTIF('System map'!$A$4:$A$203,F452),COUNTIFS(Components!$A$4:$A$253,F452,Components!$B$4:$B$253,E452))))&lt;&gt;1),"Endpoint missing or duplicated",IF(AND(NOT(AND(B452="UC",E452="CAP")),OR(G452="",COUNTIF('System map'!$A$4:$A$203,G452)&lt;&gt;1)),"AIR context missing / unknown",IF(AND(B452="CAP",E452="AIR",G452&lt;&gt;F452),"AIR context mismatch",IF(AND(B452="AIR",G452&lt;&gt;C452),"AIR context mismatch",IF(AND(B452="AIR",E452="AIR",C452=F452),"Self-dependency",IF(AND(B452="AIR",E452="AIR",M452&lt;&gt;"Superseded",COUNTIFS($B$4:$B$1003,"AIR",$C$4:$C$1003,F452,$E$4:$E$1003,"AIR",$F$4:$F$1003,C452,$M$4:$M$1003,"&lt;&gt;Superseded")&gt;0),"Dependency cycle (A↔B) — review",IF(AND(B452="AIR",OR(E452="MOD",E452="DATA",E452="IF",E452="AG",E452="TOOL"),IFERROR(INDEX(Components!$G$4:$G$253,MATCH(F452,Components!$A$4:$A$253,0)),"")&lt;&gt;"",IFERROR(INDEX(Components!$G$4:$G$253,MATCH(F452,Components!$A$4:$A$253,0)),"")&lt;&gt;C452),"Component owned by another AIR-ID",IF(AND(M452="Confirmed",OR(IF(B452="UC",COUNTIFS('Use cases'!$A$4:$A$253,C452,'Use cases'!$I$4:$I$253,"Confirmed",'Use cases'!$J$4:$J$253,"OK — verify source"),IF(B452="CAP",COUNTIFS(Capabilities!$A$4:$A$253,C452,Capabilities!$J$4:$J$253,"Confirmed",Capabilities!$K$4:$K$253,"OK — verify source"),IF(B452="AIR",COUNTIFS('System map'!$A$4:$A$203,C452,'System map'!$B$4:$B$203,"&lt;&gt;",'System map'!$C$4:$C$203,"&lt;&gt;",'System map'!$D$4:$D$203,"&lt;&gt;"),COUNTIFS(Components!$A$4:$A$253,C452,Components!$B$4:$B$253,B452,Components!$K$4:$K$253,"Confirmed",Components!$L$4:$L$253,"OK — verify source"))))&lt;&gt;1,IF(E452="UC",COUNTIFS('Use cases'!$A$4:$A$253,F452,'Use cases'!$I$4:$I$253,"Confirmed",'Use cases'!$J$4:$J$253,"OK — verify source"),IF(E452="CAP",COUNTIFS(Capabilities!$A$4:$A$253,F452,Capabilities!$J$4:$J$253,"Confirmed",Capabilities!$K$4:$K$253,"OK — verify source"),IF(E452="AIR",COUNTIFS('System map'!$A$4:$A$203,F452,'System map'!$B$4:$B$203,"&lt;&gt;",'System map'!$C$4:$C$203,"&lt;&gt;",'System map'!$D$4:$D$203,"&lt;&gt;"),COUNTIFS(Components!$A$4:$A$253,F452,Components!$B$4:$B$253,E452,Components!$K$4:$K$253,"Confirmed",Components!$L$4:$L$253,"OK — verify source"))))&lt;&gt;1)),"Endpoint not source-reconciled",IF(AND(M452="Confirmed",OR(L452="",K452="",K452="Unknown",K452="Low")),"Confirmed link lacks verification","OK — verify source"))))))))))))))</f>
        <v/>
      </c>
    </row>
    <row r="453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8" t="n"/>
      <c r="M453" s="27" t="n"/>
      <c r="N453" s="27">
        <f>IF(COUNTA(A453:M453)=0,"",IF(OR(A453="",B453="",C453="",D453="",E453="",F453="",I453="",J453="",K453="",M453=""),"Required link detail missing",IF(COUNTIF($A$4:$A$1003,A453)&gt;1,"Duplicate Map Edge ID",IF(NOT(OR(AND(B453="UC",E453="CAP",D453="requires"),AND(B453="CAP",E453="AIR",D453="provided by"),AND(B453="AIR",OR(E453="MOD",E453="DATA",E453="IF",E453="AG",E453="TOOL"),D453="references"),AND(B453="AIR",E453="AIR",D453="depends on"))),"Invalid relationship",IF(AND(M453&lt;&gt;"Superseded",COUNTIFS($B$4:$B$1003,B453,$C$4:$C$1003,C453,$D$4:$D$1003,D453,$E$4:$E$1003,E453,$F$4:$F$1003,F453,$G$4:$G$1003,G453,$M$4:$M$1003,"&lt;&gt;Superseded")&gt;1),"Duplicate relationship",IF(OR(IF(B453="UC",COUNTIF('Use cases'!$A$4:$A$253,C453),IF(B453="CAP",COUNTIF(Capabilities!$A$4:$A$253,C453),IF(B453="AIR",COUNTIF('System map'!$A$4:$A$203,C453),COUNTIFS(Components!$A$4:$A$253,C453,Components!$B$4:$B$253,B453))))&lt;&gt;1,IF(E453="UC",COUNTIF('Use cases'!$A$4:$A$253,F453),IF(E453="CAP",COUNTIF(Capabilities!$A$4:$A$253,F453),IF(E453="AIR",COUNTIF('System map'!$A$4:$A$203,F453),COUNTIFS(Components!$A$4:$A$253,F453,Components!$B$4:$B$253,E453))))&lt;&gt;1),"Endpoint missing or duplicated",IF(AND(NOT(AND(B453="UC",E453="CAP")),OR(G453="",COUNTIF('System map'!$A$4:$A$203,G453)&lt;&gt;1)),"AIR context missing / unknown",IF(AND(B453="CAP",E453="AIR",G453&lt;&gt;F453),"AIR context mismatch",IF(AND(B453="AIR",G453&lt;&gt;C453),"AIR context mismatch",IF(AND(B453="AIR",E453="AIR",C453=F453),"Self-dependency",IF(AND(B453="AIR",E453="AIR",M453&lt;&gt;"Superseded",COUNTIFS($B$4:$B$1003,"AIR",$C$4:$C$1003,F453,$E$4:$E$1003,"AIR",$F$4:$F$1003,C453,$M$4:$M$1003,"&lt;&gt;Superseded")&gt;0),"Dependency cycle (A↔B) — review",IF(AND(B453="AIR",OR(E453="MOD",E453="DATA",E453="IF",E453="AG",E453="TOOL"),IFERROR(INDEX(Components!$G$4:$G$253,MATCH(F453,Components!$A$4:$A$253,0)),"")&lt;&gt;"",IFERROR(INDEX(Components!$G$4:$G$253,MATCH(F453,Components!$A$4:$A$253,0)),"")&lt;&gt;C453),"Component owned by another AIR-ID",IF(AND(M453="Confirmed",OR(IF(B453="UC",COUNTIFS('Use cases'!$A$4:$A$253,C453,'Use cases'!$I$4:$I$253,"Confirmed",'Use cases'!$J$4:$J$253,"OK — verify source"),IF(B453="CAP",COUNTIFS(Capabilities!$A$4:$A$253,C453,Capabilities!$J$4:$J$253,"Confirmed",Capabilities!$K$4:$K$253,"OK — verify source"),IF(B453="AIR",COUNTIFS('System map'!$A$4:$A$203,C453,'System map'!$B$4:$B$203,"&lt;&gt;",'System map'!$C$4:$C$203,"&lt;&gt;",'System map'!$D$4:$D$203,"&lt;&gt;"),COUNTIFS(Components!$A$4:$A$253,C453,Components!$B$4:$B$253,B453,Components!$K$4:$K$253,"Confirmed",Components!$L$4:$L$253,"OK — verify source"))))&lt;&gt;1,IF(E453="UC",COUNTIFS('Use cases'!$A$4:$A$253,F453,'Use cases'!$I$4:$I$253,"Confirmed",'Use cases'!$J$4:$J$253,"OK — verify source"),IF(E453="CAP",COUNTIFS(Capabilities!$A$4:$A$253,F453,Capabilities!$J$4:$J$253,"Confirmed",Capabilities!$K$4:$K$253,"OK — verify source"),IF(E453="AIR",COUNTIFS('System map'!$A$4:$A$203,F453,'System map'!$B$4:$B$203,"&lt;&gt;",'System map'!$C$4:$C$203,"&lt;&gt;",'System map'!$D$4:$D$203,"&lt;&gt;"),COUNTIFS(Components!$A$4:$A$253,F453,Components!$B$4:$B$253,E453,Components!$K$4:$K$253,"Confirmed",Components!$L$4:$L$253,"OK — verify source"))))&lt;&gt;1)),"Endpoint not source-reconciled",IF(AND(M453="Confirmed",OR(L453="",K453="",K453="Unknown",K453="Low")),"Confirmed link lacks verification","OK — verify source"))))))))))))))</f>
        <v/>
      </c>
    </row>
    <row r="45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6" t="n"/>
      <c r="M454" s="25" t="n"/>
      <c r="N454" s="25">
        <f>IF(COUNTA(A454:M454)=0,"",IF(OR(A454="",B454="",C454="",D454="",E454="",F454="",I454="",J454="",K454="",M454=""),"Required link detail missing",IF(COUNTIF($A$4:$A$1003,A454)&gt;1,"Duplicate Map Edge ID",IF(NOT(OR(AND(B454="UC",E454="CAP",D454="requires"),AND(B454="CAP",E454="AIR",D454="provided by"),AND(B454="AIR",OR(E454="MOD",E454="DATA",E454="IF",E454="AG",E454="TOOL"),D454="references"),AND(B454="AIR",E454="AIR",D454="depends on"))),"Invalid relationship",IF(AND(M454&lt;&gt;"Superseded",COUNTIFS($B$4:$B$1003,B454,$C$4:$C$1003,C454,$D$4:$D$1003,D454,$E$4:$E$1003,E454,$F$4:$F$1003,F454,$G$4:$G$1003,G454,$M$4:$M$1003,"&lt;&gt;Superseded")&gt;1),"Duplicate relationship",IF(OR(IF(B454="UC",COUNTIF('Use cases'!$A$4:$A$253,C454),IF(B454="CAP",COUNTIF(Capabilities!$A$4:$A$253,C454),IF(B454="AIR",COUNTIF('System map'!$A$4:$A$203,C454),COUNTIFS(Components!$A$4:$A$253,C454,Components!$B$4:$B$253,B454))))&lt;&gt;1,IF(E454="UC",COUNTIF('Use cases'!$A$4:$A$253,F454),IF(E454="CAP",COUNTIF(Capabilities!$A$4:$A$253,F454),IF(E454="AIR",COUNTIF('System map'!$A$4:$A$203,F454),COUNTIFS(Components!$A$4:$A$253,F454,Components!$B$4:$B$253,E454))))&lt;&gt;1),"Endpoint missing or duplicated",IF(AND(NOT(AND(B454="UC",E454="CAP")),OR(G454="",COUNTIF('System map'!$A$4:$A$203,G454)&lt;&gt;1)),"AIR context missing / unknown",IF(AND(B454="CAP",E454="AIR",G454&lt;&gt;F454),"AIR context mismatch",IF(AND(B454="AIR",G454&lt;&gt;C454),"AIR context mismatch",IF(AND(B454="AIR",E454="AIR",C454=F454),"Self-dependency",IF(AND(B454="AIR",E454="AIR",M454&lt;&gt;"Superseded",COUNTIFS($B$4:$B$1003,"AIR",$C$4:$C$1003,F454,$E$4:$E$1003,"AIR",$F$4:$F$1003,C454,$M$4:$M$1003,"&lt;&gt;Superseded")&gt;0),"Dependency cycle (A↔B) — review",IF(AND(B454="AIR",OR(E454="MOD",E454="DATA",E454="IF",E454="AG",E454="TOOL"),IFERROR(INDEX(Components!$G$4:$G$253,MATCH(F454,Components!$A$4:$A$253,0)),"")&lt;&gt;"",IFERROR(INDEX(Components!$G$4:$G$253,MATCH(F454,Components!$A$4:$A$253,0)),"")&lt;&gt;C454),"Component owned by another AIR-ID",IF(AND(M454="Confirmed",OR(IF(B454="UC",COUNTIFS('Use cases'!$A$4:$A$253,C454,'Use cases'!$I$4:$I$253,"Confirmed",'Use cases'!$J$4:$J$253,"OK — verify source"),IF(B454="CAP",COUNTIFS(Capabilities!$A$4:$A$253,C454,Capabilities!$J$4:$J$253,"Confirmed",Capabilities!$K$4:$K$253,"OK — verify source"),IF(B454="AIR",COUNTIFS('System map'!$A$4:$A$203,C454,'System map'!$B$4:$B$203,"&lt;&gt;",'System map'!$C$4:$C$203,"&lt;&gt;",'System map'!$D$4:$D$203,"&lt;&gt;"),COUNTIFS(Components!$A$4:$A$253,C454,Components!$B$4:$B$253,B454,Components!$K$4:$K$253,"Confirmed",Components!$L$4:$L$253,"OK — verify source"))))&lt;&gt;1,IF(E454="UC",COUNTIFS('Use cases'!$A$4:$A$253,F454,'Use cases'!$I$4:$I$253,"Confirmed",'Use cases'!$J$4:$J$253,"OK — verify source"),IF(E454="CAP",COUNTIFS(Capabilities!$A$4:$A$253,F454,Capabilities!$J$4:$J$253,"Confirmed",Capabilities!$K$4:$K$253,"OK — verify source"),IF(E454="AIR",COUNTIFS('System map'!$A$4:$A$203,F454,'System map'!$B$4:$B$203,"&lt;&gt;",'System map'!$C$4:$C$203,"&lt;&gt;",'System map'!$D$4:$D$203,"&lt;&gt;"),COUNTIFS(Components!$A$4:$A$253,F454,Components!$B$4:$B$253,E454,Components!$K$4:$K$253,"Confirmed",Components!$L$4:$L$253,"OK — verify source"))))&lt;&gt;1)),"Endpoint not source-reconciled",IF(AND(M454="Confirmed",OR(L454="",K454="",K454="Unknown",K454="Low")),"Confirmed link lacks verification","OK — verify source"))))))))))))))</f>
        <v/>
      </c>
    </row>
    <row r="455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8" t="n"/>
      <c r="M455" s="27" t="n"/>
      <c r="N455" s="27">
        <f>IF(COUNTA(A455:M455)=0,"",IF(OR(A455="",B455="",C455="",D455="",E455="",F455="",I455="",J455="",K455="",M455=""),"Required link detail missing",IF(COUNTIF($A$4:$A$1003,A455)&gt;1,"Duplicate Map Edge ID",IF(NOT(OR(AND(B455="UC",E455="CAP",D455="requires"),AND(B455="CAP",E455="AIR",D455="provided by"),AND(B455="AIR",OR(E455="MOD",E455="DATA",E455="IF",E455="AG",E455="TOOL"),D455="references"),AND(B455="AIR",E455="AIR",D455="depends on"))),"Invalid relationship",IF(AND(M455&lt;&gt;"Superseded",COUNTIFS($B$4:$B$1003,B455,$C$4:$C$1003,C455,$D$4:$D$1003,D455,$E$4:$E$1003,E455,$F$4:$F$1003,F455,$G$4:$G$1003,G455,$M$4:$M$1003,"&lt;&gt;Superseded")&gt;1),"Duplicate relationship",IF(OR(IF(B455="UC",COUNTIF('Use cases'!$A$4:$A$253,C455),IF(B455="CAP",COUNTIF(Capabilities!$A$4:$A$253,C455),IF(B455="AIR",COUNTIF('System map'!$A$4:$A$203,C455),COUNTIFS(Components!$A$4:$A$253,C455,Components!$B$4:$B$253,B455))))&lt;&gt;1,IF(E455="UC",COUNTIF('Use cases'!$A$4:$A$253,F455),IF(E455="CAP",COUNTIF(Capabilities!$A$4:$A$253,F455),IF(E455="AIR",COUNTIF('System map'!$A$4:$A$203,F455),COUNTIFS(Components!$A$4:$A$253,F455,Components!$B$4:$B$253,E455))))&lt;&gt;1),"Endpoint missing or duplicated",IF(AND(NOT(AND(B455="UC",E455="CAP")),OR(G455="",COUNTIF('System map'!$A$4:$A$203,G455)&lt;&gt;1)),"AIR context missing / unknown",IF(AND(B455="CAP",E455="AIR",G455&lt;&gt;F455),"AIR context mismatch",IF(AND(B455="AIR",G455&lt;&gt;C455),"AIR context mismatch",IF(AND(B455="AIR",E455="AIR",C455=F455),"Self-dependency",IF(AND(B455="AIR",E455="AIR",M455&lt;&gt;"Superseded",COUNTIFS($B$4:$B$1003,"AIR",$C$4:$C$1003,F455,$E$4:$E$1003,"AIR",$F$4:$F$1003,C455,$M$4:$M$1003,"&lt;&gt;Superseded")&gt;0),"Dependency cycle (A↔B) — review",IF(AND(B455="AIR",OR(E455="MOD",E455="DATA",E455="IF",E455="AG",E455="TOOL"),IFERROR(INDEX(Components!$G$4:$G$253,MATCH(F455,Components!$A$4:$A$253,0)),"")&lt;&gt;"",IFERROR(INDEX(Components!$G$4:$G$253,MATCH(F455,Components!$A$4:$A$253,0)),"")&lt;&gt;C455),"Component owned by another AIR-ID",IF(AND(M455="Confirmed",OR(IF(B455="UC",COUNTIFS('Use cases'!$A$4:$A$253,C455,'Use cases'!$I$4:$I$253,"Confirmed",'Use cases'!$J$4:$J$253,"OK — verify source"),IF(B455="CAP",COUNTIFS(Capabilities!$A$4:$A$253,C455,Capabilities!$J$4:$J$253,"Confirmed",Capabilities!$K$4:$K$253,"OK — verify source"),IF(B455="AIR",COUNTIFS('System map'!$A$4:$A$203,C455,'System map'!$B$4:$B$203,"&lt;&gt;",'System map'!$C$4:$C$203,"&lt;&gt;",'System map'!$D$4:$D$203,"&lt;&gt;"),COUNTIFS(Components!$A$4:$A$253,C455,Components!$B$4:$B$253,B455,Components!$K$4:$K$253,"Confirmed",Components!$L$4:$L$253,"OK — verify source"))))&lt;&gt;1,IF(E455="UC",COUNTIFS('Use cases'!$A$4:$A$253,F455,'Use cases'!$I$4:$I$253,"Confirmed",'Use cases'!$J$4:$J$253,"OK — verify source"),IF(E455="CAP",COUNTIFS(Capabilities!$A$4:$A$253,F455,Capabilities!$J$4:$J$253,"Confirmed",Capabilities!$K$4:$K$253,"OK — verify source"),IF(E455="AIR",COUNTIFS('System map'!$A$4:$A$203,F455,'System map'!$B$4:$B$203,"&lt;&gt;",'System map'!$C$4:$C$203,"&lt;&gt;",'System map'!$D$4:$D$203,"&lt;&gt;"),COUNTIFS(Components!$A$4:$A$253,F455,Components!$B$4:$B$253,E455,Components!$K$4:$K$253,"Confirmed",Components!$L$4:$L$253,"OK — verify source"))))&lt;&gt;1)),"Endpoint not source-reconciled",IF(AND(M455="Confirmed",OR(L455="",K455="",K455="Unknown",K455="Low")),"Confirmed link lacks verification","OK — verify source"))))))))))))))</f>
        <v/>
      </c>
    </row>
    <row r="456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6" t="n"/>
      <c r="M456" s="25" t="n"/>
      <c r="N456" s="25">
        <f>IF(COUNTA(A456:M456)=0,"",IF(OR(A456="",B456="",C456="",D456="",E456="",F456="",I456="",J456="",K456="",M456=""),"Required link detail missing",IF(COUNTIF($A$4:$A$1003,A456)&gt;1,"Duplicate Map Edge ID",IF(NOT(OR(AND(B456="UC",E456="CAP",D456="requires"),AND(B456="CAP",E456="AIR",D456="provided by"),AND(B456="AIR",OR(E456="MOD",E456="DATA",E456="IF",E456="AG",E456="TOOL"),D456="references"),AND(B456="AIR",E456="AIR",D456="depends on"))),"Invalid relationship",IF(AND(M456&lt;&gt;"Superseded",COUNTIFS($B$4:$B$1003,B456,$C$4:$C$1003,C456,$D$4:$D$1003,D456,$E$4:$E$1003,E456,$F$4:$F$1003,F456,$G$4:$G$1003,G456,$M$4:$M$1003,"&lt;&gt;Superseded")&gt;1),"Duplicate relationship",IF(OR(IF(B456="UC",COUNTIF('Use cases'!$A$4:$A$253,C456),IF(B456="CAP",COUNTIF(Capabilities!$A$4:$A$253,C456),IF(B456="AIR",COUNTIF('System map'!$A$4:$A$203,C456),COUNTIFS(Components!$A$4:$A$253,C456,Components!$B$4:$B$253,B456))))&lt;&gt;1,IF(E456="UC",COUNTIF('Use cases'!$A$4:$A$253,F456),IF(E456="CAP",COUNTIF(Capabilities!$A$4:$A$253,F456),IF(E456="AIR",COUNTIF('System map'!$A$4:$A$203,F456),COUNTIFS(Components!$A$4:$A$253,F456,Components!$B$4:$B$253,E456))))&lt;&gt;1),"Endpoint missing or duplicated",IF(AND(NOT(AND(B456="UC",E456="CAP")),OR(G456="",COUNTIF('System map'!$A$4:$A$203,G456)&lt;&gt;1)),"AIR context missing / unknown",IF(AND(B456="CAP",E456="AIR",G456&lt;&gt;F456),"AIR context mismatch",IF(AND(B456="AIR",G456&lt;&gt;C456),"AIR context mismatch",IF(AND(B456="AIR",E456="AIR",C456=F456),"Self-dependency",IF(AND(B456="AIR",E456="AIR",M456&lt;&gt;"Superseded",COUNTIFS($B$4:$B$1003,"AIR",$C$4:$C$1003,F456,$E$4:$E$1003,"AIR",$F$4:$F$1003,C456,$M$4:$M$1003,"&lt;&gt;Superseded")&gt;0),"Dependency cycle (A↔B) — review",IF(AND(B456="AIR",OR(E456="MOD",E456="DATA",E456="IF",E456="AG",E456="TOOL"),IFERROR(INDEX(Components!$G$4:$G$253,MATCH(F456,Components!$A$4:$A$253,0)),"")&lt;&gt;"",IFERROR(INDEX(Components!$G$4:$G$253,MATCH(F456,Components!$A$4:$A$253,0)),"")&lt;&gt;C456),"Component owned by another AIR-ID",IF(AND(M456="Confirmed",OR(IF(B456="UC",COUNTIFS('Use cases'!$A$4:$A$253,C456,'Use cases'!$I$4:$I$253,"Confirmed",'Use cases'!$J$4:$J$253,"OK — verify source"),IF(B456="CAP",COUNTIFS(Capabilities!$A$4:$A$253,C456,Capabilities!$J$4:$J$253,"Confirmed",Capabilities!$K$4:$K$253,"OK — verify source"),IF(B456="AIR",COUNTIFS('System map'!$A$4:$A$203,C456,'System map'!$B$4:$B$203,"&lt;&gt;",'System map'!$C$4:$C$203,"&lt;&gt;",'System map'!$D$4:$D$203,"&lt;&gt;"),COUNTIFS(Components!$A$4:$A$253,C456,Components!$B$4:$B$253,B456,Components!$K$4:$K$253,"Confirmed",Components!$L$4:$L$253,"OK — verify source"))))&lt;&gt;1,IF(E456="UC",COUNTIFS('Use cases'!$A$4:$A$253,F456,'Use cases'!$I$4:$I$253,"Confirmed",'Use cases'!$J$4:$J$253,"OK — verify source"),IF(E456="CAP",COUNTIFS(Capabilities!$A$4:$A$253,F456,Capabilities!$J$4:$J$253,"Confirmed",Capabilities!$K$4:$K$253,"OK — verify source"),IF(E456="AIR",COUNTIFS('System map'!$A$4:$A$203,F456,'System map'!$B$4:$B$203,"&lt;&gt;",'System map'!$C$4:$C$203,"&lt;&gt;",'System map'!$D$4:$D$203,"&lt;&gt;"),COUNTIFS(Components!$A$4:$A$253,F456,Components!$B$4:$B$253,E456,Components!$K$4:$K$253,"Confirmed",Components!$L$4:$L$253,"OK — verify source"))))&lt;&gt;1)),"Endpoint not source-reconciled",IF(AND(M456="Confirmed",OR(L456="",K456="",K456="Unknown",K456="Low")),"Confirmed link lacks verification","OK — verify source"))))))))))))))</f>
        <v/>
      </c>
    </row>
    <row r="457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8" t="n"/>
      <c r="M457" s="27" t="n"/>
      <c r="N457" s="27">
        <f>IF(COUNTA(A457:M457)=0,"",IF(OR(A457="",B457="",C457="",D457="",E457="",F457="",I457="",J457="",K457="",M457=""),"Required link detail missing",IF(COUNTIF($A$4:$A$1003,A457)&gt;1,"Duplicate Map Edge ID",IF(NOT(OR(AND(B457="UC",E457="CAP",D457="requires"),AND(B457="CAP",E457="AIR",D457="provided by"),AND(B457="AIR",OR(E457="MOD",E457="DATA",E457="IF",E457="AG",E457="TOOL"),D457="references"),AND(B457="AIR",E457="AIR",D457="depends on"))),"Invalid relationship",IF(AND(M457&lt;&gt;"Superseded",COUNTIFS($B$4:$B$1003,B457,$C$4:$C$1003,C457,$D$4:$D$1003,D457,$E$4:$E$1003,E457,$F$4:$F$1003,F457,$G$4:$G$1003,G457,$M$4:$M$1003,"&lt;&gt;Superseded")&gt;1),"Duplicate relationship",IF(OR(IF(B457="UC",COUNTIF('Use cases'!$A$4:$A$253,C457),IF(B457="CAP",COUNTIF(Capabilities!$A$4:$A$253,C457),IF(B457="AIR",COUNTIF('System map'!$A$4:$A$203,C457),COUNTIFS(Components!$A$4:$A$253,C457,Components!$B$4:$B$253,B457))))&lt;&gt;1,IF(E457="UC",COUNTIF('Use cases'!$A$4:$A$253,F457),IF(E457="CAP",COUNTIF(Capabilities!$A$4:$A$253,F457),IF(E457="AIR",COUNTIF('System map'!$A$4:$A$203,F457),COUNTIFS(Components!$A$4:$A$253,F457,Components!$B$4:$B$253,E457))))&lt;&gt;1),"Endpoint missing or duplicated",IF(AND(NOT(AND(B457="UC",E457="CAP")),OR(G457="",COUNTIF('System map'!$A$4:$A$203,G457)&lt;&gt;1)),"AIR context missing / unknown",IF(AND(B457="CAP",E457="AIR",G457&lt;&gt;F457),"AIR context mismatch",IF(AND(B457="AIR",G457&lt;&gt;C457),"AIR context mismatch",IF(AND(B457="AIR",E457="AIR",C457=F457),"Self-dependency",IF(AND(B457="AIR",E457="AIR",M457&lt;&gt;"Superseded",COUNTIFS($B$4:$B$1003,"AIR",$C$4:$C$1003,F457,$E$4:$E$1003,"AIR",$F$4:$F$1003,C457,$M$4:$M$1003,"&lt;&gt;Superseded")&gt;0),"Dependency cycle (A↔B) — review",IF(AND(B457="AIR",OR(E457="MOD",E457="DATA",E457="IF",E457="AG",E457="TOOL"),IFERROR(INDEX(Components!$G$4:$G$253,MATCH(F457,Components!$A$4:$A$253,0)),"")&lt;&gt;"",IFERROR(INDEX(Components!$G$4:$G$253,MATCH(F457,Components!$A$4:$A$253,0)),"")&lt;&gt;C457),"Component owned by another AIR-ID",IF(AND(M457="Confirmed",OR(IF(B457="UC",COUNTIFS('Use cases'!$A$4:$A$253,C457,'Use cases'!$I$4:$I$253,"Confirmed",'Use cases'!$J$4:$J$253,"OK — verify source"),IF(B457="CAP",COUNTIFS(Capabilities!$A$4:$A$253,C457,Capabilities!$J$4:$J$253,"Confirmed",Capabilities!$K$4:$K$253,"OK — verify source"),IF(B457="AIR",COUNTIFS('System map'!$A$4:$A$203,C457,'System map'!$B$4:$B$203,"&lt;&gt;",'System map'!$C$4:$C$203,"&lt;&gt;",'System map'!$D$4:$D$203,"&lt;&gt;"),COUNTIFS(Components!$A$4:$A$253,C457,Components!$B$4:$B$253,B457,Components!$K$4:$K$253,"Confirmed",Components!$L$4:$L$253,"OK — verify source"))))&lt;&gt;1,IF(E457="UC",COUNTIFS('Use cases'!$A$4:$A$253,F457,'Use cases'!$I$4:$I$253,"Confirmed",'Use cases'!$J$4:$J$253,"OK — verify source"),IF(E457="CAP",COUNTIFS(Capabilities!$A$4:$A$253,F457,Capabilities!$J$4:$J$253,"Confirmed",Capabilities!$K$4:$K$253,"OK — verify source"),IF(E457="AIR",COUNTIFS('System map'!$A$4:$A$203,F457,'System map'!$B$4:$B$203,"&lt;&gt;",'System map'!$C$4:$C$203,"&lt;&gt;",'System map'!$D$4:$D$203,"&lt;&gt;"),COUNTIFS(Components!$A$4:$A$253,F457,Components!$B$4:$B$253,E457,Components!$K$4:$K$253,"Confirmed",Components!$L$4:$L$253,"OK — verify source"))))&lt;&gt;1)),"Endpoint not source-reconciled",IF(AND(M457="Confirmed",OR(L457="",K457="",K457="Unknown",K457="Low")),"Confirmed link lacks verification","OK — verify source"))))))))))))))</f>
        <v/>
      </c>
    </row>
    <row r="458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6" t="n"/>
      <c r="M458" s="25" t="n"/>
      <c r="N458" s="25">
        <f>IF(COUNTA(A458:M458)=0,"",IF(OR(A458="",B458="",C458="",D458="",E458="",F458="",I458="",J458="",K458="",M458=""),"Required link detail missing",IF(COUNTIF($A$4:$A$1003,A458)&gt;1,"Duplicate Map Edge ID",IF(NOT(OR(AND(B458="UC",E458="CAP",D458="requires"),AND(B458="CAP",E458="AIR",D458="provided by"),AND(B458="AIR",OR(E458="MOD",E458="DATA",E458="IF",E458="AG",E458="TOOL"),D458="references"),AND(B458="AIR",E458="AIR",D458="depends on"))),"Invalid relationship",IF(AND(M458&lt;&gt;"Superseded",COUNTIFS($B$4:$B$1003,B458,$C$4:$C$1003,C458,$D$4:$D$1003,D458,$E$4:$E$1003,E458,$F$4:$F$1003,F458,$G$4:$G$1003,G458,$M$4:$M$1003,"&lt;&gt;Superseded")&gt;1),"Duplicate relationship",IF(OR(IF(B458="UC",COUNTIF('Use cases'!$A$4:$A$253,C458),IF(B458="CAP",COUNTIF(Capabilities!$A$4:$A$253,C458),IF(B458="AIR",COUNTIF('System map'!$A$4:$A$203,C458),COUNTIFS(Components!$A$4:$A$253,C458,Components!$B$4:$B$253,B458))))&lt;&gt;1,IF(E458="UC",COUNTIF('Use cases'!$A$4:$A$253,F458),IF(E458="CAP",COUNTIF(Capabilities!$A$4:$A$253,F458),IF(E458="AIR",COUNTIF('System map'!$A$4:$A$203,F458),COUNTIFS(Components!$A$4:$A$253,F458,Components!$B$4:$B$253,E458))))&lt;&gt;1),"Endpoint missing or duplicated",IF(AND(NOT(AND(B458="UC",E458="CAP")),OR(G458="",COUNTIF('System map'!$A$4:$A$203,G458)&lt;&gt;1)),"AIR context missing / unknown",IF(AND(B458="CAP",E458="AIR",G458&lt;&gt;F458),"AIR context mismatch",IF(AND(B458="AIR",G458&lt;&gt;C458),"AIR context mismatch",IF(AND(B458="AIR",E458="AIR",C458=F458),"Self-dependency",IF(AND(B458="AIR",E458="AIR",M458&lt;&gt;"Superseded",COUNTIFS($B$4:$B$1003,"AIR",$C$4:$C$1003,F458,$E$4:$E$1003,"AIR",$F$4:$F$1003,C458,$M$4:$M$1003,"&lt;&gt;Superseded")&gt;0),"Dependency cycle (A↔B) — review",IF(AND(B458="AIR",OR(E458="MOD",E458="DATA",E458="IF",E458="AG",E458="TOOL"),IFERROR(INDEX(Components!$G$4:$G$253,MATCH(F458,Components!$A$4:$A$253,0)),"")&lt;&gt;"",IFERROR(INDEX(Components!$G$4:$G$253,MATCH(F458,Components!$A$4:$A$253,0)),"")&lt;&gt;C458),"Component owned by another AIR-ID",IF(AND(M458="Confirmed",OR(IF(B458="UC",COUNTIFS('Use cases'!$A$4:$A$253,C458,'Use cases'!$I$4:$I$253,"Confirmed",'Use cases'!$J$4:$J$253,"OK — verify source"),IF(B458="CAP",COUNTIFS(Capabilities!$A$4:$A$253,C458,Capabilities!$J$4:$J$253,"Confirmed",Capabilities!$K$4:$K$253,"OK — verify source"),IF(B458="AIR",COUNTIFS('System map'!$A$4:$A$203,C458,'System map'!$B$4:$B$203,"&lt;&gt;",'System map'!$C$4:$C$203,"&lt;&gt;",'System map'!$D$4:$D$203,"&lt;&gt;"),COUNTIFS(Components!$A$4:$A$253,C458,Components!$B$4:$B$253,B458,Components!$K$4:$K$253,"Confirmed",Components!$L$4:$L$253,"OK — verify source"))))&lt;&gt;1,IF(E458="UC",COUNTIFS('Use cases'!$A$4:$A$253,F458,'Use cases'!$I$4:$I$253,"Confirmed",'Use cases'!$J$4:$J$253,"OK — verify source"),IF(E458="CAP",COUNTIFS(Capabilities!$A$4:$A$253,F458,Capabilities!$J$4:$J$253,"Confirmed",Capabilities!$K$4:$K$253,"OK — verify source"),IF(E458="AIR",COUNTIFS('System map'!$A$4:$A$203,F458,'System map'!$B$4:$B$203,"&lt;&gt;",'System map'!$C$4:$C$203,"&lt;&gt;",'System map'!$D$4:$D$203,"&lt;&gt;"),COUNTIFS(Components!$A$4:$A$253,F458,Components!$B$4:$B$253,E458,Components!$K$4:$K$253,"Confirmed",Components!$L$4:$L$253,"OK — verify source"))))&lt;&gt;1)),"Endpoint not source-reconciled",IF(AND(M458="Confirmed",OR(L458="",K458="",K458="Unknown",K458="Low")),"Confirmed link lacks verification","OK — verify source"))))))))))))))</f>
        <v/>
      </c>
    </row>
    <row r="459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8" t="n"/>
      <c r="M459" s="27" t="n"/>
      <c r="N459" s="27">
        <f>IF(COUNTA(A459:M459)=0,"",IF(OR(A459="",B459="",C459="",D459="",E459="",F459="",I459="",J459="",K459="",M459=""),"Required link detail missing",IF(COUNTIF($A$4:$A$1003,A459)&gt;1,"Duplicate Map Edge ID",IF(NOT(OR(AND(B459="UC",E459="CAP",D459="requires"),AND(B459="CAP",E459="AIR",D459="provided by"),AND(B459="AIR",OR(E459="MOD",E459="DATA",E459="IF",E459="AG",E459="TOOL"),D459="references"),AND(B459="AIR",E459="AIR",D459="depends on"))),"Invalid relationship",IF(AND(M459&lt;&gt;"Superseded",COUNTIFS($B$4:$B$1003,B459,$C$4:$C$1003,C459,$D$4:$D$1003,D459,$E$4:$E$1003,E459,$F$4:$F$1003,F459,$G$4:$G$1003,G459,$M$4:$M$1003,"&lt;&gt;Superseded")&gt;1),"Duplicate relationship",IF(OR(IF(B459="UC",COUNTIF('Use cases'!$A$4:$A$253,C459),IF(B459="CAP",COUNTIF(Capabilities!$A$4:$A$253,C459),IF(B459="AIR",COUNTIF('System map'!$A$4:$A$203,C459),COUNTIFS(Components!$A$4:$A$253,C459,Components!$B$4:$B$253,B459))))&lt;&gt;1,IF(E459="UC",COUNTIF('Use cases'!$A$4:$A$253,F459),IF(E459="CAP",COUNTIF(Capabilities!$A$4:$A$253,F459),IF(E459="AIR",COUNTIF('System map'!$A$4:$A$203,F459),COUNTIFS(Components!$A$4:$A$253,F459,Components!$B$4:$B$253,E459))))&lt;&gt;1),"Endpoint missing or duplicated",IF(AND(NOT(AND(B459="UC",E459="CAP")),OR(G459="",COUNTIF('System map'!$A$4:$A$203,G459)&lt;&gt;1)),"AIR context missing / unknown",IF(AND(B459="CAP",E459="AIR",G459&lt;&gt;F459),"AIR context mismatch",IF(AND(B459="AIR",G459&lt;&gt;C459),"AIR context mismatch",IF(AND(B459="AIR",E459="AIR",C459=F459),"Self-dependency",IF(AND(B459="AIR",E459="AIR",M459&lt;&gt;"Superseded",COUNTIFS($B$4:$B$1003,"AIR",$C$4:$C$1003,F459,$E$4:$E$1003,"AIR",$F$4:$F$1003,C459,$M$4:$M$1003,"&lt;&gt;Superseded")&gt;0),"Dependency cycle (A↔B) — review",IF(AND(B459="AIR",OR(E459="MOD",E459="DATA",E459="IF",E459="AG",E459="TOOL"),IFERROR(INDEX(Components!$G$4:$G$253,MATCH(F459,Components!$A$4:$A$253,0)),"")&lt;&gt;"",IFERROR(INDEX(Components!$G$4:$G$253,MATCH(F459,Components!$A$4:$A$253,0)),"")&lt;&gt;C459),"Component owned by another AIR-ID",IF(AND(M459="Confirmed",OR(IF(B459="UC",COUNTIFS('Use cases'!$A$4:$A$253,C459,'Use cases'!$I$4:$I$253,"Confirmed",'Use cases'!$J$4:$J$253,"OK — verify source"),IF(B459="CAP",COUNTIFS(Capabilities!$A$4:$A$253,C459,Capabilities!$J$4:$J$253,"Confirmed",Capabilities!$K$4:$K$253,"OK — verify source"),IF(B459="AIR",COUNTIFS('System map'!$A$4:$A$203,C459,'System map'!$B$4:$B$203,"&lt;&gt;",'System map'!$C$4:$C$203,"&lt;&gt;",'System map'!$D$4:$D$203,"&lt;&gt;"),COUNTIFS(Components!$A$4:$A$253,C459,Components!$B$4:$B$253,B459,Components!$K$4:$K$253,"Confirmed",Components!$L$4:$L$253,"OK — verify source"))))&lt;&gt;1,IF(E459="UC",COUNTIFS('Use cases'!$A$4:$A$253,F459,'Use cases'!$I$4:$I$253,"Confirmed",'Use cases'!$J$4:$J$253,"OK — verify source"),IF(E459="CAP",COUNTIFS(Capabilities!$A$4:$A$253,F459,Capabilities!$J$4:$J$253,"Confirmed",Capabilities!$K$4:$K$253,"OK — verify source"),IF(E459="AIR",COUNTIFS('System map'!$A$4:$A$203,F459,'System map'!$B$4:$B$203,"&lt;&gt;",'System map'!$C$4:$C$203,"&lt;&gt;",'System map'!$D$4:$D$203,"&lt;&gt;"),COUNTIFS(Components!$A$4:$A$253,F459,Components!$B$4:$B$253,E459,Components!$K$4:$K$253,"Confirmed",Components!$L$4:$L$253,"OK — verify source"))))&lt;&gt;1)),"Endpoint not source-reconciled",IF(AND(M459="Confirmed",OR(L459="",K459="",K459="Unknown",K459="Low")),"Confirmed link lacks verification","OK — verify source"))))))))))))))</f>
        <v/>
      </c>
    </row>
    <row r="460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6" t="n"/>
      <c r="M460" s="25" t="n"/>
      <c r="N460" s="25">
        <f>IF(COUNTA(A460:M460)=0,"",IF(OR(A460="",B460="",C460="",D460="",E460="",F460="",I460="",J460="",K460="",M460=""),"Required link detail missing",IF(COUNTIF($A$4:$A$1003,A460)&gt;1,"Duplicate Map Edge ID",IF(NOT(OR(AND(B460="UC",E460="CAP",D460="requires"),AND(B460="CAP",E460="AIR",D460="provided by"),AND(B460="AIR",OR(E460="MOD",E460="DATA",E460="IF",E460="AG",E460="TOOL"),D460="references"),AND(B460="AIR",E460="AIR",D460="depends on"))),"Invalid relationship",IF(AND(M460&lt;&gt;"Superseded",COUNTIFS($B$4:$B$1003,B460,$C$4:$C$1003,C460,$D$4:$D$1003,D460,$E$4:$E$1003,E460,$F$4:$F$1003,F460,$G$4:$G$1003,G460,$M$4:$M$1003,"&lt;&gt;Superseded")&gt;1),"Duplicate relationship",IF(OR(IF(B460="UC",COUNTIF('Use cases'!$A$4:$A$253,C460),IF(B460="CAP",COUNTIF(Capabilities!$A$4:$A$253,C460),IF(B460="AIR",COUNTIF('System map'!$A$4:$A$203,C460),COUNTIFS(Components!$A$4:$A$253,C460,Components!$B$4:$B$253,B460))))&lt;&gt;1,IF(E460="UC",COUNTIF('Use cases'!$A$4:$A$253,F460),IF(E460="CAP",COUNTIF(Capabilities!$A$4:$A$253,F460),IF(E460="AIR",COUNTIF('System map'!$A$4:$A$203,F460),COUNTIFS(Components!$A$4:$A$253,F460,Components!$B$4:$B$253,E460))))&lt;&gt;1),"Endpoint missing or duplicated",IF(AND(NOT(AND(B460="UC",E460="CAP")),OR(G460="",COUNTIF('System map'!$A$4:$A$203,G460)&lt;&gt;1)),"AIR context missing / unknown",IF(AND(B460="CAP",E460="AIR",G460&lt;&gt;F460),"AIR context mismatch",IF(AND(B460="AIR",G460&lt;&gt;C460),"AIR context mismatch",IF(AND(B460="AIR",E460="AIR",C460=F460),"Self-dependency",IF(AND(B460="AIR",E460="AIR",M460&lt;&gt;"Superseded",COUNTIFS($B$4:$B$1003,"AIR",$C$4:$C$1003,F460,$E$4:$E$1003,"AIR",$F$4:$F$1003,C460,$M$4:$M$1003,"&lt;&gt;Superseded")&gt;0),"Dependency cycle (A↔B) — review",IF(AND(B460="AIR",OR(E460="MOD",E460="DATA",E460="IF",E460="AG",E460="TOOL"),IFERROR(INDEX(Components!$G$4:$G$253,MATCH(F460,Components!$A$4:$A$253,0)),"")&lt;&gt;"",IFERROR(INDEX(Components!$G$4:$G$253,MATCH(F460,Components!$A$4:$A$253,0)),"")&lt;&gt;C460),"Component owned by another AIR-ID",IF(AND(M460="Confirmed",OR(IF(B460="UC",COUNTIFS('Use cases'!$A$4:$A$253,C460,'Use cases'!$I$4:$I$253,"Confirmed",'Use cases'!$J$4:$J$253,"OK — verify source"),IF(B460="CAP",COUNTIFS(Capabilities!$A$4:$A$253,C460,Capabilities!$J$4:$J$253,"Confirmed",Capabilities!$K$4:$K$253,"OK — verify source"),IF(B460="AIR",COUNTIFS('System map'!$A$4:$A$203,C460,'System map'!$B$4:$B$203,"&lt;&gt;",'System map'!$C$4:$C$203,"&lt;&gt;",'System map'!$D$4:$D$203,"&lt;&gt;"),COUNTIFS(Components!$A$4:$A$253,C460,Components!$B$4:$B$253,B460,Components!$K$4:$K$253,"Confirmed",Components!$L$4:$L$253,"OK — verify source"))))&lt;&gt;1,IF(E460="UC",COUNTIFS('Use cases'!$A$4:$A$253,F460,'Use cases'!$I$4:$I$253,"Confirmed",'Use cases'!$J$4:$J$253,"OK — verify source"),IF(E460="CAP",COUNTIFS(Capabilities!$A$4:$A$253,F460,Capabilities!$J$4:$J$253,"Confirmed",Capabilities!$K$4:$K$253,"OK — verify source"),IF(E460="AIR",COUNTIFS('System map'!$A$4:$A$203,F460,'System map'!$B$4:$B$203,"&lt;&gt;",'System map'!$C$4:$C$203,"&lt;&gt;",'System map'!$D$4:$D$203,"&lt;&gt;"),COUNTIFS(Components!$A$4:$A$253,F460,Components!$B$4:$B$253,E460,Components!$K$4:$K$253,"Confirmed",Components!$L$4:$L$253,"OK — verify source"))))&lt;&gt;1)),"Endpoint not source-reconciled",IF(AND(M460="Confirmed",OR(L460="",K460="",K460="Unknown",K460="Low")),"Confirmed link lacks verification","OK — verify source"))))))))))))))</f>
        <v/>
      </c>
    </row>
    <row r="461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8" t="n"/>
      <c r="M461" s="27" t="n"/>
      <c r="N461" s="27">
        <f>IF(COUNTA(A461:M461)=0,"",IF(OR(A461="",B461="",C461="",D461="",E461="",F461="",I461="",J461="",K461="",M461=""),"Required link detail missing",IF(COUNTIF($A$4:$A$1003,A461)&gt;1,"Duplicate Map Edge ID",IF(NOT(OR(AND(B461="UC",E461="CAP",D461="requires"),AND(B461="CAP",E461="AIR",D461="provided by"),AND(B461="AIR",OR(E461="MOD",E461="DATA",E461="IF",E461="AG",E461="TOOL"),D461="references"),AND(B461="AIR",E461="AIR",D461="depends on"))),"Invalid relationship",IF(AND(M461&lt;&gt;"Superseded",COUNTIFS($B$4:$B$1003,B461,$C$4:$C$1003,C461,$D$4:$D$1003,D461,$E$4:$E$1003,E461,$F$4:$F$1003,F461,$G$4:$G$1003,G461,$M$4:$M$1003,"&lt;&gt;Superseded")&gt;1),"Duplicate relationship",IF(OR(IF(B461="UC",COUNTIF('Use cases'!$A$4:$A$253,C461),IF(B461="CAP",COUNTIF(Capabilities!$A$4:$A$253,C461),IF(B461="AIR",COUNTIF('System map'!$A$4:$A$203,C461),COUNTIFS(Components!$A$4:$A$253,C461,Components!$B$4:$B$253,B461))))&lt;&gt;1,IF(E461="UC",COUNTIF('Use cases'!$A$4:$A$253,F461),IF(E461="CAP",COUNTIF(Capabilities!$A$4:$A$253,F461),IF(E461="AIR",COUNTIF('System map'!$A$4:$A$203,F461),COUNTIFS(Components!$A$4:$A$253,F461,Components!$B$4:$B$253,E461))))&lt;&gt;1),"Endpoint missing or duplicated",IF(AND(NOT(AND(B461="UC",E461="CAP")),OR(G461="",COUNTIF('System map'!$A$4:$A$203,G461)&lt;&gt;1)),"AIR context missing / unknown",IF(AND(B461="CAP",E461="AIR",G461&lt;&gt;F461),"AIR context mismatch",IF(AND(B461="AIR",G461&lt;&gt;C461),"AIR context mismatch",IF(AND(B461="AIR",E461="AIR",C461=F461),"Self-dependency",IF(AND(B461="AIR",E461="AIR",M461&lt;&gt;"Superseded",COUNTIFS($B$4:$B$1003,"AIR",$C$4:$C$1003,F461,$E$4:$E$1003,"AIR",$F$4:$F$1003,C461,$M$4:$M$1003,"&lt;&gt;Superseded")&gt;0),"Dependency cycle (A↔B) — review",IF(AND(B461="AIR",OR(E461="MOD",E461="DATA",E461="IF",E461="AG",E461="TOOL"),IFERROR(INDEX(Components!$G$4:$G$253,MATCH(F461,Components!$A$4:$A$253,0)),"")&lt;&gt;"",IFERROR(INDEX(Components!$G$4:$G$253,MATCH(F461,Components!$A$4:$A$253,0)),"")&lt;&gt;C461),"Component owned by another AIR-ID",IF(AND(M461="Confirmed",OR(IF(B461="UC",COUNTIFS('Use cases'!$A$4:$A$253,C461,'Use cases'!$I$4:$I$253,"Confirmed",'Use cases'!$J$4:$J$253,"OK — verify source"),IF(B461="CAP",COUNTIFS(Capabilities!$A$4:$A$253,C461,Capabilities!$J$4:$J$253,"Confirmed",Capabilities!$K$4:$K$253,"OK — verify source"),IF(B461="AIR",COUNTIFS('System map'!$A$4:$A$203,C461,'System map'!$B$4:$B$203,"&lt;&gt;",'System map'!$C$4:$C$203,"&lt;&gt;",'System map'!$D$4:$D$203,"&lt;&gt;"),COUNTIFS(Components!$A$4:$A$253,C461,Components!$B$4:$B$253,B461,Components!$K$4:$K$253,"Confirmed",Components!$L$4:$L$253,"OK — verify source"))))&lt;&gt;1,IF(E461="UC",COUNTIFS('Use cases'!$A$4:$A$253,F461,'Use cases'!$I$4:$I$253,"Confirmed",'Use cases'!$J$4:$J$253,"OK — verify source"),IF(E461="CAP",COUNTIFS(Capabilities!$A$4:$A$253,F461,Capabilities!$J$4:$J$253,"Confirmed",Capabilities!$K$4:$K$253,"OK — verify source"),IF(E461="AIR",COUNTIFS('System map'!$A$4:$A$203,F461,'System map'!$B$4:$B$203,"&lt;&gt;",'System map'!$C$4:$C$203,"&lt;&gt;",'System map'!$D$4:$D$203,"&lt;&gt;"),COUNTIFS(Components!$A$4:$A$253,F461,Components!$B$4:$B$253,E461,Components!$K$4:$K$253,"Confirmed",Components!$L$4:$L$253,"OK — verify source"))))&lt;&gt;1)),"Endpoint not source-reconciled",IF(AND(M461="Confirmed",OR(L461="",K461="",K461="Unknown",K461="Low")),"Confirmed link lacks verification","OK — verify source"))))))))))))))</f>
        <v/>
      </c>
    </row>
    <row r="462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6" t="n"/>
      <c r="M462" s="25" t="n"/>
      <c r="N462" s="25">
        <f>IF(COUNTA(A462:M462)=0,"",IF(OR(A462="",B462="",C462="",D462="",E462="",F462="",I462="",J462="",K462="",M462=""),"Required link detail missing",IF(COUNTIF($A$4:$A$1003,A462)&gt;1,"Duplicate Map Edge ID",IF(NOT(OR(AND(B462="UC",E462="CAP",D462="requires"),AND(B462="CAP",E462="AIR",D462="provided by"),AND(B462="AIR",OR(E462="MOD",E462="DATA",E462="IF",E462="AG",E462="TOOL"),D462="references"),AND(B462="AIR",E462="AIR",D462="depends on"))),"Invalid relationship",IF(AND(M462&lt;&gt;"Superseded",COUNTIFS($B$4:$B$1003,B462,$C$4:$C$1003,C462,$D$4:$D$1003,D462,$E$4:$E$1003,E462,$F$4:$F$1003,F462,$G$4:$G$1003,G462,$M$4:$M$1003,"&lt;&gt;Superseded")&gt;1),"Duplicate relationship",IF(OR(IF(B462="UC",COUNTIF('Use cases'!$A$4:$A$253,C462),IF(B462="CAP",COUNTIF(Capabilities!$A$4:$A$253,C462),IF(B462="AIR",COUNTIF('System map'!$A$4:$A$203,C462),COUNTIFS(Components!$A$4:$A$253,C462,Components!$B$4:$B$253,B462))))&lt;&gt;1,IF(E462="UC",COUNTIF('Use cases'!$A$4:$A$253,F462),IF(E462="CAP",COUNTIF(Capabilities!$A$4:$A$253,F462),IF(E462="AIR",COUNTIF('System map'!$A$4:$A$203,F462),COUNTIFS(Components!$A$4:$A$253,F462,Components!$B$4:$B$253,E462))))&lt;&gt;1),"Endpoint missing or duplicated",IF(AND(NOT(AND(B462="UC",E462="CAP")),OR(G462="",COUNTIF('System map'!$A$4:$A$203,G462)&lt;&gt;1)),"AIR context missing / unknown",IF(AND(B462="CAP",E462="AIR",G462&lt;&gt;F462),"AIR context mismatch",IF(AND(B462="AIR",G462&lt;&gt;C462),"AIR context mismatch",IF(AND(B462="AIR",E462="AIR",C462=F462),"Self-dependency",IF(AND(B462="AIR",E462="AIR",M462&lt;&gt;"Superseded",COUNTIFS($B$4:$B$1003,"AIR",$C$4:$C$1003,F462,$E$4:$E$1003,"AIR",$F$4:$F$1003,C462,$M$4:$M$1003,"&lt;&gt;Superseded")&gt;0),"Dependency cycle (A↔B) — review",IF(AND(B462="AIR",OR(E462="MOD",E462="DATA",E462="IF",E462="AG",E462="TOOL"),IFERROR(INDEX(Components!$G$4:$G$253,MATCH(F462,Components!$A$4:$A$253,0)),"")&lt;&gt;"",IFERROR(INDEX(Components!$G$4:$G$253,MATCH(F462,Components!$A$4:$A$253,0)),"")&lt;&gt;C462),"Component owned by another AIR-ID",IF(AND(M462="Confirmed",OR(IF(B462="UC",COUNTIFS('Use cases'!$A$4:$A$253,C462,'Use cases'!$I$4:$I$253,"Confirmed",'Use cases'!$J$4:$J$253,"OK — verify source"),IF(B462="CAP",COUNTIFS(Capabilities!$A$4:$A$253,C462,Capabilities!$J$4:$J$253,"Confirmed",Capabilities!$K$4:$K$253,"OK — verify source"),IF(B462="AIR",COUNTIFS('System map'!$A$4:$A$203,C462,'System map'!$B$4:$B$203,"&lt;&gt;",'System map'!$C$4:$C$203,"&lt;&gt;",'System map'!$D$4:$D$203,"&lt;&gt;"),COUNTIFS(Components!$A$4:$A$253,C462,Components!$B$4:$B$253,B462,Components!$K$4:$K$253,"Confirmed",Components!$L$4:$L$253,"OK — verify source"))))&lt;&gt;1,IF(E462="UC",COUNTIFS('Use cases'!$A$4:$A$253,F462,'Use cases'!$I$4:$I$253,"Confirmed",'Use cases'!$J$4:$J$253,"OK — verify source"),IF(E462="CAP",COUNTIFS(Capabilities!$A$4:$A$253,F462,Capabilities!$J$4:$J$253,"Confirmed",Capabilities!$K$4:$K$253,"OK — verify source"),IF(E462="AIR",COUNTIFS('System map'!$A$4:$A$203,F462,'System map'!$B$4:$B$203,"&lt;&gt;",'System map'!$C$4:$C$203,"&lt;&gt;",'System map'!$D$4:$D$203,"&lt;&gt;"),COUNTIFS(Components!$A$4:$A$253,F462,Components!$B$4:$B$253,E462,Components!$K$4:$K$253,"Confirmed",Components!$L$4:$L$253,"OK — verify source"))))&lt;&gt;1)),"Endpoint not source-reconciled",IF(AND(M462="Confirmed",OR(L462="",K462="",K462="Unknown",K462="Low")),"Confirmed link lacks verification","OK — verify source"))))))))))))))</f>
        <v/>
      </c>
    </row>
    <row r="463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8" t="n"/>
      <c r="M463" s="27" t="n"/>
      <c r="N463" s="27">
        <f>IF(COUNTA(A463:M463)=0,"",IF(OR(A463="",B463="",C463="",D463="",E463="",F463="",I463="",J463="",K463="",M463=""),"Required link detail missing",IF(COUNTIF($A$4:$A$1003,A463)&gt;1,"Duplicate Map Edge ID",IF(NOT(OR(AND(B463="UC",E463="CAP",D463="requires"),AND(B463="CAP",E463="AIR",D463="provided by"),AND(B463="AIR",OR(E463="MOD",E463="DATA",E463="IF",E463="AG",E463="TOOL"),D463="references"),AND(B463="AIR",E463="AIR",D463="depends on"))),"Invalid relationship",IF(AND(M463&lt;&gt;"Superseded",COUNTIFS($B$4:$B$1003,B463,$C$4:$C$1003,C463,$D$4:$D$1003,D463,$E$4:$E$1003,E463,$F$4:$F$1003,F463,$G$4:$G$1003,G463,$M$4:$M$1003,"&lt;&gt;Superseded")&gt;1),"Duplicate relationship",IF(OR(IF(B463="UC",COUNTIF('Use cases'!$A$4:$A$253,C463),IF(B463="CAP",COUNTIF(Capabilities!$A$4:$A$253,C463),IF(B463="AIR",COUNTIF('System map'!$A$4:$A$203,C463),COUNTIFS(Components!$A$4:$A$253,C463,Components!$B$4:$B$253,B463))))&lt;&gt;1,IF(E463="UC",COUNTIF('Use cases'!$A$4:$A$253,F463),IF(E463="CAP",COUNTIF(Capabilities!$A$4:$A$253,F463),IF(E463="AIR",COUNTIF('System map'!$A$4:$A$203,F463),COUNTIFS(Components!$A$4:$A$253,F463,Components!$B$4:$B$253,E463))))&lt;&gt;1),"Endpoint missing or duplicated",IF(AND(NOT(AND(B463="UC",E463="CAP")),OR(G463="",COUNTIF('System map'!$A$4:$A$203,G463)&lt;&gt;1)),"AIR context missing / unknown",IF(AND(B463="CAP",E463="AIR",G463&lt;&gt;F463),"AIR context mismatch",IF(AND(B463="AIR",G463&lt;&gt;C463),"AIR context mismatch",IF(AND(B463="AIR",E463="AIR",C463=F463),"Self-dependency",IF(AND(B463="AIR",E463="AIR",M463&lt;&gt;"Superseded",COUNTIFS($B$4:$B$1003,"AIR",$C$4:$C$1003,F463,$E$4:$E$1003,"AIR",$F$4:$F$1003,C463,$M$4:$M$1003,"&lt;&gt;Superseded")&gt;0),"Dependency cycle (A↔B) — review",IF(AND(B463="AIR",OR(E463="MOD",E463="DATA",E463="IF",E463="AG",E463="TOOL"),IFERROR(INDEX(Components!$G$4:$G$253,MATCH(F463,Components!$A$4:$A$253,0)),"")&lt;&gt;"",IFERROR(INDEX(Components!$G$4:$G$253,MATCH(F463,Components!$A$4:$A$253,0)),"")&lt;&gt;C463),"Component owned by another AIR-ID",IF(AND(M463="Confirmed",OR(IF(B463="UC",COUNTIFS('Use cases'!$A$4:$A$253,C463,'Use cases'!$I$4:$I$253,"Confirmed",'Use cases'!$J$4:$J$253,"OK — verify source"),IF(B463="CAP",COUNTIFS(Capabilities!$A$4:$A$253,C463,Capabilities!$J$4:$J$253,"Confirmed",Capabilities!$K$4:$K$253,"OK — verify source"),IF(B463="AIR",COUNTIFS('System map'!$A$4:$A$203,C463,'System map'!$B$4:$B$203,"&lt;&gt;",'System map'!$C$4:$C$203,"&lt;&gt;",'System map'!$D$4:$D$203,"&lt;&gt;"),COUNTIFS(Components!$A$4:$A$253,C463,Components!$B$4:$B$253,B463,Components!$K$4:$K$253,"Confirmed",Components!$L$4:$L$253,"OK — verify source"))))&lt;&gt;1,IF(E463="UC",COUNTIFS('Use cases'!$A$4:$A$253,F463,'Use cases'!$I$4:$I$253,"Confirmed",'Use cases'!$J$4:$J$253,"OK — verify source"),IF(E463="CAP",COUNTIFS(Capabilities!$A$4:$A$253,F463,Capabilities!$J$4:$J$253,"Confirmed",Capabilities!$K$4:$K$253,"OK — verify source"),IF(E463="AIR",COUNTIFS('System map'!$A$4:$A$203,F463,'System map'!$B$4:$B$203,"&lt;&gt;",'System map'!$C$4:$C$203,"&lt;&gt;",'System map'!$D$4:$D$203,"&lt;&gt;"),COUNTIFS(Components!$A$4:$A$253,F463,Components!$B$4:$B$253,E463,Components!$K$4:$K$253,"Confirmed",Components!$L$4:$L$253,"OK — verify source"))))&lt;&gt;1)),"Endpoint not source-reconciled",IF(AND(M463="Confirmed",OR(L463="",K463="",K463="Unknown",K463="Low")),"Confirmed link lacks verification","OK — verify source"))))))))))))))</f>
        <v/>
      </c>
    </row>
    <row r="4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6" t="n"/>
      <c r="M464" s="25" t="n"/>
      <c r="N464" s="25">
        <f>IF(COUNTA(A464:M464)=0,"",IF(OR(A464="",B464="",C464="",D464="",E464="",F464="",I464="",J464="",K464="",M464=""),"Required link detail missing",IF(COUNTIF($A$4:$A$1003,A464)&gt;1,"Duplicate Map Edge ID",IF(NOT(OR(AND(B464="UC",E464="CAP",D464="requires"),AND(B464="CAP",E464="AIR",D464="provided by"),AND(B464="AIR",OR(E464="MOD",E464="DATA",E464="IF",E464="AG",E464="TOOL"),D464="references"),AND(B464="AIR",E464="AIR",D464="depends on"))),"Invalid relationship",IF(AND(M464&lt;&gt;"Superseded",COUNTIFS($B$4:$B$1003,B464,$C$4:$C$1003,C464,$D$4:$D$1003,D464,$E$4:$E$1003,E464,$F$4:$F$1003,F464,$G$4:$G$1003,G464,$M$4:$M$1003,"&lt;&gt;Superseded")&gt;1),"Duplicate relationship",IF(OR(IF(B464="UC",COUNTIF('Use cases'!$A$4:$A$253,C464),IF(B464="CAP",COUNTIF(Capabilities!$A$4:$A$253,C464),IF(B464="AIR",COUNTIF('System map'!$A$4:$A$203,C464),COUNTIFS(Components!$A$4:$A$253,C464,Components!$B$4:$B$253,B464))))&lt;&gt;1,IF(E464="UC",COUNTIF('Use cases'!$A$4:$A$253,F464),IF(E464="CAP",COUNTIF(Capabilities!$A$4:$A$253,F464),IF(E464="AIR",COUNTIF('System map'!$A$4:$A$203,F464),COUNTIFS(Components!$A$4:$A$253,F464,Components!$B$4:$B$253,E464))))&lt;&gt;1),"Endpoint missing or duplicated",IF(AND(NOT(AND(B464="UC",E464="CAP")),OR(G464="",COUNTIF('System map'!$A$4:$A$203,G464)&lt;&gt;1)),"AIR context missing / unknown",IF(AND(B464="CAP",E464="AIR",G464&lt;&gt;F464),"AIR context mismatch",IF(AND(B464="AIR",G464&lt;&gt;C464),"AIR context mismatch",IF(AND(B464="AIR",E464="AIR",C464=F464),"Self-dependency",IF(AND(B464="AIR",E464="AIR",M464&lt;&gt;"Superseded",COUNTIFS($B$4:$B$1003,"AIR",$C$4:$C$1003,F464,$E$4:$E$1003,"AIR",$F$4:$F$1003,C464,$M$4:$M$1003,"&lt;&gt;Superseded")&gt;0),"Dependency cycle (A↔B) — review",IF(AND(B464="AIR",OR(E464="MOD",E464="DATA",E464="IF",E464="AG",E464="TOOL"),IFERROR(INDEX(Components!$G$4:$G$253,MATCH(F464,Components!$A$4:$A$253,0)),"")&lt;&gt;"",IFERROR(INDEX(Components!$G$4:$G$253,MATCH(F464,Components!$A$4:$A$253,0)),"")&lt;&gt;C464),"Component owned by another AIR-ID",IF(AND(M464="Confirmed",OR(IF(B464="UC",COUNTIFS('Use cases'!$A$4:$A$253,C464,'Use cases'!$I$4:$I$253,"Confirmed",'Use cases'!$J$4:$J$253,"OK — verify source"),IF(B464="CAP",COUNTIFS(Capabilities!$A$4:$A$253,C464,Capabilities!$J$4:$J$253,"Confirmed",Capabilities!$K$4:$K$253,"OK — verify source"),IF(B464="AIR",COUNTIFS('System map'!$A$4:$A$203,C464,'System map'!$B$4:$B$203,"&lt;&gt;",'System map'!$C$4:$C$203,"&lt;&gt;",'System map'!$D$4:$D$203,"&lt;&gt;"),COUNTIFS(Components!$A$4:$A$253,C464,Components!$B$4:$B$253,B464,Components!$K$4:$K$253,"Confirmed",Components!$L$4:$L$253,"OK — verify source"))))&lt;&gt;1,IF(E464="UC",COUNTIFS('Use cases'!$A$4:$A$253,F464,'Use cases'!$I$4:$I$253,"Confirmed",'Use cases'!$J$4:$J$253,"OK — verify source"),IF(E464="CAP",COUNTIFS(Capabilities!$A$4:$A$253,F464,Capabilities!$J$4:$J$253,"Confirmed",Capabilities!$K$4:$K$253,"OK — verify source"),IF(E464="AIR",COUNTIFS('System map'!$A$4:$A$203,F464,'System map'!$B$4:$B$203,"&lt;&gt;",'System map'!$C$4:$C$203,"&lt;&gt;",'System map'!$D$4:$D$203,"&lt;&gt;"),COUNTIFS(Components!$A$4:$A$253,F464,Components!$B$4:$B$253,E464,Components!$K$4:$K$253,"Confirmed",Components!$L$4:$L$253,"OK — verify source"))))&lt;&gt;1)),"Endpoint not source-reconciled",IF(AND(M464="Confirmed",OR(L464="",K464="",K464="Unknown",K464="Low")),"Confirmed link lacks verification","OK — verify source"))))))))))))))</f>
        <v/>
      </c>
    </row>
    <row r="465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8" t="n"/>
      <c r="M465" s="27" t="n"/>
      <c r="N465" s="27">
        <f>IF(COUNTA(A465:M465)=0,"",IF(OR(A465="",B465="",C465="",D465="",E465="",F465="",I465="",J465="",K465="",M465=""),"Required link detail missing",IF(COUNTIF($A$4:$A$1003,A465)&gt;1,"Duplicate Map Edge ID",IF(NOT(OR(AND(B465="UC",E465="CAP",D465="requires"),AND(B465="CAP",E465="AIR",D465="provided by"),AND(B465="AIR",OR(E465="MOD",E465="DATA",E465="IF",E465="AG",E465="TOOL"),D465="references"),AND(B465="AIR",E465="AIR",D465="depends on"))),"Invalid relationship",IF(AND(M465&lt;&gt;"Superseded",COUNTIFS($B$4:$B$1003,B465,$C$4:$C$1003,C465,$D$4:$D$1003,D465,$E$4:$E$1003,E465,$F$4:$F$1003,F465,$G$4:$G$1003,G465,$M$4:$M$1003,"&lt;&gt;Superseded")&gt;1),"Duplicate relationship",IF(OR(IF(B465="UC",COUNTIF('Use cases'!$A$4:$A$253,C465),IF(B465="CAP",COUNTIF(Capabilities!$A$4:$A$253,C465),IF(B465="AIR",COUNTIF('System map'!$A$4:$A$203,C465),COUNTIFS(Components!$A$4:$A$253,C465,Components!$B$4:$B$253,B465))))&lt;&gt;1,IF(E465="UC",COUNTIF('Use cases'!$A$4:$A$253,F465),IF(E465="CAP",COUNTIF(Capabilities!$A$4:$A$253,F465),IF(E465="AIR",COUNTIF('System map'!$A$4:$A$203,F465),COUNTIFS(Components!$A$4:$A$253,F465,Components!$B$4:$B$253,E465))))&lt;&gt;1),"Endpoint missing or duplicated",IF(AND(NOT(AND(B465="UC",E465="CAP")),OR(G465="",COUNTIF('System map'!$A$4:$A$203,G465)&lt;&gt;1)),"AIR context missing / unknown",IF(AND(B465="CAP",E465="AIR",G465&lt;&gt;F465),"AIR context mismatch",IF(AND(B465="AIR",G465&lt;&gt;C465),"AIR context mismatch",IF(AND(B465="AIR",E465="AIR",C465=F465),"Self-dependency",IF(AND(B465="AIR",E465="AIR",M465&lt;&gt;"Superseded",COUNTIFS($B$4:$B$1003,"AIR",$C$4:$C$1003,F465,$E$4:$E$1003,"AIR",$F$4:$F$1003,C465,$M$4:$M$1003,"&lt;&gt;Superseded")&gt;0),"Dependency cycle (A↔B) — review",IF(AND(B465="AIR",OR(E465="MOD",E465="DATA",E465="IF",E465="AG",E465="TOOL"),IFERROR(INDEX(Components!$G$4:$G$253,MATCH(F465,Components!$A$4:$A$253,0)),"")&lt;&gt;"",IFERROR(INDEX(Components!$G$4:$G$253,MATCH(F465,Components!$A$4:$A$253,0)),"")&lt;&gt;C465),"Component owned by another AIR-ID",IF(AND(M465="Confirmed",OR(IF(B465="UC",COUNTIFS('Use cases'!$A$4:$A$253,C465,'Use cases'!$I$4:$I$253,"Confirmed",'Use cases'!$J$4:$J$253,"OK — verify source"),IF(B465="CAP",COUNTIFS(Capabilities!$A$4:$A$253,C465,Capabilities!$J$4:$J$253,"Confirmed",Capabilities!$K$4:$K$253,"OK — verify source"),IF(B465="AIR",COUNTIFS('System map'!$A$4:$A$203,C465,'System map'!$B$4:$B$203,"&lt;&gt;",'System map'!$C$4:$C$203,"&lt;&gt;",'System map'!$D$4:$D$203,"&lt;&gt;"),COUNTIFS(Components!$A$4:$A$253,C465,Components!$B$4:$B$253,B465,Components!$K$4:$K$253,"Confirmed",Components!$L$4:$L$253,"OK — verify source"))))&lt;&gt;1,IF(E465="UC",COUNTIFS('Use cases'!$A$4:$A$253,F465,'Use cases'!$I$4:$I$253,"Confirmed",'Use cases'!$J$4:$J$253,"OK — verify source"),IF(E465="CAP",COUNTIFS(Capabilities!$A$4:$A$253,F465,Capabilities!$J$4:$J$253,"Confirmed",Capabilities!$K$4:$K$253,"OK — verify source"),IF(E465="AIR",COUNTIFS('System map'!$A$4:$A$203,F465,'System map'!$B$4:$B$203,"&lt;&gt;",'System map'!$C$4:$C$203,"&lt;&gt;",'System map'!$D$4:$D$203,"&lt;&gt;"),COUNTIFS(Components!$A$4:$A$253,F465,Components!$B$4:$B$253,E465,Components!$K$4:$K$253,"Confirmed",Components!$L$4:$L$253,"OK — verify source"))))&lt;&gt;1)),"Endpoint not source-reconciled",IF(AND(M465="Confirmed",OR(L465="",K465="",K465="Unknown",K465="Low")),"Confirmed link lacks verification","OK — verify source"))))))))))))))</f>
        <v/>
      </c>
    </row>
    <row r="466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6" t="n"/>
      <c r="M466" s="25" t="n"/>
      <c r="N466" s="25">
        <f>IF(COUNTA(A466:M466)=0,"",IF(OR(A466="",B466="",C466="",D466="",E466="",F466="",I466="",J466="",K466="",M466=""),"Required link detail missing",IF(COUNTIF($A$4:$A$1003,A466)&gt;1,"Duplicate Map Edge ID",IF(NOT(OR(AND(B466="UC",E466="CAP",D466="requires"),AND(B466="CAP",E466="AIR",D466="provided by"),AND(B466="AIR",OR(E466="MOD",E466="DATA",E466="IF",E466="AG",E466="TOOL"),D466="references"),AND(B466="AIR",E466="AIR",D466="depends on"))),"Invalid relationship",IF(AND(M466&lt;&gt;"Superseded",COUNTIFS($B$4:$B$1003,B466,$C$4:$C$1003,C466,$D$4:$D$1003,D466,$E$4:$E$1003,E466,$F$4:$F$1003,F466,$G$4:$G$1003,G466,$M$4:$M$1003,"&lt;&gt;Superseded")&gt;1),"Duplicate relationship",IF(OR(IF(B466="UC",COUNTIF('Use cases'!$A$4:$A$253,C466),IF(B466="CAP",COUNTIF(Capabilities!$A$4:$A$253,C466),IF(B466="AIR",COUNTIF('System map'!$A$4:$A$203,C466),COUNTIFS(Components!$A$4:$A$253,C466,Components!$B$4:$B$253,B466))))&lt;&gt;1,IF(E466="UC",COUNTIF('Use cases'!$A$4:$A$253,F466),IF(E466="CAP",COUNTIF(Capabilities!$A$4:$A$253,F466),IF(E466="AIR",COUNTIF('System map'!$A$4:$A$203,F466),COUNTIFS(Components!$A$4:$A$253,F466,Components!$B$4:$B$253,E466))))&lt;&gt;1),"Endpoint missing or duplicated",IF(AND(NOT(AND(B466="UC",E466="CAP")),OR(G466="",COUNTIF('System map'!$A$4:$A$203,G466)&lt;&gt;1)),"AIR context missing / unknown",IF(AND(B466="CAP",E466="AIR",G466&lt;&gt;F466),"AIR context mismatch",IF(AND(B466="AIR",G466&lt;&gt;C466),"AIR context mismatch",IF(AND(B466="AIR",E466="AIR",C466=F466),"Self-dependency",IF(AND(B466="AIR",E466="AIR",M466&lt;&gt;"Superseded",COUNTIFS($B$4:$B$1003,"AIR",$C$4:$C$1003,F466,$E$4:$E$1003,"AIR",$F$4:$F$1003,C466,$M$4:$M$1003,"&lt;&gt;Superseded")&gt;0),"Dependency cycle (A↔B) — review",IF(AND(B466="AIR",OR(E466="MOD",E466="DATA",E466="IF",E466="AG",E466="TOOL"),IFERROR(INDEX(Components!$G$4:$G$253,MATCH(F466,Components!$A$4:$A$253,0)),"")&lt;&gt;"",IFERROR(INDEX(Components!$G$4:$G$253,MATCH(F466,Components!$A$4:$A$253,0)),"")&lt;&gt;C466),"Component owned by another AIR-ID",IF(AND(M466="Confirmed",OR(IF(B466="UC",COUNTIFS('Use cases'!$A$4:$A$253,C466,'Use cases'!$I$4:$I$253,"Confirmed",'Use cases'!$J$4:$J$253,"OK — verify source"),IF(B466="CAP",COUNTIFS(Capabilities!$A$4:$A$253,C466,Capabilities!$J$4:$J$253,"Confirmed",Capabilities!$K$4:$K$253,"OK — verify source"),IF(B466="AIR",COUNTIFS('System map'!$A$4:$A$203,C466,'System map'!$B$4:$B$203,"&lt;&gt;",'System map'!$C$4:$C$203,"&lt;&gt;",'System map'!$D$4:$D$203,"&lt;&gt;"),COUNTIFS(Components!$A$4:$A$253,C466,Components!$B$4:$B$253,B466,Components!$K$4:$K$253,"Confirmed",Components!$L$4:$L$253,"OK — verify source"))))&lt;&gt;1,IF(E466="UC",COUNTIFS('Use cases'!$A$4:$A$253,F466,'Use cases'!$I$4:$I$253,"Confirmed",'Use cases'!$J$4:$J$253,"OK — verify source"),IF(E466="CAP",COUNTIFS(Capabilities!$A$4:$A$253,F466,Capabilities!$J$4:$J$253,"Confirmed",Capabilities!$K$4:$K$253,"OK — verify source"),IF(E466="AIR",COUNTIFS('System map'!$A$4:$A$203,F466,'System map'!$B$4:$B$203,"&lt;&gt;",'System map'!$C$4:$C$203,"&lt;&gt;",'System map'!$D$4:$D$203,"&lt;&gt;"),COUNTIFS(Components!$A$4:$A$253,F466,Components!$B$4:$B$253,E466,Components!$K$4:$K$253,"Confirmed",Components!$L$4:$L$253,"OK — verify source"))))&lt;&gt;1)),"Endpoint not source-reconciled",IF(AND(M466="Confirmed",OR(L466="",K466="",K466="Unknown",K466="Low")),"Confirmed link lacks verification","OK — verify source"))))))))))))))</f>
        <v/>
      </c>
    </row>
    <row r="467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8" t="n"/>
      <c r="M467" s="27" t="n"/>
      <c r="N467" s="27">
        <f>IF(COUNTA(A467:M467)=0,"",IF(OR(A467="",B467="",C467="",D467="",E467="",F467="",I467="",J467="",K467="",M467=""),"Required link detail missing",IF(COUNTIF($A$4:$A$1003,A467)&gt;1,"Duplicate Map Edge ID",IF(NOT(OR(AND(B467="UC",E467="CAP",D467="requires"),AND(B467="CAP",E467="AIR",D467="provided by"),AND(B467="AIR",OR(E467="MOD",E467="DATA",E467="IF",E467="AG",E467="TOOL"),D467="references"),AND(B467="AIR",E467="AIR",D467="depends on"))),"Invalid relationship",IF(AND(M467&lt;&gt;"Superseded",COUNTIFS($B$4:$B$1003,B467,$C$4:$C$1003,C467,$D$4:$D$1003,D467,$E$4:$E$1003,E467,$F$4:$F$1003,F467,$G$4:$G$1003,G467,$M$4:$M$1003,"&lt;&gt;Superseded")&gt;1),"Duplicate relationship",IF(OR(IF(B467="UC",COUNTIF('Use cases'!$A$4:$A$253,C467),IF(B467="CAP",COUNTIF(Capabilities!$A$4:$A$253,C467),IF(B467="AIR",COUNTIF('System map'!$A$4:$A$203,C467),COUNTIFS(Components!$A$4:$A$253,C467,Components!$B$4:$B$253,B467))))&lt;&gt;1,IF(E467="UC",COUNTIF('Use cases'!$A$4:$A$253,F467),IF(E467="CAP",COUNTIF(Capabilities!$A$4:$A$253,F467),IF(E467="AIR",COUNTIF('System map'!$A$4:$A$203,F467),COUNTIFS(Components!$A$4:$A$253,F467,Components!$B$4:$B$253,E467))))&lt;&gt;1),"Endpoint missing or duplicated",IF(AND(NOT(AND(B467="UC",E467="CAP")),OR(G467="",COUNTIF('System map'!$A$4:$A$203,G467)&lt;&gt;1)),"AIR context missing / unknown",IF(AND(B467="CAP",E467="AIR",G467&lt;&gt;F467),"AIR context mismatch",IF(AND(B467="AIR",G467&lt;&gt;C467),"AIR context mismatch",IF(AND(B467="AIR",E467="AIR",C467=F467),"Self-dependency",IF(AND(B467="AIR",E467="AIR",M467&lt;&gt;"Superseded",COUNTIFS($B$4:$B$1003,"AIR",$C$4:$C$1003,F467,$E$4:$E$1003,"AIR",$F$4:$F$1003,C467,$M$4:$M$1003,"&lt;&gt;Superseded")&gt;0),"Dependency cycle (A↔B) — review",IF(AND(B467="AIR",OR(E467="MOD",E467="DATA",E467="IF",E467="AG",E467="TOOL"),IFERROR(INDEX(Components!$G$4:$G$253,MATCH(F467,Components!$A$4:$A$253,0)),"")&lt;&gt;"",IFERROR(INDEX(Components!$G$4:$G$253,MATCH(F467,Components!$A$4:$A$253,0)),"")&lt;&gt;C467),"Component owned by another AIR-ID",IF(AND(M467="Confirmed",OR(IF(B467="UC",COUNTIFS('Use cases'!$A$4:$A$253,C467,'Use cases'!$I$4:$I$253,"Confirmed",'Use cases'!$J$4:$J$253,"OK — verify source"),IF(B467="CAP",COUNTIFS(Capabilities!$A$4:$A$253,C467,Capabilities!$J$4:$J$253,"Confirmed",Capabilities!$K$4:$K$253,"OK — verify source"),IF(B467="AIR",COUNTIFS('System map'!$A$4:$A$203,C467,'System map'!$B$4:$B$203,"&lt;&gt;",'System map'!$C$4:$C$203,"&lt;&gt;",'System map'!$D$4:$D$203,"&lt;&gt;"),COUNTIFS(Components!$A$4:$A$253,C467,Components!$B$4:$B$253,B467,Components!$K$4:$K$253,"Confirmed",Components!$L$4:$L$253,"OK — verify source"))))&lt;&gt;1,IF(E467="UC",COUNTIFS('Use cases'!$A$4:$A$253,F467,'Use cases'!$I$4:$I$253,"Confirmed",'Use cases'!$J$4:$J$253,"OK — verify source"),IF(E467="CAP",COUNTIFS(Capabilities!$A$4:$A$253,F467,Capabilities!$J$4:$J$253,"Confirmed",Capabilities!$K$4:$K$253,"OK — verify source"),IF(E467="AIR",COUNTIFS('System map'!$A$4:$A$203,F467,'System map'!$B$4:$B$203,"&lt;&gt;",'System map'!$C$4:$C$203,"&lt;&gt;",'System map'!$D$4:$D$203,"&lt;&gt;"),COUNTIFS(Components!$A$4:$A$253,F467,Components!$B$4:$B$253,E467,Components!$K$4:$K$253,"Confirmed",Components!$L$4:$L$253,"OK — verify source"))))&lt;&gt;1)),"Endpoint not source-reconciled",IF(AND(M467="Confirmed",OR(L467="",K467="",K467="Unknown",K467="Low")),"Confirmed link lacks verification","OK — verify source"))))))))))))))</f>
        <v/>
      </c>
    </row>
    <row r="468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6" t="n"/>
      <c r="M468" s="25" t="n"/>
      <c r="N468" s="25">
        <f>IF(COUNTA(A468:M468)=0,"",IF(OR(A468="",B468="",C468="",D468="",E468="",F468="",I468="",J468="",K468="",M468=""),"Required link detail missing",IF(COUNTIF($A$4:$A$1003,A468)&gt;1,"Duplicate Map Edge ID",IF(NOT(OR(AND(B468="UC",E468="CAP",D468="requires"),AND(B468="CAP",E468="AIR",D468="provided by"),AND(B468="AIR",OR(E468="MOD",E468="DATA",E468="IF",E468="AG",E468="TOOL"),D468="references"),AND(B468="AIR",E468="AIR",D468="depends on"))),"Invalid relationship",IF(AND(M468&lt;&gt;"Superseded",COUNTIFS($B$4:$B$1003,B468,$C$4:$C$1003,C468,$D$4:$D$1003,D468,$E$4:$E$1003,E468,$F$4:$F$1003,F468,$G$4:$G$1003,G468,$M$4:$M$1003,"&lt;&gt;Superseded")&gt;1),"Duplicate relationship",IF(OR(IF(B468="UC",COUNTIF('Use cases'!$A$4:$A$253,C468),IF(B468="CAP",COUNTIF(Capabilities!$A$4:$A$253,C468),IF(B468="AIR",COUNTIF('System map'!$A$4:$A$203,C468),COUNTIFS(Components!$A$4:$A$253,C468,Components!$B$4:$B$253,B468))))&lt;&gt;1,IF(E468="UC",COUNTIF('Use cases'!$A$4:$A$253,F468),IF(E468="CAP",COUNTIF(Capabilities!$A$4:$A$253,F468),IF(E468="AIR",COUNTIF('System map'!$A$4:$A$203,F468),COUNTIFS(Components!$A$4:$A$253,F468,Components!$B$4:$B$253,E468))))&lt;&gt;1),"Endpoint missing or duplicated",IF(AND(NOT(AND(B468="UC",E468="CAP")),OR(G468="",COUNTIF('System map'!$A$4:$A$203,G468)&lt;&gt;1)),"AIR context missing / unknown",IF(AND(B468="CAP",E468="AIR",G468&lt;&gt;F468),"AIR context mismatch",IF(AND(B468="AIR",G468&lt;&gt;C468),"AIR context mismatch",IF(AND(B468="AIR",E468="AIR",C468=F468),"Self-dependency",IF(AND(B468="AIR",E468="AIR",M468&lt;&gt;"Superseded",COUNTIFS($B$4:$B$1003,"AIR",$C$4:$C$1003,F468,$E$4:$E$1003,"AIR",$F$4:$F$1003,C468,$M$4:$M$1003,"&lt;&gt;Superseded")&gt;0),"Dependency cycle (A↔B) — review",IF(AND(B468="AIR",OR(E468="MOD",E468="DATA",E468="IF",E468="AG",E468="TOOL"),IFERROR(INDEX(Components!$G$4:$G$253,MATCH(F468,Components!$A$4:$A$253,0)),"")&lt;&gt;"",IFERROR(INDEX(Components!$G$4:$G$253,MATCH(F468,Components!$A$4:$A$253,0)),"")&lt;&gt;C468),"Component owned by another AIR-ID",IF(AND(M468="Confirmed",OR(IF(B468="UC",COUNTIFS('Use cases'!$A$4:$A$253,C468,'Use cases'!$I$4:$I$253,"Confirmed",'Use cases'!$J$4:$J$253,"OK — verify source"),IF(B468="CAP",COUNTIFS(Capabilities!$A$4:$A$253,C468,Capabilities!$J$4:$J$253,"Confirmed",Capabilities!$K$4:$K$253,"OK — verify source"),IF(B468="AIR",COUNTIFS('System map'!$A$4:$A$203,C468,'System map'!$B$4:$B$203,"&lt;&gt;",'System map'!$C$4:$C$203,"&lt;&gt;",'System map'!$D$4:$D$203,"&lt;&gt;"),COUNTIFS(Components!$A$4:$A$253,C468,Components!$B$4:$B$253,B468,Components!$K$4:$K$253,"Confirmed",Components!$L$4:$L$253,"OK — verify source"))))&lt;&gt;1,IF(E468="UC",COUNTIFS('Use cases'!$A$4:$A$253,F468,'Use cases'!$I$4:$I$253,"Confirmed",'Use cases'!$J$4:$J$253,"OK — verify source"),IF(E468="CAP",COUNTIFS(Capabilities!$A$4:$A$253,F468,Capabilities!$J$4:$J$253,"Confirmed",Capabilities!$K$4:$K$253,"OK — verify source"),IF(E468="AIR",COUNTIFS('System map'!$A$4:$A$203,F468,'System map'!$B$4:$B$203,"&lt;&gt;",'System map'!$C$4:$C$203,"&lt;&gt;",'System map'!$D$4:$D$203,"&lt;&gt;"),COUNTIFS(Components!$A$4:$A$253,F468,Components!$B$4:$B$253,E468,Components!$K$4:$K$253,"Confirmed",Components!$L$4:$L$253,"OK — verify source"))))&lt;&gt;1)),"Endpoint not source-reconciled",IF(AND(M468="Confirmed",OR(L468="",K468="",K468="Unknown",K468="Low")),"Confirmed link lacks verification","OK — verify source"))))))))))))))</f>
        <v/>
      </c>
    </row>
    <row r="469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8" t="n"/>
      <c r="M469" s="27" t="n"/>
      <c r="N469" s="27">
        <f>IF(COUNTA(A469:M469)=0,"",IF(OR(A469="",B469="",C469="",D469="",E469="",F469="",I469="",J469="",K469="",M469=""),"Required link detail missing",IF(COUNTIF($A$4:$A$1003,A469)&gt;1,"Duplicate Map Edge ID",IF(NOT(OR(AND(B469="UC",E469="CAP",D469="requires"),AND(B469="CAP",E469="AIR",D469="provided by"),AND(B469="AIR",OR(E469="MOD",E469="DATA",E469="IF",E469="AG",E469="TOOL"),D469="references"),AND(B469="AIR",E469="AIR",D469="depends on"))),"Invalid relationship",IF(AND(M469&lt;&gt;"Superseded",COUNTIFS($B$4:$B$1003,B469,$C$4:$C$1003,C469,$D$4:$D$1003,D469,$E$4:$E$1003,E469,$F$4:$F$1003,F469,$G$4:$G$1003,G469,$M$4:$M$1003,"&lt;&gt;Superseded")&gt;1),"Duplicate relationship",IF(OR(IF(B469="UC",COUNTIF('Use cases'!$A$4:$A$253,C469),IF(B469="CAP",COUNTIF(Capabilities!$A$4:$A$253,C469),IF(B469="AIR",COUNTIF('System map'!$A$4:$A$203,C469),COUNTIFS(Components!$A$4:$A$253,C469,Components!$B$4:$B$253,B469))))&lt;&gt;1,IF(E469="UC",COUNTIF('Use cases'!$A$4:$A$253,F469),IF(E469="CAP",COUNTIF(Capabilities!$A$4:$A$253,F469),IF(E469="AIR",COUNTIF('System map'!$A$4:$A$203,F469),COUNTIFS(Components!$A$4:$A$253,F469,Components!$B$4:$B$253,E469))))&lt;&gt;1),"Endpoint missing or duplicated",IF(AND(NOT(AND(B469="UC",E469="CAP")),OR(G469="",COUNTIF('System map'!$A$4:$A$203,G469)&lt;&gt;1)),"AIR context missing / unknown",IF(AND(B469="CAP",E469="AIR",G469&lt;&gt;F469),"AIR context mismatch",IF(AND(B469="AIR",G469&lt;&gt;C469),"AIR context mismatch",IF(AND(B469="AIR",E469="AIR",C469=F469),"Self-dependency",IF(AND(B469="AIR",E469="AIR",M469&lt;&gt;"Superseded",COUNTIFS($B$4:$B$1003,"AIR",$C$4:$C$1003,F469,$E$4:$E$1003,"AIR",$F$4:$F$1003,C469,$M$4:$M$1003,"&lt;&gt;Superseded")&gt;0),"Dependency cycle (A↔B) — review",IF(AND(B469="AIR",OR(E469="MOD",E469="DATA",E469="IF",E469="AG",E469="TOOL"),IFERROR(INDEX(Components!$G$4:$G$253,MATCH(F469,Components!$A$4:$A$253,0)),"")&lt;&gt;"",IFERROR(INDEX(Components!$G$4:$G$253,MATCH(F469,Components!$A$4:$A$253,0)),"")&lt;&gt;C469),"Component owned by another AIR-ID",IF(AND(M469="Confirmed",OR(IF(B469="UC",COUNTIFS('Use cases'!$A$4:$A$253,C469,'Use cases'!$I$4:$I$253,"Confirmed",'Use cases'!$J$4:$J$253,"OK — verify source"),IF(B469="CAP",COUNTIFS(Capabilities!$A$4:$A$253,C469,Capabilities!$J$4:$J$253,"Confirmed",Capabilities!$K$4:$K$253,"OK — verify source"),IF(B469="AIR",COUNTIFS('System map'!$A$4:$A$203,C469,'System map'!$B$4:$B$203,"&lt;&gt;",'System map'!$C$4:$C$203,"&lt;&gt;",'System map'!$D$4:$D$203,"&lt;&gt;"),COUNTIFS(Components!$A$4:$A$253,C469,Components!$B$4:$B$253,B469,Components!$K$4:$K$253,"Confirmed",Components!$L$4:$L$253,"OK — verify source"))))&lt;&gt;1,IF(E469="UC",COUNTIFS('Use cases'!$A$4:$A$253,F469,'Use cases'!$I$4:$I$253,"Confirmed",'Use cases'!$J$4:$J$253,"OK — verify source"),IF(E469="CAP",COUNTIFS(Capabilities!$A$4:$A$253,F469,Capabilities!$J$4:$J$253,"Confirmed",Capabilities!$K$4:$K$253,"OK — verify source"),IF(E469="AIR",COUNTIFS('System map'!$A$4:$A$203,F469,'System map'!$B$4:$B$203,"&lt;&gt;",'System map'!$C$4:$C$203,"&lt;&gt;",'System map'!$D$4:$D$203,"&lt;&gt;"),COUNTIFS(Components!$A$4:$A$253,F469,Components!$B$4:$B$253,E469,Components!$K$4:$K$253,"Confirmed",Components!$L$4:$L$253,"OK — verify source"))))&lt;&gt;1)),"Endpoint not source-reconciled",IF(AND(M469="Confirmed",OR(L469="",K469="",K469="Unknown",K469="Low")),"Confirmed link lacks verification","OK — verify source"))))))))))))))</f>
        <v/>
      </c>
    </row>
    <row r="470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6" t="n"/>
      <c r="M470" s="25" t="n"/>
      <c r="N470" s="25">
        <f>IF(COUNTA(A470:M470)=0,"",IF(OR(A470="",B470="",C470="",D470="",E470="",F470="",I470="",J470="",K470="",M470=""),"Required link detail missing",IF(COUNTIF($A$4:$A$1003,A470)&gt;1,"Duplicate Map Edge ID",IF(NOT(OR(AND(B470="UC",E470="CAP",D470="requires"),AND(B470="CAP",E470="AIR",D470="provided by"),AND(B470="AIR",OR(E470="MOD",E470="DATA",E470="IF",E470="AG",E470="TOOL"),D470="references"),AND(B470="AIR",E470="AIR",D470="depends on"))),"Invalid relationship",IF(AND(M470&lt;&gt;"Superseded",COUNTIFS($B$4:$B$1003,B470,$C$4:$C$1003,C470,$D$4:$D$1003,D470,$E$4:$E$1003,E470,$F$4:$F$1003,F470,$G$4:$G$1003,G470,$M$4:$M$1003,"&lt;&gt;Superseded")&gt;1),"Duplicate relationship",IF(OR(IF(B470="UC",COUNTIF('Use cases'!$A$4:$A$253,C470),IF(B470="CAP",COUNTIF(Capabilities!$A$4:$A$253,C470),IF(B470="AIR",COUNTIF('System map'!$A$4:$A$203,C470),COUNTIFS(Components!$A$4:$A$253,C470,Components!$B$4:$B$253,B470))))&lt;&gt;1,IF(E470="UC",COUNTIF('Use cases'!$A$4:$A$253,F470),IF(E470="CAP",COUNTIF(Capabilities!$A$4:$A$253,F470),IF(E470="AIR",COUNTIF('System map'!$A$4:$A$203,F470),COUNTIFS(Components!$A$4:$A$253,F470,Components!$B$4:$B$253,E470))))&lt;&gt;1),"Endpoint missing or duplicated",IF(AND(NOT(AND(B470="UC",E470="CAP")),OR(G470="",COUNTIF('System map'!$A$4:$A$203,G470)&lt;&gt;1)),"AIR context missing / unknown",IF(AND(B470="CAP",E470="AIR",G470&lt;&gt;F470),"AIR context mismatch",IF(AND(B470="AIR",G470&lt;&gt;C470),"AIR context mismatch",IF(AND(B470="AIR",E470="AIR",C470=F470),"Self-dependency",IF(AND(B470="AIR",E470="AIR",M470&lt;&gt;"Superseded",COUNTIFS($B$4:$B$1003,"AIR",$C$4:$C$1003,F470,$E$4:$E$1003,"AIR",$F$4:$F$1003,C470,$M$4:$M$1003,"&lt;&gt;Superseded")&gt;0),"Dependency cycle (A↔B) — review",IF(AND(B470="AIR",OR(E470="MOD",E470="DATA",E470="IF",E470="AG",E470="TOOL"),IFERROR(INDEX(Components!$G$4:$G$253,MATCH(F470,Components!$A$4:$A$253,0)),"")&lt;&gt;"",IFERROR(INDEX(Components!$G$4:$G$253,MATCH(F470,Components!$A$4:$A$253,0)),"")&lt;&gt;C470),"Component owned by another AIR-ID",IF(AND(M470="Confirmed",OR(IF(B470="UC",COUNTIFS('Use cases'!$A$4:$A$253,C470,'Use cases'!$I$4:$I$253,"Confirmed",'Use cases'!$J$4:$J$253,"OK — verify source"),IF(B470="CAP",COUNTIFS(Capabilities!$A$4:$A$253,C470,Capabilities!$J$4:$J$253,"Confirmed",Capabilities!$K$4:$K$253,"OK — verify source"),IF(B470="AIR",COUNTIFS('System map'!$A$4:$A$203,C470,'System map'!$B$4:$B$203,"&lt;&gt;",'System map'!$C$4:$C$203,"&lt;&gt;",'System map'!$D$4:$D$203,"&lt;&gt;"),COUNTIFS(Components!$A$4:$A$253,C470,Components!$B$4:$B$253,B470,Components!$K$4:$K$253,"Confirmed",Components!$L$4:$L$253,"OK — verify source"))))&lt;&gt;1,IF(E470="UC",COUNTIFS('Use cases'!$A$4:$A$253,F470,'Use cases'!$I$4:$I$253,"Confirmed",'Use cases'!$J$4:$J$253,"OK — verify source"),IF(E470="CAP",COUNTIFS(Capabilities!$A$4:$A$253,F470,Capabilities!$J$4:$J$253,"Confirmed",Capabilities!$K$4:$K$253,"OK — verify source"),IF(E470="AIR",COUNTIFS('System map'!$A$4:$A$203,F470,'System map'!$B$4:$B$203,"&lt;&gt;",'System map'!$C$4:$C$203,"&lt;&gt;",'System map'!$D$4:$D$203,"&lt;&gt;"),COUNTIFS(Components!$A$4:$A$253,F470,Components!$B$4:$B$253,E470,Components!$K$4:$K$253,"Confirmed",Components!$L$4:$L$253,"OK — verify source"))))&lt;&gt;1)),"Endpoint not source-reconciled",IF(AND(M470="Confirmed",OR(L470="",K470="",K470="Unknown",K470="Low")),"Confirmed link lacks verification","OK — verify source"))))))))))))))</f>
        <v/>
      </c>
    </row>
    <row r="471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8" t="n"/>
      <c r="M471" s="27" t="n"/>
      <c r="N471" s="27">
        <f>IF(COUNTA(A471:M471)=0,"",IF(OR(A471="",B471="",C471="",D471="",E471="",F471="",I471="",J471="",K471="",M471=""),"Required link detail missing",IF(COUNTIF($A$4:$A$1003,A471)&gt;1,"Duplicate Map Edge ID",IF(NOT(OR(AND(B471="UC",E471="CAP",D471="requires"),AND(B471="CAP",E471="AIR",D471="provided by"),AND(B471="AIR",OR(E471="MOD",E471="DATA",E471="IF",E471="AG",E471="TOOL"),D471="references"),AND(B471="AIR",E471="AIR",D471="depends on"))),"Invalid relationship",IF(AND(M471&lt;&gt;"Superseded",COUNTIFS($B$4:$B$1003,B471,$C$4:$C$1003,C471,$D$4:$D$1003,D471,$E$4:$E$1003,E471,$F$4:$F$1003,F471,$G$4:$G$1003,G471,$M$4:$M$1003,"&lt;&gt;Superseded")&gt;1),"Duplicate relationship",IF(OR(IF(B471="UC",COUNTIF('Use cases'!$A$4:$A$253,C471),IF(B471="CAP",COUNTIF(Capabilities!$A$4:$A$253,C471),IF(B471="AIR",COUNTIF('System map'!$A$4:$A$203,C471),COUNTIFS(Components!$A$4:$A$253,C471,Components!$B$4:$B$253,B471))))&lt;&gt;1,IF(E471="UC",COUNTIF('Use cases'!$A$4:$A$253,F471),IF(E471="CAP",COUNTIF(Capabilities!$A$4:$A$253,F471),IF(E471="AIR",COUNTIF('System map'!$A$4:$A$203,F471),COUNTIFS(Components!$A$4:$A$253,F471,Components!$B$4:$B$253,E471))))&lt;&gt;1),"Endpoint missing or duplicated",IF(AND(NOT(AND(B471="UC",E471="CAP")),OR(G471="",COUNTIF('System map'!$A$4:$A$203,G471)&lt;&gt;1)),"AIR context missing / unknown",IF(AND(B471="CAP",E471="AIR",G471&lt;&gt;F471),"AIR context mismatch",IF(AND(B471="AIR",G471&lt;&gt;C471),"AIR context mismatch",IF(AND(B471="AIR",E471="AIR",C471=F471),"Self-dependency",IF(AND(B471="AIR",E471="AIR",M471&lt;&gt;"Superseded",COUNTIFS($B$4:$B$1003,"AIR",$C$4:$C$1003,F471,$E$4:$E$1003,"AIR",$F$4:$F$1003,C471,$M$4:$M$1003,"&lt;&gt;Superseded")&gt;0),"Dependency cycle (A↔B) — review",IF(AND(B471="AIR",OR(E471="MOD",E471="DATA",E471="IF",E471="AG",E471="TOOL"),IFERROR(INDEX(Components!$G$4:$G$253,MATCH(F471,Components!$A$4:$A$253,0)),"")&lt;&gt;"",IFERROR(INDEX(Components!$G$4:$G$253,MATCH(F471,Components!$A$4:$A$253,0)),"")&lt;&gt;C471),"Component owned by another AIR-ID",IF(AND(M471="Confirmed",OR(IF(B471="UC",COUNTIFS('Use cases'!$A$4:$A$253,C471,'Use cases'!$I$4:$I$253,"Confirmed",'Use cases'!$J$4:$J$253,"OK — verify source"),IF(B471="CAP",COUNTIFS(Capabilities!$A$4:$A$253,C471,Capabilities!$J$4:$J$253,"Confirmed",Capabilities!$K$4:$K$253,"OK — verify source"),IF(B471="AIR",COUNTIFS('System map'!$A$4:$A$203,C471,'System map'!$B$4:$B$203,"&lt;&gt;",'System map'!$C$4:$C$203,"&lt;&gt;",'System map'!$D$4:$D$203,"&lt;&gt;"),COUNTIFS(Components!$A$4:$A$253,C471,Components!$B$4:$B$253,B471,Components!$K$4:$K$253,"Confirmed",Components!$L$4:$L$253,"OK — verify source"))))&lt;&gt;1,IF(E471="UC",COUNTIFS('Use cases'!$A$4:$A$253,F471,'Use cases'!$I$4:$I$253,"Confirmed",'Use cases'!$J$4:$J$253,"OK — verify source"),IF(E471="CAP",COUNTIFS(Capabilities!$A$4:$A$253,F471,Capabilities!$J$4:$J$253,"Confirmed",Capabilities!$K$4:$K$253,"OK — verify source"),IF(E471="AIR",COUNTIFS('System map'!$A$4:$A$203,F471,'System map'!$B$4:$B$203,"&lt;&gt;",'System map'!$C$4:$C$203,"&lt;&gt;",'System map'!$D$4:$D$203,"&lt;&gt;"),COUNTIFS(Components!$A$4:$A$253,F471,Components!$B$4:$B$253,E471,Components!$K$4:$K$253,"Confirmed",Components!$L$4:$L$253,"OK — verify source"))))&lt;&gt;1)),"Endpoint not source-reconciled",IF(AND(M471="Confirmed",OR(L471="",K471="",K471="Unknown",K471="Low")),"Confirmed link lacks verification","OK — verify source"))))))))))))))</f>
        <v/>
      </c>
    </row>
    <row r="472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6" t="n"/>
      <c r="M472" s="25" t="n"/>
      <c r="N472" s="25">
        <f>IF(COUNTA(A472:M472)=0,"",IF(OR(A472="",B472="",C472="",D472="",E472="",F472="",I472="",J472="",K472="",M472=""),"Required link detail missing",IF(COUNTIF($A$4:$A$1003,A472)&gt;1,"Duplicate Map Edge ID",IF(NOT(OR(AND(B472="UC",E472="CAP",D472="requires"),AND(B472="CAP",E472="AIR",D472="provided by"),AND(B472="AIR",OR(E472="MOD",E472="DATA",E472="IF",E472="AG",E472="TOOL"),D472="references"),AND(B472="AIR",E472="AIR",D472="depends on"))),"Invalid relationship",IF(AND(M472&lt;&gt;"Superseded",COUNTIFS($B$4:$B$1003,B472,$C$4:$C$1003,C472,$D$4:$D$1003,D472,$E$4:$E$1003,E472,$F$4:$F$1003,F472,$G$4:$G$1003,G472,$M$4:$M$1003,"&lt;&gt;Superseded")&gt;1),"Duplicate relationship",IF(OR(IF(B472="UC",COUNTIF('Use cases'!$A$4:$A$253,C472),IF(B472="CAP",COUNTIF(Capabilities!$A$4:$A$253,C472),IF(B472="AIR",COUNTIF('System map'!$A$4:$A$203,C472),COUNTIFS(Components!$A$4:$A$253,C472,Components!$B$4:$B$253,B472))))&lt;&gt;1,IF(E472="UC",COUNTIF('Use cases'!$A$4:$A$253,F472),IF(E472="CAP",COUNTIF(Capabilities!$A$4:$A$253,F472),IF(E472="AIR",COUNTIF('System map'!$A$4:$A$203,F472),COUNTIFS(Components!$A$4:$A$253,F472,Components!$B$4:$B$253,E472))))&lt;&gt;1),"Endpoint missing or duplicated",IF(AND(NOT(AND(B472="UC",E472="CAP")),OR(G472="",COUNTIF('System map'!$A$4:$A$203,G472)&lt;&gt;1)),"AIR context missing / unknown",IF(AND(B472="CAP",E472="AIR",G472&lt;&gt;F472),"AIR context mismatch",IF(AND(B472="AIR",G472&lt;&gt;C472),"AIR context mismatch",IF(AND(B472="AIR",E472="AIR",C472=F472),"Self-dependency",IF(AND(B472="AIR",E472="AIR",M472&lt;&gt;"Superseded",COUNTIFS($B$4:$B$1003,"AIR",$C$4:$C$1003,F472,$E$4:$E$1003,"AIR",$F$4:$F$1003,C472,$M$4:$M$1003,"&lt;&gt;Superseded")&gt;0),"Dependency cycle (A↔B) — review",IF(AND(B472="AIR",OR(E472="MOD",E472="DATA",E472="IF",E472="AG",E472="TOOL"),IFERROR(INDEX(Components!$G$4:$G$253,MATCH(F472,Components!$A$4:$A$253,0)),"")&lt;&gt;"",IFERROR(INDEX(Components!$G$4:$G$253,MATCH(F472,Components!$A$4:$A$253,0)),"")&lt;&gt;C472),"Component owned by another AIR-ID",IF(AND(M472="Confirmed",OR(IF(B472="UC",COUNTIFS('Use cases'!$A$4:$A$253,C472,'Use cases'!$I$4:$I$253,"Confirmed",'Use cases'!$J$4:$J$253,"OK — verify source"),IF(B472="CAP",COUNTIFS(Capabilities!$A$4:$A$253,C472,Capabilities!$J$4:$J$253,"Confirmed",Capabilities!$K$4:$K$253,"OK — verify source"),IF(B472="AIR",COUNTIFS('System map'!$A$4:$A$203,C472,'System map'!$B$4:$B$203,"&lt;&gt;",'System map'!$C$4:$C$203,"&lt;&gt;",'System map'!$D$4:$D$203,"&lt;&gt;"),COUNTIFS(Components!$A$4:$A$253,C472,Components!$B$4:$B$253,B472,Components!$K$4:$K$253,"Confirmed",Components!$L$4:$L$253,"OK — verify source"))))&lt;&gt;1,IF(E472="UC",COUNTIFS('Use cases'!$A$4:$A$253,F472,'Use cases'!$I$4:$I$253,"Confirmed",'Use cases'!$J$4:$J$253,"OK — verify source"),IF(E472="CAP",COUNTIFS(Capabilities!$A$4:$A$253,F472,Capabilities!$J$4:$J$253,"Confirmed",Capabilities!$K$4:$K$253,"OK — verify source"),IF(E472="AIR",COUNTIFS('System map'!$A$4:$A$203,F472,'System map'!$B$4:$B$203,"&lt;&gt;",'System map'!$C$4:$C$203,"&lt;&gt;",'System map'!$D$4:$D$203,"&lt;&gt;"),COUNTIFS(Components!$A$4:$A$253,F472,Components!$B$4:$B$253,E472,Components!$K$4:$K$253,"Confirmed",Components!$L$4:$L$253,"OK — verify source"))))&lt;&gt;1)),"Endpoint not source-reconciled",IF(AND(M472="Confirmed",OR(L472="",K472="",K472="Unknown",K472="Low")),"Confirmed link lacks verification","OK — verify source"))))))))))))))</f>
        <v/>
      </c>
    </row>
    <row r="473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8" t="n"/>
      <c r="M473" s="27" t="n"/>
      <c r="N473" s="27">
        <f>IF(COUNTA(A473:M473)=0,"",IF(OR(A473="",B473="",C473="",D473="",E473="",F473="",I473="",J473="",K473="",M473=""),"Required link detail missing",IF(COUNTIF($A$4:$A$1003,A473)&gt;1,"Duplicate Map Edge ID",IF(NOT(OR(AND(B473="UC",E473="CAP",D473="requires"),AND(B473="CAP",E473="AIR",D473="provided by"),AND(B473="AIR",OR(E473="MOD",E473="DATA",E473="IF",E473="AG",E473="TOOL"),D473="references"),AND(B473="AIR",E473="AIR",D473="depends on"))),"Invalid relationship",IF(AND(M473&lt;&gt;"Superseded",COUNTIFS($B$4:$B$1003,B473,$C$4:$C$1003,C473,$D$4:$D$1003,D473,$E$4:$E$1003,E473,$F$4:$F$1003,F473,$G$4:$G$1003,G473,$M$4:$M$1003,"&lt;&gt;Superseded")&gt;1),"Duplicate relationship",IF(OR(IF(B473="UC",COUNTIF('Use cases'!$A$4:$A$253,C473),IF(B473="CAP",COUNTIF(Capabilities!$A$4:$A$253,C473),IF(B473="AIR",COUNTIF('System map'!$A$4:$A$203,C473),COUNTIFS(Components!$A$4:$A$253,C473,Components!$B$4:$B$253,B473))))&lt;&gt;1,IF(E473="UC",COUNTIF('Use cases'!$A$4:$A$253,F473),IF(E473="CAP",COUNTIF(Capabilities!$A$4:$A$253,F473),IF(E473="AIR",COUNTIF('System map'!$A$4:$A$203,F473),COUNTIFS(Components!$A$4:$A$253,F473,Components!$B$4:$B$253,E473))))&lt;&gt;1),"Endpoint missing or duplicated",IF(AND(NOT(AND(B473="UC",E473="CAP")),OR(G473="",COUNTIF('System map'!$A$4:$A$203,G473)&lt;&gt;1)),"AIR context missing / unknown",IF(AND(B473="CAP",E473="AIR",G473&lt;&gt;F473),"AIR context mismatch",IF(AND(B473="AIR",G473&lt;&gt;C473),"AIR context mismatch",IF(AND(B473="AIR",E473="AIR",C473=F473),"Self-dependency",IF(AND(B473="AIR",E473="AIR",M473&lt;&gt;"Superseded",COUNTIFS($B$4:$B$1003,"AIR",$C$4:$C$1003,F473,$E$4:$E$1003,"AIR",$F$4:$F$1003,C473,$M$4:$M$1003,"&lt;&gt;Superseded")&gt;0),"Dependency cycle (A↔B) — review",IF(AND(B473="AIR",OR(E473="MOD",E473="DATA",E473="IF",E473="AG",E473="TOOL"),IFERROR(INDEX(Components!$G$4:$G$253,MATCH(F473,Components!$A$4:$A$253,0)),"")&lt;&gt;"",IFERROR(INDEX(Components!$G$4:$G$253,MATCH(F473,Components!$A$4:$A$253,0)),"")&lt;&gt;C473),"Component owned by another AIR-ID",IF(AND(M473="Confirmed",OR(IF(B473="UC",COUNTIFS('Use cases'!$A$4:$A$253,C473,'Use cases'!$I$4:$I$253,"Confirmed",'Use cases'!$J$4:$J$253,"OK — verify source"),IF(B473="CAP",COUNTIFS(Capabilities!$A$4:$A$253,C473,Capabilities!$J$4:$J$253,"Confirmed",Capabilities!$K$4:$K$253,"OK — verify source"),IF(B473="AIR",COUNTIFS('System map'!$A$4:$A$203,C473,'System map'!$B$4:$B$203,"&lt;&gt;",'System map'!$C$4:$C$203,"&lt;&gt;",'System map'!$D$4:$D$203,"&lt;&gt;"),COUNTIFS(Components!$A$4:$A$253,C473,Components!$B$4:$B$253,B473,Components!$K$4:$K$253,"Confirmed",Components!$L$4:$L$253,"OK — verify source"))))&lt;&gt;1,IF(E473="UC",COUNTIFS('Use cases'!$A$4:$A$253,F473,'Use cases'!$I$4:$I$253,"Confirmed",'Use cases'!$J$4:$J$253,"OK — verify source"),IF(E473="CAP",COUNTIFS(Capabilities!$A$4:$A$253,F473,Capabilities!$J$4:$J$253,"Confirmed",Capabilities!$K$4:$K$253,"OK — verify source"),IF(E473="AIR",COUNTIFS('System map'!$A$4:$A$203,F473,'System map'!$B$4:$B$203,"&lt;&gt;",'System map'!$C$4:$C$203,"&lt;&gt;",'System map'!$D$4:$D$203,"&lt;&gt;"),COUNTIFS(Components!$A$4:$A$253,F473,Components!$B$4:$B$253,E473,Components!$K$4:$K$253,"Confirmed",Components!$L$4:$L$253,"OK — verify source"))))&lt;&gt;1)),"Endpoint not source-reconciled",IF(AND(M473="Confirmed",OR(L473="",K473="",K473="Unknown",K473="Low")),"Confirmed link lacks verification","OK — verify source"))))))))))))))</f>
        <v/>
      </c>
    </row>
    <row r="47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6" t="n"/>
      <c r="M474" s="25" t="n"/>
      <c r="N474" s="25">
        <f>IF(COUNTA(A474:M474)=0,"",IF(OR(A474="",B474="",C474="",D474="",E474="",F474="",I474="",J474="",K474="",M474=""),"Required link detail missing",IF(COUNTIF($A$4:$A$1003,A474)&gt;1,"Duplicate Map Edge ID",IF(NOT(OR(AND(B474="UC",E474="CAP",D474="requires"),AND(B474="CAP",E474="AIR",D474="provided by"),AND(B474="AIR",OR(E474="MOD",E474="DATA",E474="IF",E474="AG",E474="TOOL"),D474="references"),AND(B474="AIR",E474="AIR",D474="depends on"))),"Invalid relationship",IF(AND(M474&lt;&gt;"Superseded",COUNTIFS($B$4:$B$1003,B474,$C$4:$C$1003,C474,$D$4:$D$1003,D474,$E$4:$E$1003,E474,$F$4:$F$1003,F474,$G$4:$G$1003,G474,$M$4:$M$1003,"&lt;&gt;Superseded")&gt;1),"Duplicate relationship",IF(OR(IF(B474="UC",COUNTIF('Use cases'!$A$4:$A$253,C474),IF(B474="CAP",COUNTIF(Capabilities!$A$4:$A$253,C474),IF(B474="AIR",COUNTIF('System map'!$A$4:$A$203,C474),COUNTIFS(Components!$A$4:$A$253,C474,Components!$B$4:$B$253,B474))))&lt;&gt;1,IF(E474="UC",COUNTIF('Use cases'!$A$4:$A$253,F474),IF(E474="CAP",COUNTIF(Capabilities!$A$4:$A$253,F474),IF(E474="AIR",COUNTIF('System map'!$A$4:$A$203,F474),COUNTIFS(Components!$A$4:$A$253,F474,Components!$B$4:$B$253,E474))))&lt;&gt;1),"Endpoint missing or duplicated",IF(AND(NOT(AND(B474="UC",E474="CAP")),OR(G474="",COUNTIF('System map'!$A$4:$A$203,G474)&lt;&gt;1)),"AIR context missing / unknown",IF(AND(B474="CAP",E474="AIR",G474&lt;&gt;F474),"AIR context mismatch",IF(AND(B474="AIR",G474&lt;&gt;C474),"AIR context mismatch",IF(AND(B474="AIR",E474="AIR",C474=F474),"Self-dependency",IF(AND(B474="AIR",E474="AIR",M474&lt;&gt;"Superseded",COUNTIFS($B$4:$B$1003,"AIR",$C$4:$C$1003,F474,$E$4:$E$1003,"AIR",$F$4:$F$1003,C474,$M$4:$M$1003,"&lt;&gt;Superseded")&gt;0),"Dependency cycle (A↔B) — review",IF(AND(B474="AIR",OR(E474="MOD",E474="DATA",E474="IF",E474="AG",E474="TOOL"),IFERROR(INDEX(Components!$G$4:$G$253,MATCH(F474,Components!$A$4:$A$253,0)),"")&lt;&gt;"",IFERROR(INDEX(Components!$G$4:$G$253,MATCH(F474,Components!$A$4:$A$253,0)),"")&lt;&gt;C474),"Component owned by another AIR-ID",IF(AND(M474="Confirmed",OR(IF(B474="UC",COUNTIFS('Use cases'!$A$4:$A$253,C474,'Use cases'!$I$4:$I$253,"Confirmed",'Use cases'!$J$4:$J$253,"OK — verify source"),IF(B474="CAP",COUNTIFS(Capabilities!$A$4:$A$253,C474,Capabilities!$J$4:$J$253,"Confirmed",Capabilities!$K$4:$K$253,"OK — verify source"),IF(B474="AIR",COUNTIFS('System map'!$A$4:$A$203,C474,'System map'!$B$4:$B$203,"&lt;&gt;",'System map'!$C$4:$C$203,"&lt;&gt;",'System map'!$D$4:$D$203,"&lt;&gt;"),COUNTIFS(Components!$A$4:$A$253,C474,Components!$B$4:$B$253,B474,Components!$K$4:$K$253,"Confirmed",Components!$L$4:$L$253,"OK — verify source"))))&lt;&gt;1,IF(E474="UC",COUNTIFS('Use cases'!$A$4:$A$253,F474,'Use cases'!$I$4:$I$253,"Confirmed",'Use cases'!$J$4:$J$253,"OK — verify source"),IF(E474="CAP",COUNTIFS(Capabilities!$A$4:$A$253,F474,Capabilities!$J$4:$J$253,"Confirmed",Capabilities!$K$4:$K$253,"OK — verify source"),IF(E474="AIR",COUNTIFS('System map'!$A$4:$A$203,F474,'System map'!$B$4:$B$203,"&lt;&gt;",'System map'!$C$4:$C$203,"&lt;&gt;",'System map'!$D$4:$D$203,"&lt;&gt;"),COUNTIFS(Components!$A$4:$A$253,F474,Components!$B$4:$B$253,E474,Components!$K$4:$K$253,"Confirmed",Components!$L$4:$L$253,"OK — verify source"))))&lt;&gt;1)),"Endpoint not source-reconciled",IF(AND(M474="Confirmed",OR(L474="",K474="",K474="Unknown",K474="Low")),"Confirmed link lacks verification","OK — verify source"))))))))))))))</f>
        <v/>
      </c>
    </row>
    <row r="475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8" t="n"/>
      <c r="M475" s="27" t="n"/>
      <c r="N475" s="27">
        <f>IF(COUNTA(A475:M475)=0,"",IF(OR(A475="",B475="",C475="",D475="",E475="",F475="",I475="",J475="",K475="",M475=""),"Required link detail missing",IF(COUNTIF($A$4:$A$1003,A475)&gt;1,"Duplicate Map Edge ID",IF(NOT(OR(AND(B475="UC",E475="CAP",D475="requires"),AND(B475="CAP",E475="AIR",D475="provided by"),AND(B475="AIR",OR(E475="MOD",E475="DATA",E475="IF",E475="AG",E475="TOOL"),D475="references"),AND(B475="AIR",E475="AIR",D475="depends on"))),"Invalid relationship",IF(AND(M475&lt;&gt;"Superseded",COUNTIFS($B$4:$B$1003,B475,$C$4:$C$1003,C475,$D$4:$D$1003,D475,$E$4:$E$1003,E475,$F$4:$F$1003,F475,$G$4:$G$1003,G475,$M$4:$M$1003,"&lt;&gt;Superseded")&gt;1),"Duplicate relationship",IF(OR(IF(B475="UC",COUNTIF('Use cases'!$A$4:$A$253,C475),IF(B475="CAP",COUNTIF(Capabilities!$A$4:$A$253,C475),IF(B475="AIR",COUNTIF('System map'!$A$4:$A$203,C475),COUNTIFS(Components!$A$4:$A$253,C475,Components!$B$4:$B$253,B475))))&lt;&gt;1,IF(E475="UC",COUNTIF('Use cases'!$A$4:$A$253,F475),IF(E475="CAP",COUNTIF(Capabilities!$A$4:$A$253,F475),IF(E475="AIR",COUNTIF('System map'!$A$4:$A$203,F475),COUNTIFS(Components!$A$4:$A$253,F475,Components!$B$4:$B$253,E475))))&lt;&gt;1),"Endpoint missing or duplicated",IF(AND(NOT(AND(B475="UC",E475="CAP")),OR(G475="",COUNTIF('System map'!$A$4:$A$203,G475)&lt;&gt;1)),"AIR context missing / unknown",IF(AND(B475="CAP",E475="AIR",G475&lt;&gt;F475),"AIR context mismatch",IF(AND(B475="AIR",G475&lt;&gt;C475),"AIR context mismatch",IF(AND(B475="AIR",E475="AIR",C475=F475),"Self-dependency",IF(AND(B475="AIR",E475="AIR",M475&lt;&gt;"Superseded",COUNTIFS($B$4:$B$1003,"AIR",$C$4:$C$1003,F475,$E$4:$E$1003,"AIR",$F$4:$F$1003,C475,$M$4:$M$1003,"&lt;&gt;Superseded")&gt;0),"Dependency cycle (A↔B) — review",IF(AND(B475="AIR",OR(E475="MOD",E475="DATA",E475="IF",E475="AG",E475="TOOL"),IFERROR(INDEX(Components!$G$4:$G$253,MATCH(F475,Components!$A$4:$A$253,0)),"")&lt;&gt;"",IFERROR(INDEX(Components!$G$4:$G$253,MATCH(F475,Components!$A$4:$A$253,0)),"")&lt;&gt;C475),"Component owned by another AIR-ID",IF(AND(M475="Confirmed",OR(IF(B475="UC",COUNTIFS('Use cases'!$A$4:$A$253,C475,'Use cases'!$I$4:$I$253,"Confirmed",'Use cases'!$J$4:$J$253,"OK — verify source"),IF(B475="CAP",COUNTIFS(Capabilities!$A$4:$A$253,C475,Capabilities!$J$4:$J$253,"Confirmed",Capabilities!$K$4:$K$253,"OK — verify source"),IF(B475="AIR",COUNTIFS('System map'!$A$4:$A$203,C475,'System map'!$B$4:$B$203,"&lt;&gt;",'System map'!$C$4:$C$203,"&lt;&gt;",'System map'!$D$4:$D$203,"&lt;&gt;"),COUNTIFS(Components!$A$4:$A$253,C475,Components!$B$4:$B$253,B475,Components!$K$4:$K$253,"Confirmed",Components!$L$4:$L$253,"OK — verify source"))))&lt;&gt;1,IF(E475="UC",COUNTIFS('Use cases'!$A$4:$A$253,F475,'Use cases'!$I$4:$I$253,"Confirmed",'Use cases'!$J$4:$J$253,"OK — verify source"),IF(E475="CAP",COUNTIFS(Capabilities!$A$4:$A$253,F475,Capabilities!$J$4:$J$253,"Confirmed",Capabilities!$K$4:$K$253,"OK — verify source"),IF(E475="AIR",COUNTIFS('System map'!$A$4:$A$203,F475,'System map'!$B$4:$B$203,"&lt;&gt;",'System map'!$C$4:$C$203,"&lt;&gt;",'System map'!$D$4:$D$203,"&lt;&gt;"),COUNTIFS(Components!$A$4:$A$253,F475,Components!$B$4:$B$253,E475,Components!$K$4:$K$253,"Confirmed",Components!$L$4:$L$253,"OK — verify source"))))&lt;&gt;1)),"Endpoint not source-reconciled",IF(AND(M475="Confirmed",OR(L475="",K475="",K475="Unknown",K475="Low")),"Confirmed link lacks verification","OK — verify source"))))))))))))))</f>
        <v/>
      </c>
    </row>
    <row r="476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6" t="n"/>
      <c r="M476" s="25" t="n"/>
      <c r="N476" s="25">
        <f>IF(COUNTA(A476:M476)=0,"",IF(OR(A476="",B476="",C476="",D476="",E476="",F476="",I476="",J476="",K476="",M476=""),"Required link detail missing",IF(COUNTIF($A$4:$A$1003,A476)&gt;1,"Duplicate Map Edge ID",IF(NOT(OR(AND(B476="UC",E476="CAP",D476="requires"),AND(B476="CAP",E476="AIR",D476="provided by"),AND(B476="AIR",OR(E476="MOD",E476="DATA",E476="IF",E476="AG",E476="TOOL"),D476="references"),AND(B476="AIR",E476="AIR",D476="depends on"))),"Invalid relationship",IF(AND(M476&lt;&gt;"Superseded",COUNTIFS($B$4:$B$1003,B476,$C$4:$C$1003,C476,$D$4:$D$1003,D476,$E$4:$E$1003,E476,$F$4:$F$1003,F476,$G$4:$G$1003,G476,$M$4:$M$1003,"&lt;&gt;Superseded")&gt;1),"Duplicate relationship",IF(OR(IF(B476="UC",COUNTIF('Use cases'!$A$4:$A$253,C476),IF(B476="CAP",COUNTIF(Capabilities!$A$4:$A$253,C476),IF(B476="AIR",COUNTIF('System map'!$A$4:$A$203,C476),COUNTIFS(Components!$A$4:$A$253,C476,Components!$B$4:$B$253,B476))))&lt;&gt;1,IF(E476="UC",COUNTIF('Use cases'!$A$4:$A$253,F476),IF(E476="CAP",COUNTIF(Capabilities!$A$4:$A$253,F476),IF(E476="AIR",COUNTIF('System map'!$A$4:$A$203,F476),COUNTIFS(Components!$A$4:$A$253,F476,Components!$B$4:$B$253,E476))))&lt;&gt;1),"Endpoint missing or duplicated",IF(AND(NOT(AND(B476="UC",E476="CAP")),OR(G476="",COUNTIF('System map'!$A$4:$A$203,G476)&lt;&gt;1)),"AIR context missing / unknown",IF(AND(B476="CAP",E476="AIR",G476&lt;&gt;F476),"AIR context mismatch",IF(AND(B476="AIR",G476&lt;&gt;C476),"AIR context mismatch",IF(AND(B476="AIR",E476="AIR",C476=F476),"Self-dependency",IF(AND(B476="AIR",E476="AIR",M476&lt;&gt;"Superseded",COUNTIFS($B$4:$B$1003,"AIR",$C$4:$C$1003,F476,$E$4:$E$1003,"AIR",$F$4:$F$1003,C476,$M$4:$M$1003,"&lt;&gt;Superseded")&gt;0),"Dependency cycle (A↔B) — review",IF(AND(B476="AIR",OR(E476="MOD",E476="DATA",E476="IF",E476="AG",E476="TOOL"),IFERROR(INDEX(Components!$G$4:$G$253,MATCH(F476,Components!$A$4:$A$253,0)),"")&lt;&gt;"",IFERROR(INDEX(Components!$G$4:$G$253,MATCH(F476,Components!$A$4:$A$253,0)),"")&lt;&gt;C476),"Component owned by another AIR-ID",IF(AND(M476="Confirmed",OR(IF(B476="UC",COUNTIFS('Use cases'!$A$4:$A$253,C476,'Use cases'!$I$4:$I$253,"Confirmed",'Use cases'!$J$4:$J$253,"OK — verify source"),IF(B476="CAP",COUNTIFS(Capabilities!$A$4:$A$253,C476,Capabilities!$J$4:$J$253,"Confirmed",Capabilities!$K$4:$K$253,"OK — verify source"),IF(B476="AIR",COUNTIFS('System map'!$A$4:$A$203,C476,'System map'!$B$4:$B$203,"&lt;&gt;",'System map'!$C$4:$C$203,"&lt;&gt;",'System map'!$D$4:$D$203,"&lt;&gt;"),COUNTIFS(Components!$A$4:$A$253,C476,Components!$B$4:$B$253,B476,Components!$K$4:$K$253,"Confirmed",Components!$L$4:$L$253,"OK — verify source"))))&lt;&gt;1,IF(E476="UC",COUNTIFS('Use cases'!$A$4:$A$253,F476,'Use cases'!$I$4:$I$253,"Confirmed",'Use cases'!$J$4:$J$253,"OK — verify source"),IF(E476="CAP",COUNTIFS(Capabilities!$A$4:$A$253,F476,Capabilities!$J$4:$J$253,"Confirmed",Capabilities!$K$4:$K$253,"OK — verify source"),IF(E476="AIR",COUNTIFS('System map'!$A$4:$A$203,F476,'System map'!$B$4:$B$203,"&lt;&gt;",'System map'!$C$4:$C$203,"&lt;&gt;",'System map'!$D$4:$D$203,"&lt;&gt;"),COUNTIFS(Components!$A$4:$A$253,F476,Components!$B$4:$B$253,E476,Components!$K$4:$K$253,"Confirmed",Components!$L$4:$L$253,"OK — verify source"))))&lt;&gt;1)),"Endpoint not source-reconciled",IF(AND(M476="Confirmed",OR(L476="",K476="",K476="Unknown",K476="Low")),"Confirmed link lacks verification","OK — verify source"))))))))))))))</f>
        <v/>
      </c>
    </row>
    <row r="477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8" t="n"/>
      <c r="M477" s="27" t="n"/>
      <c r="N477" s="27">
        <f>IF(COUNTA(A477:M477)=0,"",IF(OR(A477="",B477="",C477="",D477="",E477="",F477="",I477="",J477="",K477="",M477=""),"Required link detail missing",IF(COUNTIF($A$4:$A$1003,A477)&gt;1,"Duplicate Map Edge ID",IF(NOT(OR(AND(B477="UC",E477="CAP",D477="requires"),AND(B477="CAP",E477="AIR",D477="provided by"),AND(B477="AIR",OR(E477="MOD",E477="DATA",E477="IF",E477="AG",E477="TOOL"),D477="references"),AND(B477="AIR",E477="AIR",D477="depends on"))),"Invalid relationship",IF(AND(M477&lt;&gt;"Superseded",COUNTIFS($B$4:$B$1003,B477,$C$4:$C$1003,C477,$D$4:$D$1003,D477,$E$4:$E$1003,E477,$F$4:$F$1003,F477,$G$4:$G$1003,G477,$M$4:$M$1003,"&lt;&gt;Superseded")&gt;1),"Duplicate relationship",IF(OR(IF(B477="UC",COUNTIF('Use cases'!$A$4:$A$253,C477),IF(B477="CAP",COUNTIF(Capabilities!$A$4:$A$253,C477),IF(B477="AIR",COUNTIF('System map'!$A$4:$A$203,C477),COUNTIFS(Components!$A$4:$A$253,C477,Components!$B$4:$B$253,B477))))&lt;&gt;1,IF(E477="UC",COUNTIF('Use cases'!$A$4:$A$253,F477),IF(E477="CAP",COUNTIF(Capabilities!$A$4:$A$253,F477),IF(E477="AIR",COUNTIF('System map'!$A$4:$A$203,F477),COUNTIFS(Components!$A$4:$A$253,F477,Components!$B$4:$B$253,E477))))&lt;&gt;1),"Endpoint missing or duplicated",IF(AND(NOT(AND(B477="UC",E477="CAP")),OR(G477="",COUNTIF('System map'!$A$4:$A$203,G477)&lt;&gt;1)),"AIR context missing / unknown",IF(AND(B477="CAP",E477="AIR",G477&lt;&gt;F477),"AIR context mismatch",IF(AND(B477="AIR",G477&lt;&gt;C477),"AIR context mismatch",IF(AND(B477="AIR",E477="AIR",C477=F477),"Self-dependency",IF(AND(B477="AIR",E477="AIR",M477&lt;&gt;"Superseded",COUNTIFS($B$4:$B$1003,"AIR",$C$4:$C$1003,F477,$E$4:$E$1003,"AIR",$F$4:$F$1003,C477,$M$4:$M$1003,"&lt;&gt;Superseded")&gt;0),"Dependency cycle (A↔B) — review",IF(AND(B477="AIR",OR(E477="MOD",E477="DATA",E477="IF",E477="AG",E477="TOOL"),IFERROR(INDEX(Components!$G$4:$G$253,MATCH(F477,Components!$A$4:$A$253,0)),"")&lt;&gt;"",IFERROR(INDEX(Components!$G$4:$G$253,MATCH(F477,Components!$A$4:$A$253,0)),"")&lt;&gt;C477),"Component owned by another AIR-ID",IF(AND(M477="Confirmed",OR(IF(B477="UC",COUNTIFS('Use cases'!$A$4:$A$253,C477,'Use cases'!$I$4:$I$253,"Confirmed",'Use cases'!$J$4:$J$253,"OK — verify source"),IF(B477="CAP",COUNTIFS(Capabilities!$A$4:$A$253,C477,Capabilities!$J$4:$J$253,"Confirmed",Capabilities!$K$4:$K$253,"OK — verify source"),IF(B477="AIR",COUNTIFS('System map'!$A$4:$A$203,C477,'System map'!$B$4:$B$203,"&lt;&gt;",'System map'!$C$4:$C$203,"&lt;&gt;",'System map'!$D$4:$D$203,"&lt;&gt;"),COUNTIFS(Components!$A$4:$A$253,C477,Components!$B$4:$B$253,B477,Components!$K$4:$K$253,"Confirmed",Components!$L$4:$L$253,"OK — verify source"))))&lt;&gt;1,IF(E477="UC",COUNTIFS('Use cases'!$A$4:$A$253,F477,'Use cases'!$I$4:$I$253,"Confirmed",'Use cases'!$J$4:$J$253,"OK — verify source"),IF(E477="CAP",COUNTIFS(Capabilities!$A$4:$A$253,F477,Capabilities!$J$4:$J$253,"Confirmed",Capabilities!$K$4:$K$253,"OK — verify source"),IF(E477="AIR",COUNTIFS('System map'!$A$4:$A$203,F477,'System map'!$B$4:$B$203,"&lt;&gt;",'System map'!$C$4:$C$203,"&lt;&gt;",'System map'!$D$4:$D$203,"&lt;&gt;"),COUNTIFS(Components!$A$4:$A$253,F477,Components!$B$4:$B$253,E477,Components!$K$4:$K$253,"Confirmed",Components!$L$4:$L$253,"OK — verify source"))))&lt;&gt;1)),"Endpoint not source-reconciled",IF(AND(M477="Confirmed",OR(L477="",K477="",K477="Unknown",K477="Low")),"Confirmed link lacks verification","OK — verify source"))))))))))))))</f>
        <v/>
      </c>
    </row>
    <row r="478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6" t="n"/>
      <c r="M478" s="25" t="n"/>
      <c r="N478" s="25">
        <f>IF(COUNTA(A478:M478)=0,"",IF(OR(A478="",B478="",C478="",D478="",E478="",F478="",I478="",J478="",K478="",M478=""),"Required link detail missing",IF(COUNTIF($A$4:$A$1003,A478)&gt;1,"Duplicate Map Edge ID",IF(NOT(OR(AND(B478="UC",E478="CAP",D478="requires"),AND(B478="CAP",E478="AIR",D478="provided by"),AND(B478="AIR",OR(E478="MOD",E478="DATA",E478="IF",E478="AG",E478="TOOL"),D478="references"),AND(B478="AIR",E478="AIR",D478="depends on"))),"Invalid relationship",IF(AND(M478&lt;&gt;"Superseded",COUNTIFS($B$4:$B$1003,B478,$C$4:$C$1003,C478,$D$4:$D$1003,D478,$E$4:$E$1003,E478,$F$4:$F$1003,F478,$G$4:$G$1003,G478,$M$4:$M$1003,"&lt;&gt;Superseded")&gt;1),"Duplicate relationship",IF(OR(IF(B478="UC",COUNTIF('Use cases'!$A$4:$A$253,C478),IF(B478="CAP",COUNTIF(Capabilities!$A$4:$A$253,C478),IF(B478="AIR",COUNTIF('System map'!$A$4:$A$203,C478),COUNTIFS(Components!$A$4:$A$253,C478,Components!$B$4:$B$253,B478))))&lt;&gt;1,IF(E478="UC",COUNTIF('Use cases'!$A$4:$A$253,F478),IF(E478="CAP",COUNTIF(Capabilities!$A$4:$A$253,F478),IF(E478="AIR",COUNTIF('System map'!$A$4:$A$203,F478),COUNTIFS(Components!$A$4:$A$253,F478,Components!$B$4:$B$253,E478))))&lt;&gt;1),"Endpoint missing or duplicated",IF(AND(NOT(AND(B478="UC",E478="CAP")),OR(G478="",COUNTIF('System map'!$A$4:$A$203,G478)&lt;&gt;1)),"AIR context missing / unknown",IF(AND(B478="CAP",E478="AIR",G478&lt;&gt;F478),"AIR context mismatch",IF(AND(B478="AIR",G478&lt;&gt;C478),"AIR context mismatch",IF(AND(B478="AIR",E478="AIR",C478=F478),"Self-dependency",IF(AND(B478="AIR",E478="AIR",M478&lt;&gt;"Superseded",COUNTIFS($B$4:$B$1003,"AIR",$C$4:$C$1003,F478,$E$4:$E$1003,"AIR",$F$4:$F$1003,C478,$M$4:$M$1003,"&lt;&gt;Superseded")&gt;0),"Dependency cycle (A↔B) — review",IF(AND(B478="AIR",OR(E478="MOD",E478="DATA",E478="IF",E478="AG",E478="TOOL"),IFERROR(INDEX(Components!$G$4:$G$253,MATCH(F478,Components!$A$4:$A$253,0)),"")&lt;&gt;"",IFERROR(INDEX(Components!$G$4:$G$253,MATCH(F478,Components!$A$4:$A$253,0)),"")&lt;&gt;C478),"Component owned by another AIR-ID",IF(AND(M478="Confirmed",OR(IF(B478="UC",COUNTIFS('Use cases'!$A$4:$A$253,C478,'Use cases'!$I$4:$I$253,"Confirmed",'Use cases'!$J$4:$J$253,"OK — verify source"),IF(B478="CAP",COUNTIFS(Capabilities!$A$4:$A$253,C478,Capabilities!$J$4:$J$253,"Confirmed",Capabilities!$K$4:$K$253,"OK — verify source"),IF(B478="AIR",COUNTIFS('System map'!$A$4:$A$203,C478,'System map'!$B$4:$B$203,"&lt;&gt;",'System map'!$C$4:$C$203,"&lt;&gt;",'System map'!$D$4:$D$203,"&lt;&gt;"),COUNTIFS(Components!$A$4:$A$253,C478,Components!$B$4:$B$253,B478,Components!$K$4:$K$253,"Confirmed",Components!$L$4:$L$253,"OK — verify source"))))&lt;&gt;1,IF(E478="UC",COUNTIFS('Use cases'!$A$4:$A$253,F478,'Use cases'!$I$4:$I$253,"Confirmed",'Use cases'!$J$4:$J$253,"OK — verify source"),IF(E478="CAP",COUNTIFS(Capabilities!$A$4:$A$253,F478,Capabilities!$J$4:$J$253,"Confirmed",Capabilities!$K$4:$K$253,"OK — verify source"),IF(E478="AIR",COUNTIFS('System map'!$A$4:$A$203,F478,'System map'!$B$4:$B$203,"&lt;&gt;",'System map'!$C$4:$C$203,"&lt;&gt;",'System map'!$D$4:$D$203,"&lt;&gt;"),COUNTIFS(Components!$A$4:$A$253,F478,Components!$B$4:$B$253,E478,Components!$K$4:$K$253,"Confirmed",Components!$L$4:$L$253,"OK — verify source"))))&lt;&gt;1)),"Endpoint not source-reconciled",IF(AND(M478="Confirmed",OR(L478="",K478="",K478="Unknown",K478="Low")),"Confirmed link lacks verification","OK — verify source"))))))))))))))</f>
        <v/>
      </c>
    </row>
    <row r="479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8" t="n"/>
      <c r="M479" s="27" t="n"/>
      <c r="N479" s="27">
        <f>IF(COUNTA(A479:M479)=0,"",IF(OR(A479="",B479="",C479="",D479="",E479="",F479="",I479="",J479="",K479="",M479=""),"Required link detail missing",IF(COUNTIF($A$4:$A$1003,A479)&gt;1,"Duplicate Map Edge ID",IF(NOT(OR(AND(B479="UC",E479="CAP",D479="requires"),AND(B479="CAP",E479="AIR",D479="provided by"),AND(B479="AIR",OR(E479="MOD",E479="DATA",E479="IF",E479="AG",E479="TOOL"),D479="references"),AND(B479="AIR",E479="AIR",D479="depends on"))),"Invalid relationship",IF(AND(M479&lt;&gt;"Superseded",COUNTIFS($B$4:$B$1003,B479,$C$4:$C$1003,C479,$D$4:$D$1003,D479,$E$4:$E$1003,E479,$F$4:$F$1003,F479,$G$4:$G$1003,G479,$M$4:$M$1003,"&lt;&gt;Superseded")&gt;1),"Duplicate relationship",IF(OR(IF(B479="UC",COUNTIF('Use cases'!$A$4:$A$253,C479),IF(B479="CAP",COUNTIF(Capabilities!$A$4:$A$253,C479),IF(B479="AIR",COUNTIF('System map'!$A$4:$A$203,C479),COUNTIFS(Components!$A$4:$A$253,C479,Components!$B$4:$B$253,B479))))&lt;&gt;1,IF(E479="UC",COUNTIF('Use cases'!$A$4:$A$253,F479),IF(E479="CAP",COUNTIF(Capabilities!$A$4:$A$253,F479),IF(E479="AIR",COUNTIF('System map'!$A$4:$A$203,F479),COUNTIFS(Components!$A$4:$A$253,F479,Components!$B$4:$B$253,E479))))&lt;&gt;1),"Endpoint missing or duplicated",IF(AND(NOT(AND(B479="UC",E479="CAP")),OR(G479="",COUNTIF('System map'!$A$4:$A$203,G479)&lt;&gt;1)),"AIR context missing / unknown",IF(AND(B479="CAP",E479="AIR",G479&lt;&gt;F479),"AIR context mismatch",IF(AND(B479="AIR",G479&lt;&gt;C479),"AIR context mismatch",IF(AND(B479="AIR",E479="AIR",C479=F479),"Self-dependency",IF(AND(B479="AIR",E479="AIR",M479&lt;&gt;"Superseded",COUNTIFS($B$4:$B$1003,"AIR",$C$4:$C$1003,F479,$E$4:$E$1003,"AIR",$F$4:$F$1003,C479,$M$4:$M$1003,"&lt;&gt;Superseded")&gt;0),"Dependency cycle (A↔B) — review",IF(AND(B479="AIR",OR(E479="MOD",E479="DATA",E479="IF",E479="AG",E479="TOOL"),IFERROR(INDEX(Components!$G$4:$G$253,MATCH(F479,Components!$A$4:$A$253,0)),"")&lt;&gt;"",IFERROR(INDEX(Components!$G$4:$G$253,MATCH(F479,Components!$A$4:$A$253,0)),"")&lt;&gt;C479),"Component owned by another AIR-ID",IF(AND(M479="Confirmed",OR(IF(B479="UC",COUNTIFS('Use cases'!$A$4:$A$253,C479,'Use cases'!$I$4:$I$253,"Confirmed",'Use cases'!$J$4:$J$253,"OK — verify source"),IF(B479="CAP",COUNTIFS(Capabilities!$A$4:$A$253,C479,Capabilities!$J$4:$J$253,"Confirmed",Capabilities!$K$4:$K$253,"OK — verify source"),IF(B479="AIR",COUNTIFS('System map'!$A$4:$A$203,C479,'System map'!$B$4:$B$203,"&lt;&gt;",'System map'!$C$4:$C$203,"&lt;&gt;",'System map'!$D$4:$D$203,"&lt;&gt;"),COUNTIFS(Components!$A$4:$A$253,C479,Components!$B$4:$B$253,B479,Components!$K$4:$K$253,"Confirmed",Components!$L$4:$L$253,"OK — verify source"))))&lt;&gt;1,IF(E479="UC",COUNTIFS('Use cases'!$A$4:$A$253,F479,'Use cases'!$I$4:$I$253,"Confirmed",'Use cases'!$J$4:$J$253,"OK — verify source"),IF(E479="CAP",COUNTIFS(Capabilities!$A$4:$A$253,F479,Capabilities!$J$4:$J$253,"Confirmed",Capabilities!$K$4:$K$253,"OK — verify source"),IF(E479="AIR",COUNTIFS('System map'!$A$4:$A$203,F479,'System map'!$B$4:$B$203,"&lt;&gt;",'System map'!$C$4:$C$203,"&lt;&gt;",'System map'!$D$4:$D$203,"&lt;&gt;"),COUNTIFS(Components!$A$4:$A$253,F479,Components!$B$4:$B$253,E479,Components!$K$4:$K$253,"Confirmed",Components!$L$4:$L$253,"OK — verify source"))))&lt;&gt;1)),"Endpoint not source-reconciled",IF(AND(M479="Confirmed",OR(L479="",K479="",K479="Unknown",K479="Low")),"Confirmed link lacks verification","OK — verify source"))))))))))))))</f>
        <v/>
      </c>
    </row>
    <row r="480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6" t="n"/>
      <c r="M480" s="25" t="n"/>
      <c r="N480" s="25">
        <f>IF(COUNTA(A480:M480)=0,"",IF(OR(A480="",B480="",C480="",D480="",E480="",F480="",I480="",J480="",K480="",M480=""),"Required link detail missing",IF(COUNTIF($A$4:$A$1003,A480)&gt;1,"Duplicate Map Edge ID",IF(NOT(OR(AND(B480="UC",E480="CAP",D480="requires"),AND(B480="CAP",E480="AIR",D480="provided by"),AND(B480="AIR",OR(E480="MOD",E480="DATA",E480="IF",E480="AG",E480="TOOL"),D480="references"),AND(B480="AIR",E480="AIR",D480="depends on"))),"Invalid relationship",IF(AND(M480&lt;&gt;"Superseded",COUNTIFS($B$4:$B$1003,B480,$C$4:$C$1003,C480,$D$4:$D$1003,D480,$E$4:$E$1003,E480,$F$4:$F$1003,F480,$G$4:$G$1003,G480,$M$4:$M$1003,"&lt;&gt;Superseded")&gt;1),"Duplicate relationship",IF(OR(IF(B480="UC",COUNTIF('Use cases'!$A$4:$A$253,C480),IF(B480="CAP",COUNTIF(Capabilities!$A$4:$A$253,C480),IF(B480="AIR",COUNTIF('System map'!$A$4:$A$203,C480),COUNTIFS(Components!$A$4:$A$253,C480,Components!$B$4:$B$253,B480))))&lt;&gt;1,IF(E480="UC",COUNTIF('Use cases'!$A$4:$A$253,F480),IF(E480="CAP",COUNTIF(Capabilities!$A$4:$A$253,F480),IF(E480="AIR",COUNTIF('System map'!$A$4:$A$203,F480),COUNTIFS(Components!$A$4:$A$253,F480,Components!$B$4:$B$253,E480))))&lt;&gt;1),"Endpoint missing or duplicated",IF(AND(NOT(AND(B480="UC",E480="CAP")),OR(G480="",COUNTIF('System map'!$A$4:$A$203,G480)&lt;&gt;1)),"AIR context missing / unknown",IF(AND(B480="CAP",E480="AIR",G480&lt;&gt;F480),"AIR context mismatch",IF(AND(B480="AIR",G480&lt;&gt;C480),"AIR context mismatch",IF(AND(B480="AIR",E480="AIR",C480=F480),"Self-dependency",IF(AND(B480="AIR",E480="AIR",M480&lt;&gt;"Superseded",COUNTIFS($B$4:$B$1003,"AIR",$C$4:$C$1003,F480,$E$4:$E$1003,"AIR",$F$4:$F$1003,C480,$M$4:$M$1003,"&lt;&gt;Superseded")&gt;0),"Dependency cycle (A↔B) — review",IF(AND(B480="AIR",OR(E480="MOD",E480="DATA",E480="IF",E480="AG",E480="TOOL"),IFERROR(INDEX(Components!$G$4:$G$253,MATCH(F480,Components!$A$4:$A$253,0)),"")&lt;&gt;"",IFERROR(INDEX(Components!$G$4:$G$253,MATCH(F480,Components!$A$4:$A$253,0)),"")&lt;&gt;C480),"Component owned by another AIR-ID",IF(AND(M480="Confirmed",OR(IF(B480="UC",COUNTIFS('Use cases'!$A$4:$A$253,C480,'Use cases'!$I$4:$I$253,"Confirmed",'Use cases'!$J$4:$J$253,"OK — verify source"),IF(B480="CAP",COUNTIFS(Capabilities!$A$4:$A$253,C480,Capabilities!$J$4:$J$253,"Confirmed",Capabilities!$K$4:$K$253,"OK — verify source"),IF(B480="AIR",COUNTIFS('System map'!$A$4:$A$203,C480,'System map'!$B$4:$B$203,"&lt;&gt;",'System map'!$C$4:$C$203,"&lt;&gt;",'System map'!$D$4:$D$203,"&lt;&gt;"),COUNTIFS(Components!$A$4:$A$253,C480,Components!$B$4:$B$253,B480,Components!$K$4:$K$253,"Confirmed",Components!$L$4:$L$253,"OK — verify source"))))&lt;&gt;1,IF(E480="UC",COUNTIFS('Use cases'!$A$4:$A$253,F480,'Use cases'!$I$4:$I$253,"Confirmed",'Use cases'!$J$4:$J$253,"OK — verify source"),IF(E480="CAP",COUNTIFS(Capabilities!$A$4:$A$253,F480,Capabilities!$J$4:$J$253,"Confirmed",Capabilities!$K$4:$K$253,"OK — verify source"),IF(E480="AIR",COUNTIFS('System map'!$A$4:$A$203,F480,'System map'!$B$4:$B$203,"&lt;&gt;",'System map'!$C$4:$C$203,"&lt;&gt;",'System map'!$D$4:$D$203,"&lt;&gt;"),COUNTIFS(Components!$A$4:$A$253,F480,Components!$B$4:$B$253,E480,Components!$K$4:$K$253,"Confirmed",Components!$L$4:$L$253,"OK — verify source"))))&lt;&gt;1)),"Endpoint not source-reconciled",IF(AND(M480="Confirmed",OR(L480="",K480="",K480="Unknown",K480="Low")),"Confirmed link lacks verification","OK — verify source"))))))))))))))</f>
        <v/>
      </c>
    </row>
    <row r="481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8" t="n"/>
      <c r="M481" s="27" t="n"/>
      <c r="N481" s="27">
        <f>IF(COUNTA(A481:M481)=0,"",IF(OR(A481="",B481="",C481="",D481="",E481="",F481="",I481="",J481="",K481="",M481=""),"Required link detail missing",IF(COUNTIF($A$4:$A$1003,A481)&gt;1,"Duplicate Map Edge ID",IF(NOT(OR(AND(B481="UC",E481="CAP",D481="requires"),AND(B481="CAP",E481="AIR",D481="provided by"),AND(B481="AIR",OR(E481="MOD",E481="DATA",E481="IF",E481="AG",E481="TOOL"),D481="references"),AND(B481="AIR",E481="AIR",D481="depends on"))),"Invalid relationship",IF(AND(M481&lt;&gt;"Superseded",COUNTIFS($B$4:$B$1003,B481,$C$4:$C$1003,C481,$D$4:$D$1003,D481,$E$4:$E$1003,E481,$F$4:$F$1003,F481,$G$4:$G$1003,G481,$M$4:$M$1003,"&lt;&gt;Superseded")&gt;1),"Duplicate relationship",IF(OR(IF(B481="UC",COUNTIF('Use cases'!$A$4:$A$253,C481),IF(B481="CAP",COUNTIF(Capabilities!$A$4:$A$253,C481),IF(B481="AIR",COUNTIF('System map'!$A$4:$A$203,C481),COUNTIFS(Components!$A$4:$A$253,C481,Components!$B$4:$B$253,B481))))&lt;&gt;1,IF(E481="UC",COUNTIF('Use cases'!$A$4:$A$253,F481),IF(E481="CAP",COUNTIF(Capabilities!$A$4:$A$253,F481),IF(E481="AIR",COUNTIF('System map'!$A$4:$A$203,F481),COUNTIFS(Components!$A$4:$A$253,F481,Components!$B$4:$B$253,E481))))&lt;&gt;1),"Endpoint missing or duplicated",IF(AND(NOT(AND(B481="UC",E481="CAP")),OR(G481="",COUNTIF('System map'!$A$4:$A$203,G481)&lt;&gt;1)),"AIR context missing / unknown",IF(AND(B481="CAP",E481="AIR",G481&lt;&gt;F481),"AIR context mismatch",IF(AND(B481="AIR",G481&lt;&gt;C481),"AIR context mismatch",IF(AND(B481="AIR",E481="AIR",C481=F481),"Self-dependency",IF(AND(B481="AIR",E481="AIR",M481&lt;&gt;"Superseded",COUNTIFS($B$4:$B$1003,"AIR",$C$4:$C$1003,F481,$E$4:$E$1003,"AIR",$F$4:$F$1003,C481,$M$4:$M$1003,"&lt;&gt;Superseded")&gt;0),"Dependency cycle (A↔B) — review",IF(AND(B481="AIR",OR(E481="MOD",E481="DATA",E481="IF",E481="AG",E481="TOOL"),IFERROR(INDEX(Components!$G$4:$G$253,MATCH(F481,Components!$A$4:$A$253,0)),"")&lt;&gt;"",IFERROR(INDEX(Components!$G$4:$G$253,MATCH(F481,Components!$A$4:$A$253,0)),"")&lt;&gt;C481),"Component owned by another AIR-ID",IF(AND(M481="Confirmed",OR(IF(B481="UC",COUNTIFS('Use cases'!$A$4:$A$253,C481,'Use cases'!$I$4:$I$253,"Confirmed",'Use cases'!$J$4:$J$253,"OK — verify source"),IF(B481="CAP",COUNTIFS(Capabilities!$A$4:$A$253,C481,Capabilities!$J$4:$J$253,"Confirmed",Capabilities!$K$4:$K$253,"OK — verify source"),IF(B481="AIR",COUNTIFS('System map'!$A$4:$A$203,C481,'System map'!$B$4:$B$203,"&lt;&gt;",'System map'!$C$4:$C$203,"&lt;&gt;",'System map'!$D$4:$D$203,"&lt;&gt;"),COUNTIFS(Components!$A$4:$A$253,C481,Components!$B$4:$B$253,B481,Components!$K$4:$K$253,"Confirmed",Components!$L$4:$L$253,"OK — verify source"))))&lt;&gt;1,IF(E481="UC",COUNTIFS('Use cases'!$A$4:$A$253,F481,'Use cases'!$I$4:$I$253,"Confirmed",'Use cases'!$J$4:$J$253,"OK — verify source"),IF(E481="CAP",COUNTIFS(Capabilities!$A$4:$A$253,F481,Capabilities!$J$4:$J$253,"Confirmed",Capabilities!$K$4:$K$253,"OK — verify source"),IF(E481="AIR",COUNTIFS('System map'!$A$4:$A$203,F481,'System map'!$B$4:$B$203,"&lt;&gt;",'System map'!$C$4:$C$203,"&lt;&gt;",'System map'!$D$4:$D$203,"&lt;&gt;"),COUNTIFS(Components!$A$4:$A$253,F481,Components!$B$4:$B$253,E481,Components!$K$4:$K$253,"Confirmed",Components!$L$4:$L$253,"OK — verify source"))))&lt;&gt;1)),"Endpoint not source-reconciled",IF(AND(M481="Confirmed",OR(L481="",K481="",K481="Unknown",K481="Low")),"Confirmed link lacks verification","OK — verify source"))))))))))))))</f>
        <v/>
      </c>
    </row>
    <row r="482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6" t="n"/>
      <c r="M482" s="25" t="n"/>
      <c r="N482" s="25">
        <f>IF(COUNTA(A482:M482)=0,"",IF(OR(A482="",B482="",C482="",D482="",E482="",F482="",I482="",J482="",K482="",M482=""),"Required link detail missing",IF(COUNTIF($A$4:$A$1003,A482)&gt;1,"Duplicate Map Edge ID",IF(NOT(OR(AND(B482="UC",E482="CAP",D482="requires"),AND(B482="CAP",E482="AIR",D482="provided by"),AND(B482="AIR",OR(E482="MOD",E482="DATA",E482="IF",E482="AG",E482="TOOL"),D482="references"),AND(B482="AIR",E482="AIR",D482="depends on"))),"Invalid relationship",IF(AND(M482&lt;&gt;"Superseded",COUNTIFS($B$4:$B$1003,B482,$C$4:$C$1003,C482,$D$4:$D$1003,D482,$E$4:$E$1003,E482,$F$4:$F$1003,F482,$G$4:$G$1003,G482,$M$4:$M$1003,"&lt;&gt;Superseded")&gt;1),"Duplicate relationship",IF(OR(IF(B482="UC",COUNTIF('Use cases'!$A$4:$A$253,C482),IF(B482="CAP",COUNTIF(Capabilities!$A$4:$A$253,C482),IF(B482="AIR",COUNTIF('System map'!$A$4:$A$203,C482),COUNTIFS(Components!$A$4:$A$253,C482,Components!$B$4:$B$253,B482))))&lt;&gt;1,IF(E482="UC",COUNTIF('Use cases'!$A$4:$A$253,F482),IF(E482="CAP",COUNTIF(Capabilities!$A$4:$A$253,F482),IF(E482="AIR",COUNTIF('System map'!$A$4:$A$203,F482),COUNTIFS(Components!$A$4:$A$253,F482,Components!$B$4:$B$253,E482))))&lt;&gt;1),"Endpoint missing or duplicated",IF(AND(NOT(AND(B482="UC",E482="CAP")),OR(G482="",COUNTIF('System map'!$A$4:$A$203,G482)&lt;&gt;1)),"AIR context missing / unknown",IF(AND(B482="CAP",E482="AIR",G482&lt;&gt;F482),"AIR context mismatch",IF(AND(B482="AIR",G482&lt;&gt;C482),"AIR context mismatch",IF(AND(B482="AIR",E482="AIR",C482=F482),"Self-dependency",IF(AND(B482="AIR",E482="AIR",M482&lt;&gt;"Superseded",COUNTIFS($B$4:$B$1003,"AIR",$C$4:$C$1003,F482,$E$4:$E$1003,"AIR",$F$4:$F$1003,C482,$M$4:$M$1003,"&lt;&gt;Superseded")&gt;0),"Dependency cycle (A↔B) — review",IF(AND(B482="AIR",OR(E482="MOD",E482="DATA",E482="IF",E482="AG",E482="TOOL"),IFERROR(INDEX(Components!$G$4:$G$253,MATCH(F482,Components!$A$4:$A$253,0)),"")&lt;&gt;"",IFERROR(INDEX(Components!$G$4:$G$253,MATCH(F482,Components!$A$4:$A$253,0)),"")&lt;&gt;C482),"Component owned by another AIR-ID",IF(AND(M482="Confirmed",OR(IF(B482="UC",COUNTIFS('Use cases'!$A$4:$A$253,C482,'Use cases'!$I$4:$I$253,"Confirmed",'Use cases'!$J$4:$J$253,"OK — verify source"),IF(B482="CAP",COUNTIFS(Capabilities!$A$4:$A$253,C482,Capabilities!$J$4:$J$253,"Confirmed",Capabilities!$K$4:$K$253,"OK — verify source"),IF(B482="AIR",COUNTIFS('System map'!$A$4:$A$203,C482,'System map'!$B$4:$B$203,"&lt;&gt;",'System map'!$C$4:$C$203,"&lt;&gt;",'System map'!$D$4:$D$203,"&lt;&gt;"),COUNTIFS(Components!$A$4:$A$253,C482,Components!$B$4:$B$253,B482,Components!$K$4:$K$253,"Confirmed",Components!$L$4:$L$253,"OK — verify source"))))&lt;&gt;1,IF(E482="UC",COUNTIFS('Use cases'!$A$4:$A$253,F482,'Use cases'!$I$4:$I$253,"Confirmed",'Use cases'!$J$4:$J$253,"OK — verify source"),IF(E482="CAP",COUNTIFS(Capabilities!$A$4:$A$253,F482,Capabilities!$J$4:$J$253,"Confirmed",Capabilities!$K$4:$K$253,"OK — verify source"),IF(E482="AIR",COUNTIFS('System map'!$A$4:$A$203,F482,'System map'!$B$4:$B$203,"&lt;&gt;",'System map'!$C$4:$C$203,"&lt;&gt;",'System map'!$D$4:$D$203,"&lt;&gt;"),COUNTIFS(Components!$A$4:$A$253,F482,Components!$B$4:$B$253,E482,Components!$K$4:$K$253,"Confirmed",Components!$L$4:$L$253,"OK — verify source"))))&lt;&gt;1)),"Endpoint not source-reconciled",IF(AND(M482="Confirmed",OR(L482="",K482="",K482="Unknown",K482="Low")),"Confirmed link lacks verification","OK — verify source"))))))))))))))</f>
        <v/>
      </c>
    </row>
    <row r="483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8" t="n"/>
      <c r="M483" s="27" t="n"/>
      <c r="N483" s="27">
        <f>IF(COUNTA(A483:M483)=0,"",IF(OR(A483="",B483="",C483="",D483="",E483="",F483="",I483="",J483="",K483="",M483=""),"Required link detail missing",IF(COUNTIF($A$4:$A$1003,A483)&gt;1,"Duplicate Map Edge ID",IF(NOT(OR(AND(B483="UC",E483="CAP",D483="requires"),AND(B483="CAP",E483="AIR",D483="provided by"),AND(B483="AIR",OR(E483="MOD",E483="DATA",E483="IF",E483="AG",E483="TOOL"),D483="references"),AND(B483="AIR",E483="AIR",D483="depends on"))),"Invalid relationship",IF(AND(M483&lt;&gt;"Superseded",COUNTIFS($B$4:$B$1003,B483,$C$4:$C$1003,C483,$D$4:$D$1003,D483,$E$4:$E$1003,E483,$F$4:$F$1003,F483,$G$4:$G$1003,G483,$M$4:$M$1003,"&lt;&gt;Superseded")&gt;1),"Duplicate relationship",IF(OR(IF(B483="UC",COUNTIF('Use cases'!$A$4:$A$253,C483),IF(B483="CAP",COUNTIF(Capabilities!$A$4:$A$253,C483),IF(B483="AIR",COUNTIF('System map'!$A$4:$A$203,C483),COUNTIFS(Components!$A$4:$A$253,C483,Components!$B$4:$B$253,B483))))&lt;&gt;1,IF(E483="UC",COUNTIF('Use cases'!$A$4:$A$253,F483),IF(E483="CAP",COUNTIF(Capabilities!$A$4:$A$253,F483),IF(E483="AIR",COUNTIF('System map'!$A$4:$A$203,F483),COUNTIFS(Components!$A$4:$A$253,F483,Components!$B$4:$B$253,E483))))&lt;&gt;1),"Endpoint missing or duplicated",IF(AND(NOT(AND(B483="UC",E483="CAP")),OR(G483="",COUNTIF('System map'!$A$4:$A$203,G483)&lt;&gt;1)),"AIR context missing / unknown",IF(AND(B483="CAP",E483="AIR",G483&lt;&gt;F483),"AIR context mismatch",IF(AND(B483="AIR",G483&lt;&gt;C483),"AIR context mismatch",IF(AND(B483="AIR",E483="AIR",C483=F483),"Self-dependency",IF(AND(B483="AIR",E483="AIR",M483&lt;&gt;"Superseded",COUNTIFS($B$4:$B$1003,"AIR",$C$4:$C$1003,F483,$E$4:$E$1003,"AIR",$F$4:$F$1003,C483,$M$4:$M$1003,"&lt;&gt;Superseded")&gt;0),"Dependency cycle (A↔B) — review",IF(AND(B483="AIR",OR(E483="MOD",E483="DATA",E483="IF",E483="AG",E483="TOOL"),IFERROR(INDEX(Components!$G$4:$G$253,MATCH(F483,Components!$A$4:$A$253,0)),"")&lt;&gt;"",IFERROR(INDEX(Components!$G$4:$G$253,MATCH(F483,Components!$A$4:$A$253,0)),"")&lt;&gt;C483),"Component owned by another AIR-ID",IF(AND(M483="Confirmed",OR(IF(B483="UC",COUNTIFS('Use cases'!$A$4:$A$253,C483,'Use cases'!$I$4:$I$253,"Confirmed",'Use cases'!$J$4:$J$253,"OK — verify source"),IF(B483="CAP",COUNTIFS(Capabilities!$A$4:$A$253,C483,Capabilities!$J$4:$J$253,"Confirmed",Capabilities!$K$4:$K$253,"OK — verify source"),IF(B483="AIR",COUNTIFS('System map'!$A$4:$A$203,C483,'System map'!$B$4:$B$203,"&lt;&gt;",'System map'!$C$4:$C$203,"&lt;&gt;",'System map'!$D$4:$D$203,"&lt;&gt;"),COUNTIFS(Components!$A$4:$A$253,C483,Components!$B$4:$B$253,B483,Components!$K$4:$K$253,"Confirmed",Components!$L$4:$L$253,"OK — verify source"))))&lt;&gt;1,IF(E483="UC",COUNTIFS('Use cases'!$A$4:$A$253,F483,'Use cases'!$I$4:$I$253,"Confirmed",'Use cases'!$J$4:$J$253,"OK — verify source"),IF(E483="CAP",COUNTIFS(Capabilities!$A$4:$A$253,F483,Capabilities!$J$4:$J$253,"Confirmed",Capabilities!$K$4:$K$253,"OK — verify source"),IF(E483="AIR",COUNTIFS('System map'!$A$4:$A$203,F483,'System map'!$B$4:$B$203,"&lt;&gt;",'System map'!$C$4:$C$203,"&lt;&gt;",'System map'!$D$4:$D$203,"&lt;&gt;"),COUNTIFS(Components!$A$4:$A$253,F483,Components!$B$4:$B$253,E483,Components!$K$4:$K$253,"Confirmed",Components!$L$4:$L$253,"OK — verify source"))))&lt;&gt;1)),"Endpoint not source-reconciled",IF(AND(M483="Confirmed",OR(L483="",K483="",K483="Unknown",K483="Low")),"Confirmed link lacks verification","OK — verify source"))))))))))))))</f>
        <v/>
      </c>
    </row>
    <row r="48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6" t="n"/>
      <c r="M484" s="25" t="n"/>
      <c r="N484" s="25">
        <f>IF(COUNTA(A484:M484)=0,"",IF(OR(A484="",B484="",C484="",D484="",E484="",F484="",I484="",J484="",K484="",M484=""),"Required link detail missing",IF(COUNTIF($A$4:$A$1003,A484)&gt;1,"Duplicate Map Edge ID",IF(NOT(OR(AND(B484="UC",E484="CAP",D484="requires"),AND(B484="CAP",E484="AIR",D484="provided by"),AND(B484="AIR",OR(E484="MOD",E484="DATA",E484="IF",E484="AG",E484="TOOL"),D484="references"),AND(B484="AIR",E484="AIR",D484="depends on"))),"Invalid relationship",IF(AND(M484&lt;&gt;"Superseded",COUNTIFS($B$4:$B$1003,B484,$C$4:$C$1003,C484,$D$4:$D$1003,D484,$E$4:$E$1003,E484,$F$4:$F$1003,F484,$G$4:$G$1003,G484,$M$4:$M$1003,"&lt;&gt;Superseded")&gt;1),"Duplicate relationship",IF(OR(IF(B484="UC",COUNTIF('Use cases'!$A$4:$A$253,C484),IF(B484="CAP",COUNTIF(Capabilities!$A$4:$A$253,C484),IF(B484="AIR",COUNTIF('System map'!$A$4:$A$203,C484),COUNTIFS(Components!$A$4:$A$253,C484,Components!$B$4:$B$253,B484))))&lt;&gt;1,IF(E484="UC",COUNTIF('Use cases'!$A$4:$A$253,F484),IF(E484="CAP",COUNTIF(Capabilities!$A$4:$A$253,F484),IF(E484="AIR",COUNTIF('System map'!$A$4:$A$203,F484),COUNTIFS(Components!$A$4:$A$253,F484,Components!$B$4:$B$253,E484))))&lt;&gt;1),"Endpoint missing or duplicated",IF(AND(NOT(AND(B484="UC",E484="CAP")),OR(G484="",COUNTIF('System map'!$A$4:$A$203,G484)&lt;&gt;1)),"AIR context missing / unknown",IF(AND(B484="CAP",E484="AIR",G484&lt;&gt;F484),"AIR context mismatch",IF(AND(B484="AIR",G484&lt;&gt;C484),"AIR context mismatch",IF(AND(B484="AIR",E484="AIR",C484=F484),"Self-dependency",IF(AND(B484="AIR",E484="AIR",M484&lt;&gt;"Superseded",COUNTIFS($B$4:$B$1003,"AIR",$C$4:$C$1003,F484,$E$4:$E$1003,"AIR",$F$4:$F$1003,C484,$M$4:$M$1003,"&lt;&gt;Superseded")&gt;0),"Dependency cycle (A↔B) — review",IF(AND(B484="AIR",OR(E484="MOD",E484="DATA",E484="IF",E484="AG",E484="TOOL"),IFERROR(INDEX(Components!$G$4:$G$253,MATCH(F484,Components!$A$4:$A$253,0)),"")&lt;&gt;"",IFERROR(INDEX(Components!$G$4:$G$253,MATCH(F484,Components!$A$4:$A$253,0)),"")&lt;&gt;C484),"Component owned by another AIR-ID",IF(AND(M484="Confirmed",OR(IF(B484="UC",COUNTIFS('Use cases'!$A$4:$A$253,C484,'Use cases'!$I$4:$I$253,"Confirmed",'Use cases'!$J$4:$J$253,"OK — verify source"),IF(B484="CAP",COUNTIFS(Capabilities!$A$4:$A$253,C484,Capabilities!$J$4:$J$253,"Confirmed",Capabilities!$K$4:$K$253,"OK — verify source"),IF(B484="AIR",COUNTIFS('System map'!$A$4:$A$203,C484,'System map'!$B$4:$B$203,"&lt;&gt;",'System map'!$C$4:$C$203,"&lt;&gt;",'System map'!$D$4:$D$203,"&lt;&gt;"),COUNTIFS(Components!$A$4:$A$253,C484,Components!$B$4:$B$253,B484,Components!$K$4:$K$253,"Confirmed",Components!$L$4:$L$253,"OK — verify source"))))&lt;&gt;1,IF(E484="UC",COUNTIFS('Use cases'!$A$4:$A$253,F484,'Use cases'!$I$4:$I$253,"Confirmed",'Use cases'!$J$4:$J$253,"OK — verify source"),IF(E484="CAP",COUNTIFS(Capabilities!$A$4:$A$253,F484,Capabilities!$J$4:$J$253,"Confirmed",Capabilities!$K$4:$K$253,"OK — verify source"),IF(E484="AIR",COUNTIFS('System map'!$A$4:$A$203,F484,'System map'!$B$4:$B$203,"&lt;&gt;",'System map'!$C$4:$C$203,"&lt;&gt;",'System map'!$D$4:$D$203,"&lt;&gt;"),COUNTIFS(Components!$A$4:$A$253,F484,Components!$B$4:$B$253,E484,Components!$K$4:$K$253,"Confirmed",Components!$L$4:$L$253,"OK — verify source"))))&lt;&gt;1)),"Endpoint not source-reconciled",IF(AND(M484="Confirmed",OR(L484="",K484="",K484="Unknown",K484="Low")),"Confirmed link lacks verification","OK — verify source"))))))))))))))</f>
        <v/>
      </c>
    </row>
    <row r="485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8" t="n"/>
      <c r="M485" s="27" t="n"/>
      <c r="N485" s="27">
        <f>IF(COUNTA(A485:M485)=0,"",IF(OR(A485="",B485="",C485="",D485="",E485="",F485="",I485="",J485="",K485="",M485=""),"Required link detail missing",IF(COUNTIF($A$4:$A$1003,A485)&gt;1,"Duplicate Map Edge ID",IF(NOT(OR(AND(B485="UC",E485="CAP",D485="requires"),AND(B485="CAP",E485="AIR",D485="provided by"),AND(B485="AIR",OR(E485="MOD",E485="DATA",E485="IF",E485="AG",E485="TOOL"),D485="references"),AND(B485="AIR",E485="AIR",D485="depends on"))),"Invalid relationship",IF(AND(M485&lt;&gt;"Superseded",COUNTIFS($B$4:$B$1003,B485,$C$4:$C$1003,C485,$D$4:$D$1003,D485,$E$4:$E$1003,E485,$F$4:$F$1003,F485,$G$4:$G$1003,G485,$M$4:$M$1003,"&lt;&gt;Superseded")&gt;1),"Duplicate relationship",IF(OR(IF(B485="UC",COUNTIF('Use cases'!$A$4:$A$253,C485),IF(B485="CAP",COUNTIF(Capabilities!$A$4:$A$253,C485),IF(B485="AIR",COUNTIF('System map'!$A$4:$A$203,C485),COUNTIFS(Components!$A$4:$A$253,C485,Components!$B$4:$B$253,B485))))&lt;&gt;1,IF(E485="UC",COUNTIF('Use cases'!$A$4:$A$253,F485),IF(E485="CAP",COUNTIF(Capabilities!$A$4:$A$253,F485),IF(E485="AIR",COUNTIF('System map'!$A$4:$A$203,F485),COUNTIFS(Components!$A$4:$A$253,F485,Components!$B$4:$B$253,E485))))&lt;&gt;1),"Endpoint missing or duplicated",IF(AND(NOT(AND(B485="UC",E485="CAP")),OR(G485="",COUNTIF('System map'!$A$4:$A$203,G485)&lt;&gt;1)),"AIR context missing / unknown",IF(AND(B485="CAP",E485="AIR",G485&lt;&gt;F485),"AIR context mismatch",IF(AND(B485="AIR",G485&lt;&gt;C485),"AIR context mismatch",IF(AND(B485="AIR",E485="AIR",C485=F485),"Self-dependency",IF(AND(B485="AIR",E485="AIR",M485&lt;&gt;"Superseded",COUNTIFS($B$4:$B$1003,"AIR",$C$4:$C$1003,F485,$E$4:$E$1003,"AIR",$F$4:$F$1003,C485,$M$4:$M$1003,"&lt;&gt;Superseded")&gt;0),"Dependency cycle (A↔B) — review",IF(AND(B485="AIR",OR(E485="MOD",E485="DATA",E485="IF",E485="AG",E485="TOOL"),IFERROR(INDEX(Components!$G$4:$G$253,MATCH(F485,Components!$A$4:$A$253,0)),"")&lt;&gt;"",IFERROR(INDEX(Components!$G$4:$G$253,MATCH(F485,Components!$A$4:$A$253,0)),"")&lt;&gt;C485),"Component owned by another AIR-ID",IF(AND(M485="Confirmed",OR(IF(B485="UC",COUNTIFS('Use cases'!$A$4:$A$253,C485,'Use cases'!$I$4:$I$253,"Confirmed",'Use cases'!$J$4:$J$253,"OK — verify source"),IF(B485="CAP",COUNTIFS(Capabilities!$A$4:$A$253,C485,Capabilities!$J$4:$J$253,"Confirmed",Capabilities!$K$4:$K$253,"OK — verify source"),IF(B485="AIR",COUNTIFS('System map'!$A$4:$A$203,C485,'System map'!$B$4:$B$203,"&lt;&gt;",'System map'!$C$4:$C$203,"&lt;&gt;",'System map'!$D$4:$D$203,"&lt;&gt;"),COUNTIFS(Components!$A$4:$A$253,C485,Components!$B$4:$B$253,B485,Components!$K$4:$K$253,"Confirmed",Components!$L$4:$L$253,"OK — verify source"))))&lt;&gt;1,IF(E485="UC",COUNTIFS('Use cases'!$A$4:$A$253,F485,'Use cases'!$I$4:$I$253,"Confirmed",'Use cases'!$J$4:$J$253,"OK — verify source"),IF(E485="CAP",COUNTIFS(Capabilities!$A$4:$A$253,F485,Capabilities!$J$4:$J$253,"Confirmed",Capabilities!$K$4:$K$253,"OK — verify source"),IF(E485="AIR",COUNTIFS('System map'!$A$4:$A$203,F485,'System map'!$B$4:$B$203,"&lt;&gt;",'System map'!$C$4:$C$203,"&lt;&gt;",'System map'!$D$4:$D$203,"&lt;&gt;"),COUNTIFS(Components!$A$4:$A$253,F485,Components!$B$4:$B$253,E485,Components!$K$4:$K$253,"Confirmed",Components!$L$4:$L$253,"OK — verify source"))))&lt;&gt;1)),"Endpoint not source-reconciled",IF(AND(M485="Confirmed",OR(L485="",K485="",K485="Unknown",K485="Low")),"Confirmed link lacks verification","OK — verify source"))))))))))))))</f>
        <v/>
      </c>
    </row>
    <row r="486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6" t="n"/>
      <c r="M486" s="25" t="n"/>
      <c r="N486" s="25">
        <f>IF(COUNTA(A486:M486)=0,"",IF(OR(A486="",B486="",C486="",D486="",E486="",F486="",I486="",J486="",K486="",M486=""),"Required link detail missing",IF(COUNTIF($A$4:$A$1003,A486)&gt;1,"Duplicate Map Edge ID",IF(NOT(OR(AND(B486="UC",E486="CAP",D486="requires"),AND(B486="CAP",E486="AIR",D486="provided by"),AND(B486="AIR",OR(E486="MOD",E486="DATA",E486="IF",E486="AG",E486="TOOL"),D486="references"),AND(B486="AIR",E486="AIR",D486="depends on"))),"Invalid relationship",IF(AND(M486&lt;&gt;"Superseded",COUNTIFS($B$4:$B$1003,B486,$C$4:$C$1003,C486,$D$4:$D$1003,D486,$E$4:$E$1003,E486,$F$4:$F$1003,F486,$G$4:$G$1003,G486,$M$4:$M$1003,"&lt;&gt;Superseded")&gt;1),"Duplicate relationship",IF(OR(IF(B486="UC",COUNTIF('Use cases'!$A$4:$A$253,C486),IF(B486="CAP",COUNTIF(Capabilities!$A$4:$A$253,C486),IF(B486="AIR",COUNTIF('System map'!$A$4:$A$203,C486),COUNTIFS(Components!$A$4:$A$253,C486,Components!$B$4:$B$253,B486))))&lt;&gt;1,IF(E486="UC",COUNTIF('Use cases'!$A$4:$A$253,F486),IF(E486="CAP",COUNTIF(Capabilities!$A$4:$A$253,F486),IF(E486="AIR",COUNTIF('System map'!$A$4:$A$203,F486),COUNTIFS(Components!$A$4:$A$253,F486,Components!$B$4:$B$253,E486))))&lt;&gt;1),"Endpoint missing or duplicated",IF(AND(NOT(AND(B486="UC",E486="CAP")),OR(G486="",COUNTIF('System map'!$A$4:$A$203,G486)&lt;&gt;1)),"AIR context missing / unknown",IF(AND(B486="CAP",E486="AIR",G486&lt;&gt;F486),"AIR context mismatch",IF(AND(B486="AIR",G486&lt;&gt;C486),"AIR context mismatch",IF(AND(B486="AIR",E486="AIR",C486=F486),"Self-dependency",IF(AND(B486="AIR",E486="AIR",M486&lt;&gt;"Superseded",COUNTIFS($B$4:$B$1003,"AIR",$C$4:$C$1003,F486,$E$4:$E$1003,"AIR",$F$4:$F$1003,C486,$M$4:$M$1003,"&lt;&gt;Superseded")&gt;0),"Dependency cycle (A↔B) — review",IF(AND(B486="AIR",OR(E486="MOD",E486="DATA",E486="IF",E486="AG",E486="TOOL"),IFERROR(INDEX(Components!$G$4:$G$253,MATCH(F486,Components!$A$4:$A$253,0)),"")&lt;&gt;"",IFERROR(INDEX(Components!$G$4:$G$253,MATCH(F486,Components!$A$4:$A$253,0)),"")&lt;&gt;C486),"Component owned by another AIR-ID",IF(AND(M486="Confirmed",OR(IF(B486="UC",COUNTIFS('Use cases'!$A$4:$A$253,C486,'Use cases'!$I$4:$I$253,"Confirmed",'Use cases'!$J$4:$J$253,"OK — verify source"),IF(B486="CAP",COUNTIFS(Capabilities!$A$4:$A$253,C486,Capabilities!$J$4:$J$253,"Confirmed",Capabilities!$K$4:$K$253,"OK — verify source"),IF(B486="AIR",COUNTIFS('System map'!$A$4:$A$203,C486,'System map'!$B$4:$B$203,"&lt;&gt;",'System map'!$C$4:$C$203,"&lt;&gt;",'System map'!$D$4:$D$203,"&lt;&gt;"),COUNTIFS(Components!$A$4:$A$253,C486,Components!$B$4:$B$253,B486,Components!$K$4:$K$253,"Confirmed",Components!$L$4:$L$253,"OK — verify source"))))&lt;&gt;1,IF(E486="UC",COUNTIFS('Use cases'!$A$4:$A$253,F486,'Use cases'!$I$4:$I$253,"Confirmed",'Use cases'!$J$4:$J$253,"OK — verify source"),IF(E486="CAP",COUNTIFS(Capabilities!$A$4:$A$253,F486,Capabilities!$J$4:$J$253,"Confirmed",Capabilities!$K$4:$K$253,"OK — verify source"),IF(E486="AIR",COUNTIFS('System map'!$A$4:$A$203,F486,'System map'!$B$4:$B$203,"&lt;&gt;",'System map'!$C$4:$C$203,"&lt;&gt;",'System map'!$D$4:$D$203,"&lt;&gt;"),COUNTIFS(Components!$A$4:$A$253,F486,Components!$B$4:$B$253,E486,Components!$K$4:$K$253,"Confirmed",Components!$L$4:$L$253,"OK — verify source"))))&lt;&gt;1)),"Endpoint not source-reconciled",IF(AND(M486="Confirmed",OR(L486="",K486="",K486="Unknown",K486="Low")),"Confirmed link lacks verification","OK — verify source"))))))))))))))</f>
        <v/>
      </c>
    </row>
    <row r="487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8" t="n"/>
      <c r="M487" s="27" t="n"/>
      <c r="N487" s="27">
        <f>IF(COUNTA(A487:M487)=0,"",IF(OR(A487="",B487="",C487="",D487="",E487="",F487="",I487="",J487="",K487="",M487=""),"Required link detail missing",IF(COUNTIF($A$4:$A$1003,A487)&gt;1,"Duplicate Map Edge ID",IF(NOT(OR(AND(B487="UC",E487="CAP",D487="requires"),AND(B487="CAP",E487="AIR",D487="provided by"),AND(B487="AIR",OR(E487="MOD",E487="DATA",E487="IF",E487="AG",E487="TOOL"),D487="references"),AND(B487="AIR",E487="AIR",D487="depends on"))),"Invalid relationship",IF(AND(M487&lt;&gt;"Superseded",COUNTIFS($B$4:$B$1003,B487,$C$4:$C$1003,C487,$D$4:$D$1003,D487,$E$4:$E$1003,E487,$F$4:$F$1003,F487,$G$4:$G$1003,G487,$M$4:$M$1003,"&lt;&gt;Superseded")&gt;1),"Duplicate relationship",IF(OR(IF(B487="UC",COUNTIF('Use cases'!$A$4:$A$253,C487),IF(B487="CAP",COUNTIF(Capabilities!$A$4:$A$253,C487),IF(B487="AIR",COUNTIF('System map'!$A$4:$A$203,C487),COUNTIFS(Components!$A$4:$A$253,C487,Components!$B$4:$B$253,B487))))&lt;&gt;1,IF(E487="UC",COUNTIF('Use cases'!$A$4:$A$253,F487),IF(E487="CAP",COUNTIF(Capabilities!$A$4:$A$253,F487),IF(E487="AIR",COUNTIF('System map'!$A$4:$A$203,F487),COUNTIFS(Components!$A$4:$A$253,F487,Components!$B$4:$B$253,E487))))&lt;&gt;1),"Endpoint missing or duplicated",IF(AND(NOT(AND(B487="UC",E487="CAP")),OR(G487="",COUNTIF('System map'!$A$4:$A$203,G487)&lt;&gt;1)),"AIR context missing / unknown",IF(AND(B487="CAP",E487="AIR",G487&lt;&gt;F487),"AIR context mismatch",IF(AND(B487="AIR",G487&lt;&gt;C487),"AIR context mismatch",IF(AND(B487="AIR",E487="AIR",C487=F487),"Self-dependency",IF(AND(B487="AIR",E487="AIR",M487&lt;&gt;"Superseded",COUNTIFS($B$4:$B$1003,"AIR",$C$4:$C$1003,F487,$E$4:$E$1003,"AIR",$F$4:$F$1003,C487,$M$4:$M$1003,"&lt;&gt;Superseded")&gt;0),"Dependency cycle (A↔B) — review",IF(AND(B487="AIR",OR(E487="MOD",E487="DATA",E487="IF",E487="AG",E487="TOOL"),IFERROR(INDEX(Components!$G$4:$G$253,MATCH(F487,Components!$A$4:$A$253,0)),"")&lt;&gt;"",IFERROR(INDEX(Components!$G$4:$G$253,MATCH(F487,Components!$A$4:$A$253,0)),"")&lt;&gt;C487),"Component owned by another AIR-ID",IF(AND(M487="Confirmed",OR(IF(B487="UC",COUNTIFS('Use cases'!$A$4:$A$253,C487,'Use cases'!$I$4:$I$253,"Confirmed",'Use cases'!$J$4:$J$253,"OK — verify source"),IF(B487="CAP",COUNTIFS(Capabilities!$A$4:$A$253,C487,Capabilities!$J$4:$J$253,"Confirmed",Capabilities!$K$4:$K$253,"OK — verify source"),IF(B487="AIR",COUNTIFS('System map'!$A$4:$A$203,C487,'System map'!$B$4:$B$203,"&lt;&gt;",'System map'!$C$4:$C$203,"&lt;&gt;",'System map'!$D$4:$D$203,"&lt;&gt;"),COUNTIFS(Components!$A$4:$A$253,C487,Components!$B$4:$B$253,B487,Components!$K$4:$K$253,"Confirmed",Components!$L$4:$L$253,"OK — verify source"))))&lt;&gt;1,IF(E487="UC",COUNTIFS('Use cases'!$A$4:$A$253,F487,'Use cases'!$I$4:$I$253,"Confirmed",'Use cases'!$J$4:$J$253,"OK — verify source"),IF(E487="CAP",COUNTIFS(Capabilities!$A$4:$A$253,F487,Capabilities!$J$4:$J$253,"Confirmed",Capabilities!$K$4:$K$253,"OK — verify source"),IF(E487="AIR",COUNTIFS('System map'!$A$4:$A$203,F487,'System map'!$B$4:$B$203,"&lt;&gt;",'System map'!$C$4:$C$203,"&lt;&gt;",'System map'!$D$4:$D$203,"&lt;&gt;"),COUNTIFS(Components!$A$4:$A$253,F487,Components!$B$4:$B$253,E487,Components!$K$4:$K$253,"Confirmed",Components!$L$4:$L$253,"OK — verify source"))))&lt;&gt;1)),"Endpoint not source-reconciled",IF(AND(M487="Confirmed",OR(L487="",K487="",K487="Unknown",K487="Low")),"Confirmed link lacks verification","OK — verify source"))))))))))))))</f>
        <v/>
      </c>
    </row>
    <row r="488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6" t="n"/>
      <c r="M488" s="25" t="n"/>
      <c r="N488" s="25">
        <f>IF(COUNTA(A488:M488)=0,"",IF(OR(A488="",B488="",C488="",D488="",E488="",F488="",I488="",J488="",K488="",M488=""),"Required link detail missing",IF(COUNTIF($A$4:$A$1003,A488)&gt;1,"Duplicate Map Edge ID",IF(NOT(OR(AND(B488="UC",E488="CAP",D488="requires"),AND(B488="CAP",E488="AIR",D488="provided by"),AND(B488="AIR",OR(E488="MOD",E488="DATA",E488="IF",E488="AG",E488="TOOL"),D488="references"),AND(B488="AIR",E488="AIR",D488="depends on"))),"Invalid relationship",IF(AND(M488&lt;&gt;"Superseded",COUNTIFS($B$4:$B$1003,B488,$C$4:$C$1003,C488,$D$4:$D$1003,D488,$E$4:$E$1003,E488,$F$4:$F$1003,F488,$G$4:$G$1003,G488,$M$4:$M$1003,"&lt;&gt;Superseded")&gt;1),"Duplicate relationship",IF(OR(IF(B488="UC",COUNTIF('Use cases'!$A$4:$A$253,C488),IF(B488="CAP",COUNTIF(Capabilities!$A$4:$A$253,C488),IF(B488="AIR",COUNTIF('System map'!$A$4:$A$203,C488),COUNTIFS(Components!$A$4:$A$253,C488,Components!$B$4:$B$253,B488))))&lt;&gt;1,IF(E488="UC",COUNTIF('Use cases'!$A$4:$A$253,F488),IF(E488="CAP",COUNTIF(Capabilities!$A$4:$A$253,F488),IF(E488="AIR",COUNTIF('System map'!$A$4:$A$203,F488),COUNTIFS(Components!$A$4:$A$253,F488,Components!$B$4:$B$253,E488))))&lt;&gt;1),"Endpoint missing or duplicated",IF(AND(NOT(AND(B488="UC",E488="CAP")),OR(G488="",COUNTIF('System map'!$A$4:$A$203,G488)&lt;&gt;1)),"AIR context missing / unknown",IF(AND(B488="CAP",E488="AIR",G488&lt;&gt;F488),"AIR context mismatch",IF(AND(B488="AIR",G488&lt;&gt;C488),"AIR context mismatch",IF(AND(B488="AIR",E488="AIR",C488=F488),"Self-dependency",IF(AND(B488="AIR",E488="AIR",M488&lt;&gt;"Superseded",COUNTIFS($B$4:$B$1003,"AIR",$C$4:$C$1003,F488,$E$4:$E$1003,"AIR",$F$4:$F$1003,C488,$M$4:$M$1003,"&lt;&gt;Superseded")&gt;0),"Dependency cycle (A↔B) — review",IF(AND(B488="AIR",OR(E488="MOD",E488="DATA",E488="IF",E488="AG",E488="TOOL"),IFERROR(INDEX(Components!$G$4:$G$253,MATCH(F488,Components!$A$4:$A$253,0)),"")&lt;&gt;"",IFERROR(INDEX(Components!$G$4:$G$253,MATCH(F488,Components!$A$4:$A$253,0)),"")&lt;&gt;C488),"Component owned by another AIR-ID",IF(AND(M488="Confirmed",OR(IF(B488="UC",COUNTIFS('Use cases'!$A$4:$A$253,C488,'Use cases'!$I$4:$I$253,"Confirmed",'Use cases'!$J$4:$J$253,"OK — verify source"),IF(B488="CAP",COUNTIFS(Capabilities!$A$4:$A$253,C488,Capabilities!$J$4:$J$253,"Confirmed",Capabilities!$K$4:$K$253,"OK — verify source"),IF(B488="AIR",COUNTIFS('System map'!$A$4:$A$203,C488,'System map'!$B$4:$B$203,"&lt;&gt;",'System map'!$C$4:$C$203,"&lt;&gt;",'System map'!$D$4:$D$203,"&lt;&gt;"),COUNTIFS(Components!$A$4:$A$253,C488,Components!$B$4:$B$253,B488,Components!$K$4:$K$253,"Confirmed",Components!$L$4:$L$253,"OK — verify source"))))&lt;&gt;1,IF(E488="UC",COUNTIFS('Use cases'!$A$4:$A$253,F488,'Use cases'!$I$4:$I$253,"Confirmed",'Use cases'!$J$4:$J$253,"OK — verify source"),IF(E488="CAP",COUNTIFS(Capabilities!$A$4:$A$253,F488,Capabilities!$J$4:$J$253,"Confirmed",Capabilities!$K$4:$K$253,"OK — verify source"),IF(E488="AIR",COUNTIFS('System map'!$A$4:$A$203,F488,'System map'!$B$4:$B$203,"&lt;&gt;",'System map'!$C$4:$C$203,"&lt;&gt;",'System map'!$D$4:$D$203,"&lt;&gt;"),COUNTIFS(Components!$A$4:$A$253,F488,Components!$B$4:$B$253,E488,Components!$K$4:$K$253,"Confirmed",Components!$L$4:$L$253,"OK — verify source"))))&lt;&gt;1)),"Endpoint not source-reconciled",IF(AND(M488="Confirmed",OR(L488="",K488="",K488="Unknown",K488="Low")),"Confirmed link lacks verification","OK — verify source"))))))))))))))</f>
        <v/>
      </c>
    </row>
    <row r="489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8" t="n"/>
      <c r="M489" s="27" t="n"/>
      <c r="N489" s="27">
        <f>IF(COUNTA(A489:M489)=0,"",IF(OR(A489="",B489="",C489="",D489="",E489="",F489="",I489="",J489="",K489="",M489=""),"Required link detail missing",IF(COUNTIF($A$4:$A$1003,A489)&gt;1,"Duplicate Map Edge ID",IF(NOT(OR(AND(B489="UC",E489="CAP",D489="requires"),AND(B489="CAP",E489="AIR",D489="provided by"),AND(B489="AIR",OR(E489="MOD",E489="DATA",E489="IF",E489="AG",E489="TOOL"),D489="references"),AND(B489="AIR",E489="AIR",D489="depends on"))),"Invalid relationship",IF(AND(M489&lt;&gt;"Superseded",COUNTIFS($B$4:$B$1003,B489,$C$4:$C$1003,C489,$D$4:$D$1003,D489,$E$4:$E$1003,E489,$F$4:$F$1003,F489,$G$4:$G$1003,G489,$M$4:$M$1003,"&lt;&gt;Superseded")&gt;1),"Duplicate relationship",IF(OR(IF(B489="UC",COUNTIF('Use cases'!$A$4:$A$253,C489),IF(B489="CAP",COUNTIF(Capabilities!$A$4:$A$253,C489),IF(B489="AIR",COUNTIF('System map'!$A$4:$A$203,C489),COUNTIFS(Components!$A$4:$A$253,C489,Components!$B$4:$B$253,B489))))&lt;&gt;1,IF(E489="UC",COUNTIF('Use cases'!$A$4:$A$253,F489),IF(E489="CAP",COUNTIF(Capabilities!$A$4:$A$253,F489),IF(E489="AIR",COUNTIF('System map'!$A$4:$A$203,F489),COUNTIFS(Components!$A$4:$A$253,F489,Components!$B$4:$B$253,E489))))&lt;&gt;1),"Endpoint missing or duplicated",IF(AND(NOT(AND(B489="UC",E489="CAP")),OR(G489="",COUNTIF('System map'!$A$4:$A$203,G489)&lt;&gt;1)),"AIR context missing / unknown",IF(AND(B489="CAP",E489="AIR",G489&lt;&gt;F489),"AIR context mismatch",IF(AND(B489="AIR",G489&lt;&gt;C489),"AIR context mismatch",IF(AND(B489="AIR",E489="AIR",C489=F489),"Self-dependency",IF(AND(B489="AIR",E489="AIR",M489&lt;&gt;"Superseded",COUNTIFS($B$4:$B$1003,"AIR",$C$4:$C$1003,F489,$E$4:$E$1003,"AIR",$F$4:$F$1003,C489,$M$4:$M$1003,"&lt;&gt;Superseded")&gt;0),"Dependency cycle (A↔B) — review",IF(AND(B489="AIR",OR(E489="MOD",E489="DATA",E489="IF",E489="AG",E489="TOOL"),IFERROR(INDEX(Components!$G$4:$G$253,MATCH(F489,Components!$A$4:$A$253,0)),"")&lt;&gt;"",IFERROR(INDEX(Components!$G$4:$G$253,MATCH(F489,Components!$A$4:$A$253,0)),"")&lt;&gt;C489),"Component owned by another AIR-ID",IF(AND(M489="Confirmed",OR(IF(B489="UC",COUNTIFS('Use cases'!$A$4:$A$253,C489,'Use cases'!$I$4:$I$253,"Confirmed",'Use cases'!$J$4:$J$253,"OK — verify source"),IF(B489="CAP",COUNTIFS(Capabilities!$A$4:$A$253,C489,Capabilities!$J$4:$J$253,"Confirmed",Capabilities!$K$4:$K$253,"OK — verify source"),IF(B489="AIR",COUNTIFS('System map'!$A$4:$A$203,C489,'System map'!$B$4:$B$203,"&lt;&gt;",'System map'!$C$4:$C$203,"&lt;&gt;",'System map'!$D$4:$D$203,"&lt;&gt;"),COUNTIFS(Components!$A$4:$A$253,C489,Components!$B$4:$B$253,B489,Components!$K$4:$K$253,"Confirmed",Components!$L$4:$L$253,"OK — verify source"))))&lt;&gt;1,IF(E489="UC",COUNTIFS('Use cases'!$A$4:$A$253,F489,'Use cases'!$I$4:$I$253,"Confirmed",'Use cases'!$J$4:$J$253,"OK — verify source"),IF(E489="CAP",COUNTIFS(Capabilities!$A$4:$A$253,F489,Capabilities!$J$4:$J$253,"Confirmed",Capabilities!$K$4:$K$253,"OK — verify source"),IF(E489="AIR",COUNTIFS('System map'!$A$4:$A$203,F489,'System map'!$B$4:$B$203,"&lt;&gt;",'System map'!$C$4:$C$203,"&lt;&gt;",'System map'!$D$4:$D$203,"&lt;&gt;"),COUNTIFS(Components!$A$4:$A$253,F489,Components!$B$4:$B$253,E489,Components!$K$4:$K$253,"Confirmed",Components!$L$4:$L$253,"OK — verify source"))))&lt;&gt;1)),"Endpoint not source-reconciled",IF(AND(M489="Confirmed",OR(L489="",K489="",K489="Unknown",K489="Low")),"Confirmed link lacks verification","OK — verify source"))))))))))))))</f>
        <v/>
      </c>
    </row>
    <row r="490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6" t="n"/>
      <c r="M490" s="25" t="n"/>
      <c r="N490" s="25">
        <f>IF(COUNTA(A490:M490)=0,"",IF(OR(A490="",B490="",C490="",D490="",E490="",F490="",I490="",J490="",K490="",M490=""),"Required link detail missing",IF(COUNTIF($A$4:$A$1003,A490)&gt;1,"Duplicate Map Edge ID",IF(NOT(OR(AND(B490="UC",E490="CAP",D490="requires"),AND(B490="CAP",E490="AIR",D490="provided by"),AND(B490="AIR",OR(E490="MOD",E490="DATA",E490="IF",E490="AG",E490="TOOL"),D490="references"),AND(B490="AIR",E490="AIR",D490="depends on"))),"Invalid relationship",IF(AND(M490&lt;&gt;"Superseded",COUNTIFS($B$4:$B$1003,B490,$C$4:$C$1003,C490,$D$4:$D$1003,D490,$E$4:$E$1003,E490,$F$4:$F$1003,F490,$G$4:$G$1003,G490,$M$4:$M$1003,"&lt;&gt;Superseded")&gt;1),"Duplicate relationship",IF(OR(IF(B490="UC",COUNTIF('Use cases'!$A$4:$A$253,C490),IF(B490="CAP",COUNTIF(Capabilities!$A$4:$A$253,C490),IF(B490="AIR",COUNTIF('System map'!$A$4:$A$203,C490),COUNTIFS(Components!$A$4:$A$253,C490,Components!$B$4:$B$253,B490))))&lt;&gt;1,IF(E490="UC",COUNTIF('Use cases'!$A$4:$A$253,F490),IF(E490="CAP",COUNTIF(Capabilities!$A$4:$A$253,F490),IF(E490="AIR",COUNTIF('System map'!$A$4:$A$203,F490),COUNTIFS(Components!$A$4:$A$253,F490,Components!$B$4:$B$253,E490))))&lt;&gt;1),"Endpoint missing or duplicated",IF(AND(NOT(AND(B490="UC",E490="CAP")),OR(G490="",COUNTIF('System map'!$A$4:$A$203,G490)&lt;&gt;1)),"AIR context missing / unknown",IF(AND(B490="CAP",E490="AIR",G490&lt;&gt;F490),"AIR context mismatch",IF(AND(B490="AIR",G490&lt;&gt;C490),"AIR context mismatch",IF(AND(B490="AIR",E490="AIR",C490=F490),"Self-dependency",IF(AND(B490="AIR",E490="AIR",M490&lt;&gt;"Superseded",COUNTIFS($B$4:$B$1003,"AIR",$C$4:$C$1003,F490,$E$4:$E$1003,"AIR",$F$4:$F$1003,C490,$M$4:$M$1003,"&lt;&gt;Superseded")&gt;0),"Dependency cycle (A↔B) — review",IF(AND(B490="AIR",OR(E490="MOD",E490="DATA",E490="IF",E490="AG",E490="TOOL"),IFERROR(INDEX(Components!$G$4:$G$253,MATCH(F490,Components!$A$4:$A$253,0)),"")&lt;&gt;"",IFERROR(INDEX(Components!$G$4:$G$253,MATCH(F490,Components!$A$4:$A$253,0)),"")&lt;&gt;C490),"Component owned by another AIR-ID",IF(AND(M490="Confirmed",OR(IF(B490="UC",COUNTIFS('Use cases'!$A$4:$A$253,C490,'Use cases'!$I$4:$I$253,"Confirmed",'Use cases'!$J$4:$J$253,"OK — verify source"),IF(B490="CAP",COUNTIFS(Capabilities!$A$4:$A$253,C490,Capabilities!$J$4:$J$253,"Confirmed",Capabilities!$K$4:$K$253,"OK — verify source"),IF(B490="AIR",COUNTIFS('System map'!$A$4:$A$203,C490,'System map'!$B$4:$B$203,"&lt;&gt;",'System map'!$C$4:$C$203,"&lt;&gt;",'System map'!$D$4:$D$203,"&lt;&gt;"),COUNTIFS(Components!$A$4:$A$253,C490,Components!$B$4:$B$253,B490,Components!$K$4:$K$253,"Confirmed",Components!$L$4:$L$253,"OK — verify source"))))&lt;&gt;1,IF(E490="UC",COUNTIFS('Use cases'!$A$4:$A$253,F490,'Use cases'!$I$4:$I$253,"Confirmed",'Use cases'!$J$4:$J$253,"OK — verify source"),IF(E490="CAP",COUNTIFS(Capabilities!$A$4:$A$253,F490,Capabilities!$J$4:$J$253,"Confirmed",Capabilities!$K$4:$K$253,"OK — verify source"),IF(E490="AIR",COUNTIFS('System map'!$A$4:$A$203,F490,'System map'!$B$4:$B$203,"&lt;&gt;",'System map'!$C$4:$C$203,"&lt;&gt;",'System map'!$D$4:$D$203,"&lt;&gt;"),COUNTIFS(Components!$A$4:$A$253,F490,Components!$B$4:$B$253,E490,Components!$K$4:$K$253,"Confirmed",Components!$L$4:$L$253,"OK — verify source"))))&lt;&gt;1)),"Endpoint not source-reconciled",IF(AND(M490="Confirmed",OR(L490="",K490="",K490="Unknown",K490="Low")),"Confirmed link lacks verification","OK — verify source"))))))))))))))</f>
        <v/>
      </c>
    </row>
    <row r="491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8" t="n"/>
      <c r="M491" s="27" t="n"/>
      <c r="N491" s="27">
        <f>IF(COUNTA(A491:M491)=0,"",IF(OR(A491="",B491="",C491="",D491="",E491="",F491="",I491="",J491="",K491="",M491=""),"Required link detail missing",IF(COUNTIF($A$4:$A$1003,A491)&gt;1,"Duplicate Map Edge ID",IF(NOT(OR(AND(B491="UC",E491="CAP",D491="requires"),AND(B491="CAP",E491="AIR",D491="provided by"),AND(B491="AIR",OR(E491="MOD",E491="DATA",E491="IF",E491="AG",E491="TOOL"),D491="references"),AND(B491="AIR",E491="AIR",D491="depends on"))),"Invalid relationship",IF(AND(M491&lt;&gt;"Superseded",COUNTIFS($B$4:$B$1003,B491,$C$4:$C$1003,C491,$D$4:$D$1003,D491,$E$4:$E$1003,E491,$F$4:$F$1003,F491,$G$4:$G$1003,G491,$M$4:$M$1003,"&lt;&gt;Superseded")&gt;1),"Duplicate relationship",IF(OR(IF(B491="UC",COUNTIF('Use cases'!$A$4:$A$253,C491),IF(B491="CAP",COUNTIF(Capabilities!$A$4:$A$253,C491),IF(B491="AIR",COUNTIF('System map'!$A$4:$A$203,C491),COUNTIFS(Components!$A$4:$A$253,C491,Components!$B$4:$B$253,B491))))&lt;&gt;1,IF(E491="UC",COUNTIF('Use cases'!$A$4:$A$253,F491),IF(E491="CAP",COUNTIF(Capabilities!$A$4:$A$253,F491),IF(E491="AIR",COUNTIF('System map'!$A$4:$A$203,F491),COUNTIFS(Components!$A$4:$A$253,F491,Components!$B$4:$B$253,E491))))&lt;&gt;1),"Endpoint missing or duplicated",IF(AND(NOT(AND(B491="UC",E491="CAP")),OR(G491="",COUNTIF('System map'!$A$4:$A$203,G491)&lt;&gt;1)),"AIR context missing / unknown",IF(AND(B491="CAP",E491="AIR",G491&lt;&gt;F491),"AIR context mismatch",IF(AND(B491="AIR",G491&lt;&gt;C491),"AIR context mismatch",IF(AND(B491="AIR",E491="AIR",C491=F491),"Self-dependency",IF(AND(B491="AIR",E491="AIR",M491&lt;&gt;"Superseded",COUNTIFS($B$4:$B$1003,"AIR",$C$4:$C$1003,F491,$E$4:$E$1003,"AIR",$F$4:$F$1003,C491,$M$4:$M$1003,"&lt;&gt;Superseded")&gt;0),"Dependency cycle (A↔B) — review",IF(AND(B491="AIR",OR(E491="MOD",E491="DATA",E491="IF",E491="AG",E491="TOOL"),IFERROR(INDEX(Components!$G$4:$G$253,MATCH(F491,Components!$A$4:$A$253,0)),"")&lt;&gt;"",IFERROR(INDEX(Components!$G$4:$G$253,MATCH(F491,Components!$A$4:$A$253,0)),"")&lt;&gt;C491),"Component owned by another AIR-ID",IF(AND(M491="Confirmed",OR(IF(B491="UC",COUNTIFS('Use cases'!$A$4:$A$253,C491,'Use cases'!$I$4:$I$253,"Confirmed",'Use cases'!$J$4:$J$253,"OK — verify source"),IF(B491="CAP",COUNTIFS(Capabilities!$A$4:$A$253,C491,Capabilities!$J$4:$J$253,"Confirmed",Capabilities!$K$4:$K$253,"OK — verify source"),IF(B491="AIR",COUNTIFS('System map'!$A$4:$A$203,C491,'System map'!$B$4:$B$203,"&lt;&gt;",'System map'!$C$4:$C$203,"&lt;&gt;",'System map'!$D$4:$D$203,"&lt;&gt;"),COUNTIFS(Components!$A$4:$A$253,C491,Components!$B$4:$B$253,B491,Components!$K$4:$K$253,"Confirmed",Components!$L$4:$L$253,"OK — verify source"))))&lt;&gt;1,IF(E491="UC",COUNTIFS('Use cases'!$A$4:$A$253,F491,'Use cases'!$I$4:$I$253,"Confirmed",'Use cases'!$J$4:$J$253,"OK — verify source"),IF(E491="CAP",COUNTIFS(Capabilities!$A$4:$A$253,F491,Capabilities!$J$4:$J$253,"Confirmed",Capabilities!$K$4:$K$253,"OK — verify source"),IF(E491="AIR",COUNTIFS('System map'!$A$4:$A$203,F491,'System map'!$B$4:$B$203,"&lt;&gt;",'System map'!$C$4:$C$203,"&lt;&gt;",'System map'!$D$4:$D$203,"&lt;&gt;"),COUNTIFS(Components!$A$4:$A$253,F491,Components!$B$4:$B$253,E491,Components!$K$4:$K$253,"Confirmed",Components!$L$4:$L$253,"OK — verify source"))))&lt;&gt;1)),"Endpoint not source-reconciled",IF(AND(M491="Confirmed",OR(L491="",K491="",K491="Unknown",K491="Low")),"Confirmed link lacks verification","OK — verify source"))))))))))))))</f>
        <v/>
      </c>
    </row>
    <row r="492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6" t="n"/>
      <c r="M492" s="25" t="n"/>
      <c r="N492" s="25">
        <f>IF(COUNTA(A492:M492)=0,"",IF(OR(A492="",B492="",C492="",D492="",E492="",F492="",I492="",J492="",K492="",M492=""),"Required link detail missing",IF(COUNTIF($A$4:$A$1003,A492)&gt;1,"Duplicate Map Edge ID",IF(NOT(OR(AND(B492="UC",E492="CAP",D492="requires"),AND(B492="CAP",E492="AIR",D492="provided by"),AND(B492="AIR",OR(E492="MOD",E492="DATA",E492="IF",E492="AG",E492="TOOL"),D492="references"),AND(B492="AIR",E492="AIR",D492="depends on"))),"Invalid relationship",IF(AND(M492&lt;&gt;"Superseded",COUNTIFS($B$4:$B$1003,B492,$C$4:$C$1003,C492,$D$4:$D$1003,D492,$E$4:$E$1003,E492,$F$4:$F$1003,F492,$G$4:$G$1003,G492,$M$4:$M$1003,"&lt;&gt;Superseded")&gt;1),"Duplicate relationship",IF(OR(IF(B492="UC",COUNTIF('Use cases'!$A$4:$A$253,C492),IF(B492="CAP",COUNTIF(Capabilities!$A$4:$A$253,C492),IF(B492="AIR",COUNTIF('System map'!$A$4:$A$203,C492),COUNTIFS(Components!$A$4:$A$253,C492,Components!$B$4:$B$253,B492))))&lt;&gt;1,IF(E492="UC",COUNTIF('Use cases'!$A$4:$A$253,F492),IF(E492="CAP",COUNTIF(Capabilities!$A$4:$A$253,F492),IF(E492="AIR",COUNTIF('System map'!$A$4:$A$203,F492),COUNTIFS(Components!$A$4:$A$253,F492,Components!$B$4:$B$253,E492))))&lt;&gt;1),"Endpoint missing or duplicated",IF(AND(NOT(AND(B492="UC",E492="CAP")),OR(G492="",COUNTIF('System map'!$A$4:$A$203,G492)&lt;&gt;1)),"AIR context missing / unknown",IF(AND(B492="CAP",E492="AIR",G492&lt;&gt;F492),"AIR context mismatch",IF(AND(B492="AIR",G492&lt;&gt;C492),"AIR context mismatch",IF(AND(B492="AIR",E492="AIR",C492=F492),"Self-dependency",IF(AND(B492="AIR",E492="AIR",M492&lt;&gt;"Superseded",COUNTIFS($B$4:$B$1003,"AIR",$C$4:$C$1003,F492,$E$4:$E$1003,"AIR",$F$4:$F$1003,C492,$M$4:$M$1003,"&lt;&gt;Superseded")&gt;0),"Dependency cycle (A↔B) — review",IF(AND(B492="AIR",OR(E492="MOD",E492="DATA",E492="IF",E492="AG",E492="TOOL"),IFERROR(INDEX(Components!$G$4:$G$253,MATCH(F492,Components!$A$4:$A$253,0)),"")&lt;&gt;"",IFERROR(INDEX(Components!$G$4:$G$253,MATCH(F492,Components!$A$4:$A$253,0)),"")&lt;&gt;C492),"Component owned by another AIR-ID",IF(AND(M492="Confirmed",OR(IF(B492="UC",COUNTIFS('Use cases'!$A$4:$A$253,C492,'Use cases'!$I$4:$I$253,"Confirmed",'Use cases'!$J$4:$J$253,"OK — verify source"),IF(B492="CAP",COUNTIFS(Capabilities!$A$4:$A$253,C492,Capabilities!$J$4:$J$253,"Confirmed",Capabilities!$K$4:$K$253,"OK — verify source"),IF(B492="AIR",COUNTIFS('System map'!$A$4:$A$203,C492,'System map'!$B$4:$B$203,"&lt;&gt;",'System map'!$C$4:$C$203,"&lt;&gt;",'System map'!$D$4:$D$203,"&lt;&gt;"),COUNTIFS(Components!$A$4:$A$253,C492,Components!$B$4:$B$253,B492,Components!$K$4:$K$253,"Confirmed",Components!$L$4:$L$253,"OK — verify source"))))&lt;&gt;1,IF(E492="UC",COUNTIFS('Use cases'!$A$4:$A$253,F492,'Use cases'!$I$4:$I$253,"Confirmed",'Use cases'!$J$4:$J$253,"OK — verify source"),IF(E492="CAP",COUNTIFS(Capabilities!$A$4:$A$253,F492,Capabilities!$J$4:$J$253,"Confirmed",Capabilities!$K$4:$K$253,"OK — verify source"),IF(E492="AIR",COUNTIFS('System map'!$A$4:$A$203,F492,'System map'!$B$4:$B$203,"&lt;&gt;",'System map'!$C$4:$C$203,"&lt;&gt;",'System map'!$D$4:$D$203,"&lt;&gt;"),COUNTIFS(Components!$A$4:$A$253,F492,Components!$B$4:$B$253,E492,Components!$K$4:$K$253,"Confirmed",Components!$L$4:$L$253,"OK — verify source"))))&lt;&gt;1)),"Endpoint not source-reconciled",IF(AND(M492="Confirmed",OR(L492="",K492="",K492="Unknown",K492="Low")),"Confirmed link lacks verification","OK — verify source"))))))))))))))</f>
        <v/>
      </c>
    </row>
    <row r="493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8" t="n"/>
      <c r="M493" s="27" t="n"/>
      <c r="N493" s="27">
        <f>IF(COUNTA(A493:M493)=0,"",IF(OR(A493="",B493="",C493="",D493="",E493="",F493="",I493="",J493="",K493="",M493=""),"Required link detail missing",IF(COUNTIF($A$4:$A$1003,A493)&gt;1,"Duplicate Map Edge ID",IF(NOT(OR(AND(B493="UC",E493="CAP",D493="requires"),AND(B493="CAP",E493="AIR",D493="provided by"),AND(B493="AIR",OR(E493="MOD",E493="DATA",E493="IF",E493="AG",E493="TOOL"),D493="references"),AND(B493="AIR",E493="AIR",D493="depends on"))),"Invalid relationship",IF(AND(M493&lt;&gt;"Superseded",COUNTIFS($B$4:$B$1003,B493,$C$4:$C$1003,C493,$D$4:$D$1003,D493,$E$4:$E$1003,E493,$F$4:$F$1003,F493,$G$4:$G$1003,G493,$M$4:$M$1003,"&lt;&gt;Superseded")&gt;1),"Duplicate relationship",IF(OR(IF(B493="UC",COUNTIF('Use cases'!$A$4:$A$253,C493),IF(B493="CAP",COUNTIF(Capabilities!$A$4:$A$253,C493),IF(B493="AIR",COUNTIF('System map'!$A$4:$A$203,C493),COUNTIFS(Components!$A$4:$A$253,C493,Components!$B$4:$B$253,B493))))&lt;&gt;1,IF(E493="UC",COUNTIF('Use cases'!$A$4:$A$253,F493),IF(E493="CAP",COUNTIF(Capabilities!$A$4:$A$253,F493),IF(E493="AIR",COUNTIF('System map'!$A$4:$A$203,F493),COUNTIFS(Components!$A$4:$A$253,F493,Components!$B$4:$B$253,E493))))&lt;&gt;1),"Endpoint missing or duplicated",IF(AND(NOT(AND(B493="UC",E493="CAP")),OR(G493="",COUNTIF('System map'!$A$4:$A$203,G493)&lt;&gt;1)),"AIR context missing / unknown",IF(AND(B493="CAP",E493="AIR",G493&lt;&gt;F493),"AIR context mismatch",IF(AND(B493="AIR",G493&lt;&gt;C493),"AIR context mismatch",IF(AND(B493="AIR",E493="AIR",C493=F493),"Self-dependency",IF(AND(B493="AIR",E493="AIR",M493&lt;&gt;"Superseded",COUNTIFS($B$4:$B$1003,"AIR",$C$4:$C$1003,F493,$E$4:$E$1003,"AIR",$F$4:$F$1003,C493,$M$4:$M$1003,"&lt;&gt;Superseded")&gt;0),"Dependency cycle (A↔B) — review",IF(AND(B493="AIR",OR(E493="MOD",E493="DATA",E493="IF",E493="AG",E493="TOOL"),IFERROR(INDEX(Components!$G$4:$G$253,MATCH(F493,Components!$A$4:$A$253,0)),"")&lt;&gt;"",IFERROR(INDEX(Components!$G$4:$G$253,MATCH(F493,Components!$A$4:$A$253,0)),"")&lt;&gt;C493),"Component owned by another AIR-ID",IF(AND(M493="Confirmed",OR(IF(B493="UC",COUNTIFS('Use cases'!$A$4:$A$253,C493,'Use cases'!$I$4:$I$253,"Confirmed",'Use cases'!$J$4:$J$253,"OK — verify source"),IF(B493="CAP",COUNTIFS(Capabilities!$A$4:$A$253,C493,Capabilities!$J$4:$J$253,"Confirmed",Capabilities!$K$4:$K$253,"OK — verify source"),IF(B493="AIR",COUNTIFS('System map'!$A$4:$A$203,C493,'System map'!$B$4:$B$203,"&lt;&gt;",'System map'!$C$4:$C$203,"&lt;&gt;",'System map'!$D$4:$D$203,"&lt;&gt;"),COUNTIFS(Components!$A$4:$A$253,C493,Components!$B$4:$B$253,B493,Components!$K$4:$K$253,"Confirmed",Components!$L$4:$L$253,"OK — verify source"))))&lt;&gt;1,IF(E493="UC",COUNTIFS('Use cases'!$A$4:$A$253,F493,'Use cases'!$I$4:$I$253,"Confirmed",'Use cases'!$J$4:$J$253,"OK — verify source"),IF(E493="CAP",COUNTIFS(Capabilities!$A$4:$A$253,F493,Capabilities!$J$4:$J$253,"Confirmed",Capabilities!$K$4:$K$253,"OK — verify source"),IF(E493="AIR",COUNTIFS('System map'!$A$4:$A$203,F493,'System map'!$B$4:$B$203,"&lt;&gt;",'System map'!$C$4:$C$203,"&lt;&gt;",'System map'!$D$4:$D$203,"&lt;&gt;"),COUNTIFS(Components!$A$4:$A$253,F493,Components!$B$4:$B$253,E493,Components!$K$4:$K$253,"Confirmed",Components!$L$4:$L$253,"OK — verify source"))))&lt;&gt;1)),"Endpoint not source-reconciled",IF(AND(M493="Confirmed",OR(L493="",K493="",K493="Unknown",K493="Low")),"Confirmed link lacks verification","OK — verify source"))))))))))))))</f>
        <v/>
      </c>
    </row>
    <row r="49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6" t="n"/>
      <c r="M494" s="25" t="n"/>
      <c r="N494" s="25">
        <f>IF(COUNTA(A494:M494)=0,"",IF(OR(A494="",B494="",C494="",D494="",E494="",F494="",I494="",J494="",K494="",M494=""),"Required link detail missing",IF(COUNTIF($A$4:$A$1003,A494)&gt;1,"Duplicate Map Edge ID",IF(NOT(OR(AND(B494="UC",E494="CAP",D494="requires"),AND(B494="CAP",E494="AIR",D494="provided by"),AND(B494="AIR",OR(E494="MOD",E494="DATA",E494="IF",E494="AG",E494="TOOL"),D494="references"),AND(B494="AIR",E494="AIR",D494="depends on"))),"Invalid relationship",IF(AND(M494&lt;&gt;"Superseded",COUNTIFS($B$4:$B$1003,B494,$C$4:$C$1003,C494,$D$4:$D$1003,D494,$E$4:$E$1003,E494,$F$4:$F$1003,F494,$G$4:$G$1003,G494,$M$4:$M$1003,"&lt;&gt;Superseded")&gt;1),"Duplicate relationship",IF(OR(IF(B494="UC",COUNTIF('Use cases'!$A$4:$A$253,C494),IF(B494="CAP",COUNTIF(Capabilities!$A$4:$A$253,C494),IF(B494="AIR",COUNTIF('System map'!$A$4:$A$203,C494),COUNTIFS(Components!$A$4:$A$253,C494,Components!$B$4:$B$253,B494))))&lt;&gt;1,IF(E494="UC",COUNTIF('Use cases'!$A$4:$A$253,F494),IF(E494="CAP",COUNTIF(Capabilities!$A$4:$A$253,F494),IF(E494="AIR",COUNTIF('System map'!$A$4:$A$203,F494),COUNTIFS(Components!$A$4:$A$253,F494,Components!$B$4:$B$253,E494))))&lt;&gt;1),"Endpoint missing or duplicated",IF(AND(NOT(AND(B494="UC",E494="CAP")),OR(G494="",COUNTIF('System map'!$A$4:$A$203,G494)&lt;&gt;1)),"AIR context missing / unknown",IF(AND(B494="CAP",E494="AIR",G494&lt;&gt;F494),"AIR context mismatch",IF(AND(B494="AIR",G494&lt;&gt;C494),"AIR context mismatch",IF(AND(B494="AIR",E494="AIR",C494=F494),"Self-dependency",IF(AND(B494="AIR",E494="AIR",M494&lt;&gt;"Superseded",COUNTIFS($B$4:$B$1003,"AIR",$C$4:$C$1003,F494,$E$4:$E$1003,"AIR",$F$4:$F$1003,C494,$M$4:$M$1003,"&lt;&gt;Superseded")&gt;0),"Dependency cycle (A↔B) — review",IF(AND(B494="AIR",OR(E494="MOD",E494="DATA",E494="IF",E494="AG",E494="TOOL"),IFERROR(INDEX(Components!$G$4:$G$253,MATCH(F494,Components!$A$4:$A$253,0)),"")&lt;&gt;"",IFERROR(INDEX(Components!$G$4:$G$253,MATCH(F494,Components!$A$4:$A$253,0)),"")&lt;&gt;C494),"Component owned by another AIR-ID",IF(AND(M494="Confirmed",OR(IF(B494="UC",COUNTIFS('Use cases'!$A$4:$A$253,C494,'Use cases'!$I$4:$I$253,"Confirmed",'Use cases'!$J$4:$J$253,"OK — verify source"),IF(B494="CAP",COUNTIFS(Capabilities!$A$4:$A$253,C494,Capabilities!$J$4:$J$253,"Confirmed",Capabilities!$K$4:$K$253,"OK — verify source"),IF(B494="AIR",COUNTIFS('System map'!$A$4:$A$203,C494,'System map'!$B$4:$B$203,"&lt;&gt;",'System map'!$C$4:$C$203,"&lt;&gt;",'System map'!$D$4:$D$203,"&lt;&gt;"),COUNTIFS(Components!$A$4:$A$253,C494,Components!$B$4:$B$253,B494,Components!$K$4:$K$253,"Confirmed",Components!$L$4:$L$253,"OK — verify source"))))&lt;&gt;1,IF(E494="UC",COUNTIFS('Use cases'!$A$4:$A$253,F494,'Use cases'!$I$4:$I$253,"Confirmed",'Use cases'!$J$4:$J$253,"OK — verify source"),IF(E494="CAP",COUNTIFS(Capabilities!$A$4:$A$253,F494,Capabilities!$J$4:$J$253,"Confirmed",Capabilities!$K$4:$K$253,"OK — verify source"),IF(E494="AIR",COUNTIFS('System map'!$A$4:$A$203,F494,'System map'!$B$4:$B$203,"&lt;&gt;",'System map'!$C$4:$C$203,"&lt;&gt;",'System map'!$D$4:$D$203,"&lt;&gt;"),COUNTIFS(Components!$A$4:$A$253,F494,Components!$B$4:$B$253,E494,Components!$K$4:$K$253,"Confirmed",Components!$L$4:$L$253,"OK — verify source"))))&lt;&gt;1)),"Endpoint not source-reconciled",IF(AND(M494="Confirmed",OR(L494="",K494="",K494="Unknown",K494="Low")),"Confirmed link lacks verification","OK — verify source"))))))))))))))</f>
        <v/>
      </c>
    </row>
    <row r="495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8" t="n"/>
      <c r="M495" s="27" t="n"/>
      <c r="N495" s="27">
        <f>IF(COUNTA(A495:M495)=0,"",IF(OR(A495="",B495="",C495="",D495="",E495="",F495="",I495="",J495="",K495="",M495=""),"Required link detail missing",IF(COUNTIF($A$4:$A$1003,A495)&gt;1,"Duplicate Map Edge ID",IF(NOT(OR(AND(B495="UC",E495="CAP",D495="requires"),AND(B495="CAP",E495="AIR",D495="provided by"),AND(B495="AIR",OR(E495="MOD",E495="DATA",E495="IF",E495="AG",E495="TOOL"),D495="references"),AND(B495="AIR",E495="AIR",D495="depends on"))),"Invalid relationship",IF(AND(M495&lt;&gt;"Superseded",COUNTIFS($B$4:$B$1003,B495,$C$4:$C$1003,C495,$D$4:$D$1003,D495,$E$4:$E$1003,E495,$F$4:$F$1003,F495,$G$4:$G$1003,G495,$M$4:$M$1003,"&lt;&gt;Superseded")&gt;1),"Duplicate relationship",IF(OR(IF(B495="UC",COUNTIF('Use cases'!$A$4:$A$253,C495),IF(B495="CAP",COUNTIF(Capabilities!$A$4:$A$253,C495),IF(B495="AIR",COUNTIF('System map'!$A$4:$A$203,C495),COUNTIFS(Components!$A$4:$A$253,C495,Components!$B$4:$B$253,B495))))&lt;&gt;1,IF(E495="UC",COUNTIF('Use cases'!$A$4:$A$253,F495),IF(E495="CAP",COUNTIF(Capabilities!$A$4:$A$253,F495),IF(E495="AIR",COUNTIF('System map'!$A$4:$A$203,F495),COUNTIFS(Components!$A$4:$A$253,F495,Components!$B$4:$B$253,E495))))&lt;&gt;1),"Endpoint missing or duplicated",IF(AND(NOT(AND(B495="UC",E495="CAP")),OR(G495="",COUNTIF('System map'!$A$4:$A$203,G495)&lt;&gt;1)),"AIR context missing / unknown",IF(AND(B495="CAP",E495="AIR",G495&lt;&gt;F495),"AIR context mismatch",IF(AND(B495="AIR",G495&lt;&gt;C495),"AIR context mismatch",IF(AND(B495="AIR",E495="AIR",C495=F495),"Self-dependency",IF(AND(B495="AIR",E495="AIR",M495&lt;&gt;"Superseded",COUNTIFS($B$4:$B$1003,"AIR",$C$4:$C$1003,F495,$E$4:$E$1003,"AIR",$F$4:$F$1003,C495,$M$4:$M$1003,"&lt;&gt;Superseded")&gt;0),"Dependency cycle (A↔B) — review",IF(AND(B495="AIR",OR(E495="MOD",E495="DATA",E495="IF",E495="AG",E495="TOOL"),IFERROR(INDEX(Components!$G$4:$G$253,MATCH(F495,Components!$A$4:$A$253,0)),"")&lt;&gt;"",IFERROR(INDEX(Components!$G$4:$G$253,MATCH(F495,Components!$A$4:$A$253,0)),"")&lt;&gt;C495),"Component owned by another AIR-ID",IF(AND(M495="Confirmed",OR(IF(B495="UC",COUNTIFS('Use cases'!$A$4:$A$253,C495,'Use cases'!$I$4:$I$253,"Confirmed",'Use cases'!$J$4:$J$253,"OK — verify source"),IF(B495="CAP",COUNTIFS(Capabilities!$A$4:$A$253,C495,Capabilities!$J$4:$J$253,"Confirmed",Capabilities!$K$4:$K$253,"OK — verify source"),IF(B495="AIR",COUNTIFS('System map'!$A$4:$A$203,C495,'System map'!$B$4:$B$203,"&lt;&gt;",'System map'!$C$4:$C$203,"&lt;&gt;",'System map'!$D$4:$D$203,"&lt;&gt;"),COUNTIFS(Components!$A$4:$A$253,C495,Components!$B$4:$B$253,B495,Components!$K$4:$K$253,"Confirmed",Components!$L$4:$L$253,"OK — verify source"))))&lt;&gt;1,IF(E495="UC",COUNTIFS('Use cases'!$A$4:$A$253,F495,'Use cases'!$I$4:$I$253,"Confirmed",'Use cases'!$J$4:$J$253,"OK — verify source"),IF(E495="CAP",COUNTIFS(Capabilities!$A$4:$A$253,F495,Capabilities!$J$4:$J$253,"Confirmed",Capabilities!$K$4:$K$253,"OK — verify source"),IF(E495="AIR",COUNTIFS('System map'!$A$4:$A$203,F495,'System map'!$B$4:$B$203,"&lt;&gt;",'System map'!$C$4:$C$203,"&lt;&gt;",'System map'!$D$4:$D$203,"&lt;&gt;"),COUNTIFS(Components!$A$4:$A$253,F495,Components!$B$4:$B$253,E495,Components!$K$4:$K$253,"Confirmed",Components!$L$4:$L$253,"OK — verify source"))))&lt;&gt;1)),"Endpoint not source-reconciled",IF(AND(M495="Confirmed",OR(L495="",K495="",K495="Unknown",K495="Low")),"Confirmed link lacks verification","OK — verify source"))))))))))))))</f>
        <v/>
      </c>
    </row>
    <row r="496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6" t="n"/>
      <c r="M496" s="25" t="n"/>
      <c r="N496" s="25">
        <f>IF(COUNTA(A496:M496)=0,"",IF(OR(A496="",B496="",C496="",D496="",E496="",F496="",I496="",J496="",K496="",M496=""),"Required link detail missing",IF(COUNTIF($A$4:$A$1003,A496)&gt;1,"Duplicate Map Edge ID",IF(NOT(OR(AND(B496="UC",E496="CAP",D496="requires"),AND(B496="CAP",E496="AIR",D496="provided by"),AND(B496="AIR",OR(E496="MOD",E496="DATA",E496="IF",E496="AG",E496="TOOL"),D496="references"),AND(B496="AIR",E496="AIR",D496="depends on"))),"Invalid relationship",IF(AND(M496&lt;&gt;"Superseded",COUNTIFS($B$4:$B$1003,B496,$C$4:$C$1003,C496,$D$4:$D$1003,D496,$E$4:$E$1003,E496,$F$4:$F$1003,F496,$G$4:$G$1003,G496,$M$4:$M$1003,"&lt;&gt;Superseded")&gt;1),"Duplicate relationship",IF(OR(IF(B496="UC",COUNTIF('Use cases'!$A$4:$A$253,C496),IF(B496="CAP",COUNTIF(Capabilities!$A$4:$A$253,C496),IF(B496="AIR",COUNTIF('System map'!$A$4:$A$203,C496),COUNTIFS(Components!$A$4:$A$253,C496,Components!$B$4:$B$253,B496))))&lt;&gt;1,IF(E496="UC",COUNTIF('Use cases'!$A$4:$A$253,F496),IF(E496="CAP",COUNTIF(Capabilities!$A$4:$A$253,F496),IF(E496="AIR",COUNTIF('System map'!$A$4:$A$203,F496),COUNTIFS(Components!$A$4:$A$253,F496,Components!$B$4:$B$253,E496))))&lt;&gt;1),"Endpoint missing or duplicated",IF(AND(NOT(AND(B496="UC",E496="CAP")),OR(G496="",COUNTIF('System map'!$A$4:$A$203,G496)&lt;&gt;1)),"AIR context missing / unknown",IF(AND(B496="CAP",E496="AIR",G496&lt;&gt;F496),"AIR context mismatch",IF(AND(B496="AIR",G496&lt;&gt;C496),"AIR context mismatch",IF(AND(B496="AIR",E496="AIR",C496=F496),"Self-dependency",IF(AND(B496="AIR",E496="AIR",M496&lt;&gt;"Superseded",COUNTIFS($B$4:$B$1003,"AIR",$C$4:$C$1003,F496,$E$4:$E$1003,"AIR",$F$4:$F$1003,C496,$M$4:$M$1003,"&lt;&gt;Superseded")&gt;0),"Dependency cycle (A↔B) — review",IF(AND(B496="AIR",OR(E496="MOD",E496="DATA",E496="IF",E496="AG",E496="TOOL"),IFERROR(INDEX(Components!$G$4:$G$253,MATCH(F496,Components!$A$4:$A$253,0)),"")&lt;&gt;"",IFERROR(INDEX(Components!$G$4:$G$253,MATCH(F496,Components!$A$4:$A$253,0)),"")&lt;&gt;C496),"Component owned by another AIR-ID",IF(AND(M496="Confirmed",OR(IF(B496="UC",COUNTIFS('Use cases'!$A$4:$A$253,C496,'Use cases'!$I$4:$I$253,"Confirmed",'Use cases'!$J$4:$J$253,"OK — verify source"),IF(B496="CAP",COUNTIFS(Capabilities!$A$4:$A$253,C496,Capabilities!$J$4:$J$253,"Confirmed",Capabilities!$K$4:$K$253,"OK — verify source"),IF(B496="AIR",COUNTIFS('System map'!$A$4:$A$203,C496,'System map'!$B$4:$B$203,"&lt;&gt;",'System map'!$C$4:$C$203,"&lt;&gt;",'System map'!$D$4:$D$203,"&lt;&gt;"),COUNTIFS(Components!$A$4:$A$253,C496,Components!$B$4:$B$253,B496,Components!$K$4:$K$253,"Confirmed",Components!$L$4:$L$253,"OK — verify source"))))&lt;&gt;1,IF(E496="UC",COUNTIFS('Use cases'!$A$4:$A$253,F496,'Use cases'!$I$4:$I$253,"Confirmed",'Use cases'!$J$4:$J$253,"OK — verify source"),IF(E496="CAP",COUNTIFS(Capabilities!$A$4:$A$253,F496,Capabilities!$J$4:$J$253,"Confirmed",Capabilities!$K$4:$K$253,"OK — verify source"),IF(E496="AIR",COUNTIFS('System map'!$A$4:$A$203,F496,'System map'!$B$4:$B$203,"&lt;&gt;",'System map'!$C$4:$C$203,"&lt;&gt;",'System map'!$D$4:$D$203,"&lt;&gt;"),COUNTIFS(Components!$A$4:$A$253,F496,Components!$B$4:$B$253,E496,Components!$K$4:$K$253,"Confirmed",Components!$L$4:$L$253,"OK — verify source"))))&lt;&gt;1)),"Endpoint not source-reconciled",IF(AND(M496="Confirmed",OR(L496="",K496="",K496="Unknown",K496="Low")),"Confirmed link lacks verification","OK — verify source"))))))))))))))</f>
        <v/>
      </c>
    </row>
    <row r="497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8" t="n"/>
      <c r="M497" s="27" t="n"/>
      <c r="N497" s="27">
        <f>IF(COUNTA(A497:M497)=0,"",IF(OR(A497="",B497="",C497="",D497="",E497="",F497="",I497="",J497="",K497="",M497=""),"Required link detail missing",IF(COUNTIF($A$4:$A$1003,A497)&gt;1,"Duplicate Map Edge ID",IF(NOT(OR(AND(B497="UC",E497="CAP",D497="requires"),AND(B497="CAP",E497="AIR",D497="provided by"),AND(B497="AIR",OR(E497="MOD",E497="DATA",E497="IF",E497="AG",E497="TOOL"),D497="references"),AND(B497="AIR",E497="AIR",D497="depends on"))),"Invalid relationship",IF(AND(M497&lt;&gt;"Superseded",COUNTIFS($B$4:$B$1003,B497,$C$4:$C$1003,C497,$D$4:$D$1003,D497,$E$4:$E$1003,E497,$F$4:$F$1003,F497,$G$4:$G$1003,G497,$M$4:$M$1003,"&lt;&gt;Superseded")&gt;1),"Duplicate relationship",IF(OR(IF(B497="UC",COUNTIF('Use cases'!$A$4:$A$253,C497),IF(B497="CAP",COUNTIF(Capabilities!$A$4:$A$253,C497),IF(B497="AIR",COUNTIF('System map'!$A$4:$A$203,C497),COUNTIFS(Components!$A$4:$A$253,C497,Components!$B$4:$B$253,B497))))&lt;&gt;1,IF(E497="UC",COUNTIF('Use cases'!$A$4:$A$253,F497),IF(E497="CAP",COUNTIF(Capabilities!$A$4:$A$253,F497),IF(E497="AIR",COUNTIF('System map'!$A$4:$A$203,F497),COUNTIFS(Components!$A$4:$A$253,F497,Components!$B$4:$B$253,E497))))&lt;&gt;1),"Endpoint missing or duplicated",IF(AND(NOT(AND(B497="UC",E497="CAP")),OR(G497="",COUNTIF('System map'!$A$4:$A$203,G497)&lt;&gt;1)),"AIR context missing / unknown",IF(AND(B497="CAP",E497="AIR",G497&lt;&gt;F497),"AIR context mismatch",IF(AND(B497="AIR",G497&lt;&gt;C497),"AIR context mismatch",IF(AND(B497="AIR",E497="AIR",C497=F497),"Self-dependency",IF(AND(B497="AIR",E497="AIR",M497&lt;&gt;"Superseded",COUNTIFS($B$4:$B$1003,"AIR",$C$4:$C$1003,F497,$E$4:$E$1003,"AIR",$F$4:$F$1003,C497,$M$4:$M$1003,"&lt;&gt;Superseded")&gt;0),"Dependency cycle (A↔B) — review",IF(AND(B497="AIR",OR(E497="MOD",E497="DATA",E497="IF",E497="AG",E497="TOOL"),IFERROR(INDEX(Components!$G$4:$G$253,MATCH(F497,Components!$A$4:$A$253,0)),"")&lt;&gt;"",IFERROR(INDEX(Components!$G$4:$G$253,MATCH(F497,Components!$A$4:$A$253,0)),"")&lt;&gt;C497),"Component owned by another AIR-ID",IF(AND(M497="Confirmed",OR(IF(B497="UC",COUNTIFS('Use cases'!$A$4:$A$253,C497,'Use cases'!$I$4:$I$253,"Confirmed",'Use cases'!$J$4:$J$253,"OK — verify source"),IF(B497="CAP",COUNTIFS(Capabilities!$A$4:$A$253,C497,Capabilities!$J$4:$J$253,"Confirmed",Capabilities!$K$4:$K$253,"OK — verify source"),IF(B497="AIR",COUNTIFS('System map'!$A$4:$A$203,C497,'System map'!$B$4:$B$203,"&lt;&gt;",'System map'!$C$4:$C$203,"&lt;&gt;",'System map'!$D$4:$D$203,"&lt;&gt;"),COUNTIFS(Components!$A$4:$A$253,C497,Components!$B$4:$B$253,B497,Components!$K$4:$K$253,"Confirmed",Components!$L$4:$L$253,"OK — verify source"))))&lt;&gt;1,IF(E497="UC",COUNTIFS('Use cases'!$A$4:$A$253,F497,'Use cases'!$I$4:$I$253,"Confirmed",'Use cases'!$J$4:$J$253,"OK — verify source"),IF(E497="CAP",COUNTIFS(Capabilities!$A$4:$A$253,F497,Capabilities!$J$4:$J$253,"Confirmed",Capabilities!$K$4:$K$253,"OK — verify source"),IF(E497="AIR",COUNTIFS('System map'!$A$4:$A$203,F497,'System map'!$B$4:$B$203,"&lt;&gt;",'System map'!$C$4:$C$203,"&lt;&gt;",'System map'!$D$4:$D$203,"&lt;&gt;"),COUNTIFS(Components!$A$4:$A$253,F497,Components!$B$4:$B$253,E497,Components!$K$4:$K$253,"Confirmed",Components!$L$4:$L$253,"OK — verify source"))))&lt;&gt;1)),"Endpoint not source-reconciled",IF(AND(M497="Confirmed",OR(L497="",K497="",K497="Unknown",K497="Low")),"Confirmed link lacks verification","OK — verify source"))))))))))))))</f>
        <v/>
      </c>
    </row>
    <row r="498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6" t="n"/>
      <c r="M498" s="25" t="n"/>
      <c r="N498" s="25">
        <f>IF(COUNTA(A498:M498)=0,"",IF(OR(A498="",B498="",C498="",D498="",E498="",F498="",I498="",J498="",K498="",M498=""),"Required link detail missing",IF(COUNTIF($A$4:$A$1003,A498)&gt;1,"Duplicate Map Edge ID",IF(NOT(OR(AND(B498="UC",E498="CAP",D498="requires"),AND(B498="CAP",E498="AIR",D498="provided by"),AND(B498="AIR",OR(E498="MOD",E498="DATA",E498="IF",E498="AG",E498="TOOL"),D498="references"),AND(B498="AIR",E498="AIR",D498="depends on"))),"Invalid relationship",IF(AND(M498&lt;&gt;"Superseded",COUNTIFS($B$4:$B$1003,B498,$C$4:$C$1003,C498,$D$4:$D$1003,D498,$E$4:$E$1003,E498,$F$4:$F$1003,F498,$G$4:$G$1003,G498,$M$4:$M$1003,"&lt;&gt;Superseded")&gt;1),"Duplicate relationship",IF(OR(IF(B498="UC",COUNTIF('Use cases'!$A$4:$A$253,C498),IF(B498="CAP",COUNTIF(Capabilities!$A$4:$A$253,C498),IF(B498="AIR",COUNTIF('System map'!$A$4:$A$203,C498),COUNTIFS(Components!$A$4:$A$253,C498,Components!$B$4:$B$253,B498))))&lt;&gt;1,IF(E498="UC",COUNTIF('Use cases'!$A$4:$A$253,F498),IF(E498="CAP",COUNTIF(Capabilities!$A$4:$A$253,F498),IF(E498="AIR",COUNTIF('System map'!$A$4:$A$203,F498),COUNTIFS(Components!$A$4:$A$253,F498,Components!$B$4:$B$253,E498))))&lt;&gt;1),"Endpoint missing or duplicated",IF(AND(NOT(AND(B498="UC",E498="CAP")),OR(G498="",COUNTIF('System map'!$A$4:$A$203,G498)&lt;&gt;1)),"AIR context missing / unknown",IF(AND(B498="CAP",E498="AIR",G498&lt;&gt;F498),"AIR context mismatch",IF(AND(B498="AIR",G498&lt;&gt;C498),"AIR context mismatch",IF(AND(B498="AIR",E498="AIR",C498=F498),"Self-dependency",IF(AND(B498="AIR",E498="AIR",M498&lt;&gt;"Superseded",COUNTIFS($B$4:$B$1003,"AIR",$C$4:$C$1003,F498,$E$4:$E$1003,"AIR",$F$4:$F$1003,C498,$M$4:$M$1003,"&lt;&gt;Superseded")&gt;0),"Dependency cycle (A↔B) — review",IF(AND(B498="AIR",OR(E498="MOD",E498="DATA",E498="IF",E498="AG",E498="TOOL"),IFERROR(INDEX(Components!$G$4:$G$253,MATCH(F498,Components!$A$4:$A$253,0)),"")&lt;&gt;"",IFERROR(INDEX(Components!$G$4:$G$253,MATCH(F498,Components!$A$4:$A$253,0)),"")&lt;&gt;C498),"Component owned by another AIR-ID",IF(AND(M498="Confirmed",OR(IF(B498="UC",COUNTIFS('Use cases'!$A$4:$A$253,C498,'Use cases'!$I$4:$I$253,"Confirmed",'Use cases'!$J$4:$J$253,"OK — verify source"),IF(B498="CAP",COUNTIFS(Capabilities!$A$4:$A$253,C498,Capabilities!$J$4:$J$253,"Confirmed",Capabilities!$K$4:$K$253,"OK — verify source"),IF(B498="AIR",COUNTIFS('System map'!$A$4:$A$203,C498,'System map'!$B$4:$B$203,"&lt;&gt;",'System map'!$C$4:$C$203,"&lt;&gt;",'System map'!$D$4:$D$203,"&lt;&gt;"),COUNTIFS(Components!$A$4:$A$253,C498,Components!$B$4:$B$253,B498,Components!$K$4:$K$253,"Confirmed",Components!$L$4:$L$253,"OK — verify source"))))&lt;&gt;1,IF(E498="UC",COUNTIFS('Use cases'!$A$4:$A$253,F498,'Use cases'!$I$4:$I$253,"Confirmed",'Use cases'!$J$4:$J$253,"OK — verify source"),IF(E498="CAP",COUNTIFS(Capabilities!$A$4:$A$253,F498,Capabilities!$J$4:$J$253,"Confirmed",Capabilities!$K$4:$K$253,"OK — verify source"),IF(E498="AIR",COUNTIFS('System map'!$A$4:$A$203,F498,'System map'!$B$4:$B$203,"&lt;&gt;",'System map'!$C$4:$C$203,"&lt;&gt;",'System map'!$D$4:$D$203,"&lt;&gt;"),COUNTIFS(Components!$A$4:$A$253,F498,Components!$B$4:$B$253,E498,Components!$K$4:$K$253,"Confirmed",Components!$L$4:$L$253,"OK — verify source"))))&lt;&gt;1)),"Endpoint not source-reconciled",IF(AND(M498="Confirmed",OR(L498="",K498="",K498="Unknown",K498="Low")),"Confirmed link lacks verification","OK — verify source"))))))))))))))</f>
        <v/>
      </c>
    </row>
    <row r="499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8" t="n"/>
      <c r="M499" s="27" t="n"/>
      <c r="N499" s="27">
        <f>IF(COUNTA(A499:M499)=0,"",IF(OR(A499="",B499="",C499="",D499="",E499="",F499="",I499="",J499="",K499="",M499=""),"Required link detail missing",IF(COUNTIF($A$4:$A$1003,A499)&gt;1,"Duplicate Map Edge ID",IF(NOT(OR(AND(B499="UC",E499="CAP",D499="requires"),AND(B499="CAP",E499="AIR",D499="provided by"),AND(B499="AIR",OR(E499="MOD",E499="DATA",E499="IF",E499="AG",E499="TOOL"),D499="references"),AND(B499="AIR",E499="AIR",D499="depends on"))),"Invalid relationship",IF(AND(M499&lt;&gt;"Superseded",COUNTIFS($B$4:$B$1003,B499,$C$4:$C$1003,C499,$D$4:$D$1003,D499,$E$4:$E$1003,E499,$F$4:$F$1003,F499,$G$4:$G$1003,G499,$M$4:$M$1003,"&lt;&gt;Superseded")&gt;1),"Duplicate relationship",IF(OR(IF(B499="UC",COUNTIF('Use cases'!$A$4:$A$253,C499),IF(B499="CAP",COUNTIF(Capabilities!$A$4:$A$253,C499),IF(B499="AIR",COUNTIF('System map'!$A$4:$A$203,C499),COUNTIFS(Components!$A$4:$A$253,C499,Components!$B$4:$B$253,B499))))&lt;&gt;1,IF(E499="UC",COUNTIF('Use cases'!$A$4:$A$253,F499),IF(E499="CAP",COUNTIF(Capabilities!$A$4:$A$253,F499),IF(E499="AIR",COUNTIF('System map'!$A$4:$A$203,F499),COUNTIFS(Components!$A$4:$A$253,F499,Components!$B$4:$B$253,E499))))&lt;&gt;1),"Endpoint missing or duplicated",IF(AND(NOT(AND(B499="UC",E499="CAP")),OR(G499="",COUNTIF('System map'!$A$4:$A$203,G499)&lt;&gt;1)),"AIR context missing / unknown",IF(AND(B499="CAP",E499="AIR",G499&lt;&gt;F499),"AIR context mismatch",IF(AND(B499="AIR",G499&lt;&gt;C499),"AIR context mismatch",IF(AND(B499="AIR",E499="AIR",C499=F499),"Self-dependency",IF(AND(B499="AIR",E499="AIR",M499&lt;&gt;"Superseded",COUNTIFS($B$4:$B$1003,"AIR",$C$4:$C$1003,F499,$E$4:$E$1003,"AIR",$F$4:$F$1003,C499,$M$4:$M$1003,"&lt;&gt;Superseded")&gt;0),"Dependency cycle (A↔B) — review",IF(AND(B499="AIR",OR(E499="MOD",E499="DATA",E499="IF",E499="AG",E499="TOOL"),IFERROR(INDEX(Components!$G$4:$G$253,MATCH(F499,Components!$A$4:$A$253,0)),"")&lt;&gt;"",IFERROR(INDEX(Components!$G$4:$G$253,MATCH(F499,Components!$A$4:$A$253,0)),"")&lt;&gt;C499),"Component owned by another AIR-ID",IF(AND(M499="Confirmed",OR(IF(B499="UC",COUNTIFS('Use cases'!$A$4:$A$253,C499,'Use cases'!$I$4:$I$253,"Confirmed",'Use cases'!$J$4:$J$253,"OK — verify source"),IF(B499="CAP",COUNTIFS(Capabilities!$A$4:$A$253,C499,Capabilities!$J$4:$J$253,"Confirmed",Capabilities!$K$4:$K$253,"OK — verify source"),IF(B499="AIR",COUNTIFS('System map'!$A$4:$A$203,C499,'System map'!$B$4:$B$203,"&lt;&gt;",'System map'!$C$4:$C$203,"&lt;&gt;",'System map'!$D$4:$D$203,"&lt;&gt;"),COUNTIFS(Components!$A$4:$A$253,C499,Components!$B$4:$B$253,B499,Components!$K$4:$K$253,"Confirmed",Components!$L$4:$L$253,"OK — verify source"))))&lt;&gt;1,IF(E499="UC",COUNTIFS('Use cases'!$A$4:$A$253,F499,'Use cases'!$I$4:$I$253,"Confirmed",'Use cases'!$J$4:$J$253,"OK — verify source"),IF(E499="CAP",COUNTIFS(Capabilities!$A$4:$A$253,F499,Capabilities!$J$4:$J$253,"Confirmed",Capabilities!$K$4:$K$253,"OK — verify source"),IF(E499="AIR",COUNTIFS('System map'!$A$4:$A$203,F499,'System map'!$B$4:$B$203,"&lt;&gt;",'System map'!$C$4:$C$203,"&lt;&gt;",'System map'!$D$4:$D$203,"&lt;&gt;"),COUNTIFS(Components!$A$4:$A$253,F499,Components!$B$4:$B$253,E499,Components!$K$4:$K$253,"Confirmed",Components!$L$4:$L$253,"OK — verify source"))))&lt;&gt;1)),"Endpoint not source-reconciled",IF(AND(M499="Confirmed",OR(L499="",K499="",K499="Unknown",K499="Low")),"Confirmed link lacks verification","OK — verify source"))))))))))))))</f>
        <v/>
      </c>
    </row>
    <row r="500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6" t="n"/>
      <c r="M500" s="25" t="n"/>
      <c r="N500" s="25">
        <f>IF(COUNTA(A500:M500)=0,"",IF(OR(A500="",B500="",C500="",D500="",E500="",F500="",I500="",J500="",K500="",M500=""),"Required link detail missing",IF(COUNTIF($A$4:$A$1003,A500)&gt;1,"Duplicate Map Edge ID",IF(NOT(OR(AND(B500="UC",E500="CAP",D500="requires"),AND(B500="CAP",E500="AIR",D500="provided by"),AND(B500="AIR",OR(E500="MOD",E500="DATA",E500="IF",E500="AG",E500="TOOL"),D500="references"),AND(B500="AIR",E500="AIR",D500="depends on"))),"Invalid relationship",IF(AND(M500&lt;&gt;"Superseded",COUNTIFS($B$4:$B$1003,B500,$C$4:$C$1003,C500,$D$4:$D$1003,D500,$E$4:$E$1003,E500,$F$4:$F$1003,F500,$G$4:$G$1003,G500,$M$4:$M$1003,"&lt;&gt;Superseded")&gt;1),"Duplicate relationship",IF(OR(IF(B500="UC",COUNTIF('Use cases'!$A$4:$A$253,C500),IF(B500="CAP",COUNTIF(Capabilities!$A$4:$A$253,C500),IF(B500="AIR",COUNTIF('System map'!$A$4:$A$203,C500),COUNTIFS(Components!$A$4:$A$253,C500,Components!$B$4:$B$253,B500))))&lt;&gt;1,IF(E500="UC",COUNTIF('Use cases'!$A$4:$A$253,F500),IF(E500="CAP",COUNTIF(Capabilities!$A$4:$A$253,F500),IF(E500="AIR",COUNTIF('System map'!$A$4:$A$203,F500),COUNTIFS(Components!$A$4:$A$253,F500,Components!$B$4:$B$253,E500))))&lt;&gt;1),"Endpoint missing or duplicated",IF(AND(NOT(AND(B500="UC",E500="CAP")),OR(G500="",COUNTIF('System map'!$A$4:$A$203,G500)&lt;&gt;1)),"AIR context missing / unknown",IF(AND(B500="CAP",E500="AIR",G500&lt;&gt;F500),"AIR context mismatch",IF(AND(B500="AIR",G500&lt;&gt;C500),"AIR context mismatch",IF(AND(B500="AIR",E500="AIR",C500=F500),"Self-dependency",IF(AND(B500="AIR",E500="AIR",M500&lt;&gt;"Superseded",COUNTIFS($B$4:$B$1003,"AIR",$C$4:$C$1003,F500,$E$4:$E$1003,"AIR",$F$4:$F$1003,C500,$M$4:$M$1003,"&lt;&gt;Superseded")&gt;0),"Dependency cycle (A↔B) — review",IF(AND(B500="AIR",OR(E500="MOD",E500="DATA",E500="IF",E500="AG",E500="TOOL"),IFERROR(INDEX(Components!$G$4:$G$253,MATCH(F500,Components!$A$4:$A$253,0)),"")&lt;&gt;"",IFERROR(INDEX(Components!$G$4:$G$253,MATCH(F500,Components!$A$4:$A$253,0)),"")&lt;&gt;C500),"Component owned by another AIR-ID",IF(AND(M500="Confirmed",OR(IF(B500="UC",COUNTIFS('Use cases'!$A$4:$A$253,C500,'Use cases'!$I$4:$I$253,"Confirmed",'Use cases'!$J$4:$J$253,"OK — verify source"),IF(B500="CAP",COUNTIFS(Capabilities!$A$4:$A$253,C500,Capabilities!$J$4:$J$253,"Confirmed",Capabilities!$K$4:$K$253,"OK — verify source"),IF(B500="AIR",COUNTIFS('System map'!$A$4:$A$203,C500,'System map'!$B$4:$B$203,"&lt;&gt;",'System map'!$C$4:$C$203,"&lt;&gt;",'System map'!$D$4:$D$203,"&lt;&gt;"),COUNTIFS(Components!$A$4:$A$253,C500,Components!$B$4:$B$253,B500,Components!$K$4:$K$253,"Confirmed",Components!$L$4:$L$253,"OK — verify source"))))&lt;&gt;1,IF(E500="UC",COUNTIFS('Use cases'!$A$4:$A$253,F500,'Use cases'!$I$4:$I$253,"Confirmed",'Use cases'!$J$4:$J$253,"OK — verify source"),IF(E500="CAP",COUNTIFS(Capabilities!$A$4:$A$253,F500,Capabilities!$J$4:$J$253,"Confirmed",Capabilities!$K$4:$K$253,"OK — verify source"),IF(E500="AIR",COUNTIFS('System map'!$A$4:$A$203,F500,'System map'!$B$4:$B$203,"&lt;&gt;",'System map'!$C$4:$C$203,"&lt;&gt;",'System map'!$D$4:$D$203,"&lt;&gt;"),COUNTIFS(Components!$A$4:$A$253,F500,Components!$B$4:$B$253,E500,Components!$K$4:$K$253,"Confirmed",Components!$L$4:$L$253,"OK — verify source"))))&lt;&gt;1)),"Endpoint not source-reconciled",IF(AND(M500="Confirmed",OR(L500="",K500="",K500="Unknown",K500="Low")),"Confirmed link lacks verification","OK — verify source"))))))))))))))</f>
        <v/>
      </c>
    </row>
    <row r="501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8" t="n"/>
      <c r="M501" s="27" t="n"/>
      <c r="N501" s="27">
        <f>IF(COUNTA(A501:M501)=0,"",IF(OR(A501="",B501="",C501="",D501="",E501="",F501="",I501="",J501="",K501="",M501=""),"Required link detail missing",IF(COUNTIF($A$4:$A$1003,A501)&gt;1,"Duplicate Map Edge ID",IF(NOT(OR(AND(B501="UC",E501="CAP",D501="requires"),AND(B501="CAP",E501="AIR",D501="provided by"),AND(B501="AIR",OR(E501="MOD",E501="DATA",E501="IF",E501="AG",E501="TOOL"),D501="references"),AND(B501="AIR",E501="AIR",D501="depends on"))),"Invalid relationship",IF(AND(M501&lt;&gt;"Superseded",COUNTIFS($B$4:$B$1003,B501,$C$4:$C$1003,C501,$D$4:$D$1003,D501,$E$4:$E$1003,E501,$F$4:$F$1003,F501,$G$4:$G$1003,G501,$M$4:$M$1003,"&lt;&gt;Superseded")&gt;1),"Duplicate relationship",IF(OR(IF(B501="UC",COUNTIF('Use cases'!$A$4:$A$253,C501),IF(B501="CAP",COUNTIF(Capabilities!$A$4:$A$253,C501),IF(B501="AIR",COUNTIF('System map'!$A$4:$A$203,C501),COUNTIFS(Components!$A$4:$A$253,C501,Components!$B$4:$B$253,B501))))&lt;&gt;1,IF(E501="UC",COUNTIF('Use cases'!$A$4:$A$253,F501),IF(E501="CAP",COUNTIF(Capabilities!$A$4:$A$253,F501),IF(E501="AIR",COUNTIF('System map'!$A$4:$A$203,F501),COUNTIFS(Components!$A$4:$A$253,F501,Components!$B$4:$B$253,E501))))&lt;&gt;1),"Endpoint missing or duplicated",IF(AND(NOT(AND(B501="UC",E501="CAP")),OR(G501="",COUNTIF('System map'!$A$4:$A$203,G501)&lt;&gt;1)),"AIR context missing / unknown",IF(AND(B501="CAP",E501="AIR",G501&lt;&gt;F501),"AIR context mismatch",IF(AND(B501="AIR",G501&lt;&gt;C501),"AIR context mismatch",IF(AND(B501="AIR",E501="AIR",C501=F501),"Self-dependency",IF(AND(B501="AIR",E501="AIR",M501&lt;&gt;"Superseded",COUNTIFS($B$4:$B$1003,"AIR",$C$4:$C$1003,F501,$E$4:$E$1003,"AIR",$F$4:$F$1003,C501,$M$4:$M$1003,"&lt;&gt;Superseded")&gt;0),"Dependency cycle (A↔B) — review",IF(AND(B501="AIR",OR(E501="MOD",E501="DATA",E501="IF",E501="AG",E501="TOOL"),IFERROR(INDEX(Components!$G$4:$G$253,MATCH(F501,Components!$A$4:$A$253,0)),"")&lt;&gt;"",IFERROR(INDEX(Components!$G$4:$G$253,MATCH(F501,Components!$A$4:$A$253,0)),"")&lt;&gt;C501),"Component owned by another AIR-ID",IF(AND(M501="Confirmed",OR(IF(B501="UC",COUNTIFS('Use cases'!$A$4:$A$253,C501,'Use cases'!$I$4:$I$253,"Confirmed",'Use cases'!$J$4:$J$253,"OK — verify source"),IF(B501="CAP",COUNTIFS(Capabilities!$A$4:$A$253,C501,Capabilities!$J$4:$J$253,"Confirmed",Capabilities!$K$4:$K$253,"OK — verify source"),IF(B501="AIR",COUNTIFS('System map'!$A$4:$A$203,C501,'System map'!$B$4:$B$203,"&lt;&gt;",'System map'!$C$4:$C$203,"&lt;&gt;",'System map'!$D$4:$D$203,"&lt;&gt;"),COUNTIFS(Components!$A$4:$A$253,C501,Components!$B$4:$B$253,B501,Components!$K$4:$K$253,"Confirmed",Components!$L$4:$L$253,"OK — verify source"))))&lt;&gt;1,IF(E501="UC",COUNTIFS('Use cases'!$A$4:$A$253,F501,'Use cases'!$I$4:$I$253,"Confirmed",'Use cases'!$J$4:$J$253,"OK — verify source"),IF(E501="CAP",COUNTIFS(Capabilities!$A$4:$A$253,F501,Capabilities!$J$4:$J$253,"Confirmed",Capabilities!$K$4:$K$253,"OK — verify source"),IF(E501="AIR",COUNTIFS('System map'!$A$4:$A$203,F501,'System map'!$B$4:$B$203,"&lt;&gt;",'System map'!$C$4:$C$203,"&lt;&gt;",'System map'!$D$4:$D$203,"&lt;&gt;"),COUNTIFS(Components!$A$4:$A$253,F501,Components!$B$4:$B$253,E501,Components!$K$4:$K$253,"Confirmed",Components!$L$4:$L$253,"OK — verify source"))))&lt;&gt;1)),"Endpoint not source-reconciled",IF(AND(M501="Confirmed",OR(L501="",K501="",K501="Unknown",K501="Low")),"Confirmed link lacks verification","OK — verify source"))))))))))))))</f>
        <v/>
      </c>
    </row>
    <row r="502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6" t="n"/>
      <c r="M502" s="25" t="n"/>
      <c r="N502" s="25">
        <f>IF(COUNTA(A502:M502)=0,"",IF(OR(A502="",B502="",C502="",D502="",E502="",F502="",I502="",J502="",K502="",M502=""),"Required link detail missing",IF(COUNTIF($A$4:$A$1003,A502)&gt;1,"Duplicate Map Edge ID",IF(NOT(OR(AND(B502="UC",E502="CAP",D502="requires"),AND(B502="CAP",E502="AIR",D502="provided by"),AND(B502="AIR",OR(E502="MOD",E502="DATA",E502="IF",E502="AG",E502="TOOL"),D502="references"),AND(B502="AIR",E502="AIR",D502="depends on"))),"Invalid relationship",IF(AND(M502&lt;&gt;"Superseded",COUNTIFS($B$4:$B$1003,B502,$C$4:$C$1003,C502,$D$4:$D$1003,D502,$E$4:$E$1003,E502,$F$4:$F$1003,F502,$G$4:$G$1003,G502,$M$4:$M$1003,"&lt;&gt;Superseded")&gt;1),"Duplicate relationship",IF(OR(IF(B502="UC",COUNTIF('Use cases'!$A$4:$A$253,C502),IF(B502="CAP",COUNTIF(Capabilities!$A$4:$A$253,C502),IF(B502="AIR",COUNTIF('System map'!$A$4:$A$203,C502),COUNTIFS(Components!$A$4:$A$253,C502,Components!$B$4:$B$253,B502))))&lt;&gt;1,IF(E502="UC",COUNTIF('Use cases'!$A$4:$A$253,F502),IF(E502="CAP",COUNTIF(Capabilities!$A$4:$A$253,F502),IF(E502="AIR",COUNTIF('System map'!$A$4:$A$203,F502),COUNTIFS(Components!$A$4:$A$253,F502,Components!$B$4:$B$253,E502))))&lt;&gt;1),"Endpoint missing or duplicated",IF(AND(NOT(AND(B502="UC",E502="CAP")),OR(G502="",COUNTIF('System map'!$A$4:$A$203,G502)&lt;&gt;1)),"AIR context missing / unknown",IF(AND(B502="CAP",E502="AIR",G502&lt;&gt;F502),"AIR context mismatch",IF(AND(B502="AIR",G502&lt;&gt;C502),"AIR context mismatch",IF(AND(B502="AIR",E502="AIR",C502=F502),"Self-dependency",IF(AND(B502="AIR",E502="AIR",M502&lt;&gt;"Superseded",COUNTIFS($B$4:$B$1003,"AIR",$C$4:$C$1003,F502,$E$4:$E$1003,"AIR",$F$4:$F$1003,C502,$M$4:$M$1003,"&lt;&gt;Superseded")&gt;0),"Dependency cycle (A↔B) — review",IF(AND(B502="AIR",OR(E502="MOD",E502="DATA",E502="IF",E502="AG",E502="TOOL"),IFERROR(INDEX(Components!$G$4:$G$253,MATCH(F502,Components!$A$4:$A$253,0)),"")&lt;&gt;"",IFERROR(INDEX(Components!$G$4:$G$253,MATCH(F502,Components!$A$4:$A$253,0)),"")&lt;&gt;C502),"Component owned by another AIR-ID",IF(AND(M502="Confirmed",OR(IF(B502="UC",COUNTIFS('Use cases'!$A$4:$A$253,C502,'Use cases'!$I$4:$I$253,"Confirmed",'Use cases'!$J$4:$J$253,"OK — verify source"),IF(B502="CAP",COUNTIFS(Capabilities!$A$4:$A$253,C502,Capabilities!$J$4:$J$253,"Confirmed",Capabilities!$K$4:$K$253,"OK — verify source"),IF(B502="AIR",COUNTIFS('System map'!$A$4:$A$203,C502,'System map'!$B$4:$B$203,"&lt;&gt;",'System map'!$C$4:$C$203,"&lt;&gt;",'System map'!$D$4:$D$203,"&lt;&gt;"),COUNTIFS(Components!$A$4:$A$253,C502,Components!$B$4:$B$253,B502,Components!$K$4:$K$253,"Confirmed",Components!$L$4:$L$253,"OK — verify source"))))&lt;&gt;1,IF(E502="UC",COUNTIFS('Use cases'!$A$4:$A$253,F502,'Use cases'!$I$4:$I$253,"Confirmed",'Use cases'!$J$4:$J$253,"OK — verify source"),IF(E502="CAP",COUNTIFS(Capabilities!$A$4:$A$253,F502,Capabilities!$J$4:$J$253,"Confirmed",Capabilities!$K$4:$K$253,"OK — verify source"),IF(E502="AIR",COUNTIFS('System map'!$A$4:$A$203,F502,'System map'!$B$4:$B$203,"&lt;&gt;",'System map'!$C$4:$C$203,"&lt;&gt;",'System map'!$D$4:$D$203,"&lt;&gt;"),COUNTIFS(Components!$A$4:$A$253,F502,Components!$B$4:$B$253,E502,Components!$K$4:$K$253,"Confirmed",Components!$L$4:$L$253,"OK — verify source"))))&lt;&gt;1)),"Endpoint not source-reconciled",IF(AND(M502="Confirmed",OR(L502="",K502="",K502="Unknown",K502="Low")),"Confirmed link lacks verification","OK — verify source"))))))))))))))</f>
        <v/>
      </c>
    </row>
    <row r="503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8" t="n"/>
      <c r="M503" s="27" t="n"/>
      <c r="N503" s="27">
        <f>IF(COUNTA(A503:M503)=0,"",IF(OR(A503="",B503="",C503="",D503="",E503="",F503="",I503="",J503="",K503="",M503=""),"Required link detail missing",IF(COUNTIF($A$4:$A$1003,A503)&gt;1,"Duplicate Map Edge ID",IF(NOT(OR(AND(B503="UC",E503="CAP",D503="requires"),AND(B503="CAP",E503="AIR",D503="provided by"),AND(B503="AIR",OR(E503="MOD",E503="DATA",E503="IF",E503="AG",E503="TOOL"),D503="references"),AND(B503="AIR",E503="AIR",D503="depends on"))),"Invalid relationship",IF(AND(M503&lt;&gt;"Superseded",COUNTIFS($B$4:$B$1003,B503,$C$4:$C$1003,C503,$D$4:$D$1003,D503,$E$4:$E$1003,E503,$F$4:$F$1003,F503,$G$4:$G$1003,G503,$M$4:$M$1003,"&lt;&gt;Superseded")&gt;1),"Duplicate relationship",IF(OR(IF(B503="UC",COUNTIF('Use cases'!$A$4:$A$253,C503),IF(B503="CAP",COUNTIF(Capabilities!$A$4:$A$253,C503),IF(B503="AIR",COUNTIF('System map'!$A$4:$A$203,C503),COUNTIFS(Components!$A$4:$A$253,C503,Components!$B$4:$B$253,B503))))&lt;&gt;1,IF(E503="UC",COUNTIF('Use cases'!$A$4:$A$253,F503),IF(E503="CAP",COUNTIF(Capabilities!$A$4:$A$253,F503),IF(E503="AIR",COUNTIF('System map'!$A$4:$A$203,F503),COUNTIFS(Components!$A$4:$A$253,F503,Components!$B$4:$B$253,E503))))&lt;&gt;1),"Endpoint missing or duplicated",IF(AND(NOT(AND(B503="UC",E503="CAP")),OR(G503="",COUNTIF('System map'!$A$4:$A$203,G503)&lt;&gt;1)),"AIR context missing / unknown",IF(AND(B503="CAP",E503="AIR",G503&lt;&gt;F503),"AIR context mismatch",IF(AND(B503="AIR",G503&lt;&gt;C503),"AIR context mismatch",IF(AND(B503="AIR",E503="AIR",C503=F503),"Self-dependency",IF(AND(B503="AIR",E503="AIR",M503&lt;&gt;"Superseded",COUNTIFS($B$4:$B$1003,"AIR",$C$4:$C$1003,F503,$E$4:$E$1003,"AIR",$F$4:$F$1003,C503,$M$4:$M$1003,"&lt;&gt;Superseded")&gt;0),"Dependency cycle (A↔B) — review",IF(AND(B503="AIR",OR(E503="MOD",E503="DATA",E503="IF",E503="AG",E503="TOOL"),IFERROR(INDEX(Components!$G$4:$G$253,MATCH(F503,Components!$A$4:$A$253,0)),"")&lt;&gt;"",IFERROR(INDEX(Components!$G$4:$G$253,MATCH(F503,Components!$A$4:$A$253,0)),"")&lt;&gt;C503),"Component owned by another AIR-ID",IF(AND(M503="Confirmed",OR(IF(B503="UC",COUNTIFS('Use cases'!$A$4:$A$253,C503,'Use cases'!$I$4:$I$253,"Confirmed",'Use cases'!$J$4:$J$253,"OK — verify source"),IF(B503="CAP",COUNTIFS(Capabilities!$A$4:$A$253,C503,Capabilities!$J$4:$J$253,"Confirmed",Capabilities!$K$4:$K$253,"OK — verify source"),IF(B503="AIR",COUNTIFS('System map'!$A$4:$A$203,C503,'System map'!$B$4:$B$203,"&lt;&gt;",'System map'!$C$4:$C$203,"&lt;&gt;",'System map'!$D$4:$D$203,"&lt;&gt;"),COUNTIFS(Components!$A$4:$A$253,C503,Components!$B$4:$B$253,B503,Components!$K$4:$K$253,"Confirmed",Components!$L$4:$L$253,"OK — verify source"))))&lt;&gt;1,IF(E503="UC",COUNTIFS('Use cases'!$A$4:$A$253,F503,'Use cases'!$I$4:$I$253,"Confirmed",'Use cases'!$J$4:$J$253,"OK — verify source"),IF(E503="CAP",COUNTIFS(Capabilities!$A$4:$A$253,F503,Capabilities!$J$4:$J$253,"Confirmed",Capabilities!$K$4:$K$253,"OK — verify source"),IF(E503="AIR",COUNTIFS('System map'!$A$4:$A$203,F503,'System map'!$B$4:$B$203,"&lt;&gt;",'System map'!$C$4:$C$203,"&lt;&gt;",'System map'!$D$4:$D$203,"&lt;&gt;"),COUNTIFS(Components!$A$4:$A$253,F503,Components!$B$4:$B$253,E503,Components!$K$4:$K$253,"Confirmed",Components!$L$4:$L$253,"OK — verify source"))))&lt;&gt;1)),"Endpoint not source-reconciled",IF(AND(M503="Confirmed",OR(L503="",K503="",K503="Unknown",K503="Low")),"Confirmed link lacks verification","OK — verify source"))))))))))))))</f>
        <v/>
      </c>
    </row>
    <row r="50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6" t="n"/>
      <c r="M504" s="25" t="n"/>
      <c r="N504" s="25">
        <f>IF(COUNTA(A504:M504)=0,"",IF(OR(A504="",B504="",C504="",D504="",E504="",F504="",I504="",J504="",K504="",M504=""),"Required link detail missing",IF(COUNTIF($A$4:$A$1003,A504)&gt;1,"Duplicate Map Edge ID",IF(NOT(OR(AND(B504="UC",E504="CAP",D504="requires"),AND(B504="CAP",E504="AIR",D504="provided by"),AND(B504="AIR",OR(E504="MOD",E504="DATA",E504="IF",E504="AG",E504="TOOL"),D504="references"),AND(B504="AIR",E504="AIR",D504="depends on"))),"Invalid relationship",IF(AND(M504&lt;&gt;"Superseded",COUNTIFS($B$4:$B$1003,B504,$C$4:$C$1003,C504,$D$4:$D$1003,D504,$E$4:$E$1003,E504,$F$4:$F$1003,F504,$G$4:$G$1003,G504,$M$4:$M$1003,"&lt;&gt;Superseded")&gt;1),"Duplicate relationship",IF(OR(IF(B504="UC",COUNTIF('Use cases'!$A$4:$A$253,C504),IF(B504="CAP",COUNTIF(Capabilities!$A$4:$A$253,C504),IF(B504="AIR",COUNTIF('System map'!$A$4:$A$203,C504),COUNTIFS(Components!$A$4:$A$253,C504,Components!$B$4:$B$253,B504))))&lt;&gt;1,IF(E504="UC",COUNTIF('Use cases'!$A$4:$A$253,F504),IF(E504="CAP",COUNTIF(Capabilities!$A$4:$A$253,F504),IF(E504="AIR",COUNTIF('System map'!$A$4:$A$203,F504),COUNTIFS(Components!$A$4:$A$253,F504,Components!$B$4:$B$253,E504))))&lt;&gt;1),"Endpoint missing or duplicated",IF(AND(NOT(AND(B504="UC",E504="CAP")),OR(G504="",COUNTIF('System map'!$A$4:$A$203,G504)&lt;&gt;1)),"AIR context missing / unknown",IF(AND(B504="CAP",E504="AIR",G504&lt;&gt;F504),"AIR context mismatch",IF(AND(B504="AIR",G504&lt;&gt;C504),"AIR context mismatch",IF(AND(B504="AIR",E504="AIR",C504=F504),"Self-dependency",IF(AND(B504="AIR",E504="AIR",M504&lt;&gt;"Superseded",COUNTIFS($B$4:$B$1003,"AIR",$C$4:$C$1003,F504,$E$4:$E$1003,"AIR",$F$4:$F$1003,C504,$M$4:$M$1003,"&lt;&gt;Superseded")&gt;0),"Dependency cycle (A↔B) — review",IF(AND(B504="AIR",OR(E504="MOD",E504="DATA",E504="IF",E504="AG",E504="TOOL"),IFERROR(INDEX(Components!$G$4:$G$253,MATCH(F504,Components!$A$4:$A$253,0)),"")&lt;&gt;"",IFERROR(INDEX(Components!$G$4:$G$253,MATCH(F504,Components!$A$4:$A$253,0)),"")&lt;&gt;C504),"Component owned by another AIR-ID",IF(AND(M504="Confirmed",OR(IF(B504="UC",COUNTIFS('Use cases'!$A$4:$A$253,C504,'Use cases'!$I$4:$I$253,"Confirmed",'Use cases'!$J$4:$J$253,"OK — verify source"),IF(B504="CAP",COUNTIFS(Capabilities!$A$4:$A$253,C504,Capabilities!$J$4:$J$253,"Confirmed",Capabilities!$K$4:$K$253,"OK — verify source"),IF(B504="AIR",COUNTIFS('System map'!$A$4:$A$203,C504,'System map'!$B$4:$B$203,"&lt;&gt;",'System map'!$C$4:$C$203,"&lt;&gt;",'System map'!$D$4:$D$203,"&lt;&gt;"),COUNTIFS(Components!$A$4:$A$253,C504,Components!$B$4:$B$253,B504,Components!$K$4:$K$253,"Confirmed",Components!$L$4:$L$253,"OK — verify source"))))&lt;&gt;1,IF(E504="UC",COUNTIFS('Use cases'!$A$4:$A$253,F504,'Use cases'!$I$4:$I$253,"Confirmed",'Use cases'!$J$4:$J$253,"OK — verify source"),IF(E504="CAP",COUNTIFS(Capabilities!$A$4:$A$253,F504,Capabilities!$J$4:$J$253,"Confirmed",Capabilities!$K$4:$K$253,"OK — verify source"),IF(E504="AIR",COUNTIFS('System map'!$A$4:$A$203,F504,'System map'!$B$4:$B$203,"&lt;&gt;",'System map'!$C$4:$C$203,"&lt;&gt;",'System map'!$D$4:$D$203,"&lt;&gt;"),COUNTIFS(Components!$A$4:$A$253,F504,Components!$B$4:$B$253,E504,Components!$K$4:$K$253,"Confirmed",Components!$L$4:$L$253,"OK — verify source"))))&lt;&gt;1)),"Endpoint not source-reconciled",IF(AND(M504="Confirmed",OR(L504="",K504="",K504="Unknown",K504="Low")),"Confirmed link lacks verification","OK — verify source"))))))))))))))</f>
        <v/>
      </c>
    </row>
    <row r="505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8" t="n"/>
      <c r="M505" s="27" t="n"/>
      <c r="N505" s="27">
        <f>IF(COUNTA(A505:M505)=0,"",IF(OR(A505="",B505="",C505="",D505="",E505="",F505="",I505="",J505="",K505="",M505=""),"Required link detail missing",IF(COUNTIF($A$4:$A$1003,A505)&gt;1,"Duplicate Map Edge ID",IF(NOT(OR(AND(B505="UC",E505="CAP",D505="requires"),AND(B505="CAP",E505="AIR",D505="provided by"),AND(B505="AIR",OR(E505="MOD",E505="DATA",E505="IF",E505="AG",E505="TOOL"),D505="references"),AND(B505="AIR",E505="AIR",D505="depends on"))),"Invalid relationship",IF(AND(M505&lt;&gt;"Superseded",COUNTIFS($B$4:$B$1003,B505,$C$4:$C$1003,C505,$D$4:$D$1003,D505,$E$4:$E$1003,E505,$F$4:$F$1003,F505,$G$4:$G$1003,G505,$M$4:$M$1003,"&lt;&gt;Superseded")&gt;1),"Duplicate relationship",IF(OR(IF(B505="UC",COUNTIF('Use cases'!$A$4:$A$253,C505),IF(B505="CAP",COUNTIF(Capabilities!$A$4:$A$253,C505),IF(B505="AIR",COUNTIF('System map'!$A$4:$A$203,C505),COUNTIFS(Components!$A$4:$A$253,C505,Components!$B$4:$B$253,B505))))&lt;&gt;1,IF(E505="UC",COUNTIF('Use cases'!$A$4:$A$253,F505),IF(E505="CAP",COUNTIF(Capabilities!$A$4:$A$253,F505),IF(E505="AIR",COUNTIF('System map'!$A$4:$A$203,F505),COUNTIFS(Components!$A$4:$A$253,F505,Components!$B$4:$B$253,E505))))&lt;&gt;1),"Endpoint missing or duplicated",IF(AND(NOT(AND(B505="UC",E505="CAP")),OR(G505="",COUNTIF('System map'!$A$4:$A$203,G505)&lt;&gt;1)),"AIR context missing / unknown",IF(AND(B505="CAP",E505="AIR",G505&lt;&gt;F505),"AIR context mismatch",IF(AND(B505="AIR",G505&lt;&gt;C505),"AIR context mismatch",IF(AND(B505="AIR",E505="AIR",C505=F505),"Self-dependency",IF(AND(B505="AIR",E505="AIR",M505&lt;&gt;"Superseded",COUNTIFS($B$4:$B$1003,"AIR",$C$4:$C$1003,F505,$E$4:$E$1003,"AIR",$F$4:$F$1003,C505,$M$4:$M$1003,"&lt;&gt;Superseded")&gt;0),"Dependency cycle (A↔B) — review",IF(AND(B505="AIR",OR(E505="MOD",E505="DATA",E505="IF",E505="AG",E505="TOOL"),IFERROR(INDEX(Components!$G$4:$G$253,MATCH(F505,Components!$A$4:$A$253,0)),"")&lt;&gt;"",IFERROR(INDEX(Components!$G$4:$G$253,MATCH(F505,Components!$A$4:$A$253,0)),"")&lt;&gt;C505),"Component owned by another AIR-ID",IF(AND(M505="Confirmed",OR(IF(B505="UC",COUNTIFS('Use cases'!$A$4:$A$253,C505,'Use cases'!$I$4:$I$253,"Confirmed",'Use cases'!$J$4:$J$253,"OK — verify source"),IF(B505="CAP",COUNTIFS(Capabilities!$A$4:$A$253,C505,Capabilities!$J$4:$J$253,"Confirmed",Capabilities!$K$4:$K$253,"OK — verify source"),IF(B505="AIR",COUNTIFS('System map'!$A$4:$A$203,C505,'System map'!$B$4:$B$203,"&lt;&gt;",'System map'!$C$4:$C$203,"&lt;&gt;",'System map'!$D$4:$D$203,"&lt;&gt;"),COUNTIFS(Components!$A$4:$A$253,C505,Components!$B$4:$B$253,B505,Components!$K$4:$K$253,"Confirmed",Components!$L$4:$L$253,"OK — verify source"))))&lt;&gt;1,IF(E505="UC",COUNTIFS('Use cases'!$A$4:$A$253,F505,'Use cases'!$I$4:$I$253,"Confirmed",'Use cases'!$J$4:$J$253,"OK — verify source"),IF(E505="CAP",COUNTIFS(Capabilities!$A$4:$A$253,F505,Capabilities!$J$4:$J$253,"Confirmed",Capabilities!$K$4:$K$253,"OK — verify source"),IF(E505="AIR",COUNTIFS('System map'!$A$4:$A$203,F505,'System map'!$B$4:$B$203,"&lt;&gt;",'System map'!$C$4:$C$203,"&lt;&gt;",'System map'!$D$4:$D$203,"&lt;&gt;"),COUNTIFS(Components!$A$4:$A$253,F505,Components!$B$4:$B$253,E505,Components!$K$4:$K$253,"Confirmed",Components!$L$4:$L$253,"OK — verify source"))))&lt;&gt;1)),"Endpoint not source-reconciled",IF(AND(M505="Confirmed",OR(L505="",K505="",K505="Unknown",K505="Low")),"Confirmed link lacks verification","OK — verify source"))))))))))))))</f>
        <v/>
      </c>
    </row>
    <row r="506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6" t="n"/>
      <c r="M506" s="25" t="n"/>
      <c r="N506" s="25">
        <f>IF(COUNTA(A506:M506)=0,"",IF(OR(A506="",B506="",C506="",D506="",E506="",F506="",I506="",J506="",K506="",M506=""),"Required link detail missing",IF(COUNTIF($A$4:$A$1003,A506)&gt;1,"Duplicate Map Edge ID",IF(NOT(OR(AND(B506="UC",E506="CAP",D506="requires"),AND(B506="CAP",E506="AIR",D506="provided by"),AND(B506="AIR",OR(E506="MOD",E506="DATA",E506="IF",E506="AG",E506="TOOL"),D506="references"),AND(B506="AIR",E506="AIR",D506="depends on"))),"Invalid relationship",IF(AND(M506&lt;&gt;"Superseded",COUNTIFS($B$4:$B$1003,B506,$C$4:$C$1003,C506,$D$4:$D$1003,D506,$E$4:$E$1003,E506,$F$4:$F$1003,F506,$G$4:$G$1003,G506,$M$4:$M$1003,"&lt;&gt;Superseded")&gt;1),"Duplicate relationship",IF(OR(IF(B506="UC",COUNTIF('Use cases'!$A$4:$A$253,C506),IF(B506="CAP",COUNTIF(Capabilities!$A$4:$A$253,C506),IF(B506="AIR",COUNTIF('System map'!$A$4:$A$203,C506),COUNTIFS(Components!$A$4:$A$253,C506,Components!$B$4:$B$253,B506))))&lt;&gt;1,IF(E506="UC",COUNTIF('Use cases'!$A$4:$A$253,F506),IF(E506="CAP",COUNTIF(Capabilities!$A$4:$A$253,F506),IF(E506="AIR",COUNTIF('System map'!$A$4:$A$203,F506),COUNTIFS(Components!$A$4:$A$253,F506,Components!$B$4:$B$253,E506))))&lt;&gt;1),"Endpoint missing or duplicated",IF(AND(NOT(AND(B506="UC",E506="CAP")),OR(G506="",COUNTIF('System map'!$A$4:$A$203,G506)&lt;&gt;1)),"AIR context missing / unknown",IF(AND(B506="CAP",E506="AIR",G506&lt;&gt;F506),"AIR context mismatch",IF(AND(B506="AIR",G506&lt;&gt;C506),"AIR context mismatch",IF(AND(B506="AIR",E506="AIR",C506=F506),"Self-dependency",IF(AND(B506="AIR",E506="AIR",M506&lt;&gt;"Superseded",COUNTIFS($B$4:$B$1003,"AIR",$C$4:$C$1003,F506,$E$4:$E$1003,"AIR",$F$4:$F$1003,C506,$M$4:$M$1003,"&lt;&gt;Superseded")&gt;0),"Dependency cycle (A↔B) — review",IF(AND(B506="AIR",OR(E506="MOD",E506="DATA",E506="IF",E506="AG",E506="TOOL"),IFERROR(INDEX(Components!$G$4:$G$253,MATCH(F506,Components!$A$4:$A$253,0)),"")&lt;&gt;"",IFERROR(INDEX(Components!$G$4:$G$253,MATCH(F506,Components!$A$4:$A$253,0)),"")&lt;&gt;C506),"Component owned by another AIR-ID",IF(AND(M506="Confirmed",OR(IF(B506="UC",COUNTIFS('Use cases'!$A$4:$A$253,C506,'Use cases'!$I$4:$I$253,"Confirmed",'Use cases'!$J$4:$J$253,"OK — verify source"),IF(B506="CAP",COUNTIFS(Capabilities!$A$4:$A$253,C506,Capabilities!$J$4:$J$253,"Confirmed",Capabilities!$K$4:$K$253,"OK — verify source"),IF(B506="AIR",COUNTIFS('System map'!$A$4:$A$203,C506,'System map'!$B$4:$B$203,"&lt;&gt;",'System map'!$C$4:$C$203,"&lt;&gt;",'System map'!$D$4:$D$203,"&lt;&gt;"),COUNTIFS(Components!$A$4:$A$253,C506,Components!$B$4:$B$253,B506,Components!$K$4:$K$253,"Confirmed",Components!$L$4:$L$253,"OK — verify source"))))&lt;&gt;1,IF(E506="UC",COUNTIFS('Use cases'!$A$4:$A$253,F506,'Use cases'!$I$4:$I$253,"Confirmed",'Use cases'!$J$4:$J$253,"OK — verify source"),IF(E506="CAP",COUNTIFS(Capabilities!$A$4:$A$253,F506,Capabilities!$J$4:$J$253,"Confirmed",Capabilities!$K$4:$K$253,"OK — verify source"),IF(E506="AIR",COUNTIFS('System map'!$A$4:$A$203,F506,'System map'!$B$4:$B$203,"&lt;&gt;",'System map'!$C$4:$C$203,"&lt;&gt;",'System map'!$D$4:$D$203,"&lt;&gt;"),COUNTIFS(Components!$A$4:$A$253,F506,Components!$B$4:$B$253,E506,Components!$K$4:$K$253,"Confirmed",Components!$L$4:$L$253,"OK — verify source"))))&lt;&gt;1)),"Endpoint not source-reconciled",IF(AND(M506="Confirmed",OR(L506="",K506="",K506="Unknown",K506="Low")),"Confirmed link lacks verification","OK — verify source"))))))))))))))</f>
        <v/>
      </c>
    </row>
    <row r="507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8" t="n"/>
      <c r="M507" s="27" t="n"/>
      <c r="N507" s="27">
        <f>IF(COUNTA(A507:M507)=0,"",IF(OR(A507="",B507="",C507="",D507="",E507="",F507="",I507="",J507="",K507="",M507=""),"Required link detail missing",IF(COUNTIF($A$4:$A$1003,A507)&gt;1,"Duplicate Map Edge ID",IF(NOT(OR(AND(B507="UC",E507="CAP",D507="requires"),AND(B507="CAP",E507="AIR",D507="provided by"),AND(B507="AIR",OR(E507="MOD",E507="DATA",E507="IF",E507="AG",E507="TOOL"),D507="references"),AND(B507="AIR",E507="AIR",D507="depends on"))),"Invalid relationship",IF(AND(M507&lt;&gt;"Superseded",COUNTIFS($B$4:$B$1003,B507,$C$4:$C$1003,C507,$D$4:$D$1003,D507,$E$4:$E$1003,E507,$F$4:$F$1003,F507,$G$4:$G$1003,G507,$M$4:$M$1003,"&lt;&gt;Superseded")&gt;1),"Duplicate relationship",IF(OR(IF(B507="UC",COUNTIF('Use cases'!$A$4:$A$253,C507),IF(B507="CAP",COUNTIF(Capabilities!$A$4:$A$253,C507),IF(B507="AIR",COUNTIF('System map'!$A$4:$A$203,C507),COUNTIFS(Components!$A$4:$A$253,C507,Components!$B$4:$B$253,B507))))&lt;&gt;1,IF(E507="UC",COUNTIF('Use cases'!$A$4:$A$253,F507),IF(E507="CAP",COUNTIF(Capabilities!$A$4:$A$253,F507),IF(E507="AIR",COUNTIF('System map'!$A$4:$A$203,F507),COUNTIFS(Components!$A$4:$A$253,F507,Components!$B$4:$B$253,E507))))&lt;&gt;1),"Endpoint missing or duplicated",IF(AND(NOT(AND(B507="UC",E507="CAP")),OR(G507="",COUNTIF('System map'!$A$4:$A$203,G507)&lt;&gt;1)),"AIR context missing / unknown",IF(AND(B507="CAP",E507="AIR",G507&lt;&gt;F507),"AIR context mismatch",IF(AND(B507="AIR",G507&lt;&gt;C507),"AIR context mismatch",IF(AND(B507="AIR",E507="AIR",C507=F507),"Self-dependency",IF(AND(B507="AIR",E507="AIR",M507&lt;&gt;"Superseded",COUNTIFS($B$4:$B$1003,"AIR",$C$4:$C$1003,F507,$E$4:$E$1003,"AIR",$F$4:$F$1003,C507,$M$4:$M$1003,"&lt;&gt;Superseded")&gt;0),"Dependency cycle (A↔B) — review",IF(AND(B507="AIR",OR(E507="MOD",E507="DATA",E507="IF",E507="AG",E507="TOOL"),IFERROR(INDEX(Components!$G$4:$G$253,MATCH(F507,Components!$A$4:$A$253,0)),"")&lt;&gt;"",IFERROR(INDEX(Components!$G$4:$G$253,MATCH(F507,Components!$A$4:$A$253,0)),"")&lt;&gt;C507),"Component owned by another AIR-ID",IF(AND(M507="Confirmed",OR(IF(B507="UC",COUNTIFS('Use cases'!$A$4:$A$253,C507,'Use cases'!$I$4:$I$253,"Confirmed",'Use cases'!$J$4:$J$253,"OK — verify source"),IF(B507="CAP",COUNTIFS(Capabilities!$A$4:$A$253,C507,Capabilities!$J$4:$J$253,"Confirmed",Capabilities!$K$4:$K$253,"OK — verify source"),IF(B507="AIR",COUNTIFS('System map'!$A$4:$A$203,C507,'System map'!$B$4:$B$203,"&lt;&gt;",'System map'!$C$4:$C$203,"&lt;&gt;",'System map'!$D$4:$D$203,"&lt;&gt;"),COUNTIFS(Components!$A$4:$A$253,C507,Components!$B$4:$B$253,B507,Components!$K$4:$K$253,"Confirmed",Components!$L$4:$L$253,"OK — verify source"))))&lt;&gt;1,IF(E507="UC",COUNTIFS('Use cases'!$A$4:$A$253,F507,'Use cases'!$I$4:$I$253,"Confirmed",'Use cases'!$J$4:$J$253,"OK — verify source"),IF(E507="CAP",COUNTIFS(Capabilities!$A$4:$A$253,F507,Capabilities!$J$4:$J$253,"Confirmed",Capabilities!$K$4:$K$253,"OK — verify source"),IF(E507="AIR",COUNTIFS('System map'!$A$4:$A$203,F507,'System map'!$B$4:$B$203,"&lt;&gt;",'System map'!$C$4:$C$203,"&lt;&gt;",'System map'!$D$4:$D$203,"&lt;&gt;"),COUNTIFS(Components!$A$4:$A$253,F507,Components!$B$4:$B$253,E507,Components!$K$4:$K$253,"Confirmed",Components!$L$4:$L$253,"OK — verify source"))))&lt;&gt;1)),"Endpoint not source-reconciled",IF(AND(M507="Confirmed",OR(L507="",K507="",K507="Unknown",K507="Low")),"Confirmed link lacks verification","OK — verify source"))))))))))))))</f>
        <v/>
      </c>
    </row>
    <row r="508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6" t="n"/>
      <c r="M508" s="25" t="n"/>
      <c r="N508" s="25">
        <f>IF(COUNTA(A508:M508)=0,"",IF(OR(A508="",B508="",C508="",D508="",E508="",F508="",I508="",J508="",K508="",M508=""),"Required link detail missing",IF(COUNTIF($A$4:$A$1003,A508)&gt;1,"Duplicate Map Edge ID",IF(NOT(OR(AND(B508="UC",E508="CAP",D508="requires"),AND(B508="CAP",E508="AIR",D508="provided by"),AND(B508="AIR",OR(E508="MOD",E508="DATA",E508="IF",E508="AG",E508="TOOL"),D508="references"),AND(B508="AIR",E508="AIR",D508="depends on"))),"Invalid relationship",IF(AND(M508&lt;&gt;"Superseded",COUNTIFS($B$4:$B$1003,B508,$C$4:$C$1003,C508,$D$4:$D$1003,D508,$E$4:$E$1003,E508,$F$4:$F$1003,F508,$G$4:$G$1003,G508,$M$4:$M$1003,"&lt;&gt;Superseded")&gt;1),"Duplicate relationship",IF(OR(IF(B508="UC",COUNTIF('Use cases'!$A$4:$A$253,C508),IF(B508="CAP",COUNTIF(Capabilities!$A$4:$A$253,C508),IF(B508="AIR",COUNTIF('System map'!$A$4:$A$203,C508),COUNTIFS(Components!$A$4:$A$253,C508,Components!$B$4:$B$253,B508))))&lt;&gt;1,IF(E508="UC",COUNTIF('Use cases'!$A$4:$A$253,F508),IF(E508="CAP",COUNTIF(Capabilities!$A$4:$A$253,F508),IF(E508="AIR",COUNTIF('System map'!$A$4:$A$203,F508),COUNTIFS(Components!$A$4:$A$253,F508,Components!$B$4:$B$253,E508))))&lt;&gt;1),"Endpoint missing or duplicated",IF(AND(NOT(AND(B508="UC",E508="CAP")),OR(G508="",COUNTIF('System map'!$A$4:$A$203,G508)&lt;&gt;1)),"AIR context missing / unknown",IF(AND(B508="CAP",E508="AIR",G508&lt;&gt;F508),"AIR context mismatch",IF(AND(B508="AIR",G508&lt;&gt;C508),"AIR context mismatch",IF(AND(B508="AIR",E508="AIR",C508=F508),"Self-dependency",IF(AND(B508="AIR",E508="AIR",M508&lt;&gt;"Superseded",COUNTIFS($B$4:$B$1003,"AIR",$C$4:$C$1003,F508,$E$4:$E$1003,"AIR",$F$4:$F$1003,C508,$M$4:$M$1003,"&lt;&gt;Superseded")&gt;0),"Dependency cycle (A↔B) — review",IF(AND(B508="AIR",OR(E508="MOD",E508="DATA",E508="IF",E508="AG",E508="TOOL"),IFERROR(INDEX(Components!$G$4:$G$253,MATCH(F508,Components!$A$4:$A$253,0)),"")&lt;&gt;"",IFERROR(INDEX(Components!$G$4:$G$253,MATCH(F508,Components!$A$4:$A$253,0)),"")&lt;&gt;C508),"Component owned by another AIR-ID",IF(AND(M508="Confirmed",OR(IF(B508="UC",COUNTIFS('Use cases'!$A$4:$A$253,C508,'Use cases'!$I$4:$I$253,"Confirmed",'Use cases'!$J$4:$J$253,"OK — verify source"),IF(B508="CAP",COUNTIFS(Capabilities!$A$4:$A$253,C508,Capabilities!$J$4:$J$253,"Confirmed",Capabilities!$K$4:$K$253,"OK — verify source"),IF(B508="AIR",COUNTIFS('System map'!$A$4:$A$203,C508,'System map'!$B$4:$B$203,"&lt;&gt;",'System map'!$C$4:$C$203,"&lt;&gt;",'System map'!$D$4:$D$203,"&lt;&gt;"),COUNTIFS(Components!$A$4:$A$253,C508,Components!$B$4:$B$253,B508,Components!$K$4:$K$253,"Confirmed",Components!$L$4:$L$253,"OK — verify source"))))&lt;&gt;1,IF(E508="UC",COUNTIFS('Use cases'!$A$4:$A$253,F508,'Use cases'!$I$4:$I$253,"Confirmed",'Use cases'!$J$4:$J$253,"OK — verify source"),IF(E508="CAP",COUNTIFS(Capabilities!$A$4:$A$253,F508,Capabilities!$J$4:$J$253,"Confirmed",Capabilities!$K$4:$K$253,"OK — verify source"),IF(E508="AIR",COUNTIFS('System map'!$A$4:$A$203,F508,'System map'!$B$4:$B$203,"&lt;&gt;",'System map'!$C$4:$C$203,"&lt;&gt;",'System map'!$D$4:$D$203,"&lt;&gt;"),COUNTIFS(Components!$A$4:$A$253,F508,Components!$B$4:$B$253,E508,Components!$K$4:$K$253,"Confirmed",Components!$L$4:$L$253,"OK — verify source"))))&lt;&gt;1)),"Endpoint not source-reconciled",IF(AND(M508="Confirmed",OR(L508="",K508="",K508="Unknown",K508="Low")),"Confirmed link lacks verification","OK — verify source"))))))))))))))</f>
        <v/>
      </c>
    </row>
    <row r="509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8" t="n"/>
      <c r="M509" s="27" t="n"/>
      <c r="N509" s="27">
        <f>IF(COUNTA(A509:M509)=0,"",IF(OR(A509="",B509="",C509="",D509="",E509="",F509="",I509="",J509="",K509="",M509=""),"Required link detail missing",IF(COUNTIF($A$4:$A$1003,A509)&gt;1,"Duplicate Map Edge ID",IF(NOT(OR(AND(B509="UC",E509="CAP",D509="requires"),AND(B509="CAP",E509="AIR",D509="provided by"),AND(B509="AIR",OR(E509="MOD",E509="DATA",E509="IF",E509="AG",E509="TOOL"),D509="references"),AND(B509="AIR",E509="AIR",D509="depends on"))),"Invalid relationship",IF(AND(M509&lt;&gt;"Superseded",COUNTIFS($B$4:$B$1003,B509,$C$4:$C$1003,C509,$D$4:$D$1003,D509,$E$4:$E$1003,E509,$F$4:$F$1003,F509,$G$4:$G$1003,G509,$M$4:$M$1003,"&lt;&gt;Superseded")&gt;1),"Duplicate relationship",IF(OR(IF(B509="UC",COUNTIF('Use cases'!$A$4:$A$253,C509),IF(B509="CAP",COUNTIF(Capabilities!$A$4:$A$253,C509),IF(B509="AIR",COUNTIF('System map'!$A$4:$A$203,C509),COUNTIFS(Components!$A$4:$A$253,C509,Components!$B$4:$B$253,B509))))&lt;&gt;1,IF(E509="UC",COUNTIF('Use cases'!$A$4:$A$253,F509),IF(E509="CAP",COUNTIF(Capabilities!$A$4:$A$253,F509),IF(E509="AIR",COUNTIF('System map'!$A$4:$A$203,F509),COUNTIFS(Components!$A$4:$A$253,F509,Components!$B$4:$B$253,E509))))&lt;&gt;1),"Endpoint missing or duplicated",IF(AND(NOT(AND(B509="UC",E509="CAP")),OR(G509="",COUNTIF('System map'!$A$4:$A$203,G509)&lt;&gt;1)),"AIR context missing / unknown",IF(AND(B509="CAP",E509="AIR",G509&lt;&gt;F509),"AIR context mismatch",IF(AND(B509="AIR",G509&lt;&gt;C509),"AIR context mismatch",IF(AND(B509="AIR",E509="AIR",C509=F509),"Self-dependency",IF(AND(B509="AIR",E509="AIR",M509&lt;&gt;"Superseded",COUNTIFS($B$4:$B$1003,"AIR",$C$4:$C$1003,F509,$E$4:$E$1003,"AIR",$F$4:$F$1003,C509,$M$4:$M$1003,"&lt;&gt;Superseded")&gt;0),"Dependency cycle (A↔B) — review",IF(AND(B509="AIR",OR(E509="MOD",E509="DATA",E509="IF",E509="AG",E509="TOOL"),IFERROR(INDEX(Components!$G$4:$G$253,MATCH(F509,Components!$A$4:$A$253,0)),"")&lt;&gt;"",IFERROR(INDEX(Components!$G$4:$G$253,MATCH(F509,Components!$A$4:$A$253,0)),"")&lt;&gt;C509),"Component owned by another AIR-ID",IF(AND(M509="Confirmed",OR(IF(B509="UC",COUNTIFS('Use cases'!$A$4:$A$253,C509,'Use cases'!$I$4:$I$253,"Confirmed",'Use cases'!$J$4:$J$253,"OK — verify source"),IF(B509="CAP",COUNTIFS(Capabilities!$A$4:$A$253,C509,Capabilities!$J$4:$J$253,"Confirmed",Capabilities!$K$4:$K$253,"OK — verify source"),IF(B509="AIR",COUNTIFS('System map'!$A$4:$A$203,C509,'System map'!$B$4:$B$203,"&lt;&gt;",'System map'!$C$4:$C$203,"&lt;&gt;",'System map'!$D$4:$D$203,"&lt;&gt;"),COUNTIFS(Components!$A$4:$A$253,C509,Components!$B$4:$B$253,B509,Components!$K$4:$K$253,"Confirmed",Components!$L$4:$L$253,"OK — verify source"))))&lt;&gt;1,IF(E509="UC",COUNTIFS('Use cases'!$A$4:$A$253,F509,'Use cases'!$I$4:$I$253,"Confirmed",'Use cases'!$J$4:$J$253,"OK — verify source"),IF(E509="CAP",COUNTIFS(Capabilities!$A$4:$A$253,F509,Capabilities!$J$4:$J$253,"Confirmed",Capabilities!$K$4:$K$253,"OK — verify source"),IF(E509="AIR",COUNTIFS('System map'!$A$4:$A$203,F509,'System map'!$B$4:$B$203,"&lt;&gt;",'System map'!$C$4:$C$203,"&lt;&gt;",'System map'!$D$4:$D$203,"&lt;&gt;"),COUNTIFS(Components!$A$4:$A$253,F509,Components!$B$4:$B$253,E509,Components!$K$4:$K$253,"Confirmed",Components!$L$4:$L$253,"OK — verify source"))))&lt;&gt;1)),"Endpoint not source-reconciled",IF(AND(M509="Confirmed",OR(L509="",K509="",K509="Unknown",K509="Low")),"Confirmed link lacks verification","OK — verify source"))))))))))))))</f>
        <v/>
      </c>
    </row>
    <row r="510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6" t="n"/>
      <c r="M510" s="25" t="n"/>
      <c r="N510" s="25">
        <f>IF(COUNTA(A510:M510)=0,"",IF(OR(A510="",B510="",C510="",D510="",E510="",F510="",I510="",J510="",K510="",M510=""),"Required link detail missing",IF(COUNTIF($A$4:$A$1003,A510)&gt;1,"Duplicate Map Edge ID",IF(NOT(OR(AND(B510="UC",E510="CAP",D510="requires"),AND(B510="CAP",E510="AIR",D510="provided by"),AND(B510="AIR",OR(E510="MOD",E510="DATA",E510="IF",E510="AG",E510="TOOL"),D510="references"),AND(B510="AIR",E510="AIR",D510="depends on"))),"Invalid relationship",IF(AND(M510&lt;&gt;"Superseded",COUNTIFS($B$4:$B$1003,B510,$C$4:$C$1003,C510,$D$4:$D$1003,D510,$E$4:$E$1003,E510,$F$4:$F$1003,F510,$G$4:$G$1003,G510,$M$4:$M$1003,"&lt;&gt;Superseded")&gt;1),"Duplicate relationship",IF(OR(IF(B510="UC",COUNTIF('Use cases'!$A$4:$A$253,C510),IF(B510="CAP",COUNTIF(Capabilities!$A$4:$A$253,C510),IF(B510="AIR",COUNTIF('System map'!$A$4:$A$203,C510),COUNTIFS(Components!$A$4:$A$253,C510,Components!$B$4:$B$253,B510))))&lt;&gt;1,IF(E510="UC",COUNTIF('Use cases'!$A$4:$A$253,F510),IF(E510="CAP",COUNTIF(Capabilities!$A$4:$A$253,F510),IF(E510="AIR",COUNTIF('System map'!$A$4:$A$203,F510),COUNTIFS(Components!$A$4:$A$253,F510,Components!$B$4:$B$253,E510))))&lt;&gt;1),"Endpoint missing or duplicated",IF(AND(NOT(AND(B510="UC",E510="CAP")),OR(G510="",COUNTIF('System map'!$A$4:$A$203,G510)&lt;&gt;1)),"AIR context missing / unknown",IF(AND(B510="CAP",E510="AIR",G510&lt;&gt;F510),"AIR context mismatch",IF(AND(B510="AIR",G510&lt;&gt;C510),"AIR context mismatch",IF(AND(B510="AIR",E510="AIR",C510=F510),"Self-dependency",IF(AND(B510="AIR",E510="AIR",M510&lt;&gt;"Superseded",COUNTIFS($B$4:$B$1003,"AIR",$C$4:$C$1003,F510,$E$4:$E$1003,"AIR",$F$4:$F$1003,C510,$M$4:$M$1003,"&lt;&gt;Superseded")&gt;0),"Dependency cycle (A↔B) — review",IF(AND(B510="AIR",OR(E510="MOD",E510="DATA",E510="IF",E510="AG",E510="TOOL"),IFERROR(INDEX(Components!$G$4:$G$253,MATCH(F510,Components!$A$4:$A$253,0)),"")&lt;&gt;"",IFERROR(INDEX(Components!$G$4:$G$253,MATCH(F510,Components!$A$4:$A$253,0)),"")&lt;&gt;C510),"Component owned by another AIR-ID",IF(AND(M510="Confirmed",OR(IF(B510="UC",COUNTIFS('Use cases'!$A$4:$A$253,C510,'Use cases'!$I$4:$I$253,"Confirmed",'Use cases'!$J$4:$J$253,"OK — verify source"),IF(B510="CAP",COUNTIFS(Capabilities!$A$4:$A$253,C510,Capabilities!$J$4:$J$253,"Confirmed",Capabilities!$K$4:$K$253,"OK — verify source"),IF(B510="AIR",COUNTIFS('System map'!$A$4:$A$203,C510,'System map'!$B$4:$B$203,"&lt;&gt;",'System map'!$C$4:$C$203,"&lt;&gt;",'System map'!$D$4:$D$203,"&lt;&gt;"),COUNTIFS(Components!$A$4:$A$253,C510,Components!$B$4:$B$253,B510,Components!$K$4:$K$253,"Confirmed",Components!$L$4:$L$253,"OK — verify source"))))&lt;&gt;1,IF(E510="UC",COUNTIFS('Use cases'!$A$4:$A$253,F510,'Use cases'!$I$4:$I$253,"Confirmed",'Use cases'!$J$4:$J$253,"OK — verify source"),IF(E510="CAP",COUNTIFS(Capabilities!$A$4:$A$253,F510,Capabilities!$J$4:$J$253,"Confirmed",Capabilities!$K$4:$K$253,"OK — verify source"),IF(E510="AIR",COUNTIFS('System map'!$A$4:$A$203,F510,'System map'!$B$4:$B$203,"&lt;&gt;",'System map'!$C$4:$C$203,"&lt;&gt;",'System map'!$D$4:$D$203,"&lt;&gt;"),COUNTIFS(Components!$A$4:$A$253,F510,Components!$B$4:$B$253,E510,Components!$K$4:$K$253,"Confirmed",Components!$L$4:$L$253,"OK — verify source"))))&lt;&gt;1)),"Endpoint not source-reconciled",IF(AND(M510="Confirmed",OR(L510="",K510="",K510="Unknown",K510="Low")),"Confirmed link lacks verification","OK — verify source"))))))))))))))</f>
        <v/>
      </c>
    </row>
    <row r="511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8" t="n"/>
      <c r="M511" s="27" t="n"/>
      <c r="N511" s="27">
        <f>IF(COUNTA(A511:M511)=0,"",IF(OR(A511="",B511="",C511="",D511="",E511="",F511="",I511="",J511="",K511="",M511=""),"Required link detail missing",IF(COUNTIF($A$4:$A$1003,A511)&gt;1,"Duplicate Map Edge ID",IF(NOT(OR(AND(B511="UC",E511="CAP",D511="requires"),AND(B511="CAP",E511="AIR",D511="provided by"),AND(B511="AIR",OR(E511="MOD",E511="DATA",E511="IF",E511="AG",E511="TOOL"),D511="references"),AND(B511="AIR",E511="AIR",D511="depends on"))),"Invalid relationship",IF(AND(M511&lt;&gt;"Superseded",COUNTIFS($B$4:$B$1003,B511,$C$4:$C$1003,C511,$D$4:$D$1003,D511,$E$4:$E$1003,E511,$F$4:$F$1003,F511,$G$4:$G$1003,G511,$M$4:$M$1003,"&lt;&gt;Superseded")&gt;1),"Duplicate relationship",IF(OR(IF(B511="UC",COUNTIF('Use cases'!$A$4:$A$253,C511),IF(B511="CAP",COUNTIF(Capabilities!$A$4:$A$253,C511),IF(B511="AIR",COUNTIF('System map'!$A$4:$A$203,C511),COUNTIFS(Components!$A$4:$A$253,C511,Components!$B$4:$B$253,B511))))&lt;&gt;1,IF(E511="UC",COUNTIF('Use cases'!$A$4:$A$253,F511),IF(E511="CAP",COUNTIF(Capabilities!$A$4:$A$253,F511),IF(E511="AIR",COUNTIF('System map'!$A$4:$A$203,F511),COUNTIFS(Components!$A$4:$A$253,F511,Components!$B$4:$B$253,E511))))&lt;&gt;1),"Endpoint missing or duplicated",IF(AND(NOT(AND(B511="UC",E511="CAP")),OR(G511="",COUNTIF('System map'!$A$4:$A$203,G511)&lt;&gt;1)),"AIR context missing / unknown",IF(AND(B511="CAP",E511="AIR",G511&lt;&gt;F511),"AIR context mismatch",IF(AND(B511="AIR",G511&lt;&gt;C511),"AIR context mismatch",IF(AND(B511="AIR",E511="AIR",C511=F511),"Self-dependency",IF(AND(B511="AIR",E511="AIR",M511&lt;&gt;"Superseded",COUNTIFS($B$4:$B$1003,"AIR",$C$4:$C$1003,F511,$E$4:$E$1003,"AIR",$F$4:$F$1003,C511,$M$4:$M$1003,"&lt;&gt;Superseded")&gt;0),"Dependency cycle (A↔B) — review",IF(AND(B511="AIR",OR(E511="MOD",E511="DATA",E511="IF",E511="AG",E511="TOOL"),IFERROR(INDEX(Components!$G$4:$G$253,MATCH(F511,Components!$A$4:$A$253,0)),"")&lt;&gt;"",IFERROR(INDEX(Components!$G$4:$G$253,MATCH(F511,Components!$A$4:$A$253,0)),"")&lt;&gt;C511),"Component owned by another AIR-ID",IF(AND(M511="Confirmed",OR(IF(B511="UC",COUNTIFS('Use cases'!$A$4:$A$253,C511,'Use cases'!$I$4:$I$253,"Confirmed",'Use cases'!$J$4:$J$253,"OK — verify source"),IF(B511="CAP",COUNTIFS(Capabilities!$A$4:$A$253,C511,Capabilities!$J$4:$J$253,"Confirmed",Capabilities!$K$4:$K$253,"OK — verify source"),IF(B511="AIR",COUNTIFS('System map'!$A$4:$A$203,C511,'System map'!$B$4:$B$203,"&lt;&gt;",'System map'!$C$4:$C$203,"&lt;&gt;",'System map'!$D$4:$D$203,"&lt;&gt;"),COUNTIFS(Components!$A$4:$A$253,C511,Components!$B$4:$B$253,B511,Components!$K$4:$K$253,"Confirmed",Components!$L$4:$L$253,"OK — verify source"))))&lt;&gt;1,IF(E511="UC",COUNTIFS('Use cases'!$A$4:$A$253,F511,'Use cases'!$I$4:$I$253,"Confirmed",'Use cases'!$J$4:$J$253,"OK — verify source"),IF(E511="CAP",COUNTIFS(Capabilities!$A$4:$A$253,F511,Capabilities!$J$4:$J$253,"Confirmed",Capabilities!$K$4:$K$253,"OK — verify source"),IF(E511="AIR",COUNTIFS('System map'!$A$4:$A$203,F511,'System map'!$B$4:$B$203,"&lt;&gt;",'System map'!$C$4:$C$203,"&lt;&gt;",'System map'!$D$4:$D$203,"&lt;&gt;"),COUNTIFS(Components!$A$4:$A$253,F511,Components!$B$4:$B$253,E511,Components!$K$4:$K$253,"Confirmed",Components!$L$4:$L$253,"OK — verify source"))))&lt;&gt;1)),"Endpoint not source-reconciled",IF(AND(M511="Confirmed",OR(L511="",K511="",K511="Unknown",K511="Low")),"Confirmed link lacks verification","OK — verify source"))))))))))))))</f>
        <v/>
      </c>
    </row>
    <row r="512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6" t="n"/>
      <c r="M512" s="25" t="n"/>
      <c r="N512" s="25">
        <f>IF(COUNTA(A512:M512)=0,"",IF(OR(A512="",B512="",C512="",D512="",E512="",F512="",I512="",J512="",K512="",M512=""),"Required link detail missing",IF(COUNTIF($A$4:$A$1003,A512)&gt;1,"Duplicate Map Edge ID",IF(NOT(OR(AND(B512="UC",E512="CAP",D512="requires"),AND(B512="CAP",E512="AIR",D512="provided by"),AND(B512="AIR",OR(E512="MOD",E512="DATA",E512="IF",E512="AG",E512="TOOL"),D512="references"),AND(B512="AIR",E512="AIR",D512="depends on"))),"Invalid relationship",IF(AND(M512&lt;&gt;"Superseded",COUNTIFS($B$4:$B$1003,B512,$C$4:$C$1003,C512,$D$4:$D$1003,D512,$E$4:$E$1003,E512,$F$4:$F$1003,F512,$G$4:$G$1003,G512,$M$4:$M$1003,"&lt;&gt;Superseded")&gt;1),"Duplicate relationship",IF(OR(IF(B512="UC",COUNTIF('Use cases'!$A$4:$A$253,C512),IF(B512="CAP",COUNTIF(Capabilities!$A$4:$A$253,C512),IF(B512="AIR",COUNTIF('System map'!$A$4:$A$203,C512),COUNTIFS(Components!$A$4:$A$253,C512,Components!$B$4:$B$253,B512))))&lt;&gt;1,IF(E512="UC",COUNTIF('Use cases'!$A$4:$A$253,F512),IF(E512="CAP",COUNTIF(Capabilities!$A$4:$A$253,F512),IF(E512="AIR",COUNTIF('System map'!$A$4:$A$203,F512),COUNTIFS(Components!$A$4:$A$253,F512,Components!$B$4:$B$253,E512))))&lt;&gt;1),"Endpoint missing or duplicated",IF(AND(NOT(AND(B512="UC",E512="CAP")),OR(G512="",COUNTIF('System map'!$A$4:$A$203,G512)&lt;&gt;1)),"AIR context missing / unknown",IF(AND(B512="CAP",E512="AIR",G512&lt;&gt;F512),"AIR context mismatch",IF(AND(B512="AIR",G512&lt;&gt;C512),"AIR context mismatch",IF(AND(B512="AIR",E512="AIR",C512=F512),"Self-dependency",IF(AND(B512="AIR",E512="AIR",M512&lt;&gt;"Superseded",COUNTIFS($B$4:$B$1003,"AIR",$C$4:$C$1003,F512,$E$4:$E$1003,"AIR",$F$4:$F$1003,C512,$M$4:$M$1003,"&lt;&gt;Superseded")&gt;0),"Dependency cycle (A↔B) — review",IF(AND(B512="AIR",OR(E512="MOD",E512="DATA",E512="IF",E512="AG",E512="TOOL"),IFERROR(INDEX(Components!$G$4:$G$253,MATCH(F512,Components!$A$4:$A$253,0)),"")&lt;&gt;"",IFERROR(INDEX(Components!$G$4:$G$253,MATCH(F512,Components!$A$4:$A$253,0)),"")&lt;&gt;C512),"Component owned by another AIR-ID",IF(AND(M512="Confirmed",OR(IF(B512="UC",COUNTIFS('Use cases'!$A$4:$A$253,C512,'Use cases'!$I$4:$I$253,"Confirmed",'Use cases'!$J$4:$J$253,"OK — verify source"),IF(B512="CAP",COUNTIFS(Capabilities!$A$4:$A$253,C512,Capabilities!$J$4:$J$253,"Confirmed",Capabilities!$K$4:$K$253,"OK — verify source"),IF(B512="AIR",COUNTIFS('System map'!$A$4:$A$203,C512,'System map'!$B$4:$B$203,"&lt;&gt;",'System map'!$C$4:$C$203,"&lt;&gt;",'System map'!$D$4:$D$203,"&lt;&gt;"),COUNTIFS(Components!$A$4:$A$253,C512,Components!$B$4:$B$253,B512,Components!$K$4:$K$253,"Confirmed",Components!$L$4:$L$253,"OK — verify source"))))&lt;&gt;1,IF(E512="UC",COUNTIFS('Use cases'!$A$4:$A$253,F512,'Use cases'!$I$4:$I$253,"Confirmed",'Use cases'!$J$4:$J$253,"OK — verify source"),IF(E512="CAP",COUNTIFS(Capabilities!$A$4:$A$253,F512,Capabilities!$J$4:$J$253,"Confirmed",Capabilities!$K$4:$K$253,"OK — verify source"),IF(E512="AIR",COUNTIFS('System map'!$A$4:$A$203,F512,'System map'!$B$4:$B$203,"&lt;&gt;",'System map'!$C$4:$C$203,"&lt;&gt;",'System map'!$D$4:$D$203,"&lt;&gt;"),COUNTIFS(Components!$A$4:$A$253,F512,Components!$B$4:$B$253,E512,Components!$K$4:$K$253,"Confirmed",Components!$L$4:$L$253,"OK — verify source"))))&lt;&gt;1)),"Endpoint not source-reconciled",IF(AND(M512="Confirmed",OR(L512="",K512="",K512="Unknown",K512="Low")),"Confirmed link lacks verification","OK — verify source"))))))))))))))</f>
        <v/>
      </c>
    </row>
    <row r="513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8" t="n"/>
      <c r="M513" s="27" t="n"/>
      <c r="N513" s="27">
        <f>IF(COUNTA(A513:M513)=0,"",IF(OR(A513="",B513="",C513="",D513="",E513="",F513="",I513="",J513="",K513="",M513=""),"Required link detail missing",IF(COUNTIF($A$4:$A$1003,A513)&gt;1,"Duplicate Map Edge ID",IF(NOT(OR(AND(B513="UC",E513="CAP",D513="requires"),AND(B513="CAP",E513="AIR",D513="provided by"),AND(B513="AIR",OR(E513="MOD",E513="DATA",E513="IF",E513="AG",E513="TOOL"),D513="references"),AND(B513="AIR",E513="AIR",D513="depends on"))),"Invalid relationship",IF(AND(M513&lt;&gt;"Superseded",COUNTIFS($B$4:$B$1003,B513,$C$4:$C$1003,C513,$D$4:$D$1003,D513,$E$4:$E$1003,E513,$F$4:$F$1003,F513,$G$4:$G$1003,G513,$M$4:$M$1003,"&lt;&gt;Superseded")&gt;1),"Duplicate relationship",IF(OR(IF(B513="UC",COUNTIF('Use cases'!$A$4:$A$253,C513),IF(B513="CAP",COUNTIF(Capabilities!$A$4:$A$253,C513),IF(B513="AIR",COUNTIF('System map'!$A$4:$A$203,C513),COUNTIFS(Components!$A$4:$A$253,C513,Components!$B$4:$B$253,B513))))&lt;&gt;1,IF(E513="UC",COUNTIF('Use cases'!$A$4:$A$253,F513),IF(E513="CAP",COUNTIF(Capabilities!$A$4:$A$253,F513),IF(E513="AIR",COUNTIF('System map'!$A$4:$A$203,F513),COUNTIFS(Components!$A$4:$A$253,F513,Components!$B$4:$B$253,E513))))&lt;&gt;1),"Endpoint missing or duplicated",IF(AND(NOT(AND(B513="UC",E513="CAP")),OR(G513="",COUNTIF('System map'!$A$4:$A$203,G513)&lt;&gt;1)),"AIR context missing / unknown",IF(AND(B513="CAP",E513="AIR",G513&lt;&gt;F513),"AIR context mismatch",IF(AND(B513="AIR",G513&lt;&gt;C513),"AIR context mismatch",IF(AND(B513="AIR",E513="AIR",C513=F513),"Self-dependency",IF(AND(B513="AIR",E513="AIR",M513&lt;&gt;"Superseded",COUNTIFS($B$4:$B$1003,"AIR",$C$4:$C$1003,F513,$E$4:$E$1003,"AIR",$F$4:$F$1003,C513,$M$4:$M$1003,"&lt;&gt;Superseded")&gt;0),"Dependency cycle (A↔B) — review",IF(AND(B513="AIR",OR(E513="MOD",E513="DATA",E513="IF",E513="AG",E513="TOOL"),IFERROR(INDEX(Components!$G$4:$G$253,MATCH(F513,Components!$A$4:$A$253,0)),"")&lt;&gt;"",IFERROR(INDEX(Components!$G$4:$G$253,MATCH(F513,Components!$A$4:$A$253,0)),"")&lt;&gt;C513),"Component owned by another AIR-ID",IF(AND(M513="Confirmed",OR(IF(B513="UC",COUNTIFS('Use cases'!$A$4:$A$253,C513,'Use cases'!$I$4:$I$253,"Confirmed",'Use cases'!$J$4:$J$253,"OK — verify source"),IF(B513="CAP",COUNTIFS(Capabilities!$A$4:$A$253,C513,Capabilities!$J$4:$J$253,"Confirmed",Capabilities!$K$4:$K$253,"OK — verify source"),IF(B513="AIR",COUNTIFS('System map'!$A$4:$A$203,C513,'System map'!$B$4:$B$203,"&lt;&gt;",'System map'!$C$4:$C$203,"&lt;&gt;",'System map'!$D$4:$D$203,"&lt;&gt;"),COUNTIFS(Components!$A$4:$A$253,C513,Components!$B$4:$B$253,B513,Components!$K$4:$K$253,"Confirmed",Components!$L$4:$L$253,"OK — verify source"))))&lt;&gt;1,IF(E513="UC",COUNTIFS('Use cases'!$A$4:$A$253,F513,'Use cases'!$I$4:$I$253,"Confirmed",'Use cases'!$J$4:$J$253,"OK — verify source"),IF(E513="CAP",COUNTIFS(Capabilities!$A$4:$A$253,F513,Capabilities!$J$4:$J$253,"Confirmed",Capabilities!$K$4:$K$253,"OK — verify source"),IF(E513="AIR",COUNTIFS('System map'!$A$4:$A$203,F513,'System map'!$B$4:$B$203,"&lt;&gt;",'System map'!$C$4:$C$203,"&lt;&gt;",'System map'!$D$4:$D$203,"&lt;&gt;"),COUNTIFS(Components!$A$4:$A$253,F513,Components!$B$4:$B$253,E513,Components!$K$4:$K$253,"Confirmed",Components!$L$4:$L$253,"OK — verify source"))))&lt;&gt;1)),"Endpoint not source-reconciled",IF(AND(M513="Confirmed",OR(L513="",K513="",K513="Unknown",K513="Low")),"Confirmed link lacks verification","OK — verify source"))))))))))))))</f>
        <v/>
      </c>
    </row>
    <row r="51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6" t="n"/>
      <c r="M514" s="25" t="n"/>
      <c r="N514" s="25">
        <f>IF(COUNTA(A514:M514)=0,"",IF(OR(A514="",B514="",C514="",D514="",E514="",F514="",I514="",J514="",K514="",M514=""),"Required link detail missing",IF(COUNTIF($A$4:$A$1003,A514)&gt;1,"Duplicate Map Edge ID",IF(NOT(OR(AND(B514="UC",E514="CAP",D514="requires"),AND(B514="CAP",E514="AIR",D514="provided by"),AND(B514="AIR",OR(E514="MOD",E514="DATA",E514="IF",E514="AG",E514="TOOL"),D514="references"),AND(B514="AIR",E514="AIR",D514="depends on"))),"Invalid relationship",IF(AND(M514&lt;&gt;"Superseded",COUNTIFS($B$4:$B$1003,B514,$C$4:$C$1003,C514,$D$4:$D$1003,D514,$E$4:$E$1003,E514,$F$4:$F$1003,F514,$G$4:$G$1003,G514,$M$4:$M$1003,"&lt;&gt;Superseded")&gt;1),"Duplicate relationship",IF(OR(IF(B514="UC",COUNTIF('Use cases'!$A$4:$A$253,C514),IF(B514="CAP",COUNTIF(Capabilities!$A$4:$A$253,C514),IF(B514="AIR",COUNTIF('System map'!$A$4:$A$203,C514),COUNTIFS(Components!$A$4:$A$253,C514,Components!$B$4:$B$253,B514))))&lt;&gt;1,IF(E514="UC",COUNTIF('Use cases'!$A$4:$A$253,F514),IF(E514="CAP",COUNTIF(Capabilities!$A$4:$A$253,F514),IF(E514="AIR",COUNTIF('System map'!$A$4:$A$203,F514),COUNTIFS(Components!$A$4:$A$253,F514,Components!$B$4:$B$253,E514))))&lt;&gt;1),"Endpoint missing or duplicated",IF(AND(NOT(AND(B514="UC",E514="CAP")),OR(G514="",COUNTIF('System map'!$A$4:$A$203,G514)&lt;&gt;1)),"AIR context missing / unknown",IF(AND(B514="CAP",E514="AIR",G514&lt;&gt;F514),"AIR context mismatch",IF(AND(B514="AIR",G514&lt;&gt;C514),"AIR context mismatch",IF(AND(B514="AIR",E514="AIR",C514=F514),"Self-dependency",IF(AND(B514="AIR",E514="AIR",M514&lt;&gt;"Superseded",COUNTIFS($B$4:$B$1003,"AIR",$C$4:$C$1003,F514,$E$4:$E$1003,"AIR",$F$4:$F$1003,C514,$M$4:$M$1003,"&lt;&gt;Superseded")&gt;0),"Dependency cycle (A↔B) — review",IF(AND(B514="AIR",OR(E514="MOD",E514="DATA",E514="IF",E514="AG",E514="TOOL"),IFERROR(INDEX(Components!$G$4:$G$253,MATCH(F514,Components!$A$4:$A$253,0)),"")&lt;&gt;"",IFERROR(INDEX(Components!$G$4:$G$253,MATCH(F514,Components!$A$4:$A$253,0)),"")&lt;&gt;C514),"Component owned by another AIR-ID",IF(AND(M514="Confirmed",OR(IF(B514="UC",COUNTIFS('Use cases'!$A$4:$A$253,C514,'Use cases'!$I$4:$I$253,"Confirmed",'Use cases'!$J$4:$J$253,"OK — verify source"),IF(B514="CAP",COUNTIFS(Capabilities!$A$4:$A$253,C514,Capabilities!$J$4:$J$253,"Confirmed",Capabilities!$K$4:$K$253,"OK — verify source"),IF(B514="AIR",COUNTIFS('System map'!$A$4:$A$203,C514,'System map'!$B$4:$B$203,"&lt;&gt;",'System map'!$C$4:$C$203,"&lt;&gt;",'System map'!$D$4:$D$203,"&lt;&gt;"),COUNTIFS(Components!$A$4:$A$253,C514,Components!$B$4:$B$253,B514,Components!$K$4:$K$253,"Confirmed",Components!$L$4:$L$253,"OK — verify source"))))&lt;&gt;1,IF(E514="UC",COUNTIFS('Use cases'!$A$4:$A$253,F514,'Use cases'!$I$4:$I$253,"Confirmed",'Use cases'!$J$4:$J$253,"OK — verify source"),IF(E514="CAP",COUNTIFS(Capabilities!$A$4:$A$253,F514,Capabilities!$J$4:$J$253,"Confirmed",Capabilities!$K$4:$K$253,"OK — verify source"),IF(E514="AIR",COUNTIFS('System map'!$A$4:$A$203,F514,'System map'!$B$4:$B$203,"&lt;&gt;",'System map'!$C$4:$C$203,"&lt;&gt;",'System map'!$D$4:$D$203,"&lt;&gt;"),COUNTIFS(Components!$A$4:$A$253,F514,Components!$B$4:$B$253,E514,Components!$K$4:$K$253,"Confirmed",Components!$L$4:$L$253,"OK — verify source"))))&lt;&gt;1)),"Endpoint not source-reconciled",IF(AND(M514="Confirmed",OR(L514="",K514="",K514="Unknown",K514="Low")),"Confirmed link lacks verification","OK — verify source"))))))))))))))</f>
        <v/>
      </c>
    </row>
    <row r="515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8" t="n"/>
      <c r="M515" s="27" t="n"/>
      <c r="N515" s="27">
        <f>IF(COUNTA(A515:M515)=0,"",IF(OR(A515="",B515="",C515="",D515="",E515="",F515="",I515="",J515="",K515="",M515=""),"Required link detail missing",IF(COUNTIF($A$4:$A$1003,A515)&gt;1,"Duplicate Map Edge ID",IF(NOT(OR(AND(B515="UC",E515="CAP",D515="requires"),AND(B515="CAP",E515="AIR",D515="provided by"),AND(B515="AIR",OR(E515="MOD",E515="DATA",E515="IF",E515="AG",E515="TOOL"),D515="references"),AND(B515="AIR",E515="AIR",D515="depends on"))),"Invalid relationship",IF(AND(M515&lt;&gt;"Superseded",COUNTIFS($B$4:$B$1003,B515,$C$4:$C$1003,C515,$D$4:$D$1003,D515,$E$4:$E$1003,E515,$F$4:$F$1003,F515,$G$4:$G$1003,G515,$M$4:$M$1003,"&lt;&gt;Superseded")&gt;1),"Duplicate relationship",IF(OR(IF(B515="UC",COUNTIF('Use cases'!$A$4:$A$253,C515),IF(B515="CAP",COUNTIF(Capabilities!$A$4:$A$253,C515),IF(B515="AIR",COUNTIF('System map'!$A$4:$A$203,C515),COUNTIFS(Components!$A$4:$A$253,C515,Components!$B$4:$B$253,B515))))&lt;&gt;1,IF(E515="UC",COUNTIF('Use cases'!$A$4:$A$253,F515),IF(E515="CAP",COUNTIF(Capabilities!$A$4:$A$253,F515),IF(E515="AIR",COUNTIF('System map'!$A$4:$A$203,F515),COUNTIFS(Components!$A$4:$A$253,F515,Components!$B$4:$B$253,E515))))&lt;&gt;1),"Endpoint missing or duplicated",IF(AND(NOT(AND(B515="UC",E515="CAP")),OR(G515="",COUNTIF('System map'!$A$4:$A$203,G515)&lt;&gt;1)),"AIR context missing / unknown",IF(AND(B515="CAP",E515="AIR",G515&lt;&gt;F515),"AIR context mismatch",IF(AND(B515="AIR",G515&lt;&gt;C515),"AIR context mismatch",IF(AND(B515="AIR",E515="AIR",C515=F515),"Self-dependency",IF(AND(B515="AIR",E515="AIR",M515&lt;&gt;"Superseded",COUNTIFS($B$4:$B$1003,"AIR",$C$4:$C$1003,F515,$E$4:$E$1003,"AIR",$F$4:$F$1003,C515,$M$4:$M$1003,"&lt;&gt;Superseded")&gt;0),"Dependency cycle (A↔B) — review",IF(AND(B515="AIR",OR(E515="MOD",E515="DATA",E515="IF",E515="AG",E515="TOOL"),IFERROR(INDEX(Components!$G$4:$G$253,MATCH(F515,Components!$A$4:$A$253,0)),"")&lt;&gt;"",IFERROR(INDEX(Components!$G$4:$G$253,MATCH(F515,Components!$A$4:$A$253,0)),"")&lt;&gt;C515),"Component owned by another AIR-ID",IF(AND(M515="Confirmed",OR(IF(B515="UC",COUNTIFS('Use cases'!$A$4:$A$253,C515,'Use cases'!$I$4:$I$253,"Confirmed",'Use cases'!$J$4:$J$253,"OK — verify source"),IF(B515="CAP",COUNTIFS(Capabilities!$A$4:$A$253,C515,Capabilities!$J$4:$J$253,"Confirmed",Capabilities!$K$4:$K$253,"OK — verify source"),IF(B515="AIR",COUNTIFS('System map'!$A$4:$A$203,C515,'System map'!$B$4:$B$203,"&lt;&gt;",'System map'!$C$4:$C$203,"&lt;&gt;",'System map'!$D$4:$D$203,"&lt;&gt;"),COUNTIFS(Components!$A$4:$A$253,C515,Components!$B$4:$B$253,B515,Components!$K$4:$K$253,"Confirmed",Components!$L$4:$L$253,"OK — verify source"))))&lt;&gt;1,IF(E515="UC",COUNTIFS('Use cases'!$A$4:$A$253,F515,'Use cases'!$I$4:$I$253,"Confirmed",'Use cases'!$J$4:$J$253,"OK — verify source"),IF(E515="CAP",COUNTIFS(Capabilities!$A$4:$A$253,F515,Capabilities!$J$4:$J$253,"Confirmed",Capabilities!$K$4:$K$253,"OK — verify source"),IF(E515="AIR",COUNTIFS('System map'!$A$4:$A$203,F515,'System map'!$B$4:$B$203,"&lt;&gt;",'System map'!$C$4:$C$203,"&lt;&gt;",'System map'!$D$4:$D$203,"&lt;&gt;"),COUNTIFS(Components!$A$4:$A$253,F515,Components!$B$4:$B$253,E515,Components!$K$4:$K$253,"Confirmed",Components!$L$4:$L$253,"OK — verify source"))))&lt;&gt;1)),"Endpoint not source-reconciled",IF(AND(M515="Confirmed",OR(L515="",K515="",K515="Unknown",K515="Low")),"Confirmed link lacks verification","OK — verify source"))))))))))))))</f>
        <v/>
      </c>
    </row>
    <row r="516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6" t="n"/>
      <c r="M516" s="25" t="n"/>
      <c r="N516" s="25">
        <f>IF(COUNTA(A516:M516)=0,"",IF(OR(A516="",B516="",C516="",D516="",E516="",F516="",I516="",J516="",K516="",M516=""),"Required link detail missing",IF(COUNTIF($A$4:$A$1003,A516)&gt;1,"Duplicate Map Edge ID",IF(NOT(OR(AND(B516="UC",E516="CAP",D516="requires"),AND(B516="CAP",E516="AIR",D516="provided by"),AND(B516="AIR",OR(E516="MOD",E516="DATA",E516="IF",E516="AG",E516="TOOL"),D516="references"),AND(B516="AIR",E516="AIR",D516="depends on"))),"Invalid relationship",IF(AND(M516&lt;&gt;"Superseded",COUNTIFS($B$4:$B$1003,B516,$C$4:$C$1003,C516,$D$4:$D$1003,D516,$E$4:$E$1003,E516,$F$4:$F$1003,F516,$G$4:$G$1003,G516,$M$4:$M$1003,"&lt;&gt;Superseded")&gt;1),"Duplicate relationship",IF(OR(IF(B516="UC",COUNTIF('Use cases'!$A$4:$A$253,C516),IF(B516="CAP",COUNTIF(Capabilities!$A$4:$A$253,C516),IF(B516="AIR",COUNTIF('System map'!$A$4:$A$203,C516),COUNTIFS(Components!$A$4:$A$253,C516,Components!$B$4:$B$253,B516))))&lt;&gt;1,IF(E516="UC",COUNTIF('Use cases'!$A$4:$A$253,F516),IF(E516="CAP",COUNTIF(Capabilities!$A$4:$A$253,F516),IF(E516="AIR",COUNTIF('System map'!$A$4:$A$203,F516),COUNTIFS(Components!$A$4:$A$253,F516,Components!$B$4:$B$253,E516))))&lt;&gt;1),"Endpoint missing or duplicated",IF(AND(NOT(AND(B516="UC",E516="CAP")),OR(G516="",COUNTIF('System map'!$A$4:$A$203,G516)&lt;&gt;1)),"AIR context missing / unknown",IF(AND(B516="CAP",E516="AIR",G516&lt;&gt;F516),"AIR context mismatch",IF(AND(B516="AIR",G516&lt;&gt;C516),"AIR context mismatch",IF(AND(B516="AIR",E516="AIR",C516=F516),"Self-dependency",IF(AND(B516="AIR",E516="AIR",M516&lt;&gt;"Superseded",COUNTIFS($B$4:$B$1003,"AIR",$C$4:$C$1003,F516,$E$4:$E$1003,"AIR",$F$4:$F$1003,C516,$M$4:$M$1003,"&lt;&gt;Superseded")&gt;0),"Dependency cycle (A↔B) — review",IF(AND(B516="AIR",OR(E516="MOD",E516="DATA",E516="IF",E516="AG",E516="TOOL"),IFERROR(INDEX(Components!$G$4:$G$253,MATCH(F516,Components!$A$4:$A$253,0)),"")&lt;&gt;"",IFERROR(INDEX(Components!$G$4:$G$253,MATCH(F516,Components!$A$4:$A$253,0)),"")&lt;&gt;C516),"Component owned by another AIR-ID",IF(AND(M516="Confirmed",OR(IF(B516="UC",COUNTIFS('Use cases'!$A$4:$A$253,C516,'Use cases'!$I$4:$I$253,"Confirmed",'Use cases'!$J$4:$J$253,"OK — verify source"),IF(B516="CAP",COUNTIFS(Capabilities!$A$4:$A$253,C516,Capabilities!$J$4:$J$253,"Confirmed",Capabilities!$K$4:$K$253,"OK — verify source"),IF(B516="AIR",COUNTIFS('System map'!$A$4:$A$203,C516,'System map'!$B$4:$B$203,"&lt;&gt;",'System map'!$C$4:$C$203,"&lt;&gt;",'System map'!$D$4:$D$203,"&lt;&gt;"),COUNTIFS(Components!$A$4:$A$253,C516,Components!$B$4:$B$253,B516,Components!$K$4:$K$253,"Confirmed",Components!$L$4:$L$253,"OK — verify source"))))&lt;&gt;1,IF(E516="UC",COUNTIFS('Use cases'!$A$4:$A$253,F516,'Use cases'!$I$4:$I$253,"Confirmed",'Use cases'!$J$4:$J$253,"OK — verify source"),IF(E516="CAP",COUNTIFS(Capabilities!$A$4:$A$253,F516,Capabilities!$J$4:$J$253,"Confirmed",Capabilities!$K$4:$K$253,"OK — verify source"),IF(E516="AIR",COUNTIFS('System map'!$A$4:$A$203,F516,'System map'!$B$4:$B$203,"&lt;&gt;",'System map'!$C$4:$C$203,"&lt;&gt;",'System map'!$D$4:$D$203,"&lt;&gt;"),COUNTIFS(Components!$A$4:$A$253,F516,Components!$B$4:$B$253,E516,Components!$K$4:$K$253,"Confirmed",Components!$L$4:$L$253,"OK — verify source"))))&lt;&gt;1)),"Endpoint not source-reconciled",IF(AND(M516="Confirmed",OR(L516="",K516="",K516="Unknown",K516="Low")),"Confirmed link lacks verification","OK — verify source"))))))))))))))</f>
        <v/>
      </c>
    </row>
    <row r="517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8" t="n"/>
      <c r="M517" s="27" t="n"/>
      <c r="N517" s="27">
        <f>IF(COUNTA(A517:M517)=0,"",IF(OR(A517="",B517="",C517="",D517="",E517="",F517="",I517="",J517="",K517="",M517=""),"Required link detail missing",IF(COUNTIF($A$4:$A$1003,A517)&gt;1,"Duplicate Map Edge ID",IF(NOT(OR(AND(B517="UC",E517="CAP",D517="requires"),AND(B517="CAP",E517="AIR",D517="provided by"),AND(B517="AIR",OR(E517="MOD",E517="DATA",E517="IF",E517="AG",E517="TOOL"),D517="references"),AND(B517="AIR",E517="AIR",D517="depends on"))),"Invalid relationship",IF(AND(M517&lt;&gt;"Superseded",COUNTIFS($B$4:$B$1003,B517,$C$4:$C$1003,C517,$D$4:$D$1003,D517,$E$4:$E$1003,E517,$F$4:$F$1003,F517,$G$4:$G$1003,G517,$M$4:$M$1003,"&lt;&gt;Superseded")&gt;1),"Duplicate relationship",IF(OR(IF(B517="UC",COUNTIF('Use cases'!$A$4:$A$253,C517),IF(B517="CAP",COUNTIF(Capabilities!$A$4:$A$253,C517),IF(B517="AIR",COUNTIF('System map'!$A$4:$A$203,C517),COUNTIFS(Components!$A$4:$A$253,C517,Components!$B$4:$B$253,B517))))&lt;&gt;1,IF(E517="UC",COUNTIF('Use cases'!$A$4:$A$253,F517),IF(E517="CAP",COUNTIF(Capabilities!$A$4:$A$253,F517),IF(E517="AIR",COUNTIF('System map'!$A$4:$A$203,F517),COUNTIFS(Components!$A$4:$A$253,F517,Components!$B$4:$B$253,E517))))&lt;&gt;1),"Endpoint missing or duplicated",IF(AND(NOT(AND(B517="UC",E517="CAP")),OR(G517="",COUNTIF('System map'!$A$4:$A$203,G517)&lt;&gt;1)),"AIR context missing / unknown",IF(AND(B517="CAP",E517="AIR",G517&lt;&gt;F517),"AIR context mismatch",IF(AND(B517="AIR",G517&lt;&gt;C517),"AIR context mismatch",IF(AND(B517="AIR",E517="AIR",C517=F517),"Self-dependency",IF(AND(B517="AIR",E517="AIR",M517&lt;&gt;"Superseded",COUNTIFS($B$4:$B$1003,"AIR",$C$4:$C$1003,F517,$E$4:$E$1003,"AIR",$F$4:$F$1003,C517,$M$4:$M$1003,"&lt;&gt;Superseded")&gt;0),"Dependency cycle (A↔B) — review",IF(AND(B517="AIR",OR(E517="MOD",E517="DATA",E517="IF",E517="AG",E517="TOOL"),IFERROR(INDEX(Components!$G$4:$G$253,MATCH(F517,Components!$A$4:$A$253,0)),"")&lt;&gt;"",IFERROR(INDEX(Components!$G$4:$G$253,MATCH(F517,Components!$A$4:$A$253,0)),"")&lt;&gt;C517),"Component owned by another AIR-ID",IF(AND(M517="Confirmed",OR(IF(B517="UC",COUNTIFS('Use cases'!$A$4:$A$253,C517,'Use cases'!$I$4:$I$253,"Confirmed",'Use cases'!$J$4:$J$253,"OK — verify source"),IF(B517="CAP",COUNTIFS(Capabilities!$A$4:$A$253,C517,Capabilities!$J$4:$J$253,"Confirmed",Capabilities!$K$4:$K$253,"OK — verify source"),IF(B517="AIR",COUNTIFS('System map'!$A$4:$A$203,C517,'System map'!$B$4:$B$203,"&lt;&gt;",'System map'!$C$4:$C$203,"&lt;&gt;",'System map'!$D$4:$D$203,"&lt;&gt;"),COUNTIFS(Components!$A$4:$A$253,C517,Components!$B$4:$B$253,B517,Components!$K$4:$K$253,"Confirmed",Components!$L$4:$L$253,"OK — verify source"))))&lt;&gt;1,IF(E517="UC",COUNTIFS('Use cases'!$A$4:$A$253,F517,'Use cases'!$I$4:$I$253,"Confirmed",'Use cases'!$J$4:$J$253,"OK — verify source"),IF(E517="CAP",COUNTIFS(Capabilities!$A$4:$A$253,F517,Capabilities!$J$4:$J$253,"Confirmed",Capabilities!$K$4:$K$253,"OK — verify source"),IF(E517="AIR",COUNTIFS('System map'!$A$4:$A$203,F517,'System map'!$B$4:$B$203,"&lt;&gt;",'System map'!$C$4:$C$203,"&lt;&gt;",'System map'!$D$4:$D$203,"&lt;&gt;"),COUNTIFS(Components!$A$4:$A$253,F517,Components!$B$4:$B$253,E517,Components!$K$4:$K$253,"Confirmed",Components!$L$4:$L$253,"OK — verify source"))))&lt;&gt;1)),"Endpoint not source-reconciled",IF(AND(M517="Confirmed",OR(L517="",K517="",K517="Unknown",K517="Low")),"Confirmed link lacks verification","OK — verify source"))))))))))))))</f>
        <v/>
      </c>
    </row>
    <row r="518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6" t="n"/>
      <c r="M518" s="25" t="n"/>
      <c r="N518" s="25">
        <f>IF(COUNTA(A518:M518)=0,"",IF(OR(A518="",B518="",C518="",D518="",E518="",F518="",I518="",J518="",K518="",M518=""),"Required link detail missing",IF(COUNTIF($A$4:$A$1003,A518)&gt;1,"Duplicate Map Edge ID",IF(NOT(OR(AND(B518="UC",E518="CAP",D518="requires"),AND(B518="CAP",E518="AIR",D518="provided by"),AND(B518="AIR",OR(E518="MOD",E518="DATA",E518="IF",E518="AG",E518="TOOL"),D518="references"),AND(B518="AIR",E518="AIR",D518="depends on"))),"Invalid relationship",IF(AND(M518&lt;&gt;"Superseded",COUNTIFS($B$4:$B$1003,B518,$C$4:$C$1003,C518,$D$4:$D$1003,D518,$E$4:$E$1003,E518,$F$4:$F$1003,F518,$G$4:$G$1003,G518,$M$4:$M$1003,"&lt;&gt;Superseded")&gt;1),"Duplicate relationship",IF(OR(IF(B518="UC",COUNTIF('Use cases'!$A$4:$A$253,C518),IF(B518="CAP",COUNTIF(Capabilities!$A$4:$A$253,C518),IF(B518="AIR",COUNTIF('System map'!$A$4:$A$203,C518),COUNTIFS(Components!$A$4:$A$253,C518,Components!$B$4:$B$253,B518))))&lt;&gt;1,IF(E518="UC",COUNTIF('Use cases'!$A$4:$A$253,F518),IF(E518="CAP",COUNTIF(Capabilities!$A$4:$A$253,F518),IF(E518="AIR",COUNTIF('System map'!$A$4:$A$203,F518),COUNTIFS(Components!$A$4:$A$253,F518,Components!$B$4:$B$253,E518))))&lt;&gt;1),"Endpoint missing or duplicated",IF(AND(NOT(AND(B518="UC",E518="CAP")),OR(G518="",COUNTIF('System map'!$A$4:$A$203,G518)&lt;&gt;1)),"AIR context missing / unknown",IF(AND(B518="CAP",E518="AIR",G518&lt;&gt;F518),"AIR context mismatch",IF(AND(B518="AIR",G518&lt;&gt;C518),"AIR context mismatch",IF(AND(B518="AIR",E518="AIR",C518=F518),"Self-dependency",IF(AND(B518="AIR",E518="AIR",M518&lt;&gt;"Superseded",COUNTIFS($B$4:$B$1003,"AIR",$C$4:$C$1003,F518,$E$4:$E$1003,"AIR",$F$4:$F$1003,C518,$M$4:$M$1003,"&lt;&gt;Superseded")&gt;0),"Dependency cycle (A↔B) — review",IF(AND(B518="AIR",OR(E518="MOD",E518="DATA",E518="IF",E518="AG",E518="TOOL"),IFERROR(INDEX(Components!$G$4:$G$253,MATCH(F518,Components!$A$4:$A$253,0)),"")&lt;&gt;"",IFERROR(INDEX(Components!$G$4:$G$253,MATCH(F518,Components!$A$4:$A$253,0)),"")&lt;&gt;C518),"Component owned by another AIR-ID",IF(AND(M518="Confirmed",OR(IF(B518="UC",COUNTIFS('Use cases'!$A$4:$A$253,C518,'Use cases'!$I$4:$I$253,"Confirmed",'Use cases'!$J$4:$J$253,"OK — verify source"),IF(B518="CAP",COUNTIFS(Capabilities!$A$4:$A$253,C518,Capabilities!$J$4:$J$253,"Confirmed",Capabilities!$K$4:$K$253,"OK — verify source"),IF(B518="AIR",COUNTIFS('System map'!$A$4:$A$203,C518,'System map'!$B$4:$B$203,"&lt;&gt;",'System map'!$C$4:$C$203,"&lt;&gt;",'System map'!$D$4:$D$203,"&lt;&gt;"),COUNTIFS(Components!$A$4:$A$253,C518,Components!$B$4:$B$253,B518,Components!$K$4:$K$253,"Confirmed",Components!$L$4:$L$253,"OK — verify source"))))&lt;&gt;1,IF(E518="UC",COUNTIFS('Use cases'!$A$4:$A$253,F518,'Use cases'!$I$4:$I$253,"Confirmed",'Use cases'!$J$4:$J$253,"OK — verify source"),IF(E518="CAP",COUNTIFS(Capabilities!$A$4:$A$253,F518,Capabilities!$J$4:$J$253,"Confirmed",Capabilities!$K$4:$K$253,"OK — verify source"),IF(E518="AIR",COUNTIFS('System map'!$A$4:$A$203,F518,'System map'!$B$4:$B$203,"&lt;&gt;",'System map'!$C$4:$C$203,"&lt;&gt;",'System map'!$D$4:$D$203,"&lt;&gt;"),COUNTIFS(Components!$A$4:$A$253,F518,Components!$B$4:$B$253,E518,Components!$K$4:$K$253,"Confirmed",Components!$L$4:$L$253,"OK — verify source"))))&lt;&gt;1)),"Endpoint not source-reconciled",IF(AND(M518="Confirmed",OR(L518="",K518="",K518="Unknown",K518="Low")),"Confirmed link lacks verification","OK — verify source"))))))))))))))</f>
        <v/>
      </c>
    </row>
    <row r="519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8" t="n"/>
      <c r="M519" s="27" t="n"/>
      <c r="N519" s="27">
        <f>IF(COUNTA(A519:M519)=0,"",IF(OR(A519="",B519="",C519="",D519="",E519="",F519="",I519="",J519="",K519="",M519=""),"Required link detail missing",IF(COUNTIF($A$4:$A$1003,A519)&gt;1,"Duplicate Map Edge ID",IF(NOT(OR(AND(B519="UC",E519="CAP",D519="requires"),AND(B519="CAP",E519="AIR",D519="provided by"),AND(B519="AIR",OR(E519="MOD",E519="DATA",E519="IF",E519="AG",E519="TOOL"),D519="references"),AND(B519="AIR",E519="AIR",D519="depends on"))),"Invalid relationship",IF(AND(M519&lt;&gt;"Superseded",COUNTIFS($B$4:$B$1003,B519,$C$4:$C$1003,C519,$D$4:$D$1003,D519,$E$4:$E$1003,E519,$F$4:$F$1003,F519,$G$4:$G$1003,G519,$M$4:$M$1003,"&lt;&gt;Superseded")&gt;1),"Duplicate relationship",IF(OR(IF(B519="UC",COUNTIF('Use cases'!$A$4:$A$253,C519),IF(B519="CAP",COUNTIF(Capabilities!$A$4:$A$253,C519),IF(B519="AIR",COUNTIF('System map'!$A$4:$A$203,C519),COUNTIFS(Components!$A$4:$A$253,C519,Components!$B$4:$B$253,B519))))&lt;&gt;1,IF(E519="UC",COUNTIF('Use cases'!$A$4:$A$253,F519),IF(E519="CAP",COUNTIF(Capabilities!$A$4:$A$253,F519),IF(E519="AIR",COUNTIF('System map'!$A$4:$A$203,F519),COUNTIFS(Components!$A$4:$A$253,F519,Components!$B$4:$B$253,E519))))&lt;&gt;1),"Endpoint missing or duplicated",IF(AND(NOT(AND(B519="UC",E519="CAP")),OR(G519="",COUNTIF('System map'!$A$4:$A$203,G519)&lt;&gt;1)),"AIR context missing / unknown",IF(AND(B519="CAP",E519="AIR",G519&lt;&gt;F519),"AIR context mismatch",IF(AND(B519="AIR",G519&lt;&gt;C519),"AIR context mismatch",IF(AND(B519="AIR",E519="AIR",C519=F519),"Self-dependency",IF(AND(B519="AIR",E519="AIR",M519&lt;&gt;"Superseded",COUNTIFS($B$4:$B$1003,"AIR",$C$4:$C$1003,F519,$E$4:$E$1003,"AIR",$F$4:$F$1003,C519,$M$4:$M$1003,"&lt;&gt;Superseded")&gt;0),"Dependency cycle (A↔B) — review",IF(AND(B519="AIR",OR(E519="MOD",E519="DATA",E519="IF",E519="AG",E519="TOOL"),IFERROR(INDEX(Components!$G$4:$G$253,MATCH(F519,Components!$A$4:$A$253,0)),"")&lt;&gt;"",IFERROR(INDEX(Components!$G$4:$G$253,MATCH(F519,Components!$A$4:$A$253,0)),"")&lt;&gt;C519),"Component owned by another AIR-ID",IF(AND(M519="Confirmed",OR(IF(B519="UC",COUNTIFS('Use cases'!$A$4:$A$253,C519,'Use cases'!$I$4:$I$253,"Confirmed",'Use cases'!$J$4:$J$253,"OK — verify source"),IF(B519="CAP",COUNTIFS(Capabilities!$A$4:$A$253,C519,Capabilities!$J$4:$J$253,"Confirmed",Capabilities!$K$4:$K$253,"OK — verify source"),IF(B519="AIR",COUNTIFS('System map'!$A$4:$A$203,C519,'System map'!$B$4:$B$203,"&lt;&gt;",'System map'!$C$4:$C$203,"&lt;&gt;",'System map'!$D$4:$D$203,"&lt;&gt;"),COUNTIFS(Components!$A$4:$A$253,C519,Components!$B$4:$B$253,B519,Components!$K$4:$K$253,"Confirmed",Components!$L$4:$L$253,"OK — verify source"))))&lt;&gt;1,IF(E519="UC",COUNTIFS('Use cases'!$A$4:$A$253,F519,'Use cases'!$I$4:$I$253,"Confirmed",'Use cases'!$J$4:$J$253,"OK — verify source"),IF(E519="CAP",COUNTIFS(Capabilities!$A$4:$A$253,F519,Capabilities!$J$4:$J$253,"Confirmed",Capabilities!$K$4:$K$253,"OK — verify source"),IF(E519="AIR",COUNTIFS('System map'!$A$4:$A$203,F519,'System map'!$B$4:$B$203,"&lt;&gt;",'System map'!$C$4:$C$203,"&lt;&gt;",'System map'!$D$4:$D$203,"&lt;&gt;"),COUNTIFS(Components!$A$4:$A$253,F519,Components!$B$4:$B$253,E519,Components!$K$4:$K$253,"Confirmed",Components!$L$4:$L$253,"OK — verify source"))))&lt;&gt;1)),"Endpoint not source-reconciled",IF(AND(M519="Confirmed",OR(L519="",K519="",K519="Unknown",K519="Low")),"Confirmed link lacks verification","OK — verify source"))))))))))))))</f>
        <v/>
      </c>
    </row>
    <row r="520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6" t="n"/>
      <c r="M520" s="25" t="n"/>
      <c r="N520" s="25">
        <f>IF(COUNTA(A520:M520)=0,"",IF(OR(A520="",B520="",C520="",D520="",E520="",F520="",I520="",J520="",K520="",M520=""),"Required link detail missing",IF(COUNTIF($A$4:$A$1003,A520)&gt;1,"Duplicate Map Edge ID",IF(NOT(OR(AND(B520="UC",E520="CAP",D520="requires"),AND(B520="CAP",E520="AIR",D520="provided by"),AND(B520="AIR",OR(E520="MOD",E520="DATA",E520="IF",E520="AG",E520="TOOL"),D520="references"),AND(B520="AIR",E520="AIR",D520="depends on"))),"Invalid relationship",IF(AND(M520&lt;&gt;"Superseded",COUNTIFS($B$4:$B$1003,B520,$C$4:$C$1003,C520,$D$4:$D$1003,D520,$E$4:$E$1003,E520,$F$4:$F$1003,F520,$G$4:$G$1003,G520,$M$4:$M$1003,"&lt;&gt;Superseded")&gt;1),"Duplicate relationship",IF(OR(IF(B520="UC",COUNTIF('Use cases'!$A$4:$A$253,C520),IF(B520="CAP",COUNTIF(Capabilities!$A$4:$A$253,C520),IF(B520="AIR",COUNTIF('System map'!$A$4:$A$203,C520),COUNTIFS(Components!$A$4:$A$253,C520,Components!$B$4:$B$253,B520))))&lt;&gt;1,IF(E520="UC",COUNTIF('Use cases'!$A$4:$A$253,F520),IF(E520="CAP",COUNTIF(Capabilities!$A$4:$A$253,F520),IF(E520="AIR",COUNTIF('System map'!$A$4:$A$203,F520),COUNTIFS(Components!$A$4:$A$253,F520,Components!$B$4:$B$253,E520))))&lt;&gt;1),"Endpoint missing or duplicated",IF(AND(NOT(AND(B520="UC",E520="CAP")),OR(G520="",COUNTIF('System map'!$A$4:$A$203,G520)&lt;&gt;1)),"AIR context missing / unknown",IF(AND(B520="CAP",E520="AIR",G520&lt;&gt;F520),"AIR context mismatch",IF(AND(B520="AIR",G520&lt;&gt;C520),"AIR context mismatch",IF(AND(B520="AIR",E520="AIR",C520=F520),"Self-dependency",IF(AND(B520="AIR",E520="AIR",M520&lt;&gt;"Superseded",COUNTIFS($B$4:$B$1003,"AIR",$C$4:$C$1003,F520,$E$4:$E$1003,"AIR",$F$4:$F$1003,C520,$M$4:$M$1003,"&lt;&gt;Superseded")&gt;0),"Dependency cycle (A↔B) — review",IF(AND(B520="AIR",OR(E520="MOD",E520="DATA",E520="IF",E520="AG",E520="TOOL"),IFERROR(INDEX(Components!$G$4:$G$253,MATCH(F520,Components!$A$4:$A$253,0)),"")&lt;&gt;"",IFERROR(INDEX(Components!$G$4:$G$253,MATCH(F520,Components!$A$4:$A$253,0)),"")&lt;&gt;C520),"Component owned by another AIR-ID",IF(AND(M520="Confirmed",OR(IF(B520="UC",COUNTIFS('Use cases'!$A$4:$A$253,C520,'Use cases'!$I$4:$I$253,"Confirmed",'Use cases'!$J$4:$J$253,"OK — verify source"),IF(B520="CAP",COUNTIFS(Capabilities!$A$4:$A$253,C520,Capabilities!$J$4:$J$253,"Confirmed",Capabilities!$K$4:$K$253,"OK — verify source"),IF(B520="AIR",COUNTIFS('System map'!$A$4:$A$203,C520,'System map'!$B$4:$B$203,"&lt;&gt;",'System map'!$C$4:$C$203,"&lt;&gt;",'System map'!$D$4:$D$203,"&lt;&gt;"),COUNTIFS(Components!$A$4:$A$253,C520,Components!$B$4:$B$253,B520,Components!$K$4:$K$253,"Confirmed",Components!$L$4:$L$253,"OK — verify source"))))&lt;&gt;1,IF(E520="UC",COUNTIFS('Use cases'!$A$4:$A$253,F520,'Use cases'!$I$4:$I$253,"Confirmed",'Use cases'!$J$4:$J$253,"OK — verify source"),IF(E520="CAP",COUNTIFS(Capabilities!$A$4:$A$253,F520,Capabilities!$J$4:$J$253,"Confirmed",Capabilities!$K$4:$K$253,"OK — verify source"),IF(E520="AIR",COUNTIFS('System map'!$A$4:$A$203,F520,'System map'!$B$4:$B$203,"&lt;&gt;",'System map'!$C$4:$C$203,"&lt;&gt;",'System map'!$D$4:$D$203,"&lt;&gt;"),COUNTIFS(Components!$A$4:$A$253,F520,Components!$B$4:$B$253,E520,Components!$K$4:$K$253,"Confirmed",Components!$L$4:$L$253,"OK — verify source"))))&lt;&gt;1)),"Endpoint not source-reconciled",IF(AND(M520="Confirmed",OR(L520="",K520="",K520="Unknown",K520="Low")),"Confirmed link lacks verification","OK — verify source"))))))))))))))</f>
        <v/>
      </c>
    </row>
    <row r="521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8" t="n"/>
      <c r="M521" s="27" t="n"/>
      <c r="N521" s="27">
        <f>IF(COUNTA(A521:M521)=0,"",IF(OR(A521="",B521="",C521="",D521="",E521="",F521="",I521="",J521="",K521="",M521=""),"Required link detail missing",IF(COUNTIF($A$4:$A$1003,A521)&gt;1,"Duplicate Map Edge ID",IF(NOT(OR(AND(B521="UC",E521="CAP",D521="requires"),AND(B521="CAP",E521="AIR",D521="provided by"),AND(B521="AIR",OR(E521="MOD",E521="DATA",E521="IF",E521="AG",E521="TOOL"),D521="references"),AND(B521="AIR",E521="AIR",D521="depends on"))),"Invalid relationship",IF(AND(M521&lt;&gt;"Superseded",COUNTIFS($B$4:$B$1003,B521,$C$4:$C$1003,C521,$D$4:$D$1003,D521,$E$4:$E$1003,E521,$F$4:$F$1003,F521,$G$4:$G$1003,G521,$M$4:$M$1003,"&lt;&gt;Superseded")&gt;1),"Duplicate relationship",IF(OR(IF(B521="UC",COUNTIF('Use cases'!$A$4:$A$253,C521),IF(B521="CAP",COUNTIF(Capabilities!$A$4:$A$253,C521),IF(B521="AIR",COUNTIF('System map'!$A$4:$A$203,C521),COUNTIFS(Components!$A$4:$A$253,C521,Components!$B$4:$B$253,B521))))&lt;&gt;1,IF(E521="UC",COUNTIF('Use cases'!$A$4:$A$253,F521),IF(E521="CAP",COUNTIF(Capabilities!$A$4:$A$253,F521),IF(E521="AIR",COUNTIF('System map'!$A$4:$A$203,F521),COUNTIFS(Components!$A$4:$A$253,F521,Components!$B$4:$B$253,E521))))&lt;&gt;1),"Endpoint missing or duplicated",IF(AND(NOT(AND(B521="UC",E521="CAP")),OR(G521="",COUNTIF('System map'!$A$4:$A$203,G521)&lt;&gt;1)),"AIR context missing / unknown",IF(AND(B521="CAP",E521="AIR",G521&lt;&gt;F521),"AIR context mismatch",IF(AND(B521="AIR",G521&lt;&gt;C521),"AIR context mismatch",IF(AND(B521="AIR",E521="AIR",C521=F521),"Self-dependency",IF(AND(B521="AIR",E521="AIR",M521&lt;&gt;"Superseded",COUNTIFS($B$4:$B$1003,"AIR",$C$4:$C$1003,F521,$E$4:$E$1003,"AIR",$F$4:$F$1003,C521,$M$4:$M$1003,"&lt;&gt;Superseded")&gt;0),"Dependency cycle (A↔B) — review",IF(AND(B521="AIR",OR(E521="MOD",E521="DATA",E521="IF",E521="AG",E521="TOOL"),IFERROR(INDEX(Components!$G$4:$G$253,MATCH(F521,Components!$A$4:$A$253,0)),"")&lt;&gt;"",IFERROR(INDEX(Components!$G$4:$G$253,MATCH(F521,Components!$A$4:$A$253,0)),"")&lt;&gt;C521),"Component owned by another AIR-ID",IF(AND(M521="Confirmed",OR(IF(B521="UC",COUNTIFS('Use cases'!$A$4:$A$253,C521,'Use cases'!$I$4:$I$253,"Confirmed",'Use cases'!$J$4:$J$253,"OK — verify source"),IF(B521="CAP",COUNTIFS(Capabilities!$A$4:$A$253,C521,Capabilities!$J$4:$J$253,"Confirmed",Capabilities!$K$4:$K$253,"OK — verify source"),IF(B521="AIR",COUNTIFS('System map'!$A$4:$A$203,C521,'System map'!$B$4:$B$203,"&lt;&gt;",'System map'!$C$4:$C$203,"&lt;&gt;",'System map'!$D$4:$D$203,"&lt;&gt;"),COUNTIFS(Components!$A$4:$A$253,C521,Components!$B$4:$B$253,B521,Components!$K$4:$K$253,"Confirmed",Components!$L$4:$L$253,"OK — verify source"))))&lt;&gt;1,IF(E521="UC",COUNTIFS('Use cases'!$A$4:$A$253,F521,'Use cases'!$I$4:$I$253,"Confirmed",'Use cases'!$J$4:$J$253,"OK — verify source"),IF(E521="CAP",COUNTIFS(Capabilities!$A$4:$A$253,F521,Capabilities!$J$4:$J$253,"Confirmed",Capabilities!$K$4:$K$253,"OK — verify source"),IF(E521="AIR",COUNTIFS('System map'!$A$4:$A$203,F521,'System map'!$B$4:$B$203,"&lt;&gt;",'System map'!$C$4:$C$203,"&lt;&gt;",'System map'!$D$4:$D$203,"&lt;&gt;"),COUNTIFS(Components!$A$4:$A$253,F521,Components!$B$4:$B$253,E521,Components!$K$4:$K$253,"Confirmed",Components!$L$4:$L$253,"OK — verify source"))))&lt;&gt;1)),"Endpoint not source-reconciled",IF(AND(M521="Confirmed",OR(L521="",K521="",K521="Unknown",K521="Low")),"Confirmed link lacks verification","OK — verify source"))))))))))))))</f>
        <v/>
      </c>
    </row>
    <row r="522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6" t="n"/>
      <c r="M522" s="25" t="n"/>
      <c r="N522" s="25">
        <f>IF(COUNTA(A522:M522)=0,"",IF(OR(A522="",B522="",C522="",D522="",E522="",F522="",I522="",J522="",K522="",M522=""),"Required link detail missing",IF(COUNTIF($A$4:$A$1003,A522)&gt;1,"Duplicate Map Edge ID",IF(NOT(OR(AND(B522="UC",E522="CAP",D522="requires"),AND(B522="CAP",E522="AIR",D522="provided by"),AND(B522="AIR",OR(E522="MOD",E522="DATA",E522="IF",E522="AG",E522="TOOL"),D522="references"),AND(B522="AIR",E522="AIR",D522="depends on"))),"Invalid relationship",IF(AND(M522&lt;&gt;"Superseded",COUNTIFS($B$4:$B$1003,B522,$C$4:$C$1003,C522,$D$4:$D$1003,D522,$E$4:$E$1003,E522,$F$4:$F$1003,F522,$G$4:$G$1003,G522,$M$4:$M$1003,"&lt;&gt;Superseded")&gt;1),"Duplicate relationship",IF(OR(IF(B522="UC",COUNTIF('Use cases'!$A$4:$A$253,C522),IF(B522="CAP",COUNTIF(Capabilities!$A$4:$A$253,C522),IF(B522="AIR",COUNTIF('System map'!$A$4:$A$203,C522),COUNTIFS(Components!$A$4:$A$253,C522,Components!$B$4:$B$253,B522))))&lt;&gt;1,IF(E522="UC",COUNTIF('Use cases'!$A$4:$A$253,F522),IF(E522="CAP",COUNTIF(Capabilities!$A$4:$A$253,F522),IF(E522="AIR",COUNTIF('System map'!$A$4:$A$203,F522),COUNTIFS(Components!$A$4:$A$253,F522,Components!$B$4:$B$253,E522))))&lt;&gt;1),"Endpoint missing or duplicated",IF(AND(NOT(AND(B522="UC",E522="CAP")),OR(G522="",COUNTIF('System map'!$A$4:$A$203,G522)&lt;&gt;1)),"AIR context missing / unknown",IF(AND(B522="CAP",E522="AIR",G522&lt;&gt;F522),"AIR context mismatch",IF(AND(B522="AIR",G522&lt;&gt;C522),"AIR context mismatch",IF(AND(B522="AIR",E522="AIR",C522=F522),"Self-dependency",IF(AND(B522="AIR",E522="AIR",M522&lt;&gt;"Superseded",COUNTIFS($B$4:$B$1003,"AIR",$C$4:$C$1003,F522,$E$4:$E$1003,"AIR",$F$4:$F$1003,C522,$M$4:$M$1003,"&lt;&gt;Superseded")&gt;0),"Dependency cycle (A↔B) — review",IF(AND(B522="AIR",OR(E522="MOD",E522="DATA",E522="IF",E522="AG",E522="TOOL"),IFERROR(INDEX(Components!$G$4:$G$253,MATCH(F522,Components!$A$4:$A$253,0)),"")&lt;&gt;"",IFERROR(INDEX(Components!$G$4:$G$253,MATCH(F522,Components!$A$4:$A$253,0)),"")&lt;&gt;C522),"Component owned by another AIR-ID",IF(AND(M522="Confirmed",OR(IF(B522="UC",COUNTIFS('Use cases'!$A$4:$A$253,C522,'Use cases'!$I$4:$I$253,"Confirmed",'Use cases'!$J$4:$J$253,"OK — verify source"),IF(B522="CAP",COUNTIFS(Capabilities!$A$4:$A$253,C522,Capabilities!$J$4:$J$253,"Confirmed",Capabilities!$K$4:$K$253,"OK — verify source"),IF(B522="AIR",COUNTIFS('System map'!$A$4:$A$203,C522,'System map'!$B$4:$B$203,"&lt;&gt;",'System map'!$C$4:$C$203,"&lt;&gt;",'System map'!$D$4:$D$203,"&lt;&gt;"),COUNTIFS(Components!$A$4:$A$253,C522,Components!$B$4:$B$253,B522,Components!$K$4:$K$253,"Confirmed",Components!$L$4:$L$253,"OK — verify source"))))&lt;&gt;1,IF(E522="UC",COUNTIFS('Use cases'!$A$4:$A$253,F522,'Use cases'!$I$4:$I$253,"Confirmed",'Use cases'!$J$4:$J$253,"OK — verify source"),IF(E522="CAP",COUNTIFS(Capabilities!$A$4:$A$253,F522,Capabilities!$J$4:$J$253,"Confirmed",Capabilities!$K$4:$K$253,"OK — verify source"),IF(E522="AIR",COUNTIFS('System map'!$A$4:$A$203,F522,'System map'!$B$4:$B$203,"&lt;&gt;",'System map'!$C$4:$C$203,"&lt;&gt;",'System map'!$D$4:$D$203,"&lt;&gt;"),COUNTIFS(Components!$A$4:$A$253,F522,Components!$B$4:$B$253,E522,Components!$K$4:$K$253,"Confirmed",Components!$L$4:$L$253,"OK — verify source"))))&lt;&gt;1)),"Endpoint not source-reconciled",IF(AND(M522="Confirmed",OR(L522="",K522="",K522="Unknown",K522="Low")),"Confirmed link lacks verification","OK — verify source"))))))))))))))</f>
        <v/>
      </c>
    </row>
    <row r="523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8" t="n"/>
      <c r="M523" s="27" t="n"/>
      <c r="N523" s="27">
        <f>IF(COUNTA(A523:M523)=0,"",IF(OR(A523="",B523="",C523="",D523="",E523="",F523="",I523="",J523="",K523="",M523=""),"Required link detail missing",IF(COUNTIF($A$4:$A$1003,A523)&gt;1,"Duplicate Map Edge ID",IF(NOT(OR(AND(B523="UC",E523="CAP",D523="requires"),AND(B523="CAP",E523="AIR",D523="provided by"),AND(B523="AIR",OR(E523="MOD",E523="DATA",E523="IF",E523="AG",E523="TOOL"),D523="references"),AND(B523="AIR",E523="AIR",D523="depends on"))),"Invalid relationship",IF(AND(M523&lt;&gt;"Superseded",COUNTIFS($B$4:$B$1003,B523,$C$4:$C$1003,C523,$D$4:$D$1003,D523,$E$4:$E$1003,E523,$F$4:$F$1003,F523,$G$4:$G$1003,G523,$M$4:$M$1003,"&lt;&gt;Superseded")&gt;1),"Duplicate relationship",IF(OR(IF(B523="UC",COUNTIF('Use cases'!$A$4:$A$253,C523),IF(B523="CAP",COUNTIF(Capabilities!$A$4:$A$253,C523),IF(B523="AIR",COUNTIF('System map'!$A$4:$A$203,C523),COUNTIFS(Components!$A$4:$A$253,C523,Components!$B$4:$B$253,B523))))&lt;&gt;1,IF(E523="UC",COUNTIF('Use cases'!$A$4:$A$253,F523),IF(E523="CAP",COUNTIF(Capabilities!$A$4:$A$253,F523),IF(E523="AIR",COUNTIF('System map'!$A$4:$A$203,F523),COUNTIFS(Components!$A$4:$A$253,F523,Components!$B$4:$B$253,E523))))&lt;&gt;1),"Endpoint missing or duplicated",IF(AND(NOT(AND(B523="UC",E523="CAP")),OR(G523="",COUNTIF('System map'!$A$4:$A$203,G523)&lt;&gt;1)),"AIR context missing / unknown",IF(AND(B523="CAP",E523="AIR",G523&lt;&gt;F523),"AIR context mismatch",IF(AND(B523="AIR",G523&lt;&gt;C523),"AIR context mismatch",IF(AND(B523="AIR",E523="AIR",C523=F523),"Self-dependency",IF(AND(B523="AIR",E523="AIR",M523&lt;&gt;"Superseded",COUNTIFS($B$4:$B$1003,"AIR",$C$4:$C$1003,F523,$E$4:$E$1003,"AIR",$F$4:$F$1003,C523,$M$4:$M$1003,"&lt;&gt;Superseded")&gt;0),"Dependency cycle (A↔B) — review",IF(AND(B523="AIR",OR(E523="MOD",E523="DATA",E523="IF",E523="AG",E523="TOOL"),IFERROR(INDEX(Components!$G$4:$G$253,MATCH(F523,Components!$A$4:$A$253,0)),"")&lt;&gt;"",IFERROR(INDEX(Components!$G$4:$G$253,MATCH(F523,Components!$A$4:$A$253,0)),"")&lt;&gt;C523),"Component owned by another AIR-ID",IF(AND(M523="Confirmed",OR(IF(B523="UC",COUNTIFS('Use cases'!$A$4:$A$253,C523,'Use cases'!$I$4:$I$253,"Confirmed",'Use cases'!$J$4:$J$253,"OK — verify source"),IF(B523="CAP",COUNTIFS(Capabilities!$A$4:$A$253,C523,Capabilities!$J$4:$J$253,"Confirmed",Capabilities!$K$4:$K$253,"OK — verify source"),IF(B523="AIR",COUNTIFS('System map'!$A$4:$A$203,C523,'System map'!$B$4:$B$203,"&lt;&gt;",'System map'!$C$4:$C$203,"&lt;&gt;",'System map'!$D$4:$D$203,"&lt;&gt;"),COUNTIFS(Components!$A$4:$A$253,C523,Components!$B$4:$B$253,B523,Components!$K$4:$K$253,"Confirmed",Components!$L$4:$L$253,"OK — verify source"))))&lt;&gt;1,IF(E523="UC",COUNTIFS('Use cases'!$A$4:$A$253,F523,'Use cases'!$I$4:$I$253,"Confirmed",'Use cases'!$J$4:$J$253,"OK — verify source"),IF(E523="CAP",COUNTIFS(Capabilities!$A$4:$A$253,F523,Capabilities!$J$4:$J$253,"Confirmed",Capabilities!$K$4:$K$253,"OK — verify source"),IF(E523="AIR",COUNTIFS('System map'!$A$4:$A$203,F523,'System map'!$B$4:$B$203,"&lt;&gt;",'System map'!$C$4:$C$203,"&lt;&gt;",'System map'!$D$4:$D$203,"&lt;&gt;"),COUNTIFS(Components!$A$4:$A$253,F523,Components!$B$4:$B$253,E523,Components!$K$4:$K$253,"Confirmed",Components!$L$4:$L$253,"OK — verify source"))))&lt;&gt;1)),"Endpoint not source-reconciled",IF(AND(M523="Confirmed",OR(L523="",K523="",K523="Unknown",K523="Low")),"Confirmed link lacks verification","OK — verify source"))))))))))))))</f>
        <v/>
      </c>
    </row>
    <row r="52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6" t="n"/>
      <c r="M524" s="25" t="n"/>
      <c r="N524" s="25">
        <f>IF(COUNTA(A524:M524)=0,"",IF(OR(A524="",B524="",C524="",D524="",E524="",F524="",I524="",J524="",K524="",M524=""),"Required link detail missing",IF(COUNTIF($A$4:$A$1003,A524)&gt;1,"Duplicate Map Edge ID",IF(NOT(OR(AND(B524="UC",E524="CAP",D524="requires"),AND(B524="CAP",E524="AIR",D524="provided by"),AND(B524="AIR",OR(E524="MOD",E524="DATA",E524="IF",E524="AG",E524="TOOL"),D524="references"),AND(B524="AIR",E524="AIR",D524="depends on"))),"Invalid relationship",IF(AND(M524&lt;&gt;"Superseded",COUNTIFS($B$4:$B$1003,B524,$C$4:$C$1003,C524,$D$4:$D$1003,D524,$E$4:$E$1003,E524,$F$4:$F$1003,F524,$G$4:$G$1003,G524,$M$4:$M$1003,"&lt;&gt;Superseded")&gt;1),"Duplicate relationship",IF(OR(IF(B524="UC",COUNTIF('Use cases'!$A$4:$A$253,C524),IF(B524="CAP",COUNTIF(Capabilities!$A$4:$A$253,C524),IF(B524="AIR",COUNTIF('System map'!$A$4:$A$203,C524),COUNTIFS(Components!$A$4:$A$253,C524,Components!$B$4:$B$253,B524))))&lt;&gt;1,IF(E524="UC",COUNTIF('Use cases'!$A$4:$A$253,F524),IF(E524="CAP",COUNTIF(Capabilities!$A$4:$A$253,F524),IF(E524="AIR",COUNTIF('System map'!$A$4:$A$203,F524),COUNTIFS(Components!$A$4:$A$253,F524,Components!$B$4:$B$253,E524))))&lt;&gt;1),"Endpoint missing or duplicated",IF(AND(NOT(AND(B524="UC",E524="CAP")),OR(G524="",COUNTIF('System map'!$A$4:$A$203,G524)&lt;&gt;1)),"AIR context missing / unknown",IF(AND(B524="CAP",E524="AIR",G524&lt;&gt;F524),"AIR context mismatch",IF(AND(B524="AIR",G524&lt;&gt;C524),"AIR context mismatch",IF(AND(B524="AIR",E524="AIR",C524=F524),"Self-dependency",IF(AND(B524="AIR",E524="AIR",M524&lt;&gt;"Superseded",COUNTIFS($B$4:$B$1003,"AIR",$C$4:$C$1003,F524,$E$4:$E$1003,"AIR",$F$4:$F$1003,C524,$M$4:$M$1003,"&lt;&gt;Superseded")&gt;0),"Dependency cycle (A↔B) — review",IF(AND(B524="AIR",OR(E524="MOD",E524="DATA",E524="IF",E524="AG",E524="TOOL"),IFERROR(INDEX(Components!$G$4:$G$253,MATCH(F524,Components!$A$4:$A$253,0)),"")&lt;&gt;"",IFERROR(INDEX(Components!$G$4:$G$253,MATCH(F524,Components!$A$4:$A$253,0)),"")&lt;&gt;C524),"Component owned by another AIR-ID",IF(AND(M524="Confirmed",OR(IF(B524="UC",COUNTIFS('Use cases'!$A$4:$A$253,C524,'Use cases'!$I$4:$I$253,"Confirmed",'Use cases'!$J$4:$J$253,"OK — verify source"),IF(B524="CAP",COUNTIFS(Capabilities!$A$4:$A$253,C524,Capabilities!$J$4:$J$253,"Confirmed",Capabilities!$K$4:$K$253,"OK — verify source"),IF(B524="AIR",COUNTIFS('System map'!$A$4:$A$203,C524,'System map'!$B$4:$B$203,"&lt;&gt;",'System map'!$C$4:$C$203,"&lt;&gt;",'System map'!$D$4:$D$203,"&lt;&gt;"),COUNTIFS(Components!$A$4:$A$253,C524,Components!$B$4:$B$253,B524,Components!$K$4:$K$253,"Confirmed",Components!$L$4:$L$253,"OK — verify source"))))&lt;&gt;1,IF(E524="UC",COUNTIFS('Use cases'!$A$4:$A$253,F524,'Use cases'!$I$4:$I$253,"Confirmed",'Use cases'!$J$4:$J$253,"OK — verify source"),IF(E524="CAP",COUNTIFS(Capabilities!$A$4:$A$253,F524,Capabilities!$J$4:$J$253,"Confirmed",Capabilities!$K$4:$K$253,"OK — verify source"),IF(E524="AIR",COUNTIFS('System map'!$A$4:$A$203,F524,'System map'!$B$4:$B$203,"&lt;&gt;",'System map'!$C$4:$C$203,"&lt;&gt;",'System map'!$D$4:$D$203,"&lt;&gt;"),COUNTIFS(Components!$A$4:$A$253,F524,Components!$B$4:$B$253,E524,Components!$K$4:$K$253,"Confirmed",Components!$L$4:$L$253,"OK — verify source"))))&lt;&gt;1)),"Endpoint not source-reconciled",IF(AND(M524="Confirmed",OR(L524="",K524="",K524="Unknown",K524="Low")),"Confirmed link lacks verification","OK — verify source"))))))))))))))</f>
        <v/>
      </c>
    </row>
    <row r="525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8" t="n"/>
      <c r="M525" s="27" t="n"/>
      <c r="N525" s="27">
        <f>IF(COUNTA(A525:M525)=0,"",IF(OR(A525="",B525="",C525="",D525="",E525="",F525="",I525="",J525="",K525="",M525=""),"Required link detail missing",IF(COUNTIF($A$4:$A$1003,A525)&gt;1,"Duplicate Map Edge ID",IF(NOT(OR(AND(B525="UC",E525="CAP",D525="requires"),AND(B525="CAP",E525="AIR",D525="provided by"),AND(B525="AIR",OR(E525="MOD",E525="DATA",E525="IF",E525="AG",E525="TOOL"),D525="references"),AND(B525="AIR",E525="AIR",D525="depends on"))),"Invalid relationship",IF(AND(M525&lt;&gt;"Superseded",COUNTIFS($B$4:$B$1003,B525,$C$4:$C$1003,C525,$D$4:$D$1003,D525,$E$4:$E$1003,E525,$F$4:$F$1003,F525,$G$4:$G$1003,G525,$M$4:$M$1003,"&lt;&gt;Superseded")&gt;1),"Duplicate relationship",IF(OR(IF(B525="UC",COUNTIF('Use cases'!$A$4:$A$253,C525),IF(B525="CAP",COUNTIF(Capabilities!$A$4:$A$253,C525),IF(B525="AIR",COUNTIF('System map'!$A$4:$A$203,C525),COUNTIFS(Components!$A$4:$A$253,C525,Components!$B$4:$B$253,B525))))&lt;&gt;1,IF(E525="UC",COUNTIF('Use cases'!$A$4:$A$253,F525),IF(E525="CAP",COUNTIF(Capabilities!$A$4:$A$253,F525),IF(E525="AIR",COUNTIF('System map'!$A$4:$A$203,F525),COUNTIFS(Components!$A$4:$A$253,F525,Components!$B$4:$B$253,E525))))&lt;&gt;1),"Endpoint missing or duplicated",IF(AND(NOT(AND(B525="UC",E525="CAP")),OR(G525="",COUNTIF('System map'!$A$4:$A$203,G525)&lt;&gt;1)),"AIR context missing / unknown",IF(AND(B525="CAP",E525="AIR",G525&lt;&gt;F525),"AIR context mismatch",IF(AND(B525="AIR",G525&lt;&gt;C525),"AIR context mismatch",IF(AND(B525="AIR",E525="AIR",C525=F525),"Self-dependency",IF(AND(B525="AIR",E525="AIR",M525&lt;&gt;"Superseded",COUNTIFS($B$4:$B$1003,"AIR",$C$4:$C$1003,F525,$E$4:$E$1003,"AIR",$F$4:$F$1003,C525,$M$4:$M$1003,"&lt;&gt;Superseded")&gt;0),"Dependency cycle (A↔B) — review",IF(AND(B525="AIR",OR(E525="MOD",E525="DATA",E525="IF",E525="AG",E525="TOOL"),IFERROR(INDEX(Components!$G$4:$G$253,MATCH(F525,Components!$A$4:$A$253,0)),"")&lt;&gt;"",IFERROR(INDEX(Components!$G$4:$G$253,MATCH(F525,Components!$A$4:$A$253,0)),"")&lt;&gt;C525),"Component owned by another AIR-ID",IF(AND(M525="Confirmed",OR(IF(B525="UC",COUNTIFS('Use cases'!$A$4:$A$253,C525,'Use cases'!$I$4:$I$253,"Confirmed",'Use cases'!$J$4:$J$253,"OK — verify source"),IF(B525="CAP",COUNTIFS(Capabilities!$A$4:$A$253,C525,Capabilities!$J$4:$J$253,"Confirmed",Capabilities!$K$4:$K$253,"OK — verify source"),IF(B525="AIR",COUNTIFS('System map'!$A$4:$A$203,C525,'System map'!$B$4:$B$203,"&lt;&gt;",'System map'!$C$4:$C$203,"&lt;&gt;",'System map'!$D$4:$D$203,"&lt;&gt;"),COUNTIFS(Components!$A$4:$A$253,C525,Components!$B$4:$B$253,B525,Components!$K$4:$K$253,"Confirmed",Components!$L$4:$L$253,"OK — verify source"))))&lt;&gt;1,IF(E525="UC",COUNTIFS('Use cases'!$A$4:$A$253,F525,'Use cases'!$I$4:$I$253,"Confirmed",'Use cases'!$J$4:$J$253,"OK — verify source"),IF(E525="CAP",COUNTIFS(Capabilities!$A$4:$A$253,F525,Capabilities!$J$4:$J$253,"Confirmed",Capabilities!$K$4:$K$253,"OK — verify source"),IF(E525="AIR",COUNTIFS('System map'!$A$4:$A$203,F525,'System map'!$B$4:$B$203,"&lt;&gt;",'System map'!$C$4:$C$203,"&lt;&gt;",'System map'!$D$4:$D$203,"&lt;&gt;"),COUNTIFS(Components!$A$4:$A$253,F525,Components!$B$4:$B$253,E525,Components!$K$4:$K$253,"Confirmed",Components!$L$4:$L$253,"OK — verify source"))))&lt;&gt;1)),"Endpoint not source-reconciled",IF(AND(M525="Confirmed",OR(L525="",K525="",K525="Unknown",K525="Low")),"Confirmed link lacks verification","OK — verify source"))))))))))))))</f>
        <v/>
      </c>
    </row>
    <row r="526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6" t="n"/>
      <c r="M526" s="25" t="n"/>
      <c r="N526" s="25">
        <f>IF(COUNTA(A526:M526)=0,"",IF(OR(A526="",B526="",C526="",D526="",E526="",F526="",I526="",J526="",K526="",M526=""),"Required link detail missing",IF(COUNTIF($A$4:$A$1003,A526)&gt;1,"Duplicate Map Edge ID",IF(NOT(OR(AND(B526="UC",E526="CAP",D526="requires"),AND(B526="CAP",E526="AIR",D526="provided by"),AND(B526="AIR",OR(E526="MOD",E526="DATA",E526="IF",E526="AG",E526="TOOL"),D526="references"),AND(B526="AIR",E526="AIR",D526="depends on"))),"Invalid relationship",IF(AND(M526&lt;&gt;"Superseded",COUNTIFS($B$4:$B$1003,B526,$C$4:$C$1003,C526,$D$4:$D$1003,D526,$E$4:$E$1003,E526,$F$4:$F$1003,F526,$G$4:$G$1003,G526,$M$4:$M$1003,"&lt;&gt;Superseded")&gt;1),"Duplicate relationship",IF(OR(IF(B526="UC",COUNTIF('Use cases'!$A$4:$A$253,C526),IF(B526="CAP",COUNTIF(Capabilities!$A$4:$A$253,C526),IF(B526="AIR",COUNTIF('System map'!$A$4:$A$203,C526),COUNTIFS(Components!$A$4:$A$253,C526,Components!$B$4:$B$253,B526))))&lt;&gt;1,IF(E526="UC",COUNTIF('Use cases'!$A$4:$A$253,F526),IF(E526="CAP",COUNTIF(Capabilities!$A$4:$A$253,F526),IF(E526="AIR",COUNTIF('System map'!$A$4:$A$203,F526),COUNTIFS(Components!$A$4:$A$253,F526,Components!$B$4:$B$253,E526))))&lt;&gt;1),"Endpoint missing or duplicated",IF(AND(NOT(AND(B526="UC",E526="CAP")),OR(G526="",COUNTIF('System map'!$A$4:$A$203,G526)&lt;&gt;1)),"AIR context missing / unknown",IF(AND(B526="CAP",E526="AIR",G526&lt;&gt;F526),"AIR context mismatch",IF(AND(B526="AIR",G526&lt;&gt;C526),"AIR context mismatch",IF(AND(B526="AIR",E526="AIR",C526=F526),"Self-dependency",IF(AND(B526="AIR",E526="AIR",M526&lt;&gt;"Superseded",COUNTIFS($B$4:$B$1003,"AIR",$C$4:$C$1003,F526,$E$4:$E$1003,"AIR",$F$4:$F$1003,C526,$M$4:$M$1003,"&lt;&gt;Superseded")&gt;0),"Dependency cycle (A↔B) — review",IF(AND(B526="AIR",OR(E526="MOD",E526="DATA",E526="IF",E526="AG",E526="TOOL"),IFERROR(INDEX(Components!$G$4:$G$253,MATCH(F526,Components!$A$4:$A$253,0)),"")&lt;&gt;"",IFERROR(INDEX(Components!$G$4:$G$253,MATCH(F526,Components!$A$4:$A$253,0)),"")&lt;&gt;C526),"Component owned by another AIR-ID",IF(AND(M526="Confirmed",OR(IF(B526="UC",COUNTIFS('Use cases'!$A$4:$A$253,C526,'Use cases'!$I$4:$I$253,"Confirmed",'Use cases'!$J$4:$J$253,"OK — verify source"),IF(B526="CAP",COUNTIFS(Capabilities!$A$4:$A$253,C526,Capabilities!$J$4:$J$253,"Confirmed",Capabilities!$K$4:$K$253,"OK — verify source"),IF(B526="AIR",COUNTIFS('System map'!$A$4:$A$203,C526,'System map'!$B$4:$B$203,"&lt;&gt;",'System map'!$C$4:$C$203,"&lt;&gt;",'System map'!$D$4:$D$203,"&lt;&gt;"),COUNTIFS(Components!$A$4:$A$253,C526,Components!$B$4:$B$253,B526,Components!$K$4:$K$253,"Confirmed",Components!$L$4:$L$253,"OK — verify source"))))&lt;&gt;1,IF(E526="UC",COUNTIFS('Use cases'!$A$4:$A$253,F526,'Use cases'!$I$4:$I$253,"Confirmed",'Use cases'!$J$4:$J$253,"OK — verify source"),IF(E526="CAP",COUNTIFS(Capabilities!$A$4:$A$253,F526,Capabilities!$J$4:$J$253,"Confirmed",Capabilities!$K$4:$K$253,"OK — verify source"),IF(E526="AIR",COUNTIFS('System map'!$A$4:$A$203,F526,'System map'!$B$4:$B$203,"&lt;&gt;",'System map'!$C$4:$C$203,"&lt;&gt;",'System map'!$D$4:$D$203,"&lt;&gt;"),COUNTIFS(Components!$A$4:$A$253,F526,Components!$B$4:$B$253,E526,Components!$K$4:$K$253,"Confirmed",Components!$L$4:$L$253,"OK — verify source"))))&lt;&gt;1)),"Endpoint not source-reconciled",IF(AND(M526="Confirmed",OR(L526="",K526="",K526="Unknown",K526="Low")),"Confirmed link lacks verification","OK — verify source"))))))))))))))</f>
        <v/>
      </c>
    </row>
    <row r="527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8" t="n"/>
      <c r="M527" s="27" t="n"/>
      <c r="N527" s="27">
        <f>IF(COUNTA(A527:M527)=0,"",IF(OR(A527="",B527="",C527="",D527="",E527="",F527="",I527="",J527="",K527="",M527=""),"Required link detail missing",IF(COUNTIF($A$4:$A$1003,A527)&gt;1,"Duplicate Map Edge ID",IF(NOT(OR(AND(B527="UC",E527="CAP",D527="requires"),AND(B527="CAP",E527="AIR",D527="provided by"),AND(B527="AIR",OR(E527="MOD",E527="DATA",E527="IF",E527="AG",E527="TOOL"),D527="references"),AND(B527="AIR",E527="AIR",D527="depends on"))),"Invalid relationship",IF(AND(M527&lt;&gt;"Superseded",COUNTIFS($B$4:$B$1003,B527,$C$4:$C$1003,C527,$D$4:$D$1003,D527,$E$4:$E$1003,E527,$F$4:$F$1003,F527,$G$4:$G$1003,G527,$M$4:$M$1003,"&lt;&gt;Superseded")&gt;1),"Duplicate relationship",IF(OR(IF(B527="UC",COUNTIF('Use cases'!$A$4:$A$253,C527),IF(B527="CAP",COUNTIF(Capabilities!$A$4:$A$253,C527),IF(B527="AIR",COUNTIF('System map'!$A$4:$A$203,C527),COUNTIFS(Components!$A$4:$A$253,C527,Components!$B$4:$B$253,B527))))&lt;&gt;1,IF(E527="UC",COUNTIF('Use cases'!$A$4:$A$253,F527),IF(E527="CAP",COUNTIF(Capabilities!$A$4:$A$253,F527),IF(E527="AIR",COUNTIF('System map'!$A$4:$A$203,F527),COUNTIFS(Components!$A$4:$A$253,F527,Components!$B$4:$B$253,E527))))&lt;&gt;1),"Endpoint missing or duplicated",IF(AND(NOT(AND(B527="UC",E527="CAP")),OR(G527="",COUNTIF('System map'!$A$4:$A$203,G527)&lt;&gt;1)),"AIR context missing / unknown",IF(AND(B527="CAP",E527="AIR",G527&lt;&gt;F527),"AIR context mismatch",IF(AND(B527="AIR",G527&lt;&gt;C527),"AIR context mismatch",IF(AND(B527="AIR",E527="AIR",C527=F527),"Self-dependency",IF(AND(B527="AIR",E527="AIR",M527&lt;&gt;"Superseded",COUNTIFS($B$4:$B$1003,"AIR",$C$4:$C$1003,F527,$E$4:$E$1003,"AIR",$F$4:$F$1003,C527,$M$4:$M$1003,"&lt;&gt;Superseded")&gt;0),"Dependency cycle (A↔B) — review",IF(AND(B527="AIR",OR(E527="MOD",E527="DATA",E527="IF",E527="AG",E527="TOOL"),IFERROR(INDEX(Components!$G$4:$G$253,MATCH(F527,Components!$A$4:$A$253,0)),"")&lt;&gt;"",IFERROR(INDEX(Components!$G$4:$G$253,MATCH(F527,Components!$A$4:$A$253,0)),"")&lt;&gt;C527),"Component owned by another AIR-ID",IF(AND(M527="Confirmed",OR(IF(B527="UC",COUNTIFS('Use cases'!$A$4:$A$253,C527,'Use cases'!$I$4:$I$253,"Confirmed",'Use cases'!$J$4:$J$253,"OK — verify source"),IF(B527="CAP",COUNTIFS(Capabilities!$A$4:$A$253,C527,Capabilities!$J$4:$J$253,"Confirmed",Capabilities!$K$4:$K$253,"OK — verify source"),IF(B527="AIR",COUNTIFS('System map'!$A$4:$A$203,C527,'System map'!$B$4:$B$203,"&lt;&gt;",'System map'!$C$4:$C$203,"&lt;&gt;",'System map'!$D$4:$D$203,"&lt;&gt;"),COUNTIFS(Components!$A$4:$A$253,C527,Components!$B$4:$B$253,B527,Components!$K$4:$K$253,"Confirmed",Components!$L$4:$L$253,"OK — verify source"))))&lt;&gt;1,IF(E527="UC",COUNTIFS('Use cases'!$A$4:$A$253,F527,'Use cases'!$I$4:$I$253,"Confirmed",'Use cases'!$J$4:$J$253,"OK — verify source"),IF(E527="CAP",COUNTIFS(Capabilities!$A$4:$A$253,F527,Capabilities!$J$4:$J$253,"Confirmed",Capabilities!$K$4:$K$253,"OK — verify source"),IF(E527="AIR",COUNTIFS('System map'!$A$4:$A$203,F527,'System map'!$B$4:$B$203,"&lt;&gt;",'System map'!$C$4:$C$203,"&lt;&gt;",'System map'!$D$4:$D$203,"&lt;&gt;"),COUNTIFS(Components!$A$4:$A$253,F527,Components!$B$4:$B$253,E527,Components!$K$4:$K$253,"Confirmed",Components!$L$4:$L$253,"OK — verify source"))))&lt;&gt;1)),"Endpoint not source-reconciled",IF(AND(M527="Confirmed",OR(L527="",K527="",K527="Unknown",K527="Low")),"Confirmed link lacks verification","OK — verify source"))))))))))))))</f>
        <v/>
      </c>
    </row>
    <row r="528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6" t="n"/>
      <c r="M528" s="25" t="n"/>
      <c r="N528" s="25">
        <f>IF(COUNTA(A528:M528)=0,"",IF(OR(A528="",B528="",C528="",D528="",E528="",F528="",I528="",J528="",K528="",M528=""),"Required link detail missing",IF(COUNTIF($A$4:$A$1003,A528)&gt;1,"Duplicate Map Edge ID",IF(NOT(OR(AND(B528="UC",E528="CAP",D528="requires"),AND(B528="CAP",E528="AIR",D528="provided by"),AND(B528="AIR",OR(E528="MOD",E528="DATA",E528="IF",E528="AG",E528="TOOL"),D528="references"),AND(B528="AIR",E528="AIR",D528="depends on"))),"Invalid relationship",IF(AND(M528&lt;&gt;"Superseded",COUNTIFS($B$4:$B$1003,B528,$C$4:$C$1003,C528,$D$4:$D$1003,D528,$E$4:$E$1003,E528,$F$4:$F$1003,F528,$G$4:$G$1003,G528,$M$4:$M$1003,"&lt;&gt;Superseded")&gt;1),"Duplicate relationship",IF(OR(IF(B528="UC",COUNTIF('Use cases'!$A$4:$A$253,C528),IF(B528="CAP",COUNTIF(Capabilities!$A$4:$A$253,C528),IF(B528="AIR",COUNTIF('System map'!$A$4:$A$203,C528),COUNTIFS(Components!$A$4:$A$253,C528,Components!$B$4:$B$253,B528))))&lt;&gt;1,IF(E528="UC",COUNTIF('Use cases'!$A$4:$A$253,F528),IF(E528="CAP",COUNTIF(Capabilities!$A$4:$A$253,F528),IF(E528="AIR",COUNTIF('System map'!$A$4:$A$203,F528),COUNTIFS(Components!$A$4:$A$253,F528,Components!$B$4:$B$253,E528))))&lt;&gt;1),"Endpoint missing or duplicated",IF(AND(NOT(AND(B528="UC",E528="CAP")),OR(G528="",COUNTIF('System map'!$A$4:$A$203,G528)&lt;&gt;1)),"AIR context missing / unknown",IF(AND(B528="CAP",E528="AIR",G528&lt;&gt;F528),"AIR context mismatch",IF(AND(B528="AIR",G528&lt;&gt;C528),"AIR context mismatch",IF(AND(B528="AIR",E528="AIR",C528=F528),"Self-dependency",IF(AND(B528="AIR",E528="AIR",M528&lt;&gt;"Superseded",COUNTIFS($B$4:$B$1003,"AIR",$C$4:$C$1003,F528,$E$4:$E$1003,"AIR",$F$4:$F$1003,C528,$M$4:$M$1003,"&lt;&gt;Superseded")&gt;0),"Dependency cycle (A↔B) — review",IF(AND(B528="AIR",OR(E528="MOD",E528="DATA",E528="IF",E528="AG",E528="TOOL"),IFERROR(INDEX(Components!$G$4:$G$253,MATCH(F528,Components!$A$4:$A$253,0)),"")&lt;&gt;"",IFERROR(INDEX(Components!$G$4:$G$253,MATCH(F528,Components!$A$4:$A$253,0)),"")&lt;&gt;C528),"Component owned by another AIR-ID",IF(AND(M528="Confirmed",OR(IF(B528="UC",COUNTIFS('Use cases'!$A$4:$A$253,C528,'Use cases'!$I$4:$I$253,"Confirmed",'Use cases'!$J$4:$J$253,"OK — verify source"),IF(B528="CAP",COUNTIFS(Capabilities!$A$4:$A$253,C528,Capabilities!$J$4:$J$253,"Confirmed",Capabilities!$K$4:$K$253,"OK — verify source"),IF(B528="AIR",COUNTIFS('System map'!$A$4:$A$203,C528,'System map'!$B$4:$B$203,"&lt;&gt;",'System map'!$C$4:$C$203,"&lt;&gt;",'System map'!$D$4:$D$203,"&lt;&gt;"),COUNTIFS(Components!$A$4:$A$253,C528,Components!$B$4:$B$253,B528,Components!$K$4:$K$253,"Confirmed",Components!$L$4:$L$253,"OK — verify source"))))&lt;&gt;1,IF(E528="UC",COUNTIFS('Use cases'!$A$4:$A$253,F528,'Use cases'!$I$4:$I$253,"Confirmed",'Use cases'!$J$4:$J$253,"OK — verify source"),IF(E528="CAP",COUNTIFS(Capabilities!$A$4:$A$253,F528,Capabilities!$J$4:$J$253,"Confirmed",Capabilities!$K$4:$K$253,"OK — verify source"),IF(E528="AIR",COUNTIFS('System map'!$A$4:$A$203,F528,'System map'!$B$4:$B$203,"&lt;&gt;",'System map'!$C$4:$C$203,"&lt;&gt;",'System map'!$D$4:$D$203,"&lt;&gt;"),COUNTIFS(Components!$A$4:$A$253,F528,Components!$B$4:$B$253,E528,Components!$K$4:$K$253,"Confirmed",Components!$L$4:$L$253,"OK — verify source"))))&lt;&gt;1)),"Endpoint not source-reconciled",IF(AND(M528="Confirmed",OR(L528="",K528="",K528="Unknown",K528="Low")),"Confirmed link lacks verification","OK — verify source"))))))))))))))</f>
        <v/>
      </c>
    </row>
    <row r="529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8" t="n"/>
      <c r="M529" s="27" t="n"/>
      <c r="N529" s="27">
        <f>IF(COUNTA(A529:M529)=0,"",IF(OR(A529="",B529="",C529="",D529="",E529="",F529="",I529="",J529="",K529="",M529=""),"Required link detail missing",IF(COUNTIF($A$4:$A$1003,A529)&gt;1,"Duplicate Map Edge ID",IF(NOT(OR(AND(B529="UC",E529="CAP",D529="requires"),AND(B529="CAP",E529="AIR",D529="provided by"),AND(B529="AIR",OR(E529="MOD",E529="DATA",E529="IF",E529="AG",E529="TOOL"),D529="references"),AND(B529="AIR",E529="AIR",D529="depends on"))),"Invalid relationship",IF(AND(M529&lt;&gt;"Superseded",COUNTIFS($B$4:$B$1003,B529,$C$4:$C$1003,C529,$D$4:$D$1003,D529,$E$4:$E$1003,E529,$F$4:$F$1003,F529,$G$4:$G$1003,G529,$M$4:$M$1003,"&lt;&gt;Superseded")&gt;1),"Duplicate relationship",IF(OR(IF(B529="UC",COUNTIF('Use cases'!$A$4:$A$253,C529),IF(B529="CAP",COUNTIF(Capabilities!$A$4:$A$253,C529),IF(B529="AIR",COUNTIF('System map'!$A$4:$A$203,C529),COUNTIFS(Components!$A$4:$A$253,C529,Components!$B$4:$B$253,B529))))&lt;&gt;1,IF(E529="UC",COUNTIF('Use cases'!$A$4:$A$253,F529),IF(E529="CAP",COUNTIF(Capabilities!$A$4:$A$253,F529),IF(E529="AIR",COUNTIF('System map'!$A$4:$A$203,F529),COUNTIFS(Components!$A$4:$A$253,F529,Components!$B$4:$B$253,E529))))&lt;&gt;1),"Endpoint missing or duplicated",IF(AND(NOT(AND(B529="UC",E529="CAP")),OR(G529="",COUNTIF('System map'!$A$4:$A$203,G529)&lt;&gt;1)),"AIR context missing / unknown",IF(AND(B529="CAP",E529="AIR",G529&lt;&gt;F529),"AIR context mismatch",IF(AND(B529="AIR",G529&lt;&gt;C529),"AIR context mismatch",IF(AND(B529="AIR",E529="AIR",C529=F529),"Self-dependency",IF(AND(B529="AIR",E529="AIR",M529&lt;&gt;"Superseded",COUNTIFS($B$4:$B$1003,"AIR",$C$4:$C$1003,F529,$E$4:$E$1003,"AIR",$F$4:$F$1003,C529,$M$4:$M$1003,"&lt;&gt;Superseded")&gt;0),"Dependency cycle (A↔B) — review",IF(AND(B529="AIR",OR(E529="MOD",E529="DATA",E529="IF",E529="AG",E529="TOOL"),IFERROR(INDEX(Components!$G$4:$G$253,MATCH(F529,Components!$A$4:$A$253,0)),"")&lt;&gt;"",IFERROR(INDEX(Components!$G$4:$G$253,MATCH(F529,Components!$A$4:$A$253,0)),"")&lt;&gt;C529),"Component owned by another AIR-ID",IF(AND(M529="Confirmed",OR(IF(B529="UC",COUNTIFS('Use cases'!$A$4:$A$253,C529,'Use cases'!$I$4:$I$253,"Confirmed",'Use cases'!$J$4:$J$253,"OK — verify source"),IF(B529="CAP",COUNTIFS(Capabilities!$A$4:$A$253,C529,Capabilities!$J$4:$J$253,"Confirmed",Capabilities!$K$4:$K$253,"OK — verify source"),IF(B529="AIR",COUNTIFS('System map'!$A$4:$A$203,C529,'System map'!$B$4:$B$203,"&lt;&gt;",'System map'!$C$4:$C$203,"&lt;&gt;",'System map'!$D$4:$D$203,"&lt;&gt;"),COUNTIFS(Components!$A$4:$A$253,C529,Components!$B$4:$B$253,B529,Components!$K$4:$K$253,"Confirmed",Components!$L$4:$L$253,"OK — verify source"))))&lt;&gt;1,IF(E529="UC",COUNTIFS('Use cases'!$A$4:$A$253,F529,'Use cases'!$I$4:$I$253,"Confirmed",'Use cases'!$J$4:$J$253,"OK — verify source"),IF(E529="CAP",COUNTIFS(Capabilities!$A$4:$A$253,F529,Capabilities!$J$4:$J$253,"Confirmed",Capabilities!$K$4:$K$253,"OK — verify source"),IF(E529="AIR",COUNTIFS('System map'!$A$4:$A$203,F529,'System map'!$B$4:$B$203,"&lt;&gt;",'System map'!$C$4:$C$203,"&lt;&gt;",'System map'!$D$4:$D$203,"&lt;&gt;"),COUNTIFS(Components!$A$4:$A$253,F529,Components!$B$4:$B$253,E529,Components!$K$4:$K$253,"Confirmed",Components!$L$4:$L$253,"OK — verify source"))))&lt;&gt;1)),"Endpoint not source-reconciled",IF(AND(M529="Confirmed",OR(L529="",K529="",K529="Unknown",K529="Low")),"Confirmed link lacks verification","OK — verify source"))))))))))))))</f>
        <v/>
      </c>
    </row>
    <row r="530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6" t="n"/>
      <c r="M530" s="25" t="n"/>
      <c r="N530" s="25">
        <f>IF(COUNTA(A530:M530)=0,"",IF(OR(A530="",B530="",C530="",D530="",E530="",F530="",I530="",J530="",K530="",M530=""),"Required link detail missing",IF(COUNTIF($A$4:$A$1003,A530)&gt;1,"Duplicate Map Edge ID",IF(NOT(OR(AND(B530="UC",E530="CAP",D530="requires"),AND(B530="CAP",E530="AIR",D530="provided by"),AND(B530="AIR",OR(E530="MOD",E530="DATA",E530="IF",E530="AG",E530="TOOL"),D530="references"),AND(B530="AIR",E530="AIR",D530="depends on"))),"Invalid relationship",IF(AND(M530&lt;&gt;"Superseded",COUNTIFS($B$4:$B$1003,B530,$C$4:$C$1003,C530,$D$4:$D$1003,D530,$E$4:$E$1003,E530,$F$4:$F$1003,F530,$G$4:$G$1003,G530,$M$4:$M$1003,"&lt;&gt;Superseded")&gt;1),"Duplicate relationship",IF(OR(IF(B530="UC",COUNTIF('Use cases'!$A$4:$A$253,C530),IF(B530="CAP",COUNTIF(Capabilities!$A$4:$A$253,C530),IF(B530="AIR",COUNTIF('System map'!$A$4:$A$203,C530),COUNTIFS(Components!$A$4:$A$253,C530,Components!$B$4:$B$253,B530))))&lt;&gt;1,IF(E530="UC",COUNTIF('Use cases'!$A$4:$A$253,F530),IF(E530="CAP",COUNTIF(Capabilities!$A$4:$A$253,F530),IF(E530="AIR",COUNTIF('System map'!$A$4:$A$203,F530),COUNTIFS(Components!$A$4:$A$253,F530,Components!$B$4:$B$253,E530))))&lt;&gt;1),"Endpoint missing or duplicated",IF(AND(NOT(AND(B530="UC",E530="CAP")),OR(G530="",COUNTIF('System map'!$A$4:$A$203,G530)&lt;&gt;1)),"AIR context missing / unknown",IF(AND(B530="CAP",E530="AIR",G530&lt;&gt;F530),"AIR context mismatch",IF(AND(B530="AIR",G530&lt;&gt;C530),"AIR context mismatch",IF(AND(B530="AIR",E530="AIR",C530=F530),"Self-dependency",IF(AND(B530="AIR",E530="AIR",M530&lt;&gt;"Superseded",COUNTIFS($B$4:$B$1003,"AIR",$C$4:$C$1003,F530,$E$4:$E$1003,"AIR",$F$4:$F$1003,C530,$M$4:$M$1003,"&lt;&gt;Superseded")&gt;0),"Dependency cycle (A↔B) — review",IF(AND(B530="AIR",OR(E530="MOD",E530="DATA",E530="IF",E530="AG",E530="TOOL"),IFERROR(INDEX(Components!$G$4:$G$253,MATCH(F530,Components!$A$4:$A$253,0)),"")&lt;&gt;"",IFERROR(INDEX(Components!$G$4:$G$253,MATCH(F530,Components!$A$4:$A$253,0)),"")&lt;&gt;C530),"Component owned by another AIR-ID",IF(AND(M530="Confirmed",OR(IF(B530="UC",COUNTIFS('Use cases'!$A$4:$A$253,C530,'Use cases'!$I$4:$I$253,"Confirmed",'Use cases'!$J$4:$J$253,"OK — verify source"),IF(B530="CAP",COUNTIFS(Capabilities!$A$4:$A$253,C530,Capabilities!$J$4:$J$253,"Confirmed",Capabilities!$K$4:$K$253,"OK — verify source"),IF(B530="AIR",COUNTIFS('System map'!$A$4:$A$203,C530,'System map'!$B$4:$B$203,"&lt;&gt;",'System map'!$C$4:$C$203,"&lt;&gt;",'System map'!$D$4:$D$203,"&lt;&gt;"),COUNTIFS(Components!$A$4:$A$253,C530,Components!$B$4:$B$253,B530,Components!$K$4:$K$253,"Confirmed",Components!$L$4:$L$253,"OK — verify source"))))&lt;&gt;1,IF(E530="UC",COUNTIFS('Use cases'!$A$4:$A$253,F530,'Use cases'!$I$4:$I$253,"Confirmed",'Use cases'!$J$4:$J$253,"OK — verify source"),IF(E530="CAP",COUNTIFS(Capabilities!$A$4:$A$253,F530,Capabilities!$J$4:$J$253,"Confirmed",Capabilities!$K$4:$K$253,"OK — verify source"),IF(E530="AIR",COUNTIFS('System map'!$A$4:$A$203,F530,'System map'!$B$4:$B$203,"&lt;&gt;",'System map'!$C$4:$C$203,"&lt;&gt;",'System map'!$D$4:$D$203,"&lt;&gt;"),COUNTIFS(Components!$A$4:$A$253,F530,Components!$B$4:$B$253,E530,Components!$K$4:$K$253,"Confirmed",Components!$L$4:$L$253,"OK — verify source"))))&lt;&gt;1)),"Endpoint not source-reconciled",IF(AND(M530="Confirmed",OR(L530="",K530="",K530="Unknown",K530="Low")),"Confirmed link lacks verification","OK — verify source"))))))))))))))</f>
        <v/>
      </c>
    </row>
    <row r="531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8" t="n"/>
      <c r="M531" s="27" t="n"/>
      <c r="N531" s="27">
        <f>IF(COUNTA(A531:M531)=0,"",IF(OR(A531="",B531="",C531="",D531="",E531="",F531="",I531="",J531="",K531="",M531=""),"Required link detail missing",IF(COUNTIF($A$4:$A$1003,A531)&gt;1,"Duplicate Map Edge ID",IF(NOT(OR(AND(B531="UC",E531="CAP",D531="requires"),AND(B531="CAP",E531="AIR",D531="provided by"),AND(B531="AIR",OR(E531="MOD",E531="DATA",E531="IF",E531="AG",E531="TOOL"),D531="references"),AND(B531="AIR",E531="AIR",D531="depends on"))),"Invalid relationship",IF(AND(M531&lt;&gt;"Superseded",COUNTIFS($B$4:$B$1003,B531,$C$4:$C$1003,C531,$D$4:$D$1003,D531,$E$4:$E$1003,E531,$F$4:$F$1003,F531,$G$4:$G$1003,G531,$M$4:$M$1003,"&lt;&gt;Superseded")&gt;1),"Duplicate relationship",IF(OR(IF(B531="UC",COUNTIF('Use cases'!$A$4:$A$253,C531),IF(B531="CAP",COUNTIF(Capabilities!$A$4:$A$253,C531),IF(B531="AIR",COUNTIF('System map'!$A$4:$A$203,C531),COUNTIFS(Components!$A$4:$A$253,C531,Components!$B$4:$B$253,B531))))&lt;&gt;1,IF(E531="UC",COUNTIF('Use cases'!$A$4:$A$253,F531),IF(E531="CAP",COUNTIF(Capabilities!$A$4:$A$253,F531),IF(E531="AIR",COUNTIF('System map'!$A$4:$A$203,F531),COUNTIFS(Components!$A$4:$A$253,F531,Components!$B$4:$B$253,E531))))&lt;&gt;1),"Endpoint missing or duplicated",IF(AND(NOT(AND(B531="UC",E531="CAP")),OR(G531="",COUNTIF('System map'!$A$4:$A$203,G531)&lt;&gt;1)),"AIR context missing / unknown",IF(AND(B531="CAP",E531="AIR",G531&lt;&gt;F531),"AIR context mismatch",IF(AND(B531="AIR",G531&lt;&gt;C531),"AIR context mismatch",IF(AND(B531="AIR",E531="AIR",C531=F531),"Self-dependency",IF(AND(B531="AIR",E531="AIR",M531&lt;&gt;"Superseded",COUNTIFS($B$4:$B$1003,"AIR",$C$4:$C$1003,F531,$E$4:$E$1003,"AIR",$F$4:$F$1003,C531,$M$4:$M$1003,"&lt;&gt;Superseded")&gt;0),"Dependency cycle (A↔B) — review",IF(AND(B531="AIR",OR(E531="MOD",E531="DATA",E531="IF",E531="AG",E531="TOOL"),IFERROR(INDEX(Components!$G$4:$G$253,MATCH(F531,Components!$A$4:$A$253,0)),"")&lt;&gt;"",IFERROR(INDEX(Components!$G$4:$G$253,MATCH(F531,Components!$A$4:$A$253,0)),"")&lt;&gt;C531),"Component owned by another AIR-ID",IF(AND(M531="Confirmed",OR(IF(B531="UC",COUNTIFS('Use cases'!$A$4:$A$253,C531,'Use cases'!$I$4:$I$253,"Confirmed",'Use cases'!$J$4:$J$253,"OK — verify source"),IF(B531="CAP",COUNTIFS(Capabilities!$A$4:$A$253,C531,Capabilities!$J$4:$J$253,"Confirmed",Capabilities!$K$4:$K$253,"OK — verify source"),IF(B531="AIR",COUNTIFS('System map'!$A$4:$A$203,C531,'System map'!$B$4:$B$203,"&lt;&gt;",'System map'!$C$4:$C$203,"&lt;&gt;",'System map'!$D$4:$D$203,"&lt;&gt;"),COUNTIFS(Components!$A$4:$A$253,C531,Components!$B$4:$B$253,B531,Components!$K$4:$K$253,"Confirmed",Components!$L$4:$L$253,"OK — verify source"))))&lt;&gt;1,IF(E531="UC",COUNTIFS('Use cases'!$A$4:$A$253,F531,'Use cases'!$I$4:$I$253,"Confirmed",'Use cases'!$J$4:$J$253,"OK — verify source"),IF(E531="CAP",COUNTIFS(Capabilities!$A$4:$A$253,F531,Capabilities!$J$4:$J$253,"Confirmed",Capabilities!$K$4:$K$253,"OK — verify source"),IF(E531="AIR",COUNTIFS('System map'!$A$4:$A$203,F531,'System map'!$B$4:$B$203,"&lt;&gt;",'System map'!$C$4:$C$203,"&lt;&gt;",'System map'!$D$4:$D$203,"&lt;&gt;"),COUNTIFS(Components!$A$4:$A$253,F531,Components!$B$4:$B$253,E531,Components!$K$4:$K$253,"Confirmed",Components!$L$4:$L$253,"OK — verify source"))))&lt;&gt;1)),"Endpoint not source-reconciled",IF(AND(M531="Confirmed",OR(L531="",K531="",K531="Unknown",K531="Low")),"Confirmed link lacks verification","OK — verify source"))))))))))))))</f>
        <v/>
      </c>
    </row>
    <row r="532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6" t="n"/>
      <c r="M532" s="25" t="n"/>
      <c r="N532" s="25">
        <f>IF(COUNTA(A532:M532)=0,"",IF(OR(A532="",B532="",C532="",D532="",E532="",F532="",I532="",J532="",K532="",M532=""),"Required link detail missing",IF(COUNTIF($A$4:$A$1003,A532)&gt;1,"Duplicate Map Edge ID",IF(NOT(OR(AND(B532="UC",E532="CAP",D532="requires"),AND(B532="CAP",E532="AIR",D532="provided by"),AND(B532="AIR",OR(E532="MOD",E532="DATA",E532="IF",E532="AG",E532="TOOL"),D532="references"),AND(B532="AIR",E532="AIR",D532="depends on"))),"Invalid relationship",IF(AND(M532&lt;&gt;"Superseded",COUNTIFS($B$4:$B$1003,B532,$C$4:$C$1003,C532,$D$4:$D$1003,D532,$E$4:$E$1003,E532,$F$4:$F$1003,F532,$G$4:$G$1003,G532,$M$4:$M$1003,"&lt;&gt;Superseded")&gt;1),"Duplicate relationship",IF(OR(IF(B532="UC",COUNTIF('Use cases'!$A$4:$A$253,C532),IF(B532="CAP",COUNTIF(Capabilities!$A$4:$A$253,C532),IF(B532="AIR",COUNTIF('System map'!$A$4:$A$203,C532),COUNTIFS(Components!$A$4:$A$253,C532,Components!$B$4:$B$253,B532))))&lt;&gt;1,IF(E532="UC",COUNTIF('Use cases'!$A$4:$A$253,F532),IF(E532="CAP",COUNTIF(Capabilities!$A$4:$A$253,F532),IF(E532="AIR",COUNTIF('System map'!$A$4:$A$203,F532),COUNTIFS(Components!$A$4:$A$253,F532,Components!$B$4:$B$253,E532))))&lt;&gt;1),"Endpoint missing or duplicated",IF(AND(NOT(AND(B532="UC",E532="CAP")),OR(G532="",COUNTIF('System map'!$A$4:$A$203,G532)&lt;&gt;1)),"AIR context missing / unknown",IF(AND(B532="CAP",E532="AIR",G532&lt;&gt;F532),"AIR context mismatch",IF(AND(B532="AIR",G532&lt;&gt;C532),"AIR context mismatch",IF(AND(B532="AIR",E532="AIR",C532=F532),"Self-dependency",IF(AND(B532="AIR",E532="AIR",M532&lt;&gt;"Superseded",COUNTIFS($B$4:$B$1003,"AIR",$C$4:$C$1003,F532,$E$4:$E$1003,"AIR",$F$4:$F$1003,C532,$M$4:$M$1003,"&lt;&gt;Superseded")&gt;0),"Dependency cycle (A↔B) — review",IF(AND(B532="AIR",OR(E532="MOD",E532="DATA",E532="IF",E532="AG",E532="TOOL"),IFERROR(INDEX(Components!$G$4:$G$253,MATCH(F532,Components!$A$4:$A$253,0)),"")&lt;&gt;"",IFERROR(INDEX(Components!$G$4:$G$253,MATCH(F532,Components!$A$4:$A$253,0)),"")&lt;&gt;C532),"Component owned by another AIR-ID",IF(AND(M532="Confirmed",OR(IF(B532="UC",COUNTIFS('Use cases'!$A$4:$A$253,C532,'Use cases'!$I$4:$I$253,"Confirmed",'Use cases'!$J$4:$J$253,"OK — verify source"),IF(B532="CAP",COUNTIFS(Capabilities!$A$4:$A$253,C532,Capabilities!$J$4:$J$253,"Confirmed",Capabilities!$K$4:$K$253,"OK — verify source"),IF(B532="AIR",COUNTIFS('System map'!$A$4:$A$203,C532,'System map'!$B$4:$B$203,"&lt;&gt;",'System map'!$C$4:$C$203,"&lt;&gt;",'System map'!$D$4:$D$203,"&lt;&gt;"),COUNTIFS(Components!$A$4:$A$253,C532,Components!$B$4:$B$253,B532,Components!$K$4:$K$253,"Confirmed",Components!$L$4:$L$253,"OK — verify source"))))&lt;&gt;1,IF(E532="UC",COUNTIFS('Use cases'!$A$4:$A$253,F532,'Use cases'!$I$4:$I$253,"Confirmed",'Use cases'!$J$4:$J$253,"OK — verify source"),IF(E532="CAP",COUNTIFS(Capabilities!$A$4:$A$253,F532,Capabilities!$J$4:$J$253,"Confirmed",Capabilities!$K$4:$K$253,"OK — verify source"),IF(E532="AIR",COUNTIFS('System map'!$A$4:$A$203,F532,'System map'!$B$4:$B$203,"&lt;&gt;",'System map'!$C$4:$C$203,"&lt;&gt;",'System map'!$D$4:$D$203,"&lt;&gt;"),COUNTIFS(Components!$A$4:$A$253,F532,Components!$B$4:$B$253,E532,Components!$K$4:$K$253,"Confirmed",Components!$L$4:$L$253,"OK — verify source"))))&lt;&gt;1)),"Endpoint not source-reconciled",IF(AND(M532="Confirmed",OR(L532="",K532="",K532="Unknown",K532="Low")),"Confirmed link lacks verification","OK — verify source"))))))))))))))</f>
        <v/>
      </c>
    </row>
    <row r="533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8" t="n"/>
      <c r="M533" s="27" t="n"/>
      <c r="N533" s="27">
        <f>IF(COUNTA(A533:M533)=0,"",IF(OR(A533="",B533="",C533="",D533="",E533="",F533="",I533="",J533="",K533="",M533=""),"Required link detail missing",IF(COUNTIF($A$4:$A$1003,A533)&gt;1,"Duplicate Map Edge ID",IF(NOT(OR(AND(B533="UC",E533="CAP",D533="requires"),AND(B533="CAP",E533="AIR",D533="provided by"),AND(B533="AIR",OR(E533="MOD",E533="DATA",E533="IF",E533="AG",E533="TOOL"),D533="references"),AND(B533="AIR",E533="AIR",D533="depends on"))),"Invalid relationship",IF(AND(M533&lt;&gt;"Superseded",COUNTIFS($B$4:$B$1003,B533,$C$4:$C$1003,C533,$D$4:$D$1003,D533,$E$4:$E$1003,E533,$F$4:$F$1003,F533,$G$4:$G$1003,G533,$M$4:$M$1003,"&lt;&gt;Superseded")&gt;1),"Duplicate relationship",IF(OR(IF(B533="UC",COUNTIF('Use cases'!$A$4:$A$253,C533),IF(B533="CAP",COUNTIF(Capabilities!$A$4:$A$253,C533),IF(B533="AIR",COUNTIF('System map'!$A$4:$A$203,C533),COUNTIFS(Components!$A$4:$A$253,C533,Components!$B$4:$B$253,B533))))&lt;&gt;1,IF(E533="UC",COUNTIF('Use cases'!$A$4:$A$253,F533),IF(E533="CAP",COUNTIF(Capabilities!$A$4:$A$253,F533),IF(E533="AIR",COUNTIF('System map'!$A$4:$A$203,F533),COUNTIFS(Components!$A$4:$A$253,F533,Components!$B$4:$B$253,E533))))&lt;&gt;1),"Endpoint missing or duplicated",IF(AND(NOT(AND(B533="UC",E533="CAP")),OR(G533="",COUNTIF('System map'!$A$4:$A$203,G533)&lt;&gt;1)),"AIR context missing / unknown",IF(AND(B533="CAP",E533="AIR",G533&lt;&gt;F533),"AIR context mismatch",IF(AND(B533="AIR",G533&lt;&gt;C533),"AIR context mismatch",IF(AND(B533="AIR",E533="AIR",C533=F533),"Self-dependency",IF(AND(B533="AIR",E533="AIR",M533&lt;&gt;"Superseded",COUNTIFS($B$4:$B$1003,"AIR",$C$4:$C$1003,F533,$E$4:$E$1003,"AIR",$F$4:$F$1003,C533,$M$4:$M$1003,"&lt;&gt;Superseded")&gt;0),"Dependency cycle (A↔B) — review",IF(AND(B533="AIR",OR(E533="MOD",E533="DATA",E533="IF",E533="AG",E533="TOOL"),IFERROR(INDEX(Components!$G$4:$G$253,MATCH(F533,Components!$A$4:$A$253,0)),"")&lt;&gt;"",IFERROR(INDEX(Components!$G$4:$G$253,MATCH(F533,Components!$A$4:$A$253,0)),"")&lt;&gt;C533),"Component owned by another AIR-ID",IF(AND(M533="Confirmed",OR(IF(B533="UC",COUNTIFS('Use cases'!$A$4:$A$253,C533,'Use cases'!$I$4:$I$253,"Confirmed",'Use cases'!$J$4:$J$253,"OK — verify source"),IF(B533="CAP",COUNTIFS(Capabilities!$A$4:$A$253,C533,Capabilities!$J$4:$J$253,"Confirmed",Capabilities!$K$4:$K$253,"OK — verify source"),IF(B533="AIR",COUNTIFS('System map'!$A$4:$A$203,C533,'System map'!$B$4:$B$203,"&lt;&gt;",'System map'!$C$4:$C$203,"&lt;&gt;",'System map'!$D$4:$D$203,"&lt;&gt;"),COUNTIFS(Components!$A$4:$A$253,C533,Components!$B$4:$B$253,B533,Components!$K$4:$K$253,"Confirmed",Components!$L$4:$L$253,"OK — verify source"))))&lt;&gt;1,IF(E533="UC",COUNTIFS('Use cases'!$A$4:$A$253,F533,'Use cases'!$I$4:$I$253,"Confirmed",'Use cases'!$J$4:$J$253,"OK — verify source"),IF(E533="CAP",COUNTIFS(Capabilities!$A$4:$A$253,F533,Capabilities!$J$4:$J$253,"Confirmed",Capabilities!$K$4:$K$253,"OK — verify source"),IF(E533="AIR",COUNTIFS('System map'!$A$4:$A$203,F533,'System map'!$B$4:$B$203,"&lt;&gt;",'System map'!$C$4:$C$203,"&lt;&gt;",'System map'!$D$4:$D$203,"&lt;&gt;"),COUNTIFS(Components!$A$4:$A$253,F533,Components!$B$4:$B$253,E533,Components!$K$4:$K$253,"Confirmed",Components!$L$4:$L$253,"OK — verify source"))))&lt;&gt;1)),"Endpoint not source-reconciled",IF(AND(M533="Confirmed",OR(L533="",K533="",K533="Unknown",K533="Low")),"Confirmed link lacks verification","OK — verify source"))))))))))))))</f>
        <v/>
      </c>
    </row>
    <row r="53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6" t="n"/>
      <c r="M534" s="25" t="n"/>
      <c r="N534" s="25">
        <f>IF(COUNTA(A534:M534)=0,"",IF(OR(A534="",B534="",C534="",D534="",E534="",F534="",I534="",J534="",K534="",M534=""),"Required link detail missing",IF(COUNTIF($A$4:$A$1003,A534)&gt;1,"Duplicate Map Edge ID",IF(NOT(OR(AND(B534="UC",E534="CAP",D534="requires"),AND(B534="CAP",E534="AIR",D534="provided by"),AND(B534="AIR",OR(E534="MOD",E534="DATA",E534="IF",E534="AG",E534="TOOL"),D534="references"),AND(B534="AIR",E534="AIR",D534="depends on"))),"Invalid relationship",IF(AND(M534&lt;&gt;"Superseded",COUNTIFS($B$4:$B$1003,B534,$C$4:$C$1003,C534,$D$4:$D$1003,D534,$E$4:$E$1003,E534,$F$4:$F$1003,F534,$G$4:$G$1003,G534,$M$4:$M$1003,"&lt;&gt;Superseded")&gt;1),"Duplicate relationship",IF(OR(IF(B534="UC",COUNTIF('Use cases'!$A$4:$A$253,C534),IF(B534="CAP",COUNTIF(Capabilities!$A$4:$A$253,C534),IF(B534="AIR",COUNTIF('System map'!$A$4:$A$203,C534),COUNTIFS(Components!$A$4:$A$253,C534,Components!$B$4:$B$253,B534))))&lt;&gt;1,IF(E534="UC",COUNTIF('Use cases'!$A$4:$A$253,F534),IF(E534="CAP",COUNTIF(Capabilities!$A$4:$A$253,F534),IF(E534="AIR",COUNTIF('System map'!$A$4:$A$203,F534),COUNTIFS(Components!$A$4:$A$253,F534,Components!$B$4:$B$253,E534))))&lt;&gt;1),"Endpoint missing or duplicated",IF(AND(NOT(AND(B534="UC",E534="CAP")),OR(G534="",COUNTIF('System map'!$A$4:$A$203,G534)&lt;&gt;1)),"AIR context missing / unknown",IF(AND(B534="CAP",E534="AIR",G534&lt;&gt;F534),"AIR context mismatch",IF(AND(B534="AIR",G534&lt;&gt;C534),"AIR context mismatch",IF(AND(B534="AIR",E534="AIR",C534=F534),"Self-dependency",IF(AND(B534="AIR",E534="AIR",M534&lt;&gt;"Superseded",COUNTIFS($B$4:$B$1003,"AIR",$C$4:$C$1003,F534,$E$4:$E$1003,"AIR",$F$4:$F$1003,C534,$M$4:$M$1003,"&lt;&gt;Superseded")&gt;0),"Dependency cycle (A↔B) — review",IF(AND(B534="AIR",OR(E534="MOD",E534="DATA",E534="IF",E534="AG",E534="TOOL"),IFERROR(INDEX(Components!$G$4:$G$253,MATCH(F534,Components!$A$4:$A$253,0)),"")&lt;&gt;"",IFERROR(INDEX(Components!$G$4:$G$253,MATCH(F534,Components!$A$4:$A$253,0)),"")&lt;&gt;C534),"Component owned by another AIR-ID",IF(AND(M534="Confirmed",OR(IF(B534="UC",COUNTIFS('Use cases'!$A$4:$A$253,C534,'Use cases'!$I$4:$I$253,"Confirmed",'Use cases'!$J$4:$J$253,"OK — verify source"),IF(B534="CAP",COUNTIFS(Capabilities!$A$4:$A$253,C534,Capabilities!$J$4:$J$253,"Confirmed",Capabilities!$K$4:$K$253,"OK — verify source"),IF(B534="AIR",COUNTIFS('System map'!$A$4:$A$203,C534,'System map'!$B$4:$B$203,"&lt;&gt;",'System map'!$C$4:$C$203,"&lt;&gt;",'System map'!$D$4:$D$203,"&lt;&gt;"),COUNTIFS(Components!$A$4:$A$253,C534,Components!$B$4:$B$253,B534,Components!$K$4:$K$253,"Confirmed",Components!$L$4:$L$253,"OK — verify source"))))&lt;&gt;1,IF(E534="UC",COUNTIFS('Use cases'!$A$4:$A$253,F534,'Use cases'!$I$4:$I$253,"Confirmed",'Use cases'!$J$4:$J$253,"OK — verify source"),IF(E534="CAP",COUNTIFS(Capabilities!$A$4:$A$253,F534,Capabilities!$J$4:$J$253,"Confirmed",Capabilities!$K$4:$K$253,"OK — verify source"),IF(E534="AIR",COUNTIFS('System map'!$A$4:$A$203,F534,'System map'!$B$4:$B$203,"&lt;&gt;",'System map'!$C$4:$C$203,"&lt;&gt;",'System map'!$D$4:$D$203,"&lt;&gt;"),COUNTIFS(Components!$A$4:$A$253,F534,Components!$B$4:$B$253,E534,Components!$K$4:$K$253,"Confirmed",Components!$L$4:$L$253,"OK — verify source"))))&lt;&gt;1)),"Endpoint not source-reconciled",IF(AND(M534="Confirmed",OR(L534="",K534="",K534="Unknown",K534="Low")),"Confirmed link lacks verification","OK — verify source"))))))))))))))</f>
        <v/>
      </c>
    </row>
    <row r="535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8" t="n"/>
      <c r="M535" s="27" t="n"/>
      <c r="N535" s="27">
        <f>IF(COUNTA(A535:M535)=0,"",IF(OR(A535="",B535="",C535="",D535="",E535="",F535="",I535="",J535="",K535="",M535=""),"Required link detail missing",IF(COUNTIF($A$4:$A$1003,A535)&gt;1,"Duplicate Map Edge ID",IF(NOT(OR(AND(B535="UC",E535="CAP",D535="requires"),AND(B535="CAP",E535="AIR",D535="provided by"),AND(B535="AIR",OR(E535="MOD",E535="DATA",E535="IF",E535="AG",E535="TOOL"),D535="references"),AND(B535="AIR",E535="AIR",D535="depends on"))),"Invalid relationship",IF(AND(M535&lt;&gt;"Superseded",COUNTIFS($B$4:$B$1003,B535,$C$4:$C$1003,C535,$D$4:$D$1003,D535,$E$4:$E$1003,E535,$F$4:$F$1003,F535,$G$4:$G$1003,G535,$M$4:$M$1003,"&lt;&gt;Superseded")&gt;1),"Duplicate relationship",IF(OR(IF(B535="UC",COUNTIF('Use cases'!$A$4:$A$253,C535),IF(B535="CAP",COUNTIF(Capabilities!$A$4:$A$253,C535),IF(B535="AIR",COUNTIF('System map'!$A$4:$A$203,C535),COUNTIFS(Components!$A$4:$A$253,C535,Components!$B$4:$B$253,B535))))&lt;&gt;1,IF(E535="UC",COUNTIF('Use cases'!$A$4:$A$253,F535),IF(E535="CAP",COUNTIF(Capabilities!$A$4:$A$253,F535),IF(E535="AIR",COUNTIF('System map'!$A$4:$A$203,F535),COUNTIFS(Components!$A$4:$A$253,F535,Components!$B$4:$B$253,E535))))&lt;&gt;1),"Endpoint missing or duplicated",IF(AND(NOT(AND(B535="UC",E535="CAP")),OR(G535="",COUNTIF('System map'!$A$4:$A$203,G535)&lt;&gt;1)),"AIR context missing / unknown",IF(AND(B535="CAP",E535="AIR",G535&lt;&gt;F535),"AIR context mismatch",IF(AND(B535="AIR",G535&lt;&gt;C535),"AIR context mismatch",IF(AND(B535="AIR",E535="AIR",C535=F535),"Self-dependency",IF(AND(B535="AIR",E535="AIR",M535&lt;&gt;"Superseded",COUNTIFS($B$4:$B$1003,"AIR",$C$4:$C$1003,F535,$E$4:$E$1003,"AIR",$F$4:$F$1003,C535,$M$4:$M$1003,"&lt;&gt;Superseded")&gt;0),"Dependency cycle (A↔B) — review",IF(AND(B535="AIR",OR(E535="MOD",E535="DATA",E535="IF",E535="AG",E535="TOOL"),IFERROR(INDEX(Components!$G$4:$G$253,MATCH(F535,Components!$A$4:$A$253,0)),"")&lt;&gt;"",IFERROR(INDEX(Components!$G$4:$G$253,MATCH(F535,Components!$A$4:$A$253,0)),"")&lt;&gt;C535),"Component owned by another AIR-ID",IF(AND(M535="Confirmed",OR(IF(B535="UC",COUNTIFS('Use cases'!$A$4:$A$253,C535,'Use cases'!$I$4:$I$253,"Confirmed",'Use cases'!$J$4:$J$253,"OK — verify source"),IF(B535="CAP",COUNTIFS(Capabilities!$A$4:$A$253,C535,Capabilities!$J$4:$J$253,"Confirmed",Capabilities!$K$4:$K$253,"OK — verify source"),IF(B535="AIR",COUNTIFS('System map'!$A$4:$A$203,C535,'System map'!$B$4:$B$203,"&lt;&gt;",'System map'!$C$4:$C$203,"&lt;&gt;",'System map'!$D$4:$D$203,"&lt;&gt;"),COUNTIFS(Components!$A$4:$A$253,C535,Components!$B$4:$B$253,B535,Components!$K$4:$K$253,"Confirmed",Components!$L$4:$L$253,"OK — verify source"))))&lt;&gt;1,IF(E535="UC",COUNTIFS('Use cases'!$A$4:$A$253,F535,'Use cases'!$I$4:$I$253,"Confirmed",'Use cases'!$J$4:$J$253,"OK — verify source"),IF(E535="CAP",COUNTIFS(Capabilities!$A$4:$A$253,F535,Capabilities!$J$4:$J$253,"Confirmed",Capabilities!$K$4:$K$253,"OK — verify source"),IF(E535="AIR",COUNTIFS('System map'!$A$4:$A$203,F535,'System map'!$B$4:$B$203,"&lt;&gt;",'System map'!$C$4:$C$203,"&lt;&gt;",'System map'!$D$4:$D$203,"&lt;&gt;"),COUNTIFS(Components!$A$4:$A$253,F535,Components!$B$4:$B$253,E535,Components!$K$4:$K$253,"Confirmed",Components!$L$4:$L$253,"OK — verify source"))))&lt;&gt;1)),"Endpoint not source-reconciled",IF(AND(M535="Confirmed",OR(L535="",K535="",K535="Unknown",K535="Low")),"Confirmed link lacks verification","OK — verify source"))))))))))))))</f>
        <v/>
      </c>
    </row>
    <row r="536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6" t="n"/>
      <c r="M536" s="25" t="n"/>
      <c r="N536" s="25">
        <f>IF(COUNTA(A536:M536)=0,"",IF(OR(A536="",B536="",C536="",D536="",E536="",F536="",I536="",J536="",K536="",M536=""),"Required link detail missing",IF(COUNTIF($A$4:$A$1003,A536)&gt;1,"Duplicate Map Edge ID",IF(NOT(OR(AND(B536="UC",E536="CAP",D536="requires"),AND(B536="CAP",E536="AIR",D536="provided by"),AND(B536="AIR",OR(E536="MOD",E536="DATA",E536="IF",E536="AG",E536="TOOL"),D536="references"),AND(B536="AIR",E536="AIR",D536="depends on"))),"Invalid relationship",IF(AND(M536&lt;&gt;"Superseded",COUNTIFS($B$4:$B$1003,B536,$C$4:$C$1003,C536,$D$4:$D$1003,D536,$E$4:$E$1003,E536,$F$4:$F$1003,F536,$G$4:$G$1003,G536,$M$4:$M$1003,"&lt;&gt;Superseded")&gt;1),"Duplicate relationship",IF(OR(IF(B536="UC",COUNTIF('Use cases'!$A$4:$A$253,C536),IF(B536="CAP",COUNTIF(Capabilities!$A$4:$A$253,C536),IF(B536="AIR",COUNTIF('System map'!$A$4:$A$203,C536),COUNTIFS(Components!$A$4:$A$253,C536,Components!$B$4:$B$253,B536))))&lt;&gt;1,IF(E536="UC",COUNTIF('Use cases'!$A$4:$A$253,F536),IF(E536="CAP",COUNTIF(Capabilities!$A$4:$A$253,F536),IF(E536="AIR",COUNTIF('System map'!$A$4:$A$203,F536),COUNTIFS(Components!$A$4:$A$253,F536,Components!$B$4:$B$253,E536))))&lt;&gt;1),"Endpoint missing or duplicated",IF(AND(NOT(AND(B536="UC",E536="CAP")),OR(G536="",COUNTIF('System map'!$A$4:$A$203,G536)&lt;&gt;1)),"AIR context missing / unknown",IF(AND(B536="CAP",E536="AIR",G536&lt;&gt;F536),"AIR context mismatch",IF(AND(B536="AIR",G536&lt;&gt;C536),"AIR context mismatch",IF(AND(B536="AIR",E536="AIR",C536=F536),"Self-dependency",IF(AND(B536="AIR",E536="AIR",M536&lt;&gt;"Superseded",COUNTIFS($B$4:$B$1003,"AIR",$C$4:$C$1003,F536,$E$4:$E$1003,"AIR",$F$4:$F$1003,C536,$M$4:$M$1003,"&lt;&gt;Superseded")&gt;0),"Dependency cycle (A↔B) — review",IF(AND(B536="AIR",OR(E536="MOD",E536="DATA",E536="IF",E536="AG",E536="TOOL"),IFERROR(INDEX(Components!$G$4:$G$253,MATCH(F536,Components!$A$4:$A$253,0)),"")&lt;&gt;"",IFERROR(INDEX(Components!$G$4:$G$253,MATCH(F536,Components!$A$4:$A$253,0)),"")&lt;&gt;C536),"Component owned by another AIR-ID",IF(AND(M536="Confirmed",OR(IF(B536="UC",COUNTIFS('Use cases'!$A$4:$A$253,C536,'Use cases'!$I$4:$I$253,"Confirmed",'Use cases'!$J$4:$J$253,"OK — verify source"),IF(B536="CAP",COUNTIFS(Capabilities!$A$4:$A$253,C536,Capabilities!$J$4:$J$253,"Confirmed",Capabilities!$K$4:$K$253,"OK — verify source"),IF(B536="AIR",COUNTIFS('System map'!$A$4:$A$203,C536,'System map'!$B$4:$B$203,"&lt;&gt;",'System map'!$C$4:$C$203,"&lt;&gt;",'System map'!$D$4:$D$203,"&lt;&gt;"),COUNTIFS(Components!$A$4:$A$253,C536,Components!$B$4:$B$253,B536,Components!$K$4:$K$253,"Confirmed",Components!$L$4:$L$253,"OK — verify source"))))&lt;&gt;1,IF(E536="UC",COUNTIFS('Use cases'!$A$4:$A$253,F536,'Use cases'!$I$4:$I$253,"Confirmed",'Use cases'!$J$4:$J$253,"OK — verify source"),IF(E536="CAP",COUNTIFS(Capabilities!$A$4:$A$253,F536,Capabilities!$J$4:$J$253,"Confirmed",Capabilities!$K$4:$K$253,"OK — verify source"),IF(E536="AIR",COUNTIFS('System map'!$A$4:$A$203,F536,'System map'!$B$4:$B$203,"&lt;&gt;",'System map'!$C$4:$C$203,"&lt;&gt;",'System map'!$D$4:$D$203,"&lt;&gt;"),COUNTIFS(Components!$A$4:$A$253,F536,Components!$B$4:$B$253,E536,Components!$K$4:$K$253,"Confirmed",Components!$L$4:$L$253,"OK — verify source"))))&lt;&gt;1)),"Endpoint not source-reconciled",IF(AND(M536="Confirmed",OR(L536="",K536="",K536="Unknown",K536="Low")),"Confirmed link lacks verification","OK — verify source"))))))))))))))</f>
        <v/>
      </c>
    </row>
    <row r="537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8" t="n"/>
      <c r="M537" s="27" t="n"/>
      <c r="N537" s="27">
        <f>IF(COUNTA(A537:M537)=0,"",IF(OR(A537="",B537="",C537="",D537="",E537="",F537="",I537="",J537="",K537="",M537=""),"Required link detail missing",IF(COUNTIF($A$4:$A$1003,A537)&gt;1,"Duplicate Map Edge ID",IF(NOT(OR(AND(B537="UC",E537="CAP",D537="requires"),AND(B537="CAP",E537="AIR",D537="provided by"),AND(B537="AIR",OR(E537="MOD",E537="DATA",E537="IF",E537="AG",E537="TOOL"),D537="references"),AND(B537="AIR",E537="AIR",D537="depends on"))),"Invalid relationship",IF(AND(M537&lt;&gt;"Superseded",COUNTIFS($B$4:$B$1003,B537,$C$4:$C$1003,C537,$D$4:$D$1003,D537,$E$4:$E$1003,E537,$F$4:$F$1003,F537,$G$4:$G$1003,G537,$M$4:$M$1003,"&lt;&gt;Superseded")&gt;1),"Duplicate relationship",IF(OR(IF(B537="UC",COUNTIF('Use cases'!$A$4:$A$253,C537),IF(B537="CAP",COUNTIF(Capabilities!$A$4:$A$253,C537),IF(B537="AIR",COUNTIF('System map'!$A$4:$A$203,C537),COUNTIFS(Components!$A$4:$A$253,C537,Components!$B$4:$B$253,B537))))&lt;&gt;1,IF(E537="UC",COUNTIF('Use cases'!$A$4:$A$253,F537),IF(E537="CAP",COUNTIF(Capabilities!$A$4:$A$253,F537),IF(E537="AIR",COUNTIF('System map'!$A$4:$A$203,F537),COUNTIFS(Components!$A$4:$A$253,F537,Components!$B$4:$B$253,E537))))&lt;&gt;1),"Endpoint missing or duplicated",IF(AND(NOT(AND(B537="UC",E537="CAP")),OR(G537="",COUNTIF('System map'!$A$4:$A$203,G537)&lt;&gt;1)),"AIR context missing / unknown",IF(AND(B537="CAP",E537="AIR",G537&lt;&gt;F537),"AIR context mismatch",IF(AND(B537="AIR",G537&lt;&gt;C537),"AIR context mismatch",IF(AND(B537="AIR",E537="AIR",C537=F537),"Self-dependency",IF(AND(B537="AIR",E537="AIR",M537&lt;&gt;"Superseded",COUNTIFS($B$4:$B$1003,"AIR",$C$4:$C$1003,F537,$E$4:$E$1003,"AIR",$F$4:$F$1003,C537,$M$4:$M$1003,"&lt;&gt;Superseded")&gt;0),"Dependency cycle (A↔B) — review",IF(AND(B537="AIR",OR(E537="MOD",E537="DATA",E537="IF",E537="AG",E537="TOOL"),IFERROR(INDEX(Components!$G$4:$G$253,MATCH(F537,Components!$A$4:$A$253,0)),"")&lt;&gt;"",IFERROR(INDEX(Components!$G$4:$G$253,MATCH(F537,Components!$A$4:$A$253,0)),"")&lt;&gt;C537),"Component owned by another AIR-ID",IF(AND(M537="Confirmed",OR(IF(B537="UC",COUNTIFS('Use cases'!$A$4:$A$253,C537,'Use cases'!$I$4:$I$253,"Confirmed",'Use cases'!$J$4:$J$253,"OK — verify source"),IF(B537="CAP",COUNTIFS(Capabilities!$A$4:$A$253,C537,Capabilities!$J$4:$J$253,"Confirmed",Capabilities!$K$4:$K$253,"OK — verify source"),IF(B537="AIR",COUNTIFS('System map'!$A$4:$A$203,C537,'System map'!$B$4:$B$203,"&lt;&gt;",'System map'!$C$4:$C$203,"&lt;&gt;",'System map'!$D$4:$D$203,"&lt;&gt;"),COUNTIFS(Components!$A$4:$A$253,C537,Components!$B$4:$B$253,B537,Components!$K$4:$K$253,"Confirmed",Components!$L$4:$L$253,"OK — verify source"))))&lt;&gt;1,IF(E537="UC",COUNTIFS('Use cases'!$A$4:$A$253,F537,'Use cases'!$I$4:$I$253,"Confirmed",'Use cases'!$J$4:$J$253,"OK — verify source"),IF(E537="CAP",COUNTIFS(Capabilities!$A$4:$A$253,F537,Capabilities!$J$4:$J$253,"Confirmed",Capabilities!$K$4:$K$253,"OK — verify source"),IF(E537="AIR",COUNTIFS('System map'!$A$4:$A$203,F537,'System map'!$B$4:$B$203,"&lt;&gt;",'System map'!$C$4:$C$203,"&lt;&gt;",'System map'!$D$4:$D$203,"&lt;&gt;"),COUNTIFS(Components!$A$4:$A$253,F537,Components!$B$4:$B$253,E537,Components!$K$4:$K$253,"Confirmed",Components!$L$4:$L$253,"OK — verify source"))))&lt;&gt;1)),"Endpoint not source-reconciled",IF(AND(M537="Confirmed",OR(L537="",K537="",K537="Unknown",K537="Low")),"Confirmed link lacks verification","OK — verify source"))))))))))))))</f>
        <v/>
      </c>
    </row>
    <row r="538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6" t="n"/>
      <c r="M538" s="25" t="n"/>
      <c r="N538" s="25">
        <f>IF(COUNTA(A538:M538)=0,"",IF(OR(A538="",B538="",C538="",D538="",E538="",F538="",I538="",J538="",K538="",M538=""),"Required link detail missing",IF(COUNTIF($A$4:$A$1003,A538)&gt;1,"Duplicate Map Edge ID",IF(NOT(OR(AND(B538="UC",E538="CAP",D538="requires"),AND(B538="CAP",E538="AIR",D538="provided by"),AND(B538="AIR",OR(E538="MOD",E538="DATA",E538="IF",E538="AG",E538="TOOL"),D538="references"),AND(B538="AIR",E538="AIR",D538="depends on"))),"Invalid relationship",IF(AND(M538&lt;&gt;"Superseded",COUNTIFS($B$4:$B$1003,B538,$C$4:$C$1003,C538,$D$4:$D$1003,D538,$E$4:$E$1003,E538,$F$4:$F$1003,F538,$G$4:$G$1003,G538,$M$4:$M$1003,"&lt;&gt;Superseded")&gt;1),"Duplicate relationship",IF(OR(IF(B538="UC",COUNTIF('Use cases'!$A$4:$A$253,C538),IF(B538="CAP",COUNTIF(Capabilities!$A$4:$A$253,C538),IF(B538="AIR",COUNTIF('System map'!$A$4:$A$203,C538),COUNTIFS(Components!$A$4:$A$253,C538,Components!$B$4:$B$253,B538))))&lt;&gt;1,IF(E538="UC",COUNTIF('Use cases'!$A$4:$A$253,F538),IF(E538="CAP",COUNTIF(Capabilities!$A$4:$A$253,F538),IF(E538="AIR",COUNTIF('System map'!$A$4:$A$203,F538),COUNTIFS(Components!$A$4:$A$253,F538,Components!$B$4:$B$253,E538))))&lt;&gt;1),"Endpoint missing or duplicated",IF(AND(NOT(AND(B538="UC",E538="CAP")),OR(G538="",COUNTIF('System map'!$A$4:$A$203,G538)&lt;&gt;1)),"AIR context missing / unknown",IF(AND(B538="CAP",E538="AIR",G538&lt;&gt;F538),"AIR context mismatch",IF(AND(B538="AIR",G538&lt;&gt;C538),"AIR context mismatch",IF(AND(B538="AIR",E538="AIR",C538=F538),"Self-dependency",IF(AND(B538="AIR",E538="AIR",M538&lt;&gt;"Superseded",COUNTIFS($B$4:$B$1003,"AIR",$C$4:$C$1003,F538,$E$4:$E$1003,"AIR",$F$4:$F$1003,C538,$M$4:$M$1003,"&lt;&gt;Superseded")&gt;0),"Dependency cycle (A↔B) — review",IF(AND(B538="AIR",OR(E538="MOD",E538="DATA",E538="IF",E538="AG",E538="TOOL"),IFERROR(INDEX(Components!$G$4:$G$253,MATCH(F538,Components!$A$4:$A$253,0)),"")&lt;&gt;"",IFERROR(INDEX(Components!$G$4:$G$253,MATCH(F538,Components!$A$4:$A$253,0)),"")&lt;&gt;C538),"Component owned by another AIR-ID",IF(AND(M538="Confirmed",OR(IF(B538="UC",COUNTIFS('Use cases'!$A$4:$A$253,C538,'Use cases'!$I$4:$I$253,"Confirmed",'Use cases'!$J$4:$J$253,"OK — verify source"),IF(B538="CAP",COUNTIFS(Capabilities!$A$4:$A$253,C538,Capabilities!$J$4:$J$253,"Confirmed",Capabilities!$K$4:$K$253,"OK — verify source"),IF(B538="AIR",COUNTIFS('System map'!$A$4:$A$203,C538,'System map'!$B$4:$B$203,"&lt;&gt;",'System map'!$C$4:$C$203,"&lt;&gt;",'System map'!$D$4:$D$203,"&lt;&gt;"),COUNTIFS(Components!$A$4:$A$253,C538,Components!$B$4:$B$253,B538,Components!$K$4:$K$253,"Confirmed",Components!$L$4:$L$253,"OK — verify source"))))&lt;&gt;1,IF(E538="UC",COUNTIFS('Use cases'!$A$4:$A$253,F538,'Use cases'!$I$4:$I$253,"Confirmed",'Use cases'!$J$4:$J$253,"OK — verify source"),IF(E538="CAP",COUNTIFS(Capabilities!$A$4:$A$253,F538,Capabilities!$J$4:$J$253,"Confirmed",Capabilities!$K$4:$K$253,"OK — verify source"),IF(E538="AIR",COUNTIFS('System map'!$A$4:$A$203,F538,'System map'!$B$4:$B$203,"&lt;&gt;",'System map'!$C$4:$C$203,"&lt;&gt;",'System map'!$D$4:$D$203,"&lt;&gt;"),COUNTIFS(Components!$A$4:$A$253,F538,Components!$B$4:$B$253,E538,Components!$K$4:$K$253,"Confirmed",Components!$L$4:$L$253,"OK — verify source"))))&lt;&gt;1)),"Endpoint not source-reconciled",IF(AND(M538="Confirmed",OR(L538="",K538="",K538="Unknown",K538="Low")),"Confirmed link lacks verification","OK — verify source"))))))))))))))</f>
        <v/>
      </c>
    </row>
    <row r="539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8" t="n"/>
      <c r="M539" s="27" t="n"/>
      <c r="N539" s="27">
        <f>IF(COUNTA(A539:M539)=0,"",IF(OR(A539="",B539="",C539="",D539="",E539="",F539="",I539="",J539="",K539="",M539=""),"Required link detail missing",IF(COUNTIF($A$4:$A$1003,A539)&gt;1,"Duplicate Map Edge ID",IF(NOT(OR(AND(B539="UC",E539="CAP",D539="requires"),AND(B539="CAP",E539="AIR",D539="provided by"),AND(B539="AIR",OR(E539="MOD",E539="DATA",E539="IF",E539="AG",E539="TOOL"),D539="references"),AND(B539="AIR",E539="AIR",D539="depends on"))),"Invalid relationship",IF(AND(M539&lt;&gt;"Superseded",COUNTIFS($B$4:$B$1003,B539,$C$4:$C$1003,C539,$D$4:$D$1003,D539,$E$4:$E$1003,E539,$F$4:$F$1003,F539,$G$4:$G$1003,G539,$M$4:$M$1003,"&lt;&gt;Superseded")&gt;1),"Duplicate relationship",IF(OR(IF(B539="UC",COUNTIF('Use cases'!$A$4:$A$253,C539),IF(B539="CAP",COUNTIF(Capabilities!$A$4:$A$253,C539),IF(B539="AIR",COUNTIF('System map'!$A$4:$A$203,C539),COUNTIFS(Components!$A$4:$A$253,C539,Components!$B$4:$B$253,B539))))&lt;&gt;1,IF(E539="UC",COUNTIF('Use cases'!$A$4:$A$253,F539),IF(E539="CAP",COUNTIF(Capabilities!$A$4:$A$253,F539),IF(E539="AIR",COUNTIF('System map'!$A$4:$A$203,F539),COUNTIFS(Components!$A$4:$A$253,F539,Components!$B$4:$B$253,E539))))&lt;&gt;1),"Endpoint missing or duplicated",IF(AND(NOT(AND(B539="UC",E539="CAP")),OR(G539="",COUNTIF('System map'!$A$4:$A$203,G539)&lt;&gt;1)),"AIR context missing / unknown",IF(AND(B539="CAP",E539="AIR",G539&lt;&gt;F539),"AIR context mismatch",IF(AND(B539="AIR",G539&lt;&gt;C539),"AIR context mismatch",IF(AND(B539="AIR",E539="AIR",C539=F539),"Self-dependency",IF(AND(B539="AIR",E539="AIR",M539&lt;&gt;"Superseded",COUNTIFS($B$4:$B$1003,"AIR",$C$4:$C$1003,F539,$E$4:$E$1003,"AIR",$F$4:$F$1003,C539,$M$4:$M$1003,"&lt;&gt;Superseded")&gt;0),"Dependency cycle (A↔B) — review",IF(AND(B539="AIR",OR(E539="MOD",E539="DATA",E539="IF",E539="AG",E539="TOOL"),IFERROR(INDEX(Components!$G$4:$G$253,MATCH(F539,Components!$A$4:$A$253,0)),"")&lt;&gt;"",IFERROR(INDEX(Components!$G$4:$G$253,MATCH(F539,Components!$A$4:$A$253,0)),"")&lt;&gt;C539),"Component owned by another AIR-ID",IF(AND(M539="Confirmed",OR(IF(B539="UC",COUNTIFS('Use cases'!$A$4:$A$253,C539,'Use cases'!$I$4:$I$253,"Confirmed",'Use cases'!$J$4:$J$253,"OK — verify source"),IF(B539="CAP",COUNTIFS(Capabilities!$A$4:$A$253,C539,Capabilities!$J$4:$J$253,"Confirmed",Capabilities!$K$4:$K$253,"OK — verify source"),IF(B539="AIR",COUNTIFS('System map'!$A$4:$A$203,C539,'System map'!$B$4:$B$203,"&lt;&gt;",'System map'!$C$4:$C$203,"&lt;&gt;",'System map'!$D$4:$D$203,"&lt;&gt;"),COUNTIFS(Components!$A$4:$A$253,C539,Components!$B$4:$B$253,B539,Components!$K$4:$K$253,"Confirmed",Components!$L$4:$L$253,"OK — verify source"))))&lt;&gt;1,IF(E539="UC",COUNTIFS('Use cases'!$A$4:$A$253,F539,'Use cases'!$I$4:$I$253,"Confirmed",'Use cases'!$J$4:$J$253,"OK — verify source"),IF(E539="CAP",COUNTIFS(Capabilities!$A$4:$A$253,F539,Capabilities!$J$4:$J$253,"Confirmed",Capabilities!$K$4:$K$253,"OK — verify source"),IF(E539="AIR",COUNTIFS('System map'!$A$4:$A$203,F539,'System map'!$B$4:$B$203,"&lt;&gt;",'System map'!$C$4:$C$203,"&lt;&gt;",'System map'!$D$4:$D$203,"&lt;&gt;"),COUNTIFS(Components!$A$4:$A$253,F539,Components!$B$4:$B$253,E539,Components!$K$4:$K$253,"Confirmed",Components!$L$4:$L$253,"OK — verify source"))))&lt;&gt;1)),"Endpoint not source-reconciled",IF(AND(M539="Confirmed",OR(L539="",K539="",K539="Unknown",K539="Low")),"Confirmed link lacks verification","OK — verify source"))))))))))))))</f>
        <v/>
      </c>
    </row>
    <row r="540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6" t="n"/>
      <c r="M540" s="25" t="n"/>
      <c r="N540" s="25">
        <f>IF(COUNTA(A540:M540)=0,"",IF(OR(A540="",B540="",C540="",D540="",E540="",F540="",I540="",J540="",K540="",M540=""),"Required link detail missing",IF(COUNTIF($A$4:$A$1003,A540)&gt;1,"Duplicate Map Edge ID",IF(NOT(OR(AND(B540="UC",E540="CAP",D540="requires"),AND(B540="CAP",E540="AIR",D540="provided by"),AND(B540="AIR",OR(E540="MOD",E540="DATA",E540="IF",E540="AG",E540="TOOL"),D540="references"),AND(B540="AIR",E540="AIR",D540="depends on"))),"Invalid relationship",IF(AND(M540&lt;&gt;"Superseded",COUNTIFS($B$4:$B$1003,B540,$C$4:$C$1003,C540,$D$4:$D$1003,D540,$E$4:$E$1003,E540,$F$4:$F$1003,F540,$G$4:$G$1003,G540,$M$4:$M$1003,"&lt;&gt;Superseded")&gt;1),"Duplicate relationship",IF(OR(IF(B540="UC",COUNTIF('Use cases'!$A$4:$A$253,C540),IF(B540="CAP",COUNTIF(Capabilities!$A$4:$A$253,C540),IF(B540="AIR",COUNTIF('System map'!$A$4:$A$203,C540),COUNTIFS(Components!$A$4:$A$253,C540,Components!$B$4:$B$253,B540))))&lt;&gt;1,IF(E540="UC",COUNTIF('Use cases'!$A$4:$A$253,F540),IF(E540="CAP",COUNTIF(Capabilities!$A$4:$A$253,F540),IF(E540="AIR",COUNTIF('System map'!$A$4:$A$203,F540),COUNTIFS(Components!$A$4:$A$253,F540,Components!$B$4:$B$253,E540))))&lt;&gt;1),"Endpoint missing or duplicated",IF(AND(NOT(AND(B540="UC",E540="CAP")),OR(G540="",COUNTIF('System map'!$A$4:$A$203,G540)&lt;&gt;1)),"AIR context missing / unknown",IF(AND(B540="CAP",E540="AIR",G540&lt;&gt;F540),"AIR context mismatch",IF(AND(B540="AIR",G540&lt;&gt;C540),"AIR context mismatch",IF(AND(B540="AIR",E540="AIR",C540=F540),"Self-dependency",IF(AND(B540="AIR",E540="AIR",M540&lt;&gt;"Superseded",COUNTIFS($B$4:$B$1003,"AIR",$C$4:$C$1003,F540,$E$4:$E$1003,"AIR",$F$4:$F$1003,C540,$M$4:$M$1003,"&lt;&gt;Superseded")&gt;0),"Dependency cycle (A↔B) — review",IF(AND(B540="AIR",OR(E540="MOD",E540="DATA",E540="IF",E540="AG",E540="TOOL"),IFERROR(INDEX(Components!$G$4:$G$253,MATCH(F540,Components!$A$4:$A$253,0)),"")&lt;&gt;"",IFERROR(INDEX(Components!$G$4:$G$253,MATCH(F540,Components!$A$4:$A$253,0)),"")&lt;&gt;C540),"Component owned by another AIR-ID",IF(AND(M540="Confirmed",OR(IF(B540="UC",COUNTIFS('Use cases'!$A$4:$A$253,C540,'Use cases'!$I$4:$I$253,"Confirmed",'Use cases'!$J$4:$J$253,"OK — verify source"),IF(B540="CAP",COUNTIFS(Capabilities!$A$4:$A$253,C540,Capabilities!$J$4:$J$253,"Confirmed",Capabilities!$K$4:$K$253,"OK — verify source"),IF(B540="AIR",COUNTIFS('System map'!$A$4:$A$203,C540,'System map'!$B$4:$B$203,"&lt;&gt;",'System map'!$C$4:$C$203,"&lt;&gt;",'System map'!$D$4:$D$203,"&lt;&gt;"),COUNTIFS(Components!$A$4:$A$253,C540,Components!$B$4:$B$253,B540,Components!$K$4:$K$253,"Confirmed",Components!$L$4:$L$253,"OK — verify source"))))&lt;&gt;1,IF(E540="UC",COUNTIFS('Use cases'!$A$4:$A$253,F540,'Use cases'!$I$4:$I$253,"Confirmed",'Use cases'!$J$4:$J$253,"OK — verify source"),IF(E540="CAP",COUNTIFS(Capabilities!$A$4:$A$253,F540,Capabilities!$J$4:$J$253,"Confirmed",Capabilities!$K$4:$K$253,"OK — verify source"),IF(E540="AIR",COUNTIFS('System map'!$A$4:$A$203,F540,'System map'!$B$4:$B$203,"&lt;&gt;",'System map'!$C$4:$C$203,"&lt;&gt;",'System map'!$D$4:$D$203,"&lt;&gt;"),COUNTIFS(Components!$A$4:$A$253,F540,Components!$B$4:$B$253,E540,Components!$K$4:$K$253,"Confirmed",Components!$L$4:$L$253,"OK — verify source"))))&lt;&gt;1)),"Endpoint not source-reconciled",IF(AND(M540="Confirmed",OR(L540="",K540="",K540="Unknown",K540="Low")),"Confirmed link lacks verification","OK — verify source"))))))))))))))</f>
        <v/>
      </c>
    </row>
    <row r="541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8" t="n"/>
      <c r="M541" s="27" t="n"/>
      <c r="N541" s="27">
        <f>IF(COUNTA(A541:M541)=0,"",IF(OR(A541="",B541="",C541="",D541="",E541="",F541="",I541="",J541="",K541="",M541=""),"Required link detail missing",IF(COUNTIF($A$4:$A$1003,A541)&gt;1,"Duplicate Map Edge ID",IF(NOT(OR(AND(B541="UC",E541="CAP",D541="requires"),AND(B541="CAP",E541="AIR",D541="provided by"),AND(B541="AIR",OR(E541="MOD",E541="DATA",E541="IF",E541="AG",E541="TOOL"),D541="references"),AND(B541="AIR",E541="AIR",D541="depends on"))),"Invalid relationship",IF(AND(M541&lt;&gt;"Superseded",COUNTIFS($B$4:$B$1003,B541,$C$4:$C$1003,C541,$D$4:$D$1003,D541,$E$4:$E$1003,E541,$F$4:$F$1003,F541,$G$4:$G$1003,G541,$M$4:$M$1003,"&lt;&gt;Superseded")&gt;1),"Duplicate relationship",IF(OR(IF(B541="UC",COUNTIF('Use cases'!$A$4:$A$253,C541),IF(B541="CAP",COUNTIF(Capabilities!$A$4:$A$253,C541),IF(B541="AIR",COUNTIF('System map'!$A$4:$A$203,C541),COUNTIFS(Components!$A$4:$A$253,C541,Components!$B$4:$B$253,B541))))&lt;&gt;1,IF(E541="UC",COUNTIF('Use cases'!$A$4:$A$253,F541),IF(E541="CAP",COUNTIF(Capabilities!$A$4:$A$253,F541),IF(E541="AIR",COUNTIF('System map'!$A$4:$A$203,F541),COUNTIFS(Components!$A$4:$A$253,F541,Components!$B$4:$B$253,E541))))&lt;&gt;1),"Endpoint missing or duplicated",IF(AND(NOT(AND(B541="UC",E541="CAP")),OR(G541="",COUNTIF('System map'!$A$4:$A$203,G541)&lt;&gt;1)),"AIR context missing / unknown",IF(AND(B541="CAP",E541="AIR",G541&lt;&gt;F541),"AIR context mismatch",IF(AND(B541="AIR",G541&lt;&gt;C541),"AIR context mismatch",IF(AND(B541="AIR",E541="AIR",C541=F541),"Self-dependency",IF(AND(B541="AIR",E541="AIR",M541&lt;&gt;"Superseded",COUNTIFS($B$4:$B$1003,"AIR",$C$4:$C$1003,F541,$E$4:$E$1003,"AIR",$F$4:$F$1003,C541,$M$4:$M$1003,"&lt;&gt;Superseded")&gt;0),"Dependency cycle (A↔B) — review",IF(AND(B541="AIR",OR(E541="MOD",E541="DATA",E541="IF",E541="AG",E541="TOOL"),IFERROR(INDEX(Components!$G$4:$G$253,MATCH(F541,Components!$A$4:$A$253,0)),"")&lt;&gt;"",IFERROR(INDEX(Components!$G$4:$G$253,MATCH(F541,Components!$A$4:$A$253,0)),"")&lt;&gt;C541),"Component owned by another AIR-ID",IF(AND(M541="Confirmed",OR(IF(B541="UC",COUNTIFS('Use cases'!$A$4:$A$253,C541,'Use cases'!$I$4:$I$253,"Confirmed",'Use cases'!$J$4:$J$253,"OK — verify source"),IF(B541="CAP",COUNTIFS(Capabilities!$A$4:$A$253,C541,Capabilities!$J$4:$J$253,"Confirmed",Capabilities!$K$4:$K$253,"OK — verify source"),IF(B541="AIR",COUNTIFS('System map'!$A$4:$A$203,C541,'System map'!$B$4:$B$203,"&lt;&gt;",'System map'!$C$4:$C$203,"&lt;&gt;",'System map'!$D$4:$D$203,"&lt;&gt;"),COUNTIFS(Components!$A$4:$A$253,C541,Components!$B$4:$B$253,B541,Components!$K$4:$K$253,"Confirmed",Components!$L$4:$L$253,"OK — verify source"))))&lt;&gt;1,IF(E541="UC",COUNTIFS('Use cases'!$A$4:$A$253,F541,'Use cases'!$I$4:$I$253,"Confirmed",'Use cases'!$J$4:$J$253,"OK — verify source"),IF(E541="CAP",COUNTIFS(Capabilities!$A$4:$A$253,F541,Capabilities!$J$4:$J$253,"Confirmed",Capabilities!$K$4:$K$253,"OK — verify source"),IF(E541="AIR",COUNTIFS('System map'!$A$4:$A$203,F541,'System map'!$B$4:$B$203,"&lt;&gt;",'System map'!$C$4:$C$203,"&lt;&gt;",'System map'!$D$4:$D$203,"&lt;&gt;"),COUNTIFS(Components!$A$4:$A$253,F541,Components!$B$4:$B$253,E541,Components!$K$4:$K$253,"Confirmed",Components!$L$4:$L$253,"OK — verify source"))))&lt;&gt;1)),"Endpoint not source-reconciled",IF(AND(M541="Confirmed",OR(L541="",K541="",K541="Unknown",K541="Low")),"Confirmed link lacks verification","OK — verify source"))))))))))))))</f>
        <v/>
      </c>
    </row>
    <row r="542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6" t="n"/>
      <c r="M542" s="25" t="n"/>
      <c r="N542" s="25">
        <f>IF(COUNTA(A542:M542)=0,"",IF(OR(A542="",B542="",C542="",D542="",E542="",F542="",I542="",J542="",K542="",M542=""),"Required link detail missing",IF(COUNTIF($A$4:$A$1003,A542)&gt;1,"Duplicate Map Edge ID",IF(NOT(OR(AND(B542="UC",E542="CAP",D542="requires"),AND(B542="CAP",E542="AIR",D542="provided by"),AND(B542="AIR",OR(E542="MOD",E542="DATA",E542="IF",E542="AG",E542="TOOL"),D542="references"),AND(B542="AIR",E542="AIR",D542="depends on"))),"Invalid relationship",IF(AND(M542&lt;&gt;"Superseded",COUNTIFS($B$4:$B$1003,B542,$C$4:$C$1003,C542,$D$4:$D$1003,D542,$E$4:$E$1003,E542,$F$4:$F$1003,F542,$G$4:$G$1003,G542,$M$4:$M$1003,"&lt;&gt;Superseded")&gt;1),"Duplicate relationship",IF(OR(IF(B542="UC",COUNTIF('Use cases'!$A$4:$A$253,C542),IF(B542="CAP",COUNTIF(Capabilities!$A$4:$A$253,C542),IF(B542="AIR",COUNTIF('System map'!$A$4:$A$203,C542),COUNTIFS(Components!$A$4:$A$253,C542,Components!$B$4:$B$253,B542))))&lt;&gt;1,IF(E542="UC",COUNTIF('Use cases'!$A$4:$A$253,F542),IF(E542="CAP",COUNTIF(Capabilities!$A$4:$A$253,F542),IF(E542="AIR",COUNTIF('System map'!$A$4:$A$203,F542),COUNTIFS(Components!$A$4:$A$253,F542,Components!$B$4:$B$253,E542))))&lt;&gt;1),"Endpoint missing or duplicated",IF(AND(NOT(AND(B542="UC",E542="CAP")),OR(G542="",COUNTIF('System map'!$A$4:$A$203,G542)&lt;&gt;1)),"AIR context missing / unknown",IF(AND(B542="CAP",E542="AIR",G542&lt;&gt;F542),"AIR context mismatch",IF(AND(B542="AIR",G542&lt;&gt;C542),"AIR context mismatch",IF(AND(B542="AIR",E542="AIR",C542=F542),"Self-dependency",IF(AND(B542="AIR",E542="AIR",M542&lt;&gt;"Superseded",COUNTIFS($B$4:$B$1003,"AIR",$C$4:$C$1003,F542,$E$4:$E$1003,"AIR",$F$4:$F$1003,C542,$M$4:$M$1003,"&lt;&gt;Superseded")&gt;0),"Dependency cycle (A↔B) — review",IF(AND(B542="AIR",OR(E542="MOD",E542="DATA",E542="IF",E542="AG",E542="TOOL"),IFERROR(INDEX(Components!$G$4:$G$253,MATCH(F542,Components!$A$4:$A$253,0)),"")&lt;&gt;"",IFERROR(INDEX(Components!$G$4:$G$253,MATCH(F542,Components!$A$4:$A$253,0)),"")&lt;&gt;C542),"Component owned by another AIR-ID",IF(AND(M542="Confirmed",OR(IF(B542="UC",COUNTIFS('Use cases'!$A$4:$A$253,C542,'Use cases'!$I$4:$I$253,"Confirmed",'Use cases'!$J$4:$J$253,"OK — verify source"),IF(B542="CAP",COUNTIFS(Capabilities!$A$4:$A$253,C542,Capabilities!$J$4:$J$253,"Confirmed",Capabilities!$K$4:$K$253,"OK — verify source"),IF(B542="AIR",COUNTIFS('System map'!$A$4:$A$203,C542,'System map'!$B$4:$B$203,"&lt;&gt;",'System map'!$C$4:$C$203,"&lt;&gt;",'System map'!$D$4:$D$203,"&lt;&gt;"),COUNTIFS(Components!$A$4:$A$253,C542,Components!$B$4:$B$253,B542,Components!$K$4:$K$253,"Confirmed",Components!$L$4:$L$253,"OK — verify source"))))&lt;&gt;1,IF(E542="UC",COUNTIFS('Use cases'!$A$4:$A$253,F542,'Use cases'!$I$4:$I$253,"Confirmed",'Use cases'!$J$4:$J$253,"OK — verify source"),IF(E542="CAP",COUNTIFS(Capabilities!$A$4:$A$253,F542,Capabilities!$J$4:$J$253,"Confirmed",Capabilities!$K$4:$K$253,"OK — verify source"),IF(E542="AIR",COUNTIFS('System map'!$A$4:$A$203,F542,'System map'!$B$4:$B$203,"&lt;&gt;",'System map'!$C$4:$C$203,"&lt;&gt;",'System map'!$D$4:$D$203,"&lt;&gt;"),COUNTIFS(Components!$A$4:$A$253,F542,Components!$B$4:$B$253,E542,Components!$K$4:$K$253,"Confirmed",Components!$L$4:$L$253,"OK — verify source"))))&lt;&gt;1)),"Endpoint not source-reconciled",IF(AND(M542="Confirmed",OR(L542="",K542="",K542="Unknown",K542="Low")),"Confirmed link lacks verification","OK — verify source"))))))))))))))</f>
        <v/>
      </c>
    </row>
    <row r="543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8" t="n"/>
      <c r="M543" s="27" t="n"/>
      <c r="N543" s="27">
        <f>IF(COUNTA(A543:M543)=0,"",IF(OR(A543="",B543="",C543="",D543="",E543="",F543="",I543="",J543="",K543="",M543=""),"Required link detail missing",IF(COUNTIF($A$4:$A$1003,A543)&gt;1,"Duplicate Map Edge ID",IF(NOT(OR(AND(B543="UC",E543="CAP",D543="requires"),AND(B543="CAP",E543="AIR",D543="provided by"),AND(B543="AIR",OR(E543="MOD",E543="DATA",E543="IF",E543="AG",E543="TOOL"),D543="references"),AND(B543="AIR",E543="AIR",D543="depends on"))),"Invalid relationship",IF(AND(M543&lt;&gt;"Superseded",COUNTIFS($B$4:$B$1003,B543,$C$4:$C$1003,C543,$D$4:$D$1003,D543,$E$4:$E$1003,E543,$F$4:$F$1003,F543,$G$4:$G$1003,G543,$M$4:$M$1003,"&lt;&gt;Superseded")&gt;1),"Duplicate relationship",IF(OR(IF(B543="UC",COUNTIF('Use cases'!$A$4:$A$253,C543),IF(B543="CAP",COUNTIF(Capabilities!$A$4:$A$253,C543),IF(B543="AIR",COUNTIF('System map'!$A$4:$A$203,C543),COUNTIFS(Components!$A$4:$A$253,C543,Components!$B$4:$B$253,B543))))&lt;&gt;1,IF(E543="UC",COUNTIF('Use cases'!$A$4:$A$253,F543),IF(E543="CAP",COUNTIF(Capabilities!$A$4:$A$253,F543),IF(E543="AIR",COUNTIF('System map'!$A$4:$A$203,F543),COUNTIFS(Components!$A$4:$A$253,F543,Components!$B$4:$B$253,E543))))&lt;&gt;1),"Endpoint missing or duplicated",IF(AND(NOT(AND(B543="UC",E543="CAP")),OR(G543="",COUNTIF('System map'!$A$4:$A$203,G543)&lt;&gt;1)),"AIR context missing / unknown",IF(AND(B543="CAP",E543="AIR",G543&lt;&gt;F543),"AIR context mismatch",IF(AND(B543="AIR",G543&lt;&gt;C543),"AIR context mismatch",IF(AND(B543="AIR",E543="AIR",C543=F543),"Self-dependency",IF(AND(B543="AIR",E543="AIR",M543&lt;&gt;"Superseded",COUNTIFS($B$4:$B$1003,"AIR",$C$4:$C$1003,F543,$E$4:$E$1003,"AIR",$F$4:$F$1003,C543,$M$4:$M$1003,"&lt;&gt;Superseded")&gt;0),"Dependency cycle (A↔B) — review",IF(AND(B543="AIR",OR(E543="MOD",E543="DATA",E543="IF",E543="AG",E543="TOOL"),IFERROR(INDEX(Components!$G$4:$G$253,MATCH(F543,Components!$A$4:$A$253,0)),"")&lt;&gt;"",IFERROR(INDEX(Components!$G$4:$G$253,MATCH(F543,Components!$A$4:$A$253,0)),"")&lt;&gt;C543),"Component owned by another AIR-ID",IF(AND(M543="Confirmed",OR(IF(B543="UC",COUNTIFS('Use cases'!$A$4:$A$253,C543,'Use cases'!$I$4:$I$253,"Confirmed",'Use cases'!$J$4:$J$253,"OK — verify source"),IF(B543="CAP",COUNTIFS(Capabilities!$A$4:$A$253,C543,Capabilities!$J$4:$J$253,"Confirmed",Capabilities!$K$4:$K$253,"OK — verify source"),IF(B543="AIR",COUNTIFS('System map'!$A$4:$A$203,C543,'System map'!$B$4:$B$203,"&lt;&gt;",'System map'!$C$4:$C$203,"&lt;&gt;",'System map'!$D$4:$D$203,"&lt;&gt;"),COUNTIFS(Components!$A$4:$A$253,C543,Components!$B$4:$B$253,B543,Components!$K$4:$K$253,"Confirmed",Components!$L$4:$L$253,"OK — verify source"))))&lt;&gt;1,IF(E543="UC",COUNTIFS('Use cases'!$A$4:$A$253,F543,'Use cases'!$I$4:$I$253,"Confirmed",'Use cases'!$J$4:$J$253,"OK — verify source"),IF(E543="CAP",COUNTIFS(Capabilities!$A$4:$A$253,F543,Capabilities!$J$4:$J$253,"Confirmed",Capabilities!$K$4:$K$253,"OK — verify source"),IF(E543="AIR",COUNTIFS('System map'!$A$4:$A$203,F543,'System map'!$B$4:$B$203,"&lt;&gt;",'System map'!$C$4:$C$203,"&lt;&gt;",'System map'!$D$4:$D$203,"&lt;&gt;"),COUNTIFS(Components!$A$4:$A$253,F543,Components!$B$4:$B$253,E543,Components!$K$4:$K$253,"Confirmed",Components!$L$4:$L$253,"OK — verify source"))))&lt;&gt;1)),"Endpoint not source-reconciled",IF(AND(M543="Confirmed",OR(L543="",K543="",K543="Unknown",K543="Low")),"Confirmed link lacks verification","OK — verify source"))))))))))))))</f>
        <v/>
      </c>
    </row>
    <row r="54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6" t="n"/>
      <c r="M544" s="25" t="n"/>
      <c r="N544" s="25">
        <f>IF(COUNTA(A544:M544)=0,"",IF(OR(A544="",B544="",C544="",D544="",E544="",F544="",I544="",J544="",K544="",M544=""),"Required link detail missing",IF(COUNTIF($A$4:$A$1003,A544)&gt;1,"Duplicate Map Edge ID",IF(NOT(OR(AND(B544="UC",E544="CAP",D544="requires"),AND(B544="CAP",E544="AIR",D544="provided by"),AND(B544="AIR",OR(E544="MOD",E544="DATA",E544="IF",E544="AG",E544="TOOL"),D544="references"),AND(B544="AIR",E544="AIR",D544="depends on"))),"Invalid relationship",IF(AND(M544&lt;&gt;"Superseded",COUNTIFS($B$4:$B$1003,B544,$C$4:$C$1003,C544,$D$4:$D$1003,D544,$E$4:$E$1003,E544,$F$4:$F$1003,F544,$G$4:$G$1003,G544,$M$4:$M$1003,"&lt;&gt;Superseded")&gt;1),"Duplicate relationship",IF(OR(IF(B544="UC",COUNTIF('Use cases'!$A$4:$A$253,C544),IF(B544="CAP",COUNTIF(Capabilities!$A$4:$A$253,C544),IF(B544="AIR",COUNTIF('System map'!$A$4:$A$203,C544),COUNTIFS(Components!$A$4:$A$253,C544,Components!$B$4:$B$253,B544))))&lt;&gt;1,IF(E544="UC",COUNTIF('Use cases'!$A$4:$A$253,F544),IF(E544="CAP",COUNTIF(Capabilities!$A$4:$A$253,F544),IF(E544="AIR",COUNTIF('System map'!$A$4:$A$203,F544),COUNTIFS(Components!$A$4:$A$253,F544,Components!$B$4:$B$253,E544))))&lt;&gt;1),"Endpoint missing or duplicated",IF(AND(NOT(AND(B544="UC",E544="CAP")),OR(G544="",COUNTIF('System map'!$A$4:$A$203,G544)&lt;&gt;1)),"AIR context missing / unknown",IF(AND(B544="CAP",E544="AIR",G544&lt;&gt;F544),"AIR context mismatch",IF(AND(B544="AIR",G544&lt;&gt;C544),"AIR context mismatch",IF(AND(B544="AIR",E544="AIR",C544=F544),"Self-dependency",IF(AND(B544="AIR",E544="AIR",M544&lt;&gt;"Superseded",COUNTIFS($B$4:$B$1003,"AIR",$C$4:$C$1003,F544,$E$4:$E$1003,"AIR",$F$4:$F$1003,C544,$M$4:$M$1003,"&lt;&gt;Superseded")&gt;0),"Dependency cycle (A↔B) — review",IF(AND(B544="AIR",OR(E544="MOD",E544="DATA",E544="IF",E544="AG",E544="TOOL"),IFERROR(INDEX(Components!$G$4:$G$253,MATCH(F544,Components!$A$4:$A$253,0)),"")&lt;&gt;"",IFERROR(INDEX(Components!$G$4:$G$253,MATCH(F544,Components!$A$4:$A$253,0)),"")&lt;&gt;C544),"Component owned by another AIR-ID",IF(AND(M544="Confirmed",OR(IF(B544="UC",COUNTIFS('Use cases'!$A$4:$A$253,C544,'Use cases'!$I$4:$I$253,"Confirmed",'Use cases'!$J$4:$J$253,"OK — verify source"),IF(B544="CAP",COUNTIFS(Capabilities!$A$4:$A$253,C544,Capabilities!$J$4:$J$253,"Confirmed",Capabilities!$K$4:$K$253,"OK — verify source"),IF(B544="AIR",COUNTIFS('System map'!$A$4:$A$203,C544,'System map'!$B$4:$B$203,"&lt;&gt;",'System map'!$C$4:$C$203,"&lt;&gt;",'System map'!$D$4:$D$203,"&lt;&gt;"),COUNTIFS(Components!$A$4:$A$253,C544,Components!$B$4:$B$253,B544,Components!$K$4:$K$253,"Confirmed",Components!$L$4:$L$253,"OK — verify source"))))&lt;&gt;1,IF(E544="UC",COUNTIFS('Use cases'!$A$4:$A$253,F544,'Use cases'!$I$4:$I$253,"Confirmed",'Use cases'!$J$4:$J$253,"OK — verify source"),IF(E544="CAP",COUNTIFS(Capabilities!$A$4:$A$253,F544,Capabilities!$J$4:$J$253,"Confirmed",Capabilities!$K$4:$K$253,"OK — verify source"),IF(E544="AIR",COUNTIFS('System map'!$A$4:$A$203,F544,'System map'!$B$4:$B$203,"&lt;&gt;",'System map'!$C$4:$C$203,"&lt;&gt;",'System map'!$D$4:$D$203,"&lt;&gt;"),COUNTIFS(Components!$A$4:$A$253,F544,Components!$B$4:$B$253,E544,Components!$K$4:$K$253,"Confirmed",Components!$L$4:$L$253,"OK — verify source"))))&lt;&gt;1)),"Endpoint not source-reconciled",IF(AND(M544="Confirmed",OR(L544="",K544="",K544="Unknown",K544="Low")),"Confirmed link lacks verification","OK — verify source"))))))))))))))</f>
        <v/>
      </c>
    </row>
    <row r="545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8" t="n"/>
      <c r="M545" s="27" t="n"/>
      <c r="N545" s="27">
        <f>IF(COUNTA(A545:M545)=0,"",IF(OR(A545="",B545="",C545="",D545="",E545="",F545="",I545="",J545="",K545="",M545=""),"Required link detail missing",IF(COUNTIF($A$4:$A$1003,A545)&gt;1,"Duplicate Map Edge ID",IF(NOT(OR(AND(B545="UC",E545="CAP",D545="requires"),AND(B545="CAP",E545="AIR",D545="provided by"),AND(B545="AIR",OR(E545="MOD",E545="DATA",E545="IF",E545="AG",E545="TOOL"),D545="references"),AND(B545="AIR",E545="AIR",D545="depends on"))),"Invalid relationship",IF(AND(M545&lt;&gt;"Superseded",COUNTIFS($B$4:$B$1003,B545,$C$4:$C$1003,C545,$D$4:$D$1003,D545,$E$4:$E$1003,E545,$F$4:$F$1003,F545,$G$4:$G$1003,G545,$M$4:$M$1003,"&lt;&gt;Superseded")&gt;1),"Duplicate relationship",IF(OR(IF(B545="UC",COUNTIF('Use cases'!$A$4:$A$253,C545),IF(B545="CAP",COUNTIF(Capabilities!$A$4:$A$253,C545),IF(B545="AIR",COUNTIF('System map'!$A$4:$A$203,C545),COUNTIFS(Components!$A$4:$A$253,C545,Components!$B$4:$B$253,B545))))&lt;&gt;1,IF(E545="UC",COUNTIF('Use cases'!$A$4:$A$253,F545),IF(E545="CAP",COUNTIF(Capabilities!$A$4:$A$253,F545),IF(E545="AIR",COUNTIF('System map'!$A$4:$A$203,F545),COUNTIFS(Components!$A$4:$A$253,F545,Components!$B$4:$B$253,E545))))&lt;&gt;1),"Endpoint missing or duplicated",IF(AND(NOT(AND(B545="UC",E545="CAP")),OR(G545="",COUNTIF('System map'!$A$4:$A$203,G545)&lt;&gt;1)),"AIR context missing / unknown",IF(AND(B545="CAP",E545="AIR",G545&lt;&gt;F545),"AIR context mismatch",IF(AND(B545="AIR",G545&lt;&gt;C545),"AIR context mismatch",IF(AND(B545="AIR",E545="AIR",C545=F545),"Self-dependency",IF(AND(B545="AIR",E545="AIR",M545&lt;&gt;"Superseded",COUNTIFS($B$4:$B$1003,"AIR",$C$4:$C$1003,F545,$E$4:$E$1003,"AIR",$F$4:$F$1003,C545,$M$4:$M$1003,"&lt;&gt;Superseded")&gt;0),"Dependency cycle (A↔B) — review",IF(AND(B545="AIR",OR(E545="MOD",E545="DATA",E545="IF",E545="AG",E545="TOOL"),IFERROR(INDEX(Components!$G$4:$G$253,MATCH(F545,Components!$A$4:$A$253,0)),"")&lt;&gt;"",IFERROR(INDEX(Components!$G$4:$G$253,MATCH(F545,Components!$A$4:$A$253,0)),"")&lt;&gt;C545),"Component owned by another AIR-ID",IF(AND(M545="Confirmed",OR(IF(B545="UC",COUNTIFS('Use cases'!$A$4:$A$253,C545,'Use cases'!$I$4:$I$253,"Confirmed",'Use cases'!$J$4:$J$253,"OK — verify source"),IF(B545="CAP",COUNTIFS(Capabilities!$A$4:$A$253,C545,Capabilities!$J$4:$J$253,"Confirmed",Capabilities!$K$4:$K$253,"OK — verify source"),IF(B545="AIR",COUNTIFS('System map'!$A$4:$A$203,C545,'System map'!$B$4:$B$203,"&lt;&gt;",'System map'!$C$4:$C$203,"&lt;&gt;",'System map'!$D$4:$D$203,"&lt;&gt;"),COUNTIFS(Components!$A$4:$A$253,C545,Components!$B$4:$B$253,B545,Components!$K$4:$K$253,"Confirmed",Components!$L$4:$L$253,"OK — verify source"))))&lt;&gt;1,IF(E545="UC",COUNTIFS('Use cases'!$A$4:$A$253,F545,'Use cases'!$I$4:$I$253,"Confirmed",'Use cases'!$J$4:$J$253,"OK — verify source"),IF(E545="CAP",COUNTIFS(Capabilities!$A$4:$A$253,F545,Capabilities!$J$4:$J$253,"Confirmed",Capabilities!$K$4:$K$253,"OK — verify source"),IF(E545="AIR",COUNTIFS('System map'!$A$4:$A$203,F545,'System map'!$B$4:$B$203,"&lt;&gt;",'System map'!$C$4:$C$203,"&lt;&gt;",'System map'!$D$4:$D$203,"&lt;&gt;"),COUNTIFS(Components!$A$4:$A$253,F545,Components!$B$4:$B$253,E545,Components!$K$4:$K$253,"Confirmed",Components!$L$4:$L$253,"OK — verify source"))))&lt;&gt;1)),"Endpoint not source-reconciled",IF(AND(M545="Confirmed",OR(L545="",K545="",K545="Unknown",K545="Low")),"Confirmed link lacks verification","OK — verify source"))))))))))))))</f>
        <v/>
      </c>
    </row>
    <row r="546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6" t="n"/>
      <c r="M546" s="25" t="n"/>
      <c r="N546" s="25">
        <f>IF(COUNTA(A546:M546)=0,"",IF(OR(A546="",B546="",C546="",D546="",E546="",F546="",I546="",J546="",K546="",M546=""),"Required link detail missing",IF(COUNTIF($A$4:$A$1003,A546)&gt;1,"Duplicate Map Edge ID",IF(NOT(OR(AND(B546="UC",E546="CAP",D546="requires"),AND(B546="CAP",E546="AIR",D546="provided by"),AND(B546="AIR",OR(E546="MOD",E546="DATA",E546="IF",E546="AG",E546="TOOL"),D546="references"),AND(B546="AIR",E546="AIR",D546="depends on"))),"Invalid relationship",IF(AND(M546&lt;&gt;"Superseded",COUNTIFS($B$4:$B$1003,B546,$C$4:$C$1003,C546,$D$4:$D$1003,D546,$E$4:$E$1003,E546,$F$4:$F$1003,F546,$G$4:$G$1003,G546,$M$4:$M$1003,"&lt;&gt;Superseded")&gt;1),"Duplicate relationship",IF(OR(IF(B546="UC",COUNTIF('Use cases'!$A$4:$A$253,C546),IF(B546="CAP",COUNTIF(Capabilities!$A$4:$A$253,C546),IF(B546="AIR",COUNTIF('System map'!$A$4:$A$203,C546),COUNTIFS(Components!$A$4:$A$253,C546,Components!$B$4:$B$253,B546))))&lt;&gt;1,IF(E546="UC",COUNTIF('Use cases'!$A$4:$A$253,F546),IF(E546="CAP",COUNTIF(Capabilities!$A$4:$A$253,F546),IF(E546="AIR",COUNTIF('System map'!$A$4:$A$203,F546),COUNTIFS(Components!$A$4:$A$253,F546,Components!$B$4:$B$253,E546))))&lt;&gt;1),"Endpoint missing or duplicated",IF(AND(NOT(AND(B546="UC",E546="CAP")),OR(G546="",COUNTIF('System map'!$A$4:$A$203,G546)&lt;&gt;1)),"AIR context missing / unknown",IF(AND(B546="CAP",E546="AIR",G546&lt;&gt;F546),"AIR context mismatch",IF(AND(B546="AIR",G546&lt;&gt;C546),"AIR context mismatch",IF(AND(B546="AIR",E546="AIR",C546=F546),"Self-dependency",IF(AND(B546="AIR",E546="AIR",M546&lt;&gt;"Superseded",COUNTIFS($B$4:$B$1003,"AIR",$C$4:$C$1003,F546,$E$4:$E$1003,"AIR",$F$4:$F$1003,C546,$M$4:$M$1003,"&lt;&gt;Superseded")&gt;0),"Dependency cycle (A↔B) — review",IF(AND(B546="AIR",OR(E546="MOD",E546="DATA",E546="IF",E546="AG",E546="TOOL"),IFERROR(INDEX(Components!$G$4:$G$253,MATCH(F546,Components!$A$4:$A$253,0)),"")&lt;&gt;"",IFERROR(INDEX(Components!$G$4:$G$253,MATCH(F546,Components!$A$4:$A$253,0)),"")&lt;&gt;C546),"Component owned by another AIR-ID",IF(AND(M546="Confirmed",OR(IF(B546="UC",COUNTIFS('Use cases'!$A$4:$A$253,C546,'Use cases'!$I$4:$I$253,"Confirmed",'Use cases'!$J$4:$J$253,"OK — verify source"),IF(B546="CAP",COUNTIFS(Capabilities!$A$4:$A$253,C546,Capabilities!$J$4:$J$253,"Confirmed",Capabilities!$K$4:$K$253,"OK — verify source"),IF(B546="AIR",COUNTIFS('System map'!$A$4:$A$203,C546,'System map'!$B$4:$B$203,"&lt;&gt;",'System map'!$C$4:$C$203,"&lt;&gt;",'System map'!$D$4:$D$203,"&lt;&gt;"),COUNTIFS(Components!$A$4:$A$253,C546,Components!$B$4:$B$253,B546,Components!$K$4:$K$253,"Confirmed",Components!$L$4:$L$253,"OK — verify source"))))&lt;&gt;1,IF(E546="UC",COUNTIFS('Use cases'!$A$4:$A$253,F546,'Use cases'!$I$4:$I$253,"Confirmed",'Use cases'!$J$4:$J$253,"OK — verify source"),IF(E546="CAP",COUNTIFS(Capabilities!$A$4:$A$253,F546,Capabilities!$J$4:$J$253,"Confirmed",Capabilities!$K$4:$K$253,"OK — verify source"),IF(E546="AIR",COUNTIFS('System map'!$A$4:$A$203,F546,'System map'!$B$4:$B$203,"&lt;&gt;",'System map'!$C$4:$C$203,"&lt;&gt;",'System map'!$D$4:$D$203,"&lt;&gt;"),COUNTIFS(Components!$A$4:$A$253,F546,Components!$B$4:$B$253,E546,Components!$K$4:$K$253,"Confirmed",Components!$L$4:$L$253,"OK — verify source"))))&lt;&gt;1)),"Endpoint not source-reconciled",IF(AND(M546="Confirmed",OR(L546="",K546="",K546="Unknown",K546="Low")),"Confirmed link lacks verification","OK — verify source"))))))))))))))</f>
        <v/>
      </c>
    </row>
    <row r="547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8" t="n"/>
      <c r="M547" s="27" t="n"/>
      <c r="N547" s="27">
        <f>IF(COUNTA(A547:M547)=0,"",IF(OR(A547="",B547="",C547="",D547="",E547="",F547="",I547="",J547="",K547="",M547=""),"Required link detail missing",IF(COUNTIF($A$4:$A$1003,A547)&gt;1,"Duplicate Map Edge ID",IF(NOT(OR(AND(B547="UC",E547="CAP",D547="requires"),AND(B547="CAP",E547="AIR",D547="provided by"),AND(B547="AIR",OR(E547="MOD",E547="DATA",E547="IF",E547="AG",E547="TOOL"),D547="references"),AND(B547="AIR",E547="AIR",D547="depends on"))),"Invalid relationship",IF(AND(M547&lt;&gt;"Superseded",COUNTIFS($B$4:$B$1003,B547,$C$4:$C$1003,C547,$D$4:$D$1003,D547,$E$4:$E$1003,E547,$F$4:$F$1003,F547,$G$4:$G$1003,G547,$M$4:$M$1003,"&lt;&gt;Superseded")&gt;1),"Duplicate relationship",IF(OR(IF(B547="UC",COUNTIF('Use cases'!$A$4:$A$253,C547),IF(B547="CAP",COUNTIF(Capabilities!$A$4:$A$253,C547),IF(B547="AIR",COUNTIF('System map'!$A$4:$A$203,C547),COUNTIFS(Components!$A$4:$A$253,C547,Components!$B$4:$B$253,B547))))&lt;&gt;1,IF(E547="UC",COUNTIF('Use cases'!$A$4:$A$253,F547),IF(E547="CAP",COUNTIF(Capabilities!$A$4:$A$253,F547),IF(E547="AIR",COUNTIF('System map'!$A$4:$A$203,F547),COUNTIFS(Components!$A$4:$A$253,F547,Components!$B$4:$B$253,E547))))&lt;&gt;1),"Endpoint missing or duplicated",IF(AND(NOT(AND(B547="UC",E547="CAP")),OR(G547="",COUNTIF('System map'!$A$4:$A$203,G547)&lt;&gt;1)),"AIR context missing / unknown",IF(AND(B547="CAP",E547="AIR",G547&lt;&gt;F547),"AIR context mismatch",IF(AND(B547="AIR",G547&lt;&gt;C547),"AIR context mismatch",IF(AND(B547="AIR",E547="AIR",C547=F547),"Self-dependency",IF(AND(B547="AIR",E547="AIR",M547&lt;&gt;"Superseded",COUNTIFS($B$4:$B$1003,"AIR",$C$4:$C$1003,F547,$E$4:$E$1003,"AIR",$F$4:$F$1003,C547,$M$4:$M$1003,"&lt;&gt;Superseded")&gt;0),"Dependency cycle (A↔B) — review",IF(AND(B547="AIR",OR(E547="MOD",E547="DATA",E547="IF",E547="AG",E547="TOOL"),IFERROR(INDEX(Components!$G$4:$G$253,MATCH(F547,Components!$A$4:$A$253,0)),"")&lt;&gt;"",IFERROR(INDEX(Components!$G$4:$G$253,MATCH(F547,Components!$A$4:$A$253,0)),"")&lt;&gt;C547),"Component owned by another AIR-ID",IF(AND(M547="Confirmed",OR(IF(B547="UC",COUNTIFS('Use cases'!$A$4:$A$253,C547,'Use cases'!$I$4:$I$253,"Confirmed",'Use cases'!$J$4:$J$253,"OK — verify source"),IF(B547="CAP",COUNTIFS(Capabilities!$A$4:$A$253,C547,Capabilities!$J$4:$J$253,"Confirmed",Capabilities!$K$4:$K$253,"OK — verify source"),IF(B547="AIR",COUNTIFS('System map'!$A$4:$A$203,C547,'System map'!$B$4:$B$203,"&lt;&gt;",'System map'!$C$4:$C$203,"&lt;&gt;",'System map'!$D$4:$D$203,"&lt;&gt;"),COUNTIFS(Components!$A$4:$A$253,C547,Components!$B$4:$B$253,B547,Components!$K$4:$K$253,"Confirmed",Components!$L$4:$L$253,"OK — verify source"))))&lt;&gt;1,IF(E547="UC",COUNTIFS('Use cases'!$A$4:$A$253,F547,'Use cases'!$I$4:$I$253,"Confirmed",'Use cases'!$J$4:$J$253,"OK — verify source"),IF(E547="CAP",COUNTIFS(Capabilities!$A$4:$A$253,F547,Capabilities!$J$4:$J$253,"Confirmed",Capabilities!$K$4:$K$253,"OK — verify source"),IF(E547="AIR",COUNTIFS('System map'!$A$4:$A$203,F547,'System map'!$B$4:$B$203,"&lt;&gt;",'System map'!$C$4:$C$203,"&lt;&gt;",'System map'!$D$4:$D$203,"&lt;&gt;"),COUNTIFS(Components!$A$4:$A$253,F547,Components!$B$4:$B$253,E547,Components!$K$4:$K$253,"Confirmed",Components!$L$4:$L$253,"OK — verify source"))))&lt;&gt;1)),"Endpoint not source-reconciled",IF(AND(M547="Confirmed",OR(L547="",K547="",K547="Unknown",K547="Low")),"Confirmed link lacks verification","OK — verify source"))))))))))))))</f>
        <v/>
      </c>
    </row>
    <row r="548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6" t="n"/>
      <c r="M548" s="25" t="n"/>
      <c r="N548" s="25">
        <f>IF(COUNTA(A548:M548)=0,"",IF(OR(A548="",B548="",C548="",D548="",E548="",F548="",I548="",J548="",K548="",M548=""),"Required link detail missing",IF(COUNTIF($A$4:$A$1003,A548)&gt;1,"Duplicate Map Edge ID",IF(NOT(OR(AND(B548="UC",E548="CAP",D548="requires"),AND(B548="CAP",E548="AIR",D548="provided by"),AND(B548="AIR",OR(E548="MOD",E548="DATA",E548="IF",E548="AG",E548="TOOL"),D548="references"),AND(B548="AIR",E548="AIR",D548="depends on"))),"Invalid relationship",IF(AND(M548&lt;&gt;"Superseded",COUNTIFS($B$4:$B$1003,B548,$C$4:$C$1003,C548,$D$4:$D$1003,D548,$E$4:$E$1003,E548,$F$4:$F$1003,F548,$G$4:$G$1003,G548,$M$4:$M$1003,"&lt;&gt;Superseded")&gt;1),"Duplicate relationship",IF(OR(IF(B548="UC",COUNTIF('Use cases'!$A$4:$A$253,C548),IF(B548="CAP",COUNTIF(Capabilities!$A$4:$A$253,C548),IF(B548="AIR",COUNTIF('System map'!$A$4:$A$203,C548),COUNTIFS(Components!$A$4:$A$253,C548,Components!$B$4:$B$253,B548))))&lt;&gt;1,IF(E548="UC",COUNTIF('Use cases'!$A$4:$A$253,F548),IF(E548="CAP",COUNTIF(Capabilities!$A$4:$A$253,F548),IF(E548="AIR",COUNTIF('System map'!$A$4:$A$203,F548),COUNTIFS(Components!$A$4:$A$253,F548,Components!$B$4:$B$253,E548))))&lt;&gt;1),"Endpoint missing or duplicated",IF(AND(NOT(AND(B548="UC",E548="CAP")),OR(G548="",COUNTIF('System map'!$A$4:$A$203,G548)&lt;&gt;1)),"AIR context missing / unknown",IF(AND(B548="CAP",E548="AIR",G548&lt;&gt;F548),"AIR context mismatch",IF(AND(B548="AIR",G548&lt;&gt;C548),"AIR context mismatch",IF(AND(B548="AIR",E548="AIR",C548=F548),"Self-dependency",IF(AND(B548="AIR",E548="AIR",M548&lt;&gt;"Superseded",COUNTIFS($B$4:$B$1003,"AIR",$C$4:$C$1003,F548,$E$4:$E$1003,"AIR",$F$4:$F$1003,C548,$M$4:$M$1003,"&lt;&gt;Superseded")&gt;0),"Dependency cycle (A↔B) — review",IF(AND(B548="AIR",OR(E548="MOD",E548="DATA",E548="IF",E548="AG",E548="TOOL"),IFERROR(INDEX(Components!$G$4:$G$253,MATCH(F548,Components!$A$4:$A$253,0)),"")&lt;&gt;"",IFERROR(INDEX(Components!$G$4:$G$253,MATCH(F548,Components!$A$4:$A$253,0)),"")&lt;&gt;C548),"Component owned by another AIR-ID",IF(AND(M548="Confirmed",OR(IF(B548="UC",COUNTIFS('Use cases'!$A$4:$A$253,C548,'Use cases'!$I$4:$I$253,"Confirmed",'Use cases'!$J$4:$J$253,"OK — verify source"),IF(B548="CAP",COUNTIFS(Capabilities!$A$4:$A$253,C548,Capabilities!$J$4:$J$253,"Confirmed",Capabilities!$K$4:$K$253,"OK — verify source"),IF(B548="AIR",COUNTIFS('System map'!$A$4:$A$203,C548,'System map'!$B$4:$B$203,"&lt;&gt;",'System map'!$C$4:$C$203,"&lt;&gt;",'System map'!$D$4:$D$203,"&lt;&gt;"),COUNTIFS(Components!$A$4:$A$253,C548,Components!$B$4:$B$253,B548,Components!$K$4:$K$253,"Confirmed",Components!$L$4:$L$253,"OK — verify source"))))&lt;&gt;1,IF(E548="UC",COUNTIFS('Use cases'!$A$4:$A$253,F548,'Use cases'!$I$4:$I$253,"Confirmed",'Use cases'!$J$4:$J$253,"OK — verify source"),IF(E548="CAP",COUNTIFS(Capabilities!$A$4:$A$253,F548,Capabilities!$J$4:$J$253,"Confirmed",Capabilities!$K$4:$K$253,"OK — verify source"),IF(E548="AIR",COUNTIFS('System map'!$A$4:$A$203,F548,'System map'!$B$4:$B$203,"&lt;&gt;",'System map'!$C$4:$C$203,"&lt;&gt;",'System map'!$D$4:$D$203,"&lt;&gt;"),COUNTIFS(Components!$A$4:$A$253,F548,Components!$B$4:$B$253,E548,Components!$K$4:$K$253,"Confirmed",Components!$L$4:$L$253,"OK — verify source"))))&lt;&gt;1)),"Endpoint not source-reconciled",IF(AND(M548="Confirmed",OR(L548="",K548="",K548="Unknown",K548="Low")),"Confirmed link lacks verification","OK — verify source"))))))))))))))</f>
        <v/>
      </c>
    </row>
    <row r="549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8" t="n"/>
      <c r="M549" s="27" t="n"/>
      <c r="N549" s="27">
        <f>IF(COUNTA(A549:M549)=0,"",IF(OR(A549="",B549="",C549="",D549="",E549="",F549="",I549="",J549="",K549="",M549=""),"Required link detail missing",IF(COUNTIF($A$4:$A$1003,A549)&gt;1,"Duplicate Map Edge ID",IF(NOT(OR(AND(B549="UC",E549="CAP",D549="requires"),AND(B549="CAP",E549="AIR",D549="provided by"),AND(B549="AIR",OR(E549="MOD",E549="DATA",E549="IF",E549="AG",E549="TOOL"),D549="references"),AND(B549="AIR",E549="AIR",D549="depends on"))),"Invalid relationship",IF(AND(M549&lt;&gt;"Superseded",COUNTIFS($B$4:$B$1003,B549,$C$4:$C$1003,C549,$D$4:$D$1003,D549,$E$4:$E$1003,E549,$F$4:$F$1003,F549,$G$4:$G$1003,G549,$M$4:$M$1003,"&lt;&gt;Superseded")&gt;1),"Duplicate relationship",IF(OR(IF(B549="UC",COUNTIF('Use cases'!$A$4:$A$253,C549),IF(B549="CAP",COUNTIF(Capabilities!$A$4:$A$253,C549),IF(B549="AIR",COUNTIF('System map'!$A$4:$A$203,C549),COUNTIFS(Components!$A$4:$A$253,C549,Components!$B$4:$B$253,B549))))&lt;&gt;1,IF(E549="UC",COUNTIF('Use cases'!$A$4:$A$253,F549),IF(E549="CAP",COUNTIF(Capabilities!$A$4:$A$253,F549),IF(E549="AIR",COUNTIF('System map'!$A$4:$A$203,F549),COUNTIFS(Components!$A$4:$A$253,F549,Components!$B$4:$B$253,E549))))&lt;&gt;1),"Endpoint missing or duplicated",IF(AND(NOT(AND(B549="UC",E549="CAP")),OR(G549="",COUNTIF('System map'!$A$4:$A$203,G549)&lt;&gt;1)),"AIR context missing / unknown",IF(AND(B549="CAP",E549="AIR",G549&lt;&gt;F549),"AIR context mismatch",IF(AND(B549="AIR",G549&lt;&gt;C549),"AIR context mismatch",IF(AND(B549="AIR",E549="AIR",C549=F549),"Self-dependency",IF(AND(B549="AIR",E549="AIR",M549&lt;&gt;"Superseded",COUNTIFS($B$4:$B$1003,"AIR",$C$4:$C$1003,F549,$E$4:$E$1003,"AIR",$F$4:$F$1003,C549,$M$4:$M$1003,"&lt;&gt;Superseded")&gt;0),"Dependency cycle (A↔B) — review",IF(AND(B549="AIR",OR(E549="MOD",E549="DATA",E549="IF",E549="AG",E549="TOOL"),IFERROR(INDEX(Components!$G$4:$G$253,MATCH(F549,Components!$A$4:$A$253,0)),"")&lt;&gt;"",IFERROR(INDEX(Components!$G$4:$G$253,MATCH(F549,Components!$A$4:$A$253,0)),"")&lt;&gt;C549),"Component owned by another AIR-ID",IF(AND(M549="Confirmed",OR(IF(B549="UC",COUNTIFS('Use cases'!$A$4:$A$253,C549,'Use cases'!$I$4:$I$253,"Confirmed",'Use cases'!$J$4:$J$253,"OK — verify source"),IF(B549="CAP",COUNTIFS(Capabilities!$A$4:$A$253,C549,Capabilities!$J$4:$J$253,"Confirmed",Capabilities!$K$4:$K$253,"OK — verify source"),IF(B549="AIR",COUNTIFS('System map'!$A$4:$A$203,C549,'System map'!$B$4:$B$203,"&lt;&gt;",'System map'!$C$4:$C$203,"&lt;&gt;",'System map'!$D$4:$D$203,"&lt;&gt;"),COUNTIFS(Components!$A$4:$A$253,C549,Components!$B$4:$B$253,B549,Components!$K$4:$K$253,"Confirmed",Components!$L$4:$L$253,"OK — verify source"))))&lt;&gt;1,IF(E549="UC",COUNTIFS('Use cases'!$A$4:$A$253,F549,'Use cases'!$I$4:$I$253,"Confirmed",'Use cases'!$J$4:$J$253,"OK — verify source"),IF(E549="CAP",COUNTIFS(Capabilities!$A$4:$A$253,F549,Capabilities!$J$4:$J$253,"Confirmed",Capabilities!$K$4:$K$253,"OK — verify source"),IF(E549="AIR",COUNTIFS('System map'!$A$4:$A$203,F549,'System map'!$B$4:$B$203,"&lt;&gt;",'System map'!$C$4:$C$203,"&lt;&gt;",'System map'!$D$4:$D$203,"&lt;&gt;"),COUNTIFS(Components!$A$4:$A$253,F549,Components!$B$4:$B$253,E549,Components!$K$4:$K$253,"Confirmed",Components!$L$4:$L$253,"OK — verify source"))))&lt;&gt;1)),"Endpoint not source-reconciled",IF(AND(M549="Confirmed",OR(L549="",K549="",K549="Unknown",K549="Low")),"Confirmed link lacks verification","OK — verify source"))))))))))))))</f>
        <v/>
      </c>
    </row>
    <row r="550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6" t="n"/>
      <c r="M550" s="25" t="n"/>
      <c r="N550" s="25">
        <f>IF(COUNTA(A550:M550)=0,"",IF(OR(A550="",B550="",C550="",D550="",E550="",F550="",I550="",J550="",K550="",M550=""),"Required link detail missing",IF(COUNTIF($A$4:$A$1003,A550)&gt;1,"Duplicate Map Edge ID",IF(NOT(OR(AND(B550="UC",E550="CAP",D550="requires"),AND(B550="CAP",E550="AIR",D550="provided by"),AND(B550="AIR",OR(E550="MOD",E550="DATA",E550="IF",E550="AG",E550="TOOL"),D550="references"),AND(B550="AIR",E550="AIR",D550="depends on"))),"Invalid relationship",IF(AND(M550&lt;&gt;"Superseded",COUNTIFS($B$4:$B$1003,B550,$C$4:$C$1003,C550,$D$4:$D$1003,D550,$E$4:$E$1003,E550,$F$4:$F$1003,F550,$G$4:$G$1003,G550,$M$4:$M$1003,"&lt;&gt;Superseded")&gt;1),"Duplicate relationship",IF(OR(IF(B550="UC",COUNTIF('Use cases'!$A$4:$A$253,C550),IF(B550="CAP",COUNTIF(Capabilities!$A$4:$A$253,C550),IF(B550="AIR",COUNTIF('System map'!$A$4:$A$203,C550),COUNTIFS(Components!$A$4:$A$253,C550,Components!$B$4:$B$253,B550))))&lt;&gt;1,IF(E550="UC",COUNTIF('Use cases'!$A$4:$A$253,F550),IF(E550="CAP",COUNTIF(Capabilities!$A$4:$A$253,F550),IF(E550="AIR",COUNTIF('System map'!$A$4:$A$203,F550),COUNTIFS(Components!$A$4:$A$253,F550,Components!$B$4:$B$253,E550))))&lt;&gt;1),"Endpoint missing or duplicated",IF(AND(NOT(AND(B550="UC",E550="CAP")),OR(G550="",COUNTIF('System map'!$A$4:$A$203,G550)&lt;&gt;1)),"AIR context missing / unknown",IF(AND(B550="CAP",E550="AIR",G550&lt;&gt;F550),"AIR context mismatch",IF(AND(B550="AIR",G550&lt;&gt;C550),"AIR context mismatch",IF(AND(B550="AIR",E550="AIR",C550=F550),"Self-dependency",IF(AND(B550="AIR",E550="AIR",M550&lt;&gt;"Superseded",COUNTIFS($B$4:$B$1003,"AIR",$C$4:$C$1003,F550,$E$4:$E$1003,"AIR",$F$4:$F$1003,C550,$M$4:$M$1003,"&lt;&gt;Superseded")&gt;0),"Dependency cycle (A↔B) — review",IF(AND(B550="AIR",OR(E550="MOD",E550="DATA",E550="IF",E550="AG",E550="TOOL"),IFERROR(INDEX(Components!$G$4:$G$253,MATCH(F550,Components!$A$4:$A$253,0)),"")&lt;&gt;"",IFERROR(INDEX(Components!$G$4:$G$253,MATCH(F550,Components!$A$4:$A$253,0)),"")&lt;&gt;C550),"Component owned by another AIR-ID",IF(AND(M550="Confirmed",OR(IF(B550="UC",COUNTIFS('Use cases'!$A$4:$A$253,C550,'Use cases'!$I$4:$I$253,"Confirmed",'Use cases'!$J$4:$J$253,"OK — verify source"),IF(B550="CAP",COUNTIFS(Capabilities!$A$4:$A$253,C550,Capabilities!$J$4:$J$253,"Confirmed",Capabilities!$K$4:$K$253,"OK — verify source"),IF(B550="AIR",COUNTIFS('System map'!$A$4:$A$203,C550,'System map'!$B$4:$B$203,"&lt;&gt;",'System map'!$C$4:$C$203,"&lt;&gt;",'System map'!$D$4:$D$203,"&lt;&gt;"),COUNTIFS(Components!$A$4:$A$253,C550,Components!$B$4:$B$253,B550,Components!$K$4:$K$253,"Confirmed",Components!$L$4:$L$253,"OK — verify source"))))&lt;&gt;1,IF(E550="UC",COUNTIFS('Use cases'!$A$4:$A$253,F550,'Use cases'!$I$4:$I$253,"Confirmed",'Use cases'!$J$4:$J$253,"OK — verify source"),IF(E550="CAP",COUNTIFS(Capabilities!$A$4:$A$253,F550,Capabilities!$J$4:$J$253,"Confirmed",Capabilities!$K$4:$K$253,"OK — verify source"),IF(E550="AIR",COUNTIFS('System map'!$A$4:$A$203,F550,'System map'!$B$4:$B$203,"&lt;&gt;",'System map'!$C$4:$C$203,"&lt;&gt;",'System map'!$D$4:$D$203,"&lt;&gt;"),COUNTIFS(Components!$A$4:$A$253,F550,Components!$B$4:$B$253,E550,Components!$K$4:$K$253,"Confirmed",Components!$L$4:$L$253,"OK — verify source"))))&lt;&gt;1)),"Endpoint not source-reconciled",IF(AND(M550="Confirmed",OR(L550="",K550="",K550="Unknown",K550="Low")),"Confirmed link lacks verification","OK — verify source"))))))))))))))</f>
        <v/>
      </c>
    </row>
    <row r="551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8" t="n"/>
      <c r="M551" s="27" t="n"/>
      <c r="N551" s="27">
        <f>IF(COUNTA(A551:M551)=0,"",IF(OR(A551="",B551="",C551="",D551="",E551="",F551="",I551="",J551="",K551="",M551=""),"Required link detail missing",IF(COUNTIF($A$4:$A$1003,A551)&gt;1,"Duplicate Map Edge ID",IF(NOT(OR(AND(B551="UC",E551="CAP",D551="requires"),AND(B551="CAP",E551="AIR",D551="provided by"),AND(B551="AIR",OR(E551="MOD",E551="DATA",E551="IF",E551="AG",E551="TOOL"),D551="references"),AND(B551="AIR",E551="AIR",D551="depends on"))),"Invalid relationship",IF(AND(M551&lt;&gt;"Superseded",COUNTIFS($B$4:$B$1003,B551,$C$4:$C$1003,C551,$D$4:$D$1003,D551,$E$4:$E$1003,E551,$F$4:$F$1003,F551,$G$4:$G$1003,G551,$M$4:$M$1003,"&lt;&gt;Superseded")&gt;1),"Duplicate relationship",IF(OR(IF(B551="UC",COUNTIF('Use cases'!$A$4:$A$253,C551),IF(B551="CAP",COUNTIF(Capabilities!$A$4:$A$253,C551),IF(B551="AIR",COUNTIF('System map'!$A$4:$A$203,C551),COUNTIFS(Components!$A$4:$A$253,C551,Components!$B$4:$B$253,B551))))&lt;&gt;1,IF(E551="UC",COUNTIF('Use cases'!$A$4:$A$253,F551),IF(E551="CAP",COUNTIF(Capabilities!$A$4:$A$253,F551),IF(E551="AIR",COUNTIF('System map'!$A$4:$A$203,F551),COUNTIFS(Components!$A$4:$A$253,F551,Components!$B$4:$B$253,E551))))&lt;&gt;1),"Endpoint missing or duplicated",IF(AND(NOT(AND(B551="UC",E551="CAP")),OR(G551="",COUNTIF('System map'!$A$4:$A$203,G551)&lt;&gt;1)),"AIR context missing / unknown",IF(AND(B551="CAP",E551="AIR",G551&lt;&gt;F551),"AIR context mismatch",IF(AND(B551="AIR",G551&lt;&gt;C551),"AIR context mismatch",IF(AND(B551="AIR",E551="AIR",C551=F551),"Self-dependency",IF(AND(B551="AIR",E551="AIR",M551&lt;&gt;"Superseded",COUNTIFS($B$4:$B$1003,"AIR",$C$4:$C$1003,F551,$E$4:$E$1003,"AIR",$F$4:$F$1003,C551,$M$4:$M$1003,"&lt;&gt;Superseded")&gt;0),"Dependency cycle (A↔B) — review",IF(AND(B551="AIR",OR(E551="MOD",E551="DATA",E551="IF",E551="AG",E551="TOOL"),IFERROR(INDEX(Components!$G$4:$G$253,MATCH(F551,Components!$A$4:$A$253,0)),"")&lt;&gt;"",IFERROR(INDEX(Components!$G$4:$G$253,MATCH(F551,Components!$A$4:$A$253,0)),"")&lt;&gt;C551),"Component owned by another AIR-ID",IF(AND(M551="Confirmed",OR(IF(B551="UC",COUNTIFS('Use cases'!$A$4:$A$253,C551,'Use cases'!$I$4:$I$253,"Confirmed",'Use cases'!$J$4:$J$253,"OK — verify source"),IF(B551="CAP",COUNTIFS(Capabilities!$A$4:$A$253,C551,Capabilities!$J$4:$J$253,"Confirmed",Capabilities!$K$4:$K$253,"OK — verify source"),IF(B551="AIR",COUNTIFS('System map'!$A$4:$A$203,C551,'System map'!$B$4:$B$203,"&lt;&gt;",'System map'!$C$4:$C$203,"&lt;&gt;",'System map'!$D$4:$D$203,"&lt;&gt;"),COUNTIFS(Components!$A$4:$A$253,C551,Components!$B$4:$B$253,B551,Components!$K$4:$K$253,"Confirmed",Components!$L$4:$L$253,"OK — verify source"))))&lt;&gt;1,IF(E551="UC",COUNTIFS('Use cases'!$A$4:$A$253,F551,'Use cases'!$I$4:$I$253,"Confirmed",'Use cases'!$J$4:$J$253,"OK — verify source"),IF(E551="CAP",COUNTIFS(Capabilities!$A$4:$A$253,F551,Capabilities!$J$4:$J$253,"Confirmed",Capabilities!$K$4:$K$253,"OK — verify source"),IF(E551="AIR",COUNTIFS('System map'!$A$4:$A$203,F551,'System map'!$B$4:$B$203,"&lt;&gt;",'System map'!$C$4:$C$203,"&lt;&gt;",'System map'!$D$4:$D$203,"&lt;&gt;"),COUNTIFS(Components!$A$4:$A$253,F551,Components!$B$4:$B$253,E551,Components!$K$4:$K$253,"Confirmed",Components!$L$4:$L$253,"OK — verify source"))))&lt;&gt;1)),"Endpoint not source-reconciled",IF(AND(M551="Confirmed",OR(L551="",K551="",K551="Unknown",K551="Low")),"Confirmed link lacks verification","OK — verify source"))))))))))))))</f>
        <v/>
      </c>
    </row>
    <row r="552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6" t="n"/>
      <c r="M552" s="25" t="n"/>
      <c r="N552" s="25">
        <f>IF(COUNTA(A552:M552)=0,"",IF(OR(A552="",B552="",C552="",D552="",E552="",F552="",I552="",J552="",K552="",M552=""),"Required link detail missing",IF(COUNTIF($A$4:$A$1003,A552)&gt;1,"Duplicate Map Edge ID",IF(NOT(OR(AND(B552="UC",E552="CAP",D552="requires"),AND(B552="CAP",E552="AIR",D552="provided by"),AND(B552="AIR",OR(E552="MOD",E552="DATA",E552="IF",E552="AG",E552="TOOL"),D552="references"),AND(B552="AIR",E552="AIR",D552="depends on"))),"Invalid relationship",IF(AND(M552&lt;&gt;"Superseded",COUNTIFS($B$4:$B$1003,B552,$C$4:$C$1003,C552,$D$4:$D$1003,D552,$E$4:$E$1003,E552,$F$4:$F$1003,F552,$G$4:$G$1003,G552,$M$4:$M$1003,"&lt;&gt;Superseded")&gt;1),"Duplicate relationship",IF(OR(IF(B552="UC",COUNTIF('Use cases'!$A$4:$A$253,C552),IF(B552="CAP",COUNTIF(Capabilities!$A$4:$A$253,C552),IF(B552="AIR",COUNTIF('System map'!$A$4:$A$203,C552),COUNTIFS(Components!$A$4:$A$253,C552,Components!$B$4:$B$253,B552))))&lt;&gt;1,IF(E552="UC",COUNTIF('Use cases'!$A$4:$A$253,F552),IF(E552="CAP",COUNTIF(Capabilities!$A$4:$A$253,F552),IF(E552="AIR",COUNTIF('System map'!$A$4:$A$203,F552),COUNTIFS(Components!$A$4:$A$253,F552,Components!$B$4:$B$253,E552))))&lt;&gt;1),"Endpoint missing or duplicated",IF(AND(NOT(AND(B552="UC",E552="CAP")),OR(G552="",COUNTIF('System map'!$A$4:$A$203,G552)&lt;&gt;1)),"AIR context missing / unknown",IF(AND(B552="CAP",E552="AIR",G552&lt;&gt;F552),"AIR context mismatch",IF(AND(B552="AIR",G552&lt;&gt;C552),"AIR context mismatch",IF(AND(B552="AIR",E552="AIR",C552=F552),"Self-dependency",IF(AND(B552="AIR",E552="AIR",M552&lt;&gt;"Superseded",COUNTIFS($B$4:$B$1003,"AIR",$C$4:$C$1003,F552,$E$4:$E$1003,"AIR",$F$4:$F$1003,C552,$M$4:$M$1003,"&lt;&gt;Superseded")&gt;0),"Dependency cycle (A↔B) — review",IF(AND(B552="AIR",OR(E552="MOD",E552="DATA",E552="IF",E552="AG",E552="TOOL"),IFERROR(INDEX(Components!$G$4:$G$253,MATCH(F552,Components!$A$4:$A$253,0)),"")&lt;&gt;"",IFERROR(INDEX(Components!$G$4:$G$253,MATCH(F552,Components!$A$4:$A$253,0)),"")&lt;&gt;C552),"Component owned by another AIR-ID",IF(AND(M552="Confirmed",OR(IF(B552="UC",COUNTIFS('Use cases'!$A$4:$A$253,C552,'Use cases'!$I$4:$I$253,"Confirmed",'Use cases'!$J$4:$J$253,"OK — verify source"),IF(B552="CAP",COUNTIFS(Capabilities!$A$4:$A$253,C552,Capabilities!$J$4:$J$253,"Confirmed",Capabilities!$K$4:$K$253,"OK — verify source"),IF(B552="AIR",COUNTIFS('System map'!$A$4:$A$203,C552,'System map'!$B$4:$B$203,"&lt;&gt;",'System map'!$C$4:$C$203,"&lt;&gt;",'System map'!$D$4:$D$203,"&lt;&gt;"),COUNTIFS(Components!$A$4:$A$253,C552,Components!$B$4:$B$253,B552,Components!$K$4:$K$253,"Confirmed",Components!$L$4:$L$253,"OK — verify source"))))&lt;&gt;1,IF(E552="UC",COUNTIFS('Use cases'!$A$4:$A$253,F552,'Use cases'!$I$4:$I$253,"Confirmed",'Use cases'!$J$4:$J$253,"OK — verify source"),IF(E552="CAP",COUNTIFS(Capabilities!$A$4:$A$253,F552,Capabilities!$J$4:$J$253,"Confirmed",Capabilities!$K$4:$K$253,"OK — verify source"),IF(E552="AIR",COUNTIFS('System map'!$A$4:$A$203,F552,'System map'!$B$4:$B$203,"&lt;&gt;",'System map'!$C$4:$C$203,"&lt;&gt;",'System map'!$D$4:$D$203,"&lt;&gt;"),COUNTIFS(Components!$A$4:$A$253,F552,Components!$B$4:$B$253,E552,Components!$K$4:$K$253,"Confirmed",Components!$L$4:$L$253,"OK — verify source"))))&lt;&gt;1)),"Endpoint not source-reconciled",IF(AND(M552="Confirmed",OR(L552="",K552="",K552="Unknown",K552="Low")),"Confirmed link lacks verification","OK — verify source"))))))))))))))</f>
        <v/>
      </c>
    </row>
    <row r="553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8" t="n"/>
      <c r="M553" s="27" t="n"/>
      <c r="N553" s="27">
        <f>IF(COUNTA(A553:M553)=0,"",IF(OR(A553="",B553="",C553="",D553="",E553="",F553="",I553="",J553="",K553="",M553=""),"Required link detail missing",IF(COUNTIF($A$4:$A$1003,A553)&gt;1,"Duplicate Map Edge ID",IF(NOT(OR(AND(B553="UC",E553="CAP",D553="requires"),AND(B553="CAP",E553="AIR",D553="provided by"),AND(B553="AIR",OR(E553="MOD",E553="DATA",E553="IF",E553="AG",E553="TOOL"),D553="references"),AND(B553="AIR",E553="AIR",D553="depends on"))),"Invalid relationship",IF(AND(M553&lt;&gt;"Superseded",COUNTIFS($B$4:$B$1003,B553,$C$4:$C$1003,C553,$D$4:$D$1003,D553,$E$4:$E$1003,E553,$F$4:$F$1003,F553,$G$4:$G$1003,G553,$M$4:$M$1003,"&lt;&gt;Superseded")&gt;1),"Duplicate relationship",IF(OR(IF(B553="UC",COUNTIF('Use cases'!$A$4:$A$253,C553),IF(B553="CAP",COUNTIF(Capabilities!$A$4:$A$253,C553),IF(B553="AIR",COUNTIF('System map'!$A$4:$A$203,C553),COUNTIFS(Components!$A$4:$A$253,C553,Components!$B$4:$B$253,B553))))&lt;&gt;1,IF(E553="UC",COUNTIF('Use cases'!$A$4:$A$253,F553),IF(E553="CAP",COUNTIF(Capabilities!$A$4:$A$253,F553),IF(E553="AIR",COUNTIF('System map'!$A$4:$A$203,F553),COUNTIFS(Components!$A$4:$A$253,F553,Components!$B$4:$B$253,E553))))&lt;&gt;1),"Endpoint missing or duplicated",IF(AND(NOT(AND(B553="UC",E553="CAP")),OR(G553="",COUNTIF('System map'!$A$4:$A$203,G553)&lt;&gt;1)),"AIR context missing / unknown",IF(AND(B553="CAP",E553="AIR",G553&lt;&gt;F553),"AIR context mismatch",IF(AND(B553="AIR",G553&lt;&gt;C553),"AIR context mismatch",IF(AND(B553="AIR",E553="AIR",C553=F553),"Self-dependency",IF(AND(B553="AIR",E553="AIR",M553&lt;&gt;"Superseded",COUNTIFS($B$4:$B$1003,"AIR",$C$4:$C$1003,F553,$E$4:$E$1003,"AIR",$F$4:$F$1003,C553,$M$4:$M$1003,"&lt;&gt;Superseded")&gt;0),"Dependency cycle (A↔B) — review",IF(AND(B553="AIR",OR(E553="MOD",E553="DATA",E553="IF",E553="AG",E553="TOOL"),IFERROR(INDEX(Components!$G$4:$G$253,MATCH(F553,Components!$A$4:$A$253,0)),"")&lt;&gt;"",IFERROR(INDEX(Components!$G$4:$G$253,MATCH(F553,Components!$A$4:$A$253,0)),"")&lt;&gt;C553),"Component owned by another AIR-ID",IF(AND(M553="Confirmed",OR(IF(B553="UC",COUNTIFS('Use cases'!$A$4:$A$253,C553,'Use cases'!$I$4:$I$253,"Confirmed",'Use cases'!$J$4:$J$253,"OK — verify source"),IF(B553="CAP",COUNTIFS(Capabilities!$A$4:$A$253,C553,Capabilities!$J$4:$J$253,"Confirmed",Capabilities!$K$4:$K$253,"OK — verify source"),IF(B553="AIR",COUNTIFS('System map'!$A$4:$A$203,C553,'System map'!$B$4:$B$203,"&lt;&gt;",'System map'!$C$4:$C$203,"&lt;&gt;",'System map'!$D$4:$D$203,"&lt;&gt;"),COUNTIFS(Components!$A$4:$A$253,C553,Components!$B$4:$B$253,B553,Components!$K$4:$K$253,"Confirmed",Components!$L$4:$L$253,"OK — verify source"))))&lt;&gt;1,IF(E553="UC",COUNTIFS('Use cases'!$A$4:$A$253,F553,'Use cases'!$I$4:$I$253,"Confirmed",'Use cases'!$J$4:$J$253,"OK — verify source"),IF(E553="CAP",COUNTIFS(Capabilities!$A$4:$A$253,F553,Capabilities!$J$4:$J$253,"Confirmed",Capabilities!$K$4:$K$253,"OK — verify source"),IF(E553="AIR",COUNTIFS('System map'!$A$4:$A$203,F553,'System map'!$B$4:$B$203,"&lt;&gt;",'System map'!$C$4:$C$203,"&lt;&gt;",'System map'!$D$4:$D$203,"&lt;&gt;"),COUNTIFS(Components!$A$4:$A$253,F553,Components!$B$4:$B$253,E553,Components!$K$4:$K$253,"Confirmed",Components!$L$4:$L$253,"OK — verify source"))))&lt;&gt;1)),"Endpoint not source-reconciled",IF(AND(M553="Confirmed",OR(L553="",K553="",K553="Unknown",K553="Low")),"Confirmed link lacks verification","OK — verify source"))))))))))))))</f>
        <v/>
      </c>
    </row>
    <row r="55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6" t="n"/>
      <c r="M554" s="25" t="n"/>
      <c r="N554" s="25">
        <f>IF(COUNTA(A554:M554)=0,"",IF(OR(A554="",B554="",C554="",D554="",E554="",F554="",I554="",J554="",K554="",M554=""),"Required link detail missing",IF(COUNTIF($A$4:$A$1003,A554)&gt;1,"Duplicate Map Edge ID",IF(NOT(OR(AND(B554="UC",E554="CAP",D554="requires"),AND(B554="CAP",E554="AIR",D554="provided by"),AND(B554="AIR",OR(E554="MOD",E554="DATA",E554="IF",E554="AG",E554="TOOL"),D554="references"),AND(B554="AIR",E554="AIR",D554="depends on"))),"Invalid relationship",IF(AND(M554&lt;&gt;"Superseded",COUNTIFS($B$4:$B$1003,B554,$C$4:$C$1003,C554,$D$4:$D$1003,D554,$E$4:$E$1003,E554,$F$4:$F$1003,F554,$G$4:$G$1003,G554,$M$4:$M$1003,"&lt;&gt;Superseded")&gt;1),"Duplicate relationship",IF(OR(IF(B554="UC",COUNTIF('Use cases'!$A$4:$A$253,C554),IF(B554="CAP",COUNTIF(Capabilities!$A$4:$A$253,C554),IF(B554="AIR",COUNTIF('System map'!$A$4:$A$203,C554),COUNTIFS(Components!$A$4:$A$253,C554,Components!$B$4:$B$253,B554))))&lt;&gt;1,IF(E554="UC",COUNTIF('Use cases'!$A$4:$A$253,F554),IF(E554="CAP",COUNTIF(Capabilities!$A$4:$A$253,F554),IF(E554="AIR",COUNTIF('System map'!$A$4:$A$203,F554),COUNTIFS(Components!$A$4:$A$253,F554,Components!$B$4:$B$253,E554))))&lt;&gt;1),"Endpoint missing or duplicated",IF(AND(NOT(AND(B554="UC",E554="CAP")),OR(G554="",COUNTIF('System map'!$A$4:$A$203,G554)&lt;&gt;1)),"AIR context missing / unknown",IF(AND(B554="CAP",E554="AIR",G554&lt;&gt;F554),"AIR context mismatch",IF(AND(B554="AIR",G554&lt;&gt;C554),"AIR context mismatch",IF(AND(B554="AIR",E554="AIR",C554=F554),"Self-dependency",IF(AND(B554="AIR",E554="AIR",M554&lt;&gt;"Superseded",COUNTIFS($B$4:$B$1003,"AIR",$C$4:$C$1003,F554,$E$4:$E$1003,"AIR",$F$4:$F$1003,C554,$M$4:$M$1003,"&lt;&gt;Superseded")&gt;0),"Dependency cycle (A↔B) — review",IF(AND(B554="AIR",OR(E554="MOD",E554="DATA",E554="IF",E554="AG",E554="TOOL"),IFERROR(INDEX(Components!$G$4:$G$253,MATCH(F554,Components!$A$4:$A$253,0)),"")&lt;&gt;"",IFERROR(INDEX(Components!$G$4:$G$253,MATCH(F554,Components!$A$4:$A$253,0)),"")&lt;&gt;C554),"Component owned by another AIR-ID",IF(AND(M554="Confirmed",OR(IF(B554="UC",COUNTIFS('Use cases'!$A$4:$A$253,C554,'Use cases'!$I$4:$I$253,"Confirmed",'Use cases'!$J$4:$J$253,"OK — verify source"),IF(B554="CAP",COUNTIFS(Capabilities!$A$4:$A$253,C554,Capabilities!$J$4:$J$253,"Confirmed",Capabilities!$K$4:$K$253,"OK — verify source"),IF(B554="AIR",COUNTIFS('System map'!$A$4:$A$203,C554,'System map'!$B$4:$B$203,"&lt;&gt;",'System map'!$C$4:$C$203,"&lt;&gt;",'System map'!$D$4:$D$203,"&lt;&gt;"),COUNTIFS(Components!$A$4:$A$253,C554,Components!$B$4:$B$253,B554,Components!$K$4:$K$253,"Confirmed",Components!$L$4:$L$253,"OK — verify source"))))&lt;&gt;1,IF(E554="UC",COUNTIFS('Use cases'!$A$4:$A$253,F554,'Use cases'!$I$4:$I$253,"Confirmed",'Use cases'!$J$4:$J$253,"OK — verify source"),IF(E554="CAP",COUNTIFS(Capabilities!$A$4:$A$253,F554,Capabilities!$J$4:$J$253,"Confirmed",Capabilities!$K$4:$K$253,"OK — verify source"),IF(E554="AIR",COUNTIFS('System map'!$A$4:$A$203,F554,'System map'!$B$4:$B$203,"&lt;&gt;",'System map'!$C$4:$C$203,"&lt;&gt;",'System map'!$D$4:$D$203,"&lt;&gt;"),COUNTIFS(Components!$A$4:$A$253,F554,Components!$B$4:$B$253,E554,Components!$K$4:$K$253,"Confirmed",Components!$L$4:$L$253,"OK — verify source"))))&lt;&gt;1)),"Endpoint not source-reconciled",IF(AND(M554="Confirmed",OR(L554="",K554="",K554="Unknown",K554="Low")),"Confirmed link lacks verification","OK — verify source"))))))))))))))</f>
        <v/>
      </c>
    </row>
    <row r="555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8" t="n"/>
      <c r="M555" s="27" t="n"/>
      <c r="N555" s="27">
        <f>IF(COUNTA(A555:M555)=0,"",IF(OR(A555="",B555="",C555="",D555="",E555="",F555="",I555="",J555="",K555="",M555=""),"Required link detail missing",IF(COUNTIF($A$4:$A$1003,A555)&gt;1,"Duplicate Map Edge ID",IF(NOT(OR(AND(B555="UC",E555="CAP",D555="requires"),AND(B555="CAP",E555="AIR",D555="provided by"),AND(B555="AIR",OR(E555="MOD",E555="DATA",E555="IF",E555="AG",E555="TOOL"),D555="references"),AND(B555="AIR",E555="AIR",D555="depends on"))),"Invalid relationship",IF(AND(M555&lt;&gt;"Superseded",COUNTIFS($B$4:$B$1003,B555,$C$4:$C$1003,C555,$D$4:$D$1003,D555,$E$4:$E$1003,E555,$F$4:$F$1003,F555,$G$4:$G$1003,G555,$M$4:$M$1003,"&lt;&gt;Superseded")&gt;1),"Duplicate relationship",IF(OR(IF(B555="UC",COUNTIF('Use cases'!$A$4:$A$253,C555),IF(B555="CAP",COUNTIF(Capabilities!$A$4:$A$253,C555),IF(B555="AIR",COUNTIF('System map'!$A$4:$A$203,C555),COUNTIFS(Components!$A$4:$A$253,C555,Components!$B$4:$B$253,B555))))&lt;&gt;1,IF(E555="UC",COUNTIF('Use cases'!$A$4:$A$253,F555),IF(E555="CAP",COUNTIF(Capabilities!$A$4:$A$253,F555),IF(E555="AIR",COUNTIF('System map'!$A$4:$A$203,F555),COUNTIFS(Components!$A$4:$A$253,F555,Components!$B$4:$B$253,E555))))&lt;&gt;1),"Endpoint missing or duplicated",IF(AND(NOT(AND(B555="UC",E555="CAP")),OR(G555="",COUNTIF('System map'!$A$4:$A$203,G555)&lt;&gt;1)),"AIR context missing / unknown",IF(AND(B555="CAP",E555="AIR",G555&lt;&gt;F555),"AIR context mismatch",IF(AND(B555="AIR",G555&lt;&gt;C555),"AIR context mismatch",IF(AND(B555="AIR",E555="AIR",C555=F555),"Self-dependency",IF(AND(B555="AIR",E555="AIR",M555&lt;&gt;"Superseded",COUNTIFS($B$4:$B$1003,"AIR",$C$4:$C$1003,F555,$E$4:$E$1003,"AIR",$F$4:$F$1003,C555,$M$4:$M$1003,"&lt;&gt;Superseded")&gt;0),"Dependency cycle (A↔B) — review",IF(AND(B555="AIR",OR(E555="MOD",E555="DATA",E555="IF",E555="AG",E555="TOOL"),IFERROR(INDEX(Components!$G$4:$G$253,MATCH(F555,Components!$A$4:$A$253,0)),"")&lt;&gt;"",IFERROR(INDEX(Components!$G$4:$G$253,MATCH(F555,Components!$A$4:$A$253,0)),"")&lt;&gt;C555),"Component owned by another AIR-ID",IF(AND(M555="Confirmed",OR(IF(B555="UC",COUNTIFS('Use cases'!$A$4:$A$253,C555,'Use cases'!$I$4:$I$253,"Confirmed",'Use cases'!$J$4:$J$253,"OK — verify source"),IF(B555="CAP",COUNTIFS(Capabilities!$A$4:$A$253,C555,Capabilities!$J$4:$J$253,"Confirmed",Capabilities!$K$4:$K$253,"OK — verify source"),IF(B555="AIR",COUNTIFS('System map'!$A$4:$A$203,C555,'System map'!$B$4:$B$203,"&lt;&gt;",'System map'!$C$4:$C$203,"&lt;&gt;",'System map'!$D$4:$D$203,"&lt;&gt;"),COUNTIFS(Components!$A$4:$A$253,C555,Components!$B$4:$B$253,B555,Components!$K$4:$K$253,"Confirmed",Components!$L$4:$L$253,"OK — verify source"))))&lt;&gt;1,IF(E555="UC",COUNTIFS('Use cases'!$A$4:$A$253,F555,'Use cases'!$I$4:$I$253,"Confirmed",'Use cases'!$J$4:$J$253,"OK — verify source"),IF(E555="CAP",COUNTIFS(Capabilities!$A$4:$A$253,F555,Capabilities!$J$4:$J$253,"Confirmed",Capabilities!$K$4:$K$253,"OK — verify source"),IF(E555="AIR",COUNTIFS('System map'!$A$4:$A$203,F555,'System map'!$B$4:$B$203,"&lt;&gt;",'System map'!$C$4:$C$203,"&lt;&gt;",'System map'!$D$4:$D$203,"&lt;&gt;"),COUNTIFS(Components!$A$4:$A$253,F555,Components!$B$4:$B$253,E555,Components!$K$4:$K$253,"Confirmed",Components!$L$4:$L$253,"OK — verify source"))))&lt;&gt;1)),"Endpoint not source-reconciled",IF(AND(M555="Confirmed",OR(L555="",K555="",K555="Unknown",K555="Low")),"Confirmed link lacks verification","OK — verify source"))))))))))))))</f>
        <v/>
      </c>
    </row>
    <row r="556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6" t="n"/>
      <c r="M556" s="25" t="n"/>
      <c r="N556" s="25">
        <f>IF(COUNTA(A556:M556)=0,"",IF(OR(A556="",B556="",C556="",D556="",E556="",F556="",I556="",J556="",K556="",M556=""),"Required link detail missing",IF(COUNTIF($A$4:$A$1003,A556)&gt;1,"Duplicate Map Edge ID",IF(NOT(OR(AND(B556="UC",E556="CAP",D556="requires"),AND(B556="CAP",E556="AIR",D556="provided by"),AND(B556="AIR",OR(E556="MOD",E556="DATA",E556="IF",E556="AG",E556="TOOL"),D556="references"),AND(B556="AIR",E556="AIR",D556="depends on"))),"Invalid relationship",IF(AND(M556&lt;&gt;"Superseded",COUNTIFS($B$4:$B$1003,B556,$C$4:$C$1003,C556,$D$4:$D$1003,D556,$E$4:$E$1003,E556,$F$4:$F$1003,F556,$G$4:$G$1003,G556,$M$4:$M$1003,"&lt;&gt;Superseded")&gt;1),"Duplicate relationship",IF(OR(IF(B556="UC",COUNTIF('Use cases'!$A$4:$A$253,C556),IF(B556="CAP",COUNTIF(Capabilities!$A$4:$A$253,C556),IF(B556="AIR",COUNTIF('System map'!$A$4:$A$203,C556),COUNTIFS(Components!$A$4:$A$253,C556,Components!$B$4:$B$253,B556))))&lt;&gt;1,IF(E556="UC",COUNTIF('Use cases'!$A$4:$A$253,F556),IF(E556="CAP",COUNTIF(Capabilities!$A$4:$A$253,F556),IF(E556="AIR",COUNTIF('System map'!$A$4:$A$203,F556),COUNTIFS(Components!$A$4:$A$253,F556,Components!$B$4:$B$253,E556))))&lt;&gt;1),"Endpoint missing or duplicated",IF(AND(NOT(AND(B556="UC",E556="CAP")),OR(G556="",COUNTIF('System map'!$A$4:$A$203,G556)&lt;&gt;1)),"AIR context missing / unknown",IF(AND(B556="CAP",E556="AIR",G556&lt;&gt;F556),"AIR context mismatch",IF(AND(B556="AIR",G556&lt;&gt;C556),"AIR context mismatch",IF(AND(B556="AIR",E556="AIR",C556=F556),"Self-dependency",IF(AND(B556="AIR",E556="AIR",M556&lt;&gt;"Superseded",COUNTIFS($B$4:$B$1003,"AIR",$C$4:$C$1003,F556,$E$4:$E$1003,"AIR",$F$4:$F$1003,C556,$M$4:$M$1003,"&lt;&gt;Superseded")&gt;0),"Dependency cycle (A↔B) — review",IF(AND(B556="AIR",OR(E556="MOD",E556="DATA",E556="IF",E556="AG",E556="TOOL"),IFERROR(INDEX(Components!$G$4:$G$253,MATCH(F556,Components!$A$4:$A$253,0)),"")&lt;&gt;"",IFERROR(INDEX(Components!$G$4:$G$253,MATCH(F556,Components!$A$4:$A$253,0)),"")&lt;&gt;C556),"Component owned by another AIR-ID",IF(AND(M556="Confirmed",OR(IF(B556="UC",COUNTIFS('Use cases'!$A$4:$A$253,C556,'Use cases'!$I$4:$I$253,"Confirmed",'Use cases'!$J$4:$J$253,"OK — verify source"),IF(B556="CAP",COUNTIFS(Capabilities!$A$4:$A$253,C556,Capabilities!$J$4:$J$253,"Confirmed",Capabilities!$K$4:$K$253,"OK — verify source"),IF(B556="AIR",COUNTIFS('System map'!$A$4:$A$203,C556,'System map'!$B$4:$B$203,"&lt;&gt;",'System map'!$C$4:$C$203,"&lt;&gt;",'System map'!$D$4:$D$203,"&lt;&gt;"),COUNTIFS(Components!$A$4:$A$253,C556,Components!$B$4:$B$253,B556,Components!$K$4:$K$253,"Confirmed",Components!$L$4:$L$253,"OK — verify source"))))&lt;&gt;1,IF(E556="UC",COUNTIFS('Use cases'!$A$4:$A$253,F556,'Use cases'!$I$4:$I$253,"Confirmed",'Use cases'!$J$4:$J$253,"OK — verify source"),IF(E556="CAP",COUNTIFS(Capabilities!$A$4:$A$253,F556,Capabilities!$J$4:$J$253,"Confirmed",Capabilities!$K$4:$K$253,"OK — verify source"),IF(E556="AIR",COUNTIFS('System map'!$A$4:$A$203,F556,'System map'!$B$4:$B$203,"&lt;&gt;",'System map'!$C$4:$C$203,"&lt;&gt;",'System map'!$D$4:$D$203,"&lt;&gt;"),COUNTIFS(Components!$A$4:$A$253,F556,Components!$B$4:$B$253,E556,Components!$K$4:$K$253,"Confirmed",Components!$L$4:$L$253,"OK — verify source"))))&lt;&gt;1)),"Endpoint not source-reconciled",IF(AND(M556="Confirmed",OR(L556="",K556="",K556="Unknown",K556="Low")),"Confirmed link lacks verification","OK — verify source"))))))))))))))</f>
        <v/>
      </c>
    </row>
    <row r="557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8" t="n"/>
      <c r="M557" s="27" t="n"/>
      <c r="N557" s="27">
        <f>IF(COUNTA(A557:M557)=0,"",IF(OR(A557="",B557="",C557="",D557="",E557="",F557="",I557="",J557="",K557="",M557=""),"Required link detail missing",IF(COUNTIF($A$4:$A$1003,A557)&gt;1,"Duplicate Map Edge ID",IF(NOT(OR(AND(B557="UC",E557="CAP",D557="requires"),AND(B557="CAP",E557="AIR",D557="provided by"),AND(B557="AIR",OR(E557="MOD",E557="DATA",E557="IF",E557="AG",E557="TOOL"),D557="references"),AND(B557="AIR",E557="AIR",D557="depends on"))),"Invalid relationship",IF(AND(M557&lt;&gt;"Superseded",COUNTIFS($B$4:$B$1003,B557,$C$4:$C$1003,C557,$D$4:$D$1003,D557,$E$4:$E$1003,E557,$F$4:$F$1003,F557,$G$4:$G$1003,G557,$M$4:$M$1003,"&lt;&gt;Superseded")&gt;1),"Duplicate relationship",IF(OR(IF(B557="UC",COUNTIF('Use cases'!$A$4:$A$253,C557),IF(B557="CAP",COUNTIF(Capabilities!$A$4:$A$253,C557),IF(B557="AIR",COUNTIF('System map'!$A$4:$A$203,C557),COUNTIFS(Components!$A$4:$A$253,C557,Components!$B$4:$B$253,B557))))&lt;&gt;1,IF(E557="UC",COUNTIF('Use cases'!$A$4:$A$253,F557),IF(E557="CAP",COUNTIF(Capabilities!$A$4:$A$253,F557),IF(E557="AIR",COUNTIF('System map'!$A$4:$A$203,F557),COUNTIFS(Components!$A$4:$A$253,F557,Components!$B$4:$B$253,E557))))&lt;&gt;1),"Endpoint missing or duplicated",IF(AND(NOT(AND(B557="UC",E557="CAP")),OR(G557="",COUNTIF('System map'!$A$4:$A$203,G557)&lt;&gt;1)),"AIR context missing / unknown",IF(AND(B557="CAP",E557="AIR",G557&lt;&gt;F557),"AIR context mismatch",IF(AND(B557="AIR",G557&lt;&gt;C557),"AIR context mismatch",IF(AND(B557="AIR",E557="AIR",C557=F557),"Self-dependency",IF(AND(B557="AIR",E557="AIR",M557&lt;&gt;"Superseded",COUNTIFS($B$4:$B$1003,"AIR",$C$4:$C$1003,F557,$E$4:$E$1003,"AIR",$F$4:$F$1003,C557,$M$4:$M$1003,"&lt;&gt;Superseded")&gt;0),"Dependency cycle (A↔B) — review",IF(AND(B557="AIR",OR(E557="MOD",E557="DATA",E557="IF",E557="AG",E557="TOOL"),IFERROR(INDEX(Components!$G$4:$G$253,MATCH(F557,Components!$A$4:$A$253,0)),"")&lt;&gt;"",IFERROR(INDEX(Components!$G$4:$G$253,MATCH(F557,Components!$A$4:$A$253,0)),"")&lt;&gt;C557),"Component owned by another AIR-ID",IF(AND(M557="Confirmed",OR(IF(B557="UC",COUNTIFS('Use cases'!$A$4:$A$253,C557,'Use cases'!$I$4:$I$253,"Confirmed",'Use cases'!$J$4:$J$253,"OK — verify source"),IF(B557="CAP",COUNTIFS(Capabilities!$A$4:$A$253,C557,Capabilities!$J$4:$J$253,"Confirmed",Capabilities!$K$4:$K$253,"OK — verify source"),IF(B557="AIR",COUNTIFS('System map'!$A$4:$A$203,C557,'System map'!$B$4:$B$203,"&lt;&gt;",'System map'!$C$4:$C$203,"&lt;&gt;",'System map'!$D$4:$D$203,"&lt;&gt;"),COUNTIFS(Components!$A$4:$A$253,C557,Components!$B$4:$B$253,B557,Components!$K$4:$K$253,"Confirmed",Components!$L$4:$L$253,"OK — verify source"))))&lt;&gt;1,IF(E557="UC",COUNTIFS('Use cases'!$A$4:$A$253,F557,'Use cases'!$I$4:$I$253,"Confirmed",'Use cases'!$J$4:$J$253,"OK — verify source"),IF(E557="CAP",COUNTIFS(Capabilities!$A$4:$A$253,F557,Capabilities!$J$4:$J$253,"Confirmed",Capabilities!$K$4:$K$253,"OK — verify source"),IF(E557="AIR",COUNTIFS('System map'!$A$4:$A$203,F557,'System map'!$B$4:$B$203,"&lt;&gt;",'System map'!$C$4:$C$203,"&lt;&gt;",'System map'!$D$4:$D$203,"&lt;&gt;"),COUNTIFS(Components!$A$4:$A$253,F557,Components!$B$4:$B$253,E557,Components!$K$4:$K$253,"Confirmed",Components!$L$4:$L$253,"OK — verify source"))))&lt;&gt;1)),"Endpoint not source-reconciled",IF(AND(M557="Confirmed",OR(L557="",K557="",K557="Unknown",K557="Low")),"Confirmed link lacks verification","OK — verify source"))))))))))))))</f>
        <v/>
      </c>
    </row>
    <row r="558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6" t="n"/>
      <c r="M558" s="25" t="n"/>
      <c r="N558" s="25">
        <f>IF(COUNTA(A558:M558)=0,"",IF(OR(A558="",B558="",C558="",D558="",E558="",F558="",I558="",J558="",K558="",M558=""),"Required link detail missing",IF(COUNTIF($A$4:$A$1003,A558)&gt;1,"Duplicate Map Edge ID",IF(NOT(OR(AND(B558="UC",E558="CAP",D558="requires"),AND(B558="CAP",E558="AIR",D558="provided by"),AND(B558="AIR",OR(E558="MOD",E558="DATA",E558="IF",E558="AG",E558="TOOL"),D558="references"),AND(B558="AIR",E558="AIR",D558="depends on"))),"Invalid relationship",IF(AND(M558&lt;&gt;"Superseded",COUNTIFS($B$4:$B$1003,B558,$C$4:$C$1003,C558,$D$4:$D$1003,D558,$E$4:$E$1003,E558,$F$4:$F$1003,F558,$G$4:$G$1003,G558,$M$4:$M$1003,"&lt;&gt;Superseded")&gt;1),"Duplicate relationship",IF(OR(IF(B558="UC",COUNTIF('Use cases'!$A$4:$A$253,C558),IF(B558="CAP",COUNTIF(Capabilities!$A$4:$A$253,C558),IF(B558="AIR",COUNTIF('System map'!$A$4:$A$203,C558),COUNTIFS(Components!$A$4:$A$253,C558,Components!$B$4:$B$253,B558))))&lt;&gt;1,IF(E558="UC",COUNTIF('Use cases'!$A$4:$A$253,F558),IF(E558="CAP",COUNTIF(Capabilities!$A$4:$A$253,F558),IF(E558="AIR",COUNTIF('System map'!$A$4:$A$203,F558),COUNTIFS(Components!$A$4:$A$253,F558,Components!$B$4:$B$253,E558))))&lt;&gt;1),"Endpoint missing or duplicated",IF(AND(NOT(AND(B558="UC",E558="CAP")),OR(G558="",COUNTIF('System map'!$A$4:$A$203,G558)&lt;&gt;1)),"AIR context missing / unknown",IF(AND(B558="CAP",E558="AIR",G558&lt;&gt;F558),"AIR context mismatch",IF(AND(B558="AIR",G558&lt;&gt;C558),"AIR context mismatch",IF(AND(B558="AIR",E558="AIR",C558=F558),"Self-dependency",IF(AND(B558="AIR",E558="AIR",M558&lt;&gt;"Superseded",COUNTIFS($B$4:$B$1003,"AIR",$C$4:$C$1003,F558,$E$4:$E$1003,"AIR",$F$4:$F$1003,C558,$M$4:$M$1003,"&lt;&gt;Superseded")&gt;0),"Dependency cycle (A↔B) — review",IF(AND(B558="AIR",OR(E558="MOD",E558="DATA",E558="IF",E558="AG",E558="TOOL"),IFERROR(INDEX(Components!$G$4:$G$253,MATCH(F558,Components!$A$4:$A$253,0)),"")&lt;&gt;"",IFERROR(INDEX(Components!$G$4:$G$253,MATCH(F558,Components!$A$4:$A$253,0)),"")&lt;&gt;C558),"Component owned by another AIR-ID",IF(AND(M558="Confirmed",OR(IF(B558="UC",COUNTIFS('Use cases'!$A$4:$A$253,C558,'Use cases'!$I$4:$I$253,"Confirmed",'Use cases'!$J$4:$J$253,"OK — verify source"),IF(B558="CAP",COUNTIFS(Capabilities!$A$4:$A$253,C558,Capabilities!$J$4:$J$253,"Confirmed",Capabilities!$K$4:$K$253,"OK — verify source"),IF(B558="AIR",COUNTIFS('System map'!$A$4:$A$203,C558,'System map'!$B$4:$B$203,"&lt;&gt;",'System map'!$C$4:$C$203,"&lt;&gt;",'System map'!$D$4:$D$203,"&lt;&gt;"),COUNTIFS(Components!$A$4:$A$253,C558,Components!$B$4:$B$253,B558,Components!$K$4:$K$253,"Confirmed",Components!$L$4:$L$253,"OK — verify source"))))&lt;&gt;1,IF(E558="UC",COUNTIFS('Use cases'!$A$4:$A$253,F558,'Use cases'!$I$4:$I$253,"Confirmed",'Use cases'!$J$4:$J$253,"OK — verify source"),IF(E558="CAP",COUNTIFS(Capabilities!$A$4:$A$253,F558,Capabilities!$J$4:$J$253,"Confirmed",Capabilities!$K$4:$K$253,"OK — verify source"),IF(E558="AIR",COUNTIFS('System map'!$A$4:$A$203,F558,'System map'!$B$4:$B$203,"&lt;&gt;",'System map'!$C$4:$C$203,"&lt;&gt;",'System map'!$D$4:$D$203,"&lt;&gt;"),COUNTIFS(Components!$A$4:$A$253,F558,Components!$B$4:$B$253,E558,Components!$K$4:$K$253,"Confirmed",Components!$L$4:$L$253,"OK — verify source"))))&lt;&gt;1)),"Endpoint not source-reconciled",IF(AND(M558="Confirmed",OR(L558="",K558="",K558="Unknown",K558="Low")),"Confirmed link lacks verification","OK — verify source"))))))))))))))</f>
        <v/>
      </c>
    </row>
    <row r="559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8" t="n"/>
      <c r="M559" s="27" t="n"/>
      <c r="N559" s="27">
        <f>IF(COUNTA(A559:M559)=0,"",IF(OR(A559="",B559="",C559="",D559="",E559="",F559="",I559="",J559="",K559="",M559=""),"Required link detail missing",IF(COUNTIF($A$4:$A$1003,A559)&gt;1,"Duplicate Map Edge ID",IF(NOT(OR(AND(B559="UC",E559="CAP",D559="requires"),AND(B559="CAP",E559="AIR",D559="provided by"),AND(B559="AIR",OR(E559="MOD",E559="DATA",E559="IF",E559="AG",E559="TOOL"),D559="references"),AND(B559="AIR",E559="AIR",D559="depends on"))),"Invalid relationship",IF(AND(M559&lt;&gt;"Superseded",COUNTIFS($B$4:$B$1003,B559,$C$4:$C$1003,C559,$D$4:$D$1003,D559,$E$4:$E$1003,E559,$F$4:$F$1003,F559,$G$4:$G$1003,G559,$M$4:$M$1003,"&lt;&gt;Superseded")&gt;1),"Duplicate relationship",IF(OR(IF(B559="UC",COUNTIF('Use cases'!$A$4:$A$253,C559),IF(B559="CAP",COUNTIF(Capabilities!$A$4:$A$253,C559),IF(B559="AIR",COUNTIF('System map'!$A$4:$A$203,C559),COUNTIFS(Components!$A$4:$A$253,C559,Components!$B$4:$B$253,B559))))&lt;&gt;1,IF(E559="UC",COUNTIF('Use cases'!$A$4:$A$253,F559),IF(E559="CAP",COUNTIF(Capabilities!$A$4:$A$253,F559),IF(E559="AIR",COUNTIF('System map'!$A$4:$A$203,F559),COUNTIFS(Components!$A$4:$A$253,F559,Components!$B$4:$B$253,E559))))&lt;&gt;1),"Endpoint missing or duplicated",IF(AND(NOT(AND(B559="UC",E559="CAP")),OR(G559="",COUNTIF('System map'!$A$4:$A$203,G559)&lt;&gt;1)),"AIR context missing / unknown",IF(AND(B559="CAP",E559="AIR",G559&lt;&gt;F559),"AIR context mismatch",IF(AND(B559="AIR",G559&lt;&gt;C559),"AIR context mismatch",IF(AND(B559="AIR",E559="AIR",C559=F559),"Self-dependency",IF(AND(B559="AIR",E559="AIR",M559&lt;&gt;"Superseded",COUNTIFS($B$4:$B$1003,"AIR",$C$4:$C$1003,F559,$E$4:$E$1003,"AIR",$F$4:$F$1003,C559,$M$4:$M$1003,"&lt;&gt;Superseded")&gt;0),"Dependency cycle (A↔B) — review",IF(AND(B559="AIR",OR(E559="MOD",E559="DATA",E559="IF",E559="AG",E559="TOOL"),IFERROR(INDEX(Components!$G$4:$G$253,MATCH(F559,Components!$A$4:$A$253,0)),"")&lt;&gt;"",IFERROR(INDEX(Components!$G$4:$G$253,MATCH(F559,Components!$A$4:$A$253,0)),"")&lt;&gt;C559),"Component owned by another AIR-ID",IF(AND(M559="Confirmed",OR(IF(B559="UC",COUNTIFS('Use cases'!$A$4:$A$253,C559,'Use cases'!$I$4:$I$253,"Confirmed",'Use cases'!$J$4:$J$253,"OK — verify source"),IF(B559="CAP",COUNTIFS(Capabilities!$A$4:$A$253,C559,Capabilities!$J$4:$J$253,"Confirmed",Capabilities!$K$4:$K$253,"OK — verify source"),IF(B559="AIR",COUNTIFS('System map'!$A$4:$A$203,C559,'System map'!$B$4:$B$203,"&lt;&gt;",'System map'!$C$4:$C$203,"&lt;&gt;",'System map'!$D$4:$D$203,"&lt;&gt;"),COUNTIFS(Components!$A$4:$A$253,C559,Components!$B$4:$B$253,B559,Components!$K$4:$K$253,"Confirmed",Components!$L$4:$L$253,"OK — verify source"))))&lt;&gt;1,IF(E559="UC",COUNTIFS('Use cases'!$A$4:$A$253,F559,'Use cases'!$I$4:$I$253,"Confirmed",'Use cases'!$J$4:$J$253,"OK — verify source"),IF(E559="CAP",COUNTIFS(Capabilities!$A$4:$A$253,F559,Capabilities!$J$4:$J$253,"Confirmed",Capabilities!$K$4:$K$253,"OK — verify source"),IF(E559="AIR",COUNTIFS('System map'!$A$4:$A$203,F559,'System map'!$B$4:$B$203,"&lt;&gt;",'System map'!$C$4:$C$203,"&lt;&gt;",'System map'!$D$4:$D$203,"&lt;&gt;"),COUNTIFS(Components!$A$4:$A$253,F559,Components!$B$4:$B$253,E559,Components!$K$4:$K$253,"Confirmed",Components!$L$4:$L$253,"OK — verify source"))))&lt;&gt;1)),"Endpoint not source-reconciled",IF(AND(M559="Confirmed",OR(L559="",K559="",K559="Unknown",K559="Low")),"Confirmed link lacks verification","OK — verify source"))))))))))))))</f>
        <v/>
      </c>
    </row>
    <row r="560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6" t="n"/>
      <c r="M560" s="25" t="n"/>
      <c r="N560" s="25">
        <f>IF(COUNTA(A560:M560)=0,"",IF(OR(A560="",B560="",C560="",D560="",E560="",F560="",I560="",J560="",K560="",M560=""),"Required link detail missing",IF(COUNTIF($A$4:$A$1003,A560)&gt;1,"Duplicate Map Edge ID",IF(NOT(OR(AND(B560="UC",E560="CAP",D560="requires"),AND(B560="CAP",E560="AIR",D560="provided by"),AND(B560="AIR",OR(E560="MOD",E560="DATA",E560="IF",E560="AG",E560="TOOL"),D560="references"),AND(B560="AIR",E560="AIR",D560="depends on"))),"Invalid relationship",IF(AND(M560&lt;&gt;"Superseded",COUNTIFS($B$4:$B$1003,B560,$C$4:$C$1003,C560,$D$4:$D$1003,D560,$E$4:$E$1003,E560,$F$4:$F$1003,F560,$G$4:$G$1003,G560,$M$4:$M$1003,"&lt;&gt;Superseded")&gt;1),"Duplicate relationship",IF(OR(IF(B560="UC",COUNTIF('Use cases'!$A$4:$A$253,C560),IF(B560="CAP",COUNTIF(Capabilities!$A$4:$A$253,C560),IF(B560="AIR",COUNTIF('System map'!$A$4:$A$203,C560),COUNTIFS(Components!$A$4:$A$253,C560,Components!$B$4:$B$253,B560))))&lt;&gt;1,IF(E560="UC",COUNTIF('Use cases'!$A$4:$A$253,F560),IF(E560="CAP",COUNTIF(Capabilities!$A$4:$A$253,F560),IF(E560="AIR",COUNTIF('System map'!$A$4:$A$203,F560),COUNTIFS(Components!$A$4:$A$253,F560,Components!$B$4:$B$253,E560))))&lt;&gt;1),"Endpoint missing or duplicated",IF(AND(NOT(AND(B560="UC",E560="CAP")),OR(G560="",COUNTIF('System map'!$A$4:$A$203,G560)&lt;&gt;1)),"AIR context missing / unknown",IF(AND(B560="CAP",E560="AIR",G560&lt;&gt;F560),"AIR context mismatch",IF(AND(B560="AIR",G560&lt;&gt;C560),"AIR context mismatch",IF(AND(B560="AIR",E560="AIR",C560=F560),"Self-dependency",IF(AND(B560="AIR",E560="AIR",M560&lt;&gt;"Superseded",COUNTIFS($B$4:$B$1003,"AIR",$C$4:$C$1003,F560,$E$4:$E$1003,"AIR",$F$4:$F$1003,C560,$M$4:$M$1003,"&lt;&gt;Superseded")&gt;0),"Dependency cycle (A↔B) — review",IF(AND(B560="AIR",OR(E560="MOD",E560="DATA",E560="IF",E560="AG",E560="TOOL"),IFERROR(INDEX(Components!$G$4:$G$253,MATCH(F560,Components!$A$4:$A$253,0)),"")&lt;&gt;"",IFERROR(INDEX(Components!$G$4:$G$253,MATCH(F560,Components!$A$4:$A$253,0)),"")&lt;&gt;C560),"Component owned by another AIR-ID",IF(AND(M560="Confirmed",OR(IF(B560="UC",COUNTIFS('Use cases'!$A$4:$A$253,C560,'Use cases'!$I$4:$I$253,"Confirmed",'Use cases'!$J$4:$J$253,"OK — verify source"),IF(B560="CAP",COUNTIFS(Capabilities!$A$4:$A$253,C560,Capabilities!$J$4:$J$253,"Confirmed",Capabilities!$K$4:$K$253,"OK — verify source"),IF(B560="AIR",COUNTIFS('System map'!$A$4:$A$203,C560,'System map'!$B$4:$B$203,"&lt;&gt;",'System map'!$C$4:$C$203,"&lt;&gt;",'System map'!$D$4:$D$203,"&lt;&gt;"),COUNTIFS(Components!$A$4:$A$253,C560,Components!$B$4:$B$253,B560,Components!$K$4:$K$253,"Confirmed",Components!$L$4:$L$253,"OK — verify source"))))&lt;&gt;1,IF(E560="UC",COUNTIFS('Use cases'!$A$4:$A$253,F560,'Use cases'!$I$4:$I$253,"Confirmed",'Use cases'!$J$4:$J$253,"OK — verify source"),IF(E560="CAP",COUNTIFS(Capabilities!$A$4:$A$253,F560,Capabilities!$J$4:$J$253,"Confirmed",Capabilities!$K$4:$K$253,"OK — verify source"),IF(E560="AIR",COUNTIFS('System map'!$A$4:$A$203,F560,'System map'!$B$4:$B$203,"&lt;&gt;",'System map'!$C$4:$C$203,"&lt;&gt;",'System map'!$D$4:$D$203,"&lt;&gt;"),COUNTIFS(Components!$A$4:$A$253,F560,Components!$B$4:$B$253,E560,Components!$K$4:$K$253,"Confirmed",Components!$L$4:$L$253,"OK — verify source"))))&lt;&gt;1)),"Endpoint not source-reconciled",IF(AND(M560="Confirmed",OR(L560="",K560="",K560="Unknown",K560="Low")),"Confirmed link lacks verification","OK — verify source"))))))))))))))</f>
        <v/>
      </c>
    </row>
    <row r="561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8" t="n"/>
      <c r="M561" s="27" t="n"/>
      <c r="N561" s="27">
        <f>IF(COUNTA(A561:M561)=0,"",IF(OR(A561="",B561="",C561="",D561="",E561="",F561="",I561="",J561="",K561="",M561=""),"Required link detail missing",IF(COUNTIF($A$4:$A$1003,A561)&gt;1,"Duplicate Map Edge ID",IF(NOT(OR(AND(B561="UC",E561="CAP",D561="requires"),AND(B561="CAP",E561="AIR",D561="provided by"),AND(B561="AIR",OR(E561="MOD",E561="DATA",E561="IF",E561="AG",E561="TOOL"),D561="references"),AND(B561="AIR",E561="AIR",D561="depends on"))),"Invalid relationship",IF(AND(M561&lt;&gt;"Superseded",COUNTIFS($B$4:$B$1003,B561,$C$4:$C$1003,C561,$D$4:$D$1003,D561,$E$4:$E$1003,E561,$F$4:$F$1003,F561,$G$4:$G$1003,G561,$M$4:$M$1003,"&lt;&gt;Superseded")&gt;1),"Duplicate relationship",IF(OR(IF(B561="UC",COUNTIF('Use cases'!$A$4:$A$253,C561),IF(B561="CAP",COUNTIF(Capabilities!$A$4:$A$253,C561),IF(B561="AIR",COUNTIF('System map'!$A$4:$A$203,C561),COUNTIFS(Components!$A$4:$A$253,C561,Components!$B$4:$B$253,B561))))&lt;&gt;1,IF(E561="UC",COUNTIF('Use cases'!$A$4:$A$253,F561),IF(E561="CAP",COUNTIF(Capabilities!$A$4:$A$253,F561),IF(E561="AIR",COUNTIF('System map'!$A$4:$A$203,F561),COUNTIFS(Components!$A$4:$A$253,F561,Components!$B$4:$B$253,E561))))&lt;&gt;1),"Endpoint missing or duplicated",IF(AND(NOT(AND(B561="UC",E561="CAP")),OR(G561="",COUNTIF('System map'!$A$4:$A$203,G561)&lt;&gt;1)),"AIR context missing / unknown",IF(AND(B561="CAP",E561="AIR",G561&lt;&gt;F561),"AIR context mismatch",IF(AND(B561="AIR",G561&lt;&gt;C561),"AIR context mismatch",IF(AND(B561="AIR",E561="AIR",C561=F561),"Self-dependency",IF(AND(B561="AIR",E561="AIR",M561&lt;&gt;"Superseded",COUNTIFS($B$4:$B$1003,"AIR",$C$4:$C$1003,F561,$E$4:$E$1003,"AIR",$F$4:$F$1003,C561,$M$4:$M$1003,"&lt;&gt;Superseded")&gt;0),"Dependency cycle (A↔B) — review",IF(AND(B561="AIR",OR(E561="MOD",E561="DATA",E561="IF",E561="AG",E561="TOOL"),IFERROR(INDEX(Components!$G$4:$G$253,MATCH(F561,Components!$A$4:$A$253,0)),"")&lt;&gt;"",IFERROR(INDEX(Components!$G$4:$G$253,MATCH(F561,Components!$A$4:$A$253,0)),"")&lt;&gt;C561),"Component owned by another AIR-ID",IF(AND(M561="Confirmed",OR(IF(B561="UC",COUNTIFS('Use cases'!$A$4:$A$253,C561,'Use cases'!$I$4:$I$253,"Confirmed",'Use cases'!$J$4:$J$253,"OK — verify source"),IF(B561="CAP",COUNTIFS(Capabilities!$A$4:$A$253,C561,Capabilities!$J$4:$J$253,"Confirmed",Capabilities!$K$4:$K$253,"OK — verify source"),IF(B561="AIR",COUNTIFS('System map'!$A$4:$A$203,C561,'System map'!$B$4:$B$203,"&lt;&gt;",'System map'!$C$4:$C$203,"&lt;&gt;",'System map'!$D$4:$D$203,"&lt;&gt;"),COUNTIFS(Components!$A$4:$A$253,C561,Components!$B$4:$B$253,B561,Components!$K$4:$K$253,"Confirmed",Components!$L$4:$L$253,"OK — verify source"))))&lt;&gt;1,IF(E561="UC",COUNTIFS('Use cases'!$A$4:$A$253,F561,'Use cases'!$I$4:$I$253,"Confirmed",'Use cases'!$J$4:$J$253,"OK — verify source"),IF(E561="CAP",COUNTIFS(Capabilities!$A$4:$A$253,F561,Capabilities!$J$4:$J$253,"Confirmed",Capabilities!$K$4:$K$253,"OK — verify source"),IF(E561="AIR",COUNTIFS('System map'!$A$4:$A$203,F561,'System map'!$B$4:$B$203,"&lt;&gt;",'System map'!$C$4:$C$203,"&lt;&gt;",'System map'!$D$4:$D$203,"&lt;&gt;"),COUNTIFS(Components!$A$4:$A$253,F561,Components!$B$4:$B$253,E561,Components!$K$4:$K$253,"Confirmed",Components!$L$4:$L$253,"OK — verify source"))))&lt;&gt;1)),"Endpoint not source-reconciled",IF(AND(M561="Confirmed",OR(L561="",K561="",K561="Unknown",K561="Low")),"Confirmed link lacks verification","OK — verify source"))))))))))))))</f>
        <v/>
      </c>
    </row>
    <row r="562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6" t="n"/>
      <c r="M562" s="25" t="n"/>
      <c r="N562" s="25">
        <f>IF(COUNTA(A562:M562)=0,"",IF(OR(A562="",B562="",C562="",D562="",E562="",F562="",I562="",J562="",K562="",M562=""),"Required link detail missing",IF(COUNTIF($A$4:$A$1003,A562)&gt;1,"Duplicate Map Edge ID",IF(NOT(OR(AND(B562="UC",E562="CAP",D562="requires"),AND(B562="CAP",E562="AIR",D562="provided by"),AND(B562="AIR",OR(E562="MOD",E562="DATA",E562="IF",E562="AG",E562="TOOL"),D562="references"),AND(B562="AIR",E562="AIR",D562="depends on"))),"Invalid relationship",IF(AND(M562&lt;&gt;"Superseded",COUNTIFS($B$4:$B$1003,B562,$C$4:$C$1003,C562,$D$4:$D$1003,D562,$E$4:$E$1003,E562,$F$4:$F$1003,F562,$G$4:$G$1003,G562,$M$4:$M$1003,"&lt;&gt;Superseded")&gt;1),"Duplicate relationship",IF(OR(IF(B562="UC",COUNTIF('Use cases'!$A$4:$A$253,C562),IF(B562="CAP",COUNTIF(Capabilities!$A$4:$A$253,C562),IF(B562="AIR",COUNTIF('System map'!$A$4:$A$203,C562),COUNTIFS(Components!$A$4:$A$253,C562,Components!$B$4:$B$253,B562))))&lt;&gt;1,IF(E562="UC",COUNTIF('Use cases'!$A$4:$A$253,F562),IF(E562="CAP",COUNTIF(Capabilities!$A$4:$A$253,F562),IF(E562="AIR",COUNTIF('System map'!$A$4:$A$203,F562),COUNTIFS(Components!$A$4:$A$253,F562,Components!$B$4:$B$253,E562))))&lt;&gt;1),"Endpoint missing or duplicated",IF(AND(NOT(AND(B562="UC",E562="CAP")),OR(G562="",COUNTIF('System map'!$A$4:$A$203,G562)&lt;&gt;1)),"AIR context missing / unknown",IF(AND(B562="CAP",E562="AIR",G562&lt;&gt;F562),"AIR context mismatch",IF(AND(B562="AIR",G562&lt;&gt;C562),"AIR context mismatch",IF(AND(B562="AIR",E562="AIR",C562=F562),"Self-dependency",IF(AND(B562="AIR",E562="AIR",M562&lt;&gt;"Superseded",COUNTIFS($B$4:$B$1003,"AIR",$C$4:$C$1003,F562,$E$4:$E$1003,"AIR",$F$4:$F$1003,C562,$M$4:$M$1003,"&lt;&gt;Superseded")&gt;0),"Dependency cycle (A↔B) — review",IF(AND(B562="AIR",OR(E562="MOD",E562="DATA",E562="IF",E562="AG",E562="TOOL"),IFERROR(INDEX(Components!$G$4:$G$253,MATCH(F562,Components!$A$4:$A$253,0)),"")&lt;&gt;"",IFERROR(INDEX(Components!$G$4:$G$253,MATCH(F562,Components!$A$4:$A$253,0)),"")&lt;&gt;C562),"Component owned by another AIR-ID",IF(AND(M562="Confirmed",OR(IF(B562="UC",COUNTIFS('Use cases'!$A$4:$A$253,C562,'Use cases'!$I$4:$I$253,"Confirmed",'Use cases'!$J$4:$J$253,"OK — verify source"),IF(B562="CAP",COUNTIFS(Capabilities!$A$4:$A$253,C562,Capabilities!$J$4:$J$253,"Confirmed",Capabilities!$K$4:$K$253,"OK — verify source"),IF(B562="AIR",COUNTIFS('System map'!$A$4:$A$203,C562,'System map'!$B$4:$B$203,"&lt;&gt;",'System map'!$C$4:$C$203,"&lt;&gt;",'System map'!$D$4:$D$203,"&lt;&gt;"),COUNTIFS(Components!$A$4:$A$253,C562,Components!$B$4:$B$253,B562,Components!$K$4:$K$253,"Confirmed",Components!$L$4:$L$253,"OK — verify source"))))&lt;&gt;1,IF(E562="UC",COUNTIFS('Use cases'!$A$4:$A$253,F562,'Use cases'!$I$4:$I$253,"Confirmed",'Use cases'!$J$4:$J$253,"OK — verify source"),IF(E562="CAP",COUNTIFS(Capabilities!$A$4:$A$253,F562,Capabilities!$J$4:$J$253,"Confirmed",Capabilities!$K$4:$K$253,"OK — verify source"),IF(E562="AIR",COUNTIFS('System map'!$A$4:$A$203,F562,'System map'!$B$4:$B$203,"&lt;&gt;",'System map'!$C$4:$C$203,"&lt;&gt;",'System map'!$D$4:$D$203,"&lt;&gt;"),COUNTIFS(Components!$A$4:$A$253,F562,Components!$B$4:$B$253,E562,Components!$K$4:$K$253,"Confirmed",Components!$L$4:$L$253,"OK — verify source"))))&lt;&gt;1)),"Endpoint not source-reconciled",IF(AND(M562="Confirmed",OR(L562="",K562="",K562="Unknown",K562="Low")),"Confirmed link lacks verification","OK — verify source"))))))))))))))</f>
        <v/>
      </c>
    </row>
    <row r="563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8" t="n"/>
      <c r="M563" s="27" t="n"/>
      <c r="N563" s="27">
        <f>IF(COUNTA(A563:M563)=0,"",IF(OR(A563="",B563="",C563="",D563="",E563="",F563="",I563="",J563="",K563="",M563=""),"Required link detail missing",IF(COUNTIF($A$4:$A$1003,A563)&gt;1,"Duplicate Map Edge ID",IF(NOT(OR(AND(B563="UC",E563="CAP",D563="requires"),AND(B563="CAP",E563="AIR",D563="provided by"),AND(B563="AIR",OR(E563="MOD",E563="DATA",E563="IF",E563="AG",E563="TOOL"),D563="references"),AND(B563="AIR",E563="AIR",D563="depends on"))),"Invalid relationship",IF(AND(M563&lt;&gt;"Superseded",COUNTIFS($B$4:$B$1003,B563,$C$4:$C$1003,C563,$D$4:$D$1003,D563,$E$4:$E$1003,E563,$F$4:$F$1003,F563,$G$4:$G$1003,G563,$M$4:$M$1003,"&lt;&gt;Superseded")&gt;1),"Duplicate relationship",IF(OR(IF(B563="UC",COUNTIF('Use cases'!$A$4:$A$253,C563),IF(B563="CAP",COUNTIF(Capabilities!$A$4:$A$253,C563),IF(B563="AIR",COUNTIF('System map'!$A$4:$A$203,C563),COUNTIFS(Components!$A$4:$A$253,C563,Components!$B$4:$B$253,B563))))&lt;&gt;1,IF(E563="UC",COUNTIF('Use cases'!$A$4:$A$253,F563),IF(E563="CAP",COUNTIF(Capabilities!$A$4:$A$253,F563),IF(E563="AIR",COUNTIF('System map'!$A$4:$A$203,F563),COUNTIFS(Components!$A$4:$A$253,F563,Components!$B$4:$B$253,E563))))&lt;&gt;1),"Endpoint missing or duplicated",IF(AND(NOT(AND(B563="UC",E563="CAP")),OR(G563="",COUNTIF('System map'!$A$4:$A$203,G563)&lt;&gt;1)),"AIR context missing / unknown",IF(AND(B563="CAP",E563="AIR",G563&lt;&gt;F563),"AIR context mismatch",IF(AND(B563="AIR",G563&lt;&gt;C563),"AIR context mismatch",IF(AND(B563="AIR",E563="AIR",C563=F563),"Self-dependency",IF(AND(B563="AIR",E563="AIR",M563&lt;&gt;"Superseded",COUNTIFS($B$4:$B$1003,"AIR",$C$4:$C$1003,F563,$E$4:$E$1003,"AIR",$F$4:$F$1003,C563,$M$4:$M$1003,"&lt;&gt;Superseded")&gt;0),"Dependency cycle (A↔B) — review",IF(AND(B563="AIR",OR(E563="MOD",E563="DATA",E563="IF",E563="AG",E563="TOOL"),IFERROR(INDEX(Components!$G$4:$G$253,MATCH(F563,Components!$A$4:$A$253,0)),"")&lt;&gt;"",IFERROR(INDEX(Components!$G$4:$G$253,MATCH(F563,Components!$A$4:$A$253,0)),"")&lt;&gt;C563),"Component owned by another AIR-ID",IF(AND(M563="Confirmed",OR(IF(B563="UC",COUNTIFS('Use cases'!$A$4:$A$253,C563,'Use cases'!$I$4:$I$253,"Confirmed",'Use cases'!$J$4:$J$253,"OK — verify source"),IF(B563="CAP",COUNTIFS(Capabilities!$A$4:$A$253,C563,Capabilities!$J$4:$J$253,"Confirmed",Capabilities!$K$4:$K$253,"OK — verify source"),IF(B563="AIR",COUNTIFS('System map'!$A$4:$A$203,C563,'System map'!$B$4:$B$203,"&lt;&gt;",'System map'!$C$4:$C$203,"&lt;&gt;",'System map'!$D$4:$D$203,"&lt;&gt;"),COUNTIFS(Components!$A$4:$A$253,C563,Components!$B$4:$B$253,B563,Components!$K$4:$K$253,"Confirmed",Components!$L$4:$L$253,"OK — verify source"))))&lt;&gt;1,IF(E563="UC",COUNTIFS('Use cases'!$A$4:$A$253,F563,'Use cases'!$I$4:$I$253,"Confirmed",'Use cases'!$J$4:$J$253,"OK — verify source"),IF(E563="CAP",COUNTIFS(Capabilities!$A$4:$A$253,F563,Capabilities!$J$4:$J$253,"Confirmed",Capabilities!$K$4:$K$253,"OK — verify source"),IF(E563="AIR",COUNTIFS('System map'!$A$4:$A$203,F563,'System map'!$B$4:$B$203,"&lt;&gt;",'System map'!$C$4:$C$203,"&lt;&gt;",'System map'!$D$4:$D$203,"&lt;&gt;"),COUNTIFS(Components!$A$4:$A$253,F563,Components!$B$4:$B$253,E563,Components!$K$4:$K$253,"Confirmed",Components!$L$4:$L$253,"OK — verify source"))))&lt;&gt;1)),"Endpoint not source-reconciled",IF(AND(M563="Confirmed",OR(L563="",K563="",K563="Unknown",K563="Low")),"Confirmed link lacks verification","OK — verify source"))))))))))))))</f>
        <v/>
      </c>
    </row>
    <row r="5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6" t="n"/>
      <c r="M564" s="25" t="n"/>
      <c r="N564" s="25">
        <f>IF(COUNTA(A564:M564)=0,"",IF(OR(A564="",B564="",C564="",D564="",E564="",F564="",I564="",J564="",K564="",M564=""),"Required link detail missing",IF(COUNTIF($A$4:$A$1003,A564)&gt;1,"Duplicate Map Edge ID",IF(NOT(OR(AND(B564="UC",E564="CAP",D564="requires"),AND(B564="CAP",E564="AIR",D564="provided by"),AND(B564="AIR",OR(E564="MOD",E564="DATA",E564="IF",E564="AG",E564="TOOL"),D564="references"),AND(B564="AIR",E564="AIR",D564="depends on"))),"Invalid relationship",IF(AND(M564&lt;&gt;"Superseded",COUNTIFS($B$4:$B$1003,B564,$C$4:$C$1003,C564,$D$4:$D$1003,D564,$E$4:$E$1003,E564,$F$4:$F$1003,F564,$G$4:$G$1003,G564,$M$4:$M$1003,"&lt;&gt;Superseded")&gt;1),"Duplicate relationship",IF(OR(IF(B564="UC",COUNTIF('Use cases'!$A$4:$A$253,C564),IF(B564="CAP",COUNTIF(Capabilities!$A$4:$A$253,C564),IF(B564="AIR",COUNTIF('System map'!$A$4:$A$203,C564),COUNTIFS(Components!$A$4:$A$253,C564,Components!$B$4:$B$253,B564))))&lt;&gt;1,IF(E564="UC",COUNTIF('Use cases'!$A$4:$A$253,F564),IF(E564="CAP",COUNTIF(Capabilities!$A$4:$A$253,F564),IF(E564="AIR",COUNTIF('System map'!$A$4:$A$203,F564),COUNTIFS(Components!$A$4:$A$253,F564,Components!$B$4:$B$253,E564))))&lt;&gt;1),"Endpoint missing or duplicated",IF(AND(NOT(AND(B564="UC",E564="CAP")),OR(G564="",COUNTIF('System map'!$A$4:$A$203,G564)&lt;&gt;1)),"AIR context missing / unknown",IF(AND(B564="CAP",E564="AIR",G564&lt;&gt;F564),"AIR context mismatch",IF(AND(B564="AIR",G564&lt;&gt;C564),"AIR context mismatch",IF(AND(B564="AIR",E564="AIR",C564=F564),"Self-dependency",IF(AND(B564="AIR",E564="AIR",M564&lt;&gt;"Superseded",COUNTIFS($B$4:$B$1003,"AIR",$C$4:$C$1003,F564,$E$4:$E$1003,"AIR",$F$4:$F$1003,C564,$M$4:$M$1003,"&lt;&gt;Superseded")&gt;0),"Dependency cycle (A↔B) — review",IF(AND(B564="AIR",OR(E564="MOD",E564="DATA",E564="IF",E564="AG",E564="TOOL"),IFERROR(INDEX(Components!$G$4:$G$253,MATCH(F564,Components!$A$4:$A$253,0)),"")&lt;&gt;"",IFERROR(INDEX(Components!$G$4:$G$253,MATCH(F564,Components!$A$4:$A$253,0)),"")&lt;&gt;C564),"Component owned by another AIR-ID",IF(AND(M564="Confirmed",OR(IF(B564="UC",COUNTIFS('Use cases'!$A$4:$A$253,C564,'Use cases'!$I$4:$I$253,"Confirmed",'Use cases'!$J$4:$J$253,"OK — verify source"),IF(B564="CAP",COUNTIFS(Capabilities!$A$4:$A$253,C564,Capabilities!$J$4:$J$253,"Confirmed",Capabilities!$K$4:$K$253,"OK — verify source"),IF(B564="AIR",COUNTIFS('System map'!$A$4:$A$203,C564,'System map'!$B$4:$B$203,"&lt;&gt;",'System map'!$C$4:$C$203,"&lt;&gt;",'System map'!$D$4:$D$203,"&lt;&gt;"),COUNTIFS(Components!$A$4:$A$253,C564,Components!$B$4:$B$253,B564,Components!$K$4:$K$253,"Confirmed",Components!$L$4:$L$253,"OK — verify source"))))&lt;&gt;1,IF(E564="UC",COUNTIFS('Use cases'!$A$4:$A$253,F564,'Use cases'!$I$4:$I$253,"Confirmed",'Use cases'!$J$4:$J$253,"OK — verify source"),IF(E564="CAP",COUNTIFS(Capabilities!$A$4:$A$253,F564,Capabilities!$J$4:$J$253,"Confirmed",Capabilities!$K$4:$K$253,"OK — verify source"),IF(E564="AIR",COUNTIFS('System map'!$A$4:$A$203,F564,'System map'!$B$4:$B$203,"&lt;&gt;",'System map'!$C$4:$C$203,"&lt;&gt;",'System map'!$D$4:$D$203,"&lt;&gt;"),COUNTIFS(Components!$A$4:$A$253,F564,Components!$B$4:$B$253,E564,Components!$K$4:$K$253,"Confirmed",Components!$L$4:$L$253,"OK — verify source"))))&lt;&gt;1)),"Endpoint not source-reconciled",IF(AND(M564="Confirmed",OR(L564="",K564="",K564="Unknown",K564="Low")),"Confirmed link lacks verification","OK — verify source"))))))))))))))</f>
        <v/>
      </c>
    </row>
    <row r="565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8" t="n"/>
      <c r="M565" s="27" t="n"/>
      <c r="N565" s="27">
        <f>IF(COUNTA(A565:M565)=0,"",IF(OR(A565="",B565="",C565="",D565="",E565="",F565="",I565="",J565="",K565="",M565=""),"Required link detail missing",IF(COUNTIF($A$4:$A$1003,A565)&gt;1,"Duplicate Map Edge ID",IF(NOT(OR(AND(B565="UC",E565="CAP",D565="requires"),AND(B565="CAP",E565="AIR",D565="provided by"),AND(B565="AIR",OR(E565="MOD",E565="DATA",E565="IF",E565="AG",E565="TOOL"),D565="references"),AND(B565="AIR",E565="AIR",D565="depends on"))),"Invalid relationship",IF(AND(M565&lt;&gt;"Superseded",COUNTIFS($B$4:$B$1003,B565,$C$4:$C$1003,C565,$D$4:$D$1003,D565,$E$4:$E$1003,E565,$F$4:$F$1003,F565,$G$4:$G$1003,G565,$M$4:$M$1003,"&lt;&gt;Superseded")&gt;1),"Duplicate relationship",IF(OR(IF(B565="UC",COUNTIF('Use cases'!$A$4:$A$253,C565),IF(B565="CAP",COUNTIF(Capabilities!$A$4:$A$253,C565),IF(B565="AIR",COUNTIF('System map'!$A$4:$A$203,C565),COUNTIFS(Components!$A$4:$A$253,C565,Components!$B$4:$B$253,B565))))&lt;&gt;1,IF(E565="UC",COUNTIF('Use cases'!$A$4:$A$253,F565),IF(E565="CAP",COUNTIF(Capabilities!$A$4:$A$253,F565),IF(E565="AIR",COUNTIF('System map'!$A$4:$A$203,F565),COUNTIFS(Components!$A$4:$A$253,F565,Components!$B$4:$B$253,E565))))&lt;&gt;1),"Endpoint missing or duplicated",IF(AND(NOT(AND(B565="UC",E565="CAP")),OR(G565="",COUNTIF('System map'!$A$4:$A$203,G565)&lt;&gt;1)),"AIR context missing / unknown",IF(AND(B565="CAP",E565="AIR",G565&lt;&gt;F565),"AIR context mismatch",IF(AND(B565="AIR",G565&lt;&gt;C565),"AIR context mismatch",IF(AND(B565="AIR",E565="AIR",C565=F565),"Self-dependency",IF(AND(B565="AIR",E565="AIR",M565&lt;&gt;"Superseded",COUNTIFS($B$4:$B$1003,"AIR",$C$4:$C$1003,F565,$E$4:$E$1003,"AIR",$F$4:$F$1003,C565,$M$4:$M$1003,"&lt;&gt;Superseded")&gt;0),"Dependency cycle (A↔B) — review",IF(AND(B565="AIR",OR(E565="MOD",E565="DATA",E565="IF",E565="AG",E565="TOOL"),IFERROR(INDEX(Components!$G$4:$G$253,MATCH(F565,Components!$A$4:$A$253,0)),"")&lt;&gt;"",IFERROR(INDEX(Components!$G$4:$G$253,MATCH(F565,Components!$A$4:$A$253,0)),"")&lt;&gt;C565),"Component owned by another AIR-ID",IF(AND(M565="Confirmed",OR(IF(B565="UC",COUNTIFS('Use cases'!$A$4:$A$253,C565,'Use cases'!$I$4:$I$253,"Confirmed",'Use cases'!$J$4:$J$253,"OK — verify source"),IF(B565="CAP",COUNTIFS(Capabilities!$A$4:$A$253,C565,Capabilities!$J$4:$J$253,"Confirmed",Capabilities!$K$4:$K$253,"OK — verify source"),IF(B565="AIR",COUNTIFS('System map'!$A$4:$A$203,C565,'System map'!$B$4:$B$203,"&lt;&gt;",'System map'!$C$4:$C$203,"&lt;&gt;",'System map'!$D$4:$D$203,"&lt;&gt;"),COUNTIFS(Components!$A$4:$A$253,C565,Components!$B$4:$B$253,B565,Components!$K$4:$K$253,"Confirmed",Components!$L$4:$L$253,"OK — verify source"))))&lt;&gt;1,IF(E565="UC",COUNTIFS('Use cases'!$A$4:$A$253,F565,'Use cases'!$I$4:$I$253,"Confirmed",'Use cases'!$J$4:$J$253,"OK — verify source"),IF(E565="CAP",COUNTIFS(Capabilities!$A$4:$A$253,F565,Capabilities!$J$4:$J$253,"Confirmed",Capabilities!$K$4:$K$253,"OK — verify source"),IF(E565="AIR",COUNTIFS('System map'!$A$4:$A$203,F565,'System map'!$B$4:$B$203,"&lt;&gt;",'System map'!$C$4:$C$203,"&lt;&gt;",'System map'!$D$4:$D$203,"&lt;&gt;"),COUNTIFS(Components!$A$4:$A$253,F565,Components!$B$4:$B$253,E565,Components!$K$4:$K$253,"Confirmed",Components!$L$4:$L$253,"OK — verify source"))))&lt;&gt;1)),"Endpoint not source-reconciled",IF(AND(M565="Confirmed",OR(L565="",K565="",K565="Unknown",K565="Low")),"Confirmed link lacks verification","OK — verify source"))))))))))))))</f>
        <v/>
      </c>
    </row>
    <row r="566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6" t="n"/>
      <c r="M566" s="25" t="n"/>
      <c r="N566" s="25">
        <f>IF(COUNTA(A566:M566)=0,"",IF(OR(A566="",B566="",C566="",D566="",E566="",F566="",I566="",J566="",K566="",M566=""),"Required link detail missing",IF(COUNTIF($A$4:$A$1003,A566)&gt;1,"Duplicate Map Edge ID",IF(NOT(OR(AND(B566="UC",E566="CAP",D566="requires"),AND(B566="CAP",E566="AIR",D566="provided by"),AND(B566="AIR",OR(E566="MOD",E566="DATA",E566="IF",E566="AG",E566="TOOL"),D566="references"),AND(B566="AIR",E566="AIR",D566="depends on"))),"Invalid relationship",IF(AND(M566&lt;&gt;"Superseded",COUNTIFS($B$4:$B$1003,B566,$C$4:$C$1003,C566,$D$4:$D$1003,D566,$E$4:$E$1003,E566,$F$4:$F$1003,F566,$G$4:$G$1003,G566,$M$4:$M$1003,"&lt;&gt;Superseded")&gt;1),"Duplicate relationship",IF(OR(IF(B566="UC",COUNTIF('Use cases'!$A$4:$A$253,C566),IF(B566="CAP",COUNTIF(Capabilities!$A$4:$A$253,C566),IF(B566="AIR",COUNTIF('System map'!$A$4:$A$203,C566),COUNTIFS(Components!$A$4:$A$253,C566,Components!$B$4:$B$253,B566))))&lt;&gt;1,IF(E566="UC",COUNTIF('Use cases'!$A$4:$A$253,F566),IF(E566="CAP",COUNTIF(Capabilities!$A$4:$A$253,F566),IF(E566="AIR",COUNTIF('System map'!$A$4:$A$203,F566),COUNTIFS(Components!$A$4:$A$253,F566,Components!$B$4:$B$253,E566))))&lt;&gt;1),"Endpoint missing or duplicated",IF(AND(NOT(AND(B566="UC",E566="CAP")),OR(G566="",COUNTIF('System map'!$A$4:$A$203,G566)&lt;&gt;1)),"AIR context missing / unknown",IF(AND(B566="CAP",E566="AIR",G566&lt;&gt;F566),"AIR context mismatch",IF(AND(B566="AIR",G566&lt;&gt;C566),"AIR context mismatch",IF(AND(B566="AIR",E566="AIR",C566=F566),"Self-dependency",IF(AND(B566="AIR",E566="AIR",M566&lt;&gt;"Superseded",COUNTIFS($B$4:$B$1003,"AIR",$C$4:$C$1003,F566,$E$4:$E$1003,"AIR",$F$4:$F$1003,C566,$M$4:$M$1003,"&lt;&gt;Superseded")&gt;0),"Dependency cycle (A↔B) — review",IF(AND(B566="AIR",OR(E566="MOD",E566="DATA",E566="IF",E566="AG",E566="TOOL"),IFERROR(INDEX(Components!$G$4:$G$253,MATCH(F566,Components!$A$4:$A$253,0)),"")&lt;&gt;"",IFERROR(INDEX(Components!$G$4:$G$253,MATCH(F566,Components!$A$4:$A$253,0)),"")&lt;&gt;C566),"Component owned by another AIR-ID",IF(AND(M566="Confirmed",OR(IF(B566="UC",COUNTIFS('Use cases'!$A$4:$A$253,C566,'Use cases'!$I$4:$I$253,"Confirmed",'Use cases'!$J$4:$J$253,"OK — verify source"),IF(B566="CAP",COUNTIFS(Capabilities!$A$4:$A$253,C566,Capabilities!$J$4:$J$253,"Confirmed",Capabilities!$K$4:$K$253,"OK — verify source"),IF(B566="AIR",COUNTIFS('System map'!$A$4:$A$203,C566,'System map'!$B$4:$B$203,"&lt;&gt;",'System map'!$C$4:$C$203,"&lt;&gt;",'System map'!$D$4:$D$203,"&lt;&gt;"),COUNTIFS(Components!$A$4:$A$253,C566,Components!$B$4:$B$253,B566,Components!$K$4:$K$253,"Confirmed",Components!$L$4:$L$253,"OK — verify source"))))&lt;&gt;1,IF(E566="UC",COUNTIFS('Use cases'!$A$4:$A$253,F566,'Use cases'!$I$4:$I$253,"Confirmed",'Use cases'!$J$4:$J$253,"OK — verify source"),IF(E566="CAP",COUNTIFS(Capabilities!$A$4:$A$253,F566,Capabilities!$J$4:$J$253,"Confirmed",Capabilities!$K$4:$K$253,"OK — verify source"),IF(E566="AIR",COUNTIFS('System map'!$A$4:$A$203,F566,'System map'!$B$4:$B$203,"&lt;&gt;",'System map'!$C$4:$C$203,"&lt;&gt;",'System map'!$D$4:$D$203,"&lt;&gt;"),COUNTIFS(Components!$A$4:$A$253,F566,Components!$B$4:$B$253,E566,Components!$K$4:$K$253,"Confirmed",Components!$L$4:$L$253,"OK — verify source"))))&lt;&gt;1)),"Endpoint not source-reconciled",IF(AND(M566="Confirmed",OR(L566="",K566="",K566="Unknown",K566="Low")),"Confirmed link lacks verification","OK — verify source"))))))))))))))</f>
        <v/>
      </c>
    </row>
    <row r="567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8" t="n"/>
      <c r="M567" s="27" t="n"/>
      <c r="N567" s="27">
        <f>IF(COUNTA(A567:M567)=0,"",IF(OR(A567="",B567="",C567="",D567="",E567="",F567="",I567="",J567="",K567="",M567=""),"Required link detail missing",IF(COUNTIF($A$4:$A$1003,A567)&gt;1,"Duplicate Map Edge ID",IF(NOT(OR(AND(B567="UC",E567="CAP",D567="requires"),AND(B567="CAP",E567="AIR",D567="provided by"),AND(B567="AIR",OR(E567="MOD",E567="DATA",E567="IF",E567="AG",E567="TOOL"),D567="references"),AND(B567="AIR",E567="AIR",D567="depends on"))),"Invalid relationship",IF(AND(M567&lt;&gt;"Superseded",COUNTIFS($B$4:$B$1003,B567,$C$4:$C$1003,C567,$D$4:$D$1003,D567,$E$4:$E$1003,E567,$F$4:$F$1003,F567,$G$4:$G$1003,G567,$M$4:$M$1003,"&lt;&gt;Superseded")&gt;1),"Duplicate relationship",IF(OR(IF(B567="UC",COUNTIF('Use cases'!$A$4:$A$253,C567),IF(B567="CAP",COUNTIF(Capabilities!$A$4:$A$253,C567),IF(B567="AIR",COUNTIF('System map'!$A$4:$A$203,C567),COUNTIFS(Components!$A$4:$A$253,C567,Components!$B$4:$B$253,B567))))&lt;&gt;1,IF(E567="UC",COUNTIF('Use cases'!$A$4:$A$253,F567),IF(E567="CAP",COUNTIF(Capabilities!$A$4:$A$253,F567),IF(E567="AIR",COUNTIF('System map'!$A$4:$A$203,F567),COUNTIFS(Components!$A$4:$A$253,F567,Components!$B$4:$B$253,E567))))&lt;&gt;1),"Endpoint missing or duplicated",IF(AND(NOT(AND(B567="UC",E567="CAP")),OR(G567="",COUNTIF('System map'!$A$4:$A$203,G567)&lt;&gt;1)),"AIR context missing / unknown",IF(AND(B567="CAP",E567="AIR",G567&lt;&gt;F567),"AIR context mismatch",IF(AND(B567="AIR",G567&lt;&gt;C567),"AIR context mismatch",IF(AND(B567="AIR",E567="AIR",C567=F567),"Self-dependency",IF(AND(B567="AIR",E567="AIR",M567&lt;&gt;"Superseded",COUNTIFS($B$4:$B$1003,"AIR",$C$4:$C$1003,F567,$E$4:$E$1003,"AIR",$F$4:$F$1003,C567,$M$4:$M$1003,"&lt;&gt;Superseded")&gt;0),"Dependency cycle (A↔B) — review",IF(AND(B567="AIR",OR(E567="MOD",E567="DATA",E567="IF",E567="AG",E567="TOOL"),IFERROR(INDEX(Components!$G$4:$G$253,MATCH(F567,Components!$A$4:$A$253,0)),"")&lt;&gt;"",IFERROR(INDEX(Components!$G$4:$G$253,MATCH(F567,Components!$A$4:$A$253,0)),"")&lt;&gt;C567),"Component owned by another AIR-ID",IF(AND(M567="Confirmed",OR(IF(B567="UC",COUNTIFS('Use cases'!$A$4:$A$253,C567,'Use cases'!$I$4:$I$253,"Confirmed",'Use cases'!$J$4:$J$253,"OK — verify source"),IF(B567="CAP",COUNTIFS(Capabilities!$A$4:$A$253,C567,Capabilities!$J$4:$J$253,"Confirmed",Capabilities!$K$4:$K$253,"OK — verify source"),IF(B567="AIR",COUNTIFS('System map'!$A$4:$A$203,C567,'System map'!$B$4:$B$203,"&lt;&gt;",'System map'!$C$4:$C$203,"&lt;&gt;",'System map'!$D$4:$D$203,"&lt;&gt;"),COUNTIFS(Components!$A$4:$A$253,C567,Components!$B$4:$B$253,B567,Components!$K$4:$K$253,"Confirmed",Components!$L$4:$L$253,"OK — verify source"))))&lt;&gt;1,IF(E567="UC",COUNTIFS('Use cases'!$A$4:$A$253,F567,'Use cases'!$I$4:$I$253,"Confirmed",'Use cases'!$J$4:$J$253,"OK — verify source"),IF(E567="CAP",COUNTIFS(Capabilities!$A$4:$A$253,F567,Capabilities!$J$4:$J$253,"Confirmed",Capabilities!$K$4:$K$253,"OK — verify source"),IF(E567="AIR",COUNTIFS('System map'!$A$4:$A$203,F567,'System map'!$B$4:$B$203,"&lt;&gt;",'System map'!$C$4:$C$203,"&lt;&gt;",'System map'!$D$4:$D$203,"&lt;&gt;"),COUNTIFS(Components!$A$4:$A$253,F567,Components!$B$4:$B$253,E567,Components!$K$4:$K$253,"Confirmed",Components!$L$4:$L$253,"OK — verify source"))))&lt;&gt;1)),"Endpoint not source-reconciled",IF(AND(M567="Confirmed",OR(L567="",K567="",K567="Unknown",K567="Low")),"Confirmed link lacks verification","OK — verify source"))))))))))))))</f>
        <v/>
      </c>
    </row>
    <row r="568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6" t="n"/>
      <c r="M568" s="25" t="n"/>
      <c r="N568" s="25">
        <f>IF(COUNTA(A568:M568)=0,"",IF(OR(A568="",B568="",C568="",D568="",E568="",F568="",I568="",J568="",K568="",M568=""),"Required link detail missing",IF(COUNTIF($A$4:$A$1003,A568)&gt;1,"Duplicate Map Edge ID",IF(NOT(OR(AND(B568="UC",E568="CAP",D568="requires"),AND(B568="CAP",E568="AIR",D568="provided by"),AND(B568="AIR",OR(E568="MOD",E568="DATA",E568="IF",E568="AG",E568="TOOL"),D568="references"),AND(B568="AIR",E568="AIR",D568="depends on"))),"Invalid relationship",IF(AND(M568&lt;&gt;"Superseded",COUNTIFS($B$4:$B$1003,B568,$C$4:$C$1003,C568,$D$4:$D$1003,D568,$E$4:$E$1003,E568,$F$4:$F$1003,F568,$G$4:$G$1003,G568,$M$4:$M$1003,"&lt;&gt;Superseded")&gt;1),"Duplicate relationship",IF(OR(IF(B568="UC",COUNTIF('Use cases'!$A$4:$A$253,C568),IF(B568="CAP",COUNTIF(Capabilities!$A$4:$A$253,C568),IF(B568="AIR",COUNTIF('System map'!$A$4:$A$203,C568),COUNTIFS(Components!$A$4:$A$253,C568,Components!$B$4:$B$253,B568))))&lt;&gt;1,IF(E568="UC",COUNTIF('Use cases'!$A$4:$A$253,F568),IF(E568="CAP",COUNTIF(Capabilities!$A$4:$A$253,F568),IF(E568="AIR",COUNTIF('System map'!$A$4:$A$203,F568),COUNTIFS(Components!$A$4:$A$253,F568,Components!$B$4:$B$253,E568))))&lt;&gt;1),"Endpoint missing or duplicated",IF(AND(NOT(AND(B568="UC",E568="CAP")),OR(G568="",COUNTIF('System map'!$A$4:$A$203,G568)&lt;&gt;1)),"AIR context missing / unknown",IF(AND(B568="CAP",E568="AIR",G568&lt;&gt;F568),"AIR context mismatch",IF(AND(B568="AIR",G568&lt;&gt;C568),"AIR context mismatch",IF(AND(B568="AIR",E568="AIR",C568=F568),"Self-dependency",IF(AND(B568="AIR",E568="AIR",M568&lt;&gt;"Superseded",COUNTIFS($B$4:$B$1003,"AIR",$C$4:$C$1003,F568,$E$4:$E$1003,"AIR",$F$4:$F$1003,C568,$M$4:$M$1003,"&lt;&gt;Superseded")&gt;0),"Dependency cycle (A↔B) — review",IF(AND(B568="AIR",OR(E568="MOD",E568="DATA",E568="IF",E568="AG",E568="TOOL"),IFERROR(INDEX(Components!$G$4:$G$253,MATCH(F568,Components!$A$4:$A$253,0)),"")&lt;&gt;"",IFERROR(INDEX(Components!$G$4:$G$253,MATCH(F568,Components!$A$4:$A$253,0)),"")&lt;&gt;C568),"Component owned by another AIR-ID",IF(AND(M568="Confirmed",OR(IF(B568="UC",COUNTIFS('Use cases'!$A$4:$A$253,C568,'Use cases'!$I$4:$I$253,"Confirmed",'Use cases'!$J$4:$J$253,"OK — verify source"),IF(B568="CAP",COUNTIFS(Capabilities!$A$4:$A$253,C568,Capabilities!$J$4:$J$253,"Confirmed",Capabilities!$K$4:$K$253,"OK — verify source"),IF(B568="AIR",COUNTIFS('System map'!$A$4:$A$203,C568,'System map'!$B$4:$B$203,"&lt;&gt;",'System map'!$C$4:$C$203,"&lt;&gt;",'System map'!$D$4:$D$203,"&lt;&gt;"),COUNTIFS(Components!$A$4:$A$253,C568,Components!$B$4:$B$253,B568,Components!$K$4:$K$253,"Confirmed",Components!$L$4:$L$253,"OK — verify source"))))&lt;&gt;1,IF(E568="UC",COUNTIFS('Use cases'!$A$4:$A$253,F568,'Use cases'!$I$4:$I$253,"Confirmed",'Use cases'!$J$4:$J$253,"OK — verify source"),IF(E568="CAP",COUNTIFS(Capabilities!$A$4:$A$253,F568,Capabilities!$J$4:$J$253,"Confirmed",Capabilities!$K$4:$K$253,"OK — verify source"),IF(E568="AIR",COUNTIFS('System map'!$A$4:$A$203,F568,'System map'!$B$4:$B$203,"&lt;&gt;",'System map'!$C$4:$C$203,"&lt;&gt;",'System map'!$D$4:$D$203,"&lt;&gt;"),COUNTIFS(Components!$A$4:$A$253,F568,Components!$B$4:$B$253,E568,Components!$K$4:$K$253,"Confirmed",Components!$L$4:$L$253,"OK — verify source"))))&lt;&gt;1)),"Endpoint not source-reconciled",IF(AND(M568="Confirmed",OR(L568="",K568="",K568="Unknown",K568="Low")),"Confirmed link lacks verification","OK — verify source"))))))))))))))</f>
        <v/>
      </c>
    </row>
    <row r="569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8" t="n"/>
      <c r="M569" s="27" t="n"/>
      <c r="N569" s="27">
        <f>IF(COUNTA(A569:M569)=0,"",IF(OR(A569="",B569="",C569="",D569="",E569="",F569="",I569="",J569="",K569="",M569=""),"Required link detail missing",IF(COUNTIF($A$4:$A$1003,A569)&gt;1,"Duplicate Map Edge ID",IF(NOT(OR(AND(B569="UC",E569="CAP",D569="requires"),AND(B569="CAP",E569="AIR",D569="provided by"),AND(B569="AIR",OR(E569="MOD",E569="DATA",E569="IF",E569="AG",E569="TOOL"),D569="references"),AND(B569="AIR",E569="AIR",D569="depends on"))),"Invalid relationship",IF(AND(M569&lt;&gt;"Superseded",COUNTIFS($B$4:$B$1003,B569,$C$4:$C$1003,C569,$D$4:$D$1003,D569,$E$4:$E$1003,E569,$F$4:$F$1003,F569,$G$4:$G$1003,G569,$M$4:$M$1003,"&lt;&gt;Superseded")&gt;1),"Duplicate relationship",IF(OR(IF(B569="UC",COUNTIF('Use cases'!$A$4:$A$253,C569),IF(B569="CAP",COUNTIF(Capabilities!$A$4:$A$253,C569),IF(B569="AIR",COUNTIF('System map'!$A$4:$A$203,C569),COUNTIFS(Components!$A$4:$A$253,C569,Components!$B$4:$B$253,B569))))&lt;&gt;1,IF(E569="UC",COUNTIF('Use cases'!$A$4:$A$253,F569),IF(E569="CAP",COUNTIF(Capabilities!$A$4:$A$253,F569),IF(E569="AIR",COUNTIF('System map'!$A$4:$A$203,F569),COUNTIFS(Components!$A$4:$A$253,F569,Components!$B$4:$B$253,E569))))&lt;&gt;1),"Endpoint missing or duplicated",IF(AND(NOT(AND(B569="UC",E569="CAP")),OR(G569="",COUNTIF('System map'!$A$4:$A$203,G569)&lt;&gt;1)),"AIR context missing / unknown",IF(AND(B569="CAP",E569="AIR",G569&lt;&gt;F569),"AIR context mismatch",IF(AND(B569="AIR",G569&lt;&gt;C569),"AIR context mismatch",IF(AND(B569="AIR",E569="AIR",C569=F569),"Self-dependency",IF(AND(B569="AIR",E569="AIR",M569&lt;&gt;"Superseded",COUNTIFS($B$4:$B$1003,"AIR",$C$4:$C$1003,F569,$E$4:$E$1003,"AIR",$F$4:$F$1003,C569,$M$4:$M$1003,"&lt;&gt;Superseded")&gt;0),"Dependency cycle (A↔B) — review",IF(AND(B569="AIR",OR(E569="MOD",E569="DATA",E569="IF",E569="AG",E569="TOOL"),IFERROR(INDEX(Components!$G$4:$G$253,MATCH(F569,Components!$A$4:$A$253,0)),"")&lt;&gt;"",IFERROR(INDEX(Components!$G$4:$G$253,MATCH(F569,Components!$A$4:$A$253,0)),"")&lt;&gt;C569),"Component owned by another AIR-ID",IF(AND(M569="Confirmed",OR(IF(B569="UC",COUNTIFS('Use cases'!$A$4:$A$253,C569,'Use cases'!$I$4:$I$253,"Confirmed",'Use cases'!$J$4:$J$253,"OK — verify source"),IF(B569="CAP",COUNTIFS(Capabilities!$A$4:$A$253,C569,Capabilities!$J$4:$J$253,"Confirmed",Capabilities!$K$4:$K$253,"OK — verify source"),IF(B569="AIR",COUNTIFS('System map'!$A$4:$A$203,C569,'System map'!$B$4:$B$203,"&lt;&gt;",'System map'!$C$4:$C$203,"&lt;&gt;",'System map'!$D$4:$D$203,"&lt;&gt;"),COUNTIFS(Components!$A$4:$A$253,C569,Components!$B$4:$B$253,B569,Components!$K$4:$K$253,"Confirmed",Components!$L$4:$L$253,"OK — verify source"))))&lt;&gt;1,IF(E569="UC",COUNTIFS('Use cases'!$A$4:$A$253,F569,'Use cases'!$I$4:$I$253,"Confirmed",'Use cases'!$J$4:$J$253,"OK — verify source"),IF(E569="CAP",COUNTIFS(Capabilities!$A$4:$A$253,F569,Capabilities!$J$4:$J$253,"Confirmed",Capabilities!$K$4:$K$253,"OK — verify source"),IF(E569="AIR",COUNTIFS('System map'!$A$4:$A$203,F569,'System map'!$B$4:$B$203,"&lt;&gt;",'System map'!$C$4:$C$203,"&lt;&gt;",'System map'!$D$4:$D$203,"&lt;&gt;"),COUNTIFS(Components!$A$4:$A$253,F569,Components!$B$4:$B$253,E569,Components!$K$4:$K$253,"Confirmed",Components!$L$4:$L$253,"OK — verify source"))))&lt;&gt;1)),"Endpoint not source-reconciled",IF(AND(M569="Confirmed",OR(L569="",K569="",K569="Unknown",K569="Low")),"Confirmed link lacks verification","OK — verify source"))))))))))))))</f>
        <v/>
      </c>
    </row>
    <row r="570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6" t="n"/>
      <c r="M570" s="25" t="n"/>
      <c r="N570" s="25">
        <f>IF(COUNTA(A570:M570)=0,"",IF(OR(A570="",B570="",C570="",D570="",E570="",F570="",I570="",J570="",K570="",M570=""),"Required link detail missing",IF(COUNTIF($A$4:$A$1003,A570)&gt;1,"Duplicate Map Edge ID",IF(NOT(OR(AND(B570="UC",E570="CAP",D570="requires"),AND(B570="CAP",E570="AIR",D570="provided by"),AND(B570="AIR",OR(E570="MOD",E570="DATA",E570="IF",E570="AG",E570="TOOL"),D570="references"),AND(B570="AIR",E570="AIR",D570="depends on"))),"Invalid relationship",IF(AND(M570&lt;&gt;"Superseded",COUNTIFS($B$4:$B$1003,B570,$C$4:$C$1003,C570,$D$4:$D$1003,D570,$E$4:$E$1003,E570,$F$4:$F$1003,F570,$G$4:$G$1003,G570,$M$4:$M$1003,"&lt;&gt;Superseded")&gt;1),"Duplicate relationship",IF(OR(IF(B570="UC",COUNTIF('Use cases'!$A$4:$A$253,C570),IF(B570="CAP",COUNTIF(Capabilities!$A$4:$A$253,C570),IF(B570="AIR",COUNTIF('System map'!$A$4:$A$203,C570),COUNTIFS(Components!$A$4:$A$253,C570,Components!$B$4:$B$253,B570))))&lt;&gt;1,IF(E570="UC",COUNTIF('Use cases'!$A$4:$A$253,F570),IF(E570="CAP",COUNTIF(Capabilities!$A$4:$A$253,F570),IF(E570="AIR",COUNTIF('System map'!$A$4:$A$203,F570),COUNTIFS(Components!$A$4:$A$253,F570,Components!$B$4:$B$253,E570))))&lt;&gt;1),"Endpoint missing or duplicated",IF(AND(NOT(AND(B570="UC",E570="CAP")),OR(G570="",COUNTIF('System map'!$A$4:$A$203,G570)&lt;&gt;1)),"AIR context missing / unknown",IF(AND(B570="CAP",E570="AIR",G570&lt;&gt;F570),"AIR context mismatch",IF(AND(B570="AIR",G570&lt;&gt;C570),"AIR context mismatch",IF(AND(B570="AIR",E570="AIR",C570=F570),"Self-dependency",IF(AND(B570="AIR",E570="AIR",M570&lt;&gt;"Superseded",COUNTIFS($B$4:$B$1003,"AIR",$C$4:$C$1003,F570,$E$4:$E$1003,"AIR",$F$4:$F$1003,C570,$M$4:$M$1003,"&lt;&gt;Superseded")&gt;0),"Dependency cycle (A↔B) — review",IF(AND(B570="AIR",OR(E570="MOD",E570="DATA",E570="IF",E570="AG",E570="TOOL"),IFERROR(INDEX(Components!$G$4:$G$253,MATCH(F570,Components!$A$4:$A$253,0)),"")&lt;&gt;"",IFERROR(INDEX(Components!$G$4:$G$253,MATCH(F570,Components!$A$4:$A$253,0)),"")&lt;&gt;C570),"Component owned by another AIR-ID",IF(AND(M570="Confirmed",OR(IF(B570="UC",COUNTIFS('Use cases'!$A$4:$A$253,C570,'Use cases'!$I$4:$I$253,"Confirmed",'Use cases'!$J$4:$J$253,"OK — verify source"),IF(B570="CAP",COUNTIFS(Capabilities!$A$4:$A$253,C570,Capabilities!$J$4:$J$253,"Confirmed",Capabilities!$K$4:$K$253,"OK — verify source"),IF(B570="AIR",COUNTIFS('System map'!$A$4:$A$203,C570,'System map'!$B$4:$B$203,"&lt;&gt;",'System map'!$C$4:$C$203,"&lt;&gt;",'System map'!$D$4:$D$203,"&lt;&gt;"),COUNTIFS(Components!$A$4:$A$253,C570,Components!$B$4:$B$253,B570,Components!$K$4:$K$253,"Confirmed",Components!$L$4:$L$253,"OK — verify source"))))&lt;&gt;1,IF(E570="UC",COUNTIFS('Use cases'!$A$4:$A$253,F570,'Use cases'!$I$4:$I$253,"Confirmed",'Use cases'!$J$4:$J$253,"OK — verify source"),IF(E570="CAP",COUNTIFS(Capabilities!$A$4:$A$253,F570,Capabilities!$J$4:$J$253,"Confirmed",Capabilities!$K$4:$K$253,"OK — verify source"),IF(E570="AIR",COUNTIFS('System map'!$A$4:$A$203,F570,'System map'!$B$4:$B$203,"&lt;&gt;",'System map'!$C$4:$C$203,"&lt;&gt;",'System map'!$D$4:$D$203,"&lt;&gt;"),COUNTIFS(Components!$A$4:$A$253,F570,Components!$B$4:$B$253,E570,Components!$K$4:$K$253,"Confirmed",Components!$L$4:$L$253,"OK — verify source"))))&lt;&gt;1)),"Endpoint not source-reconciled",IF(AND(M570="Confirmed",OR(L570="",K570="",K570="Unknown",K570="Low")),"Confirmed link lacks verification","OK — verify source"))))))))))))))</f>
        <v/>
      </c>
    </row>
    <row r="571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8" t="n"/>
      <c r="M571" s="27" t="n"/>
      <c r="N571" s="27">
        <f>IF(COUNTA(A571:M571)=0,"",IF(OR(A571="",B571="",C571="",D571="",E571="",F571="",I571="",J571="",K571="",M571=""),"Required link detail missing",IF(COUNTIF($A$4:$A$1003,A571)&gt;1,"Duplicate Map Edge ID",IF(NOT(OR(AND(B571="UC",E571="CAP",D571="requires"),AND(B571="CAP",E571="AIR",D571="provided by"),AND(B571="AIR",OR(E571="MOD",E571="DATA",E571="IF",E571="AG",E571="TOOL"),D571="references"),AND(B571="AIR",E571="AIR",D571="depends on"))),"Invalid relationship",IF(AND(M571&lt;&gt;"Superseded",COUNTIFS($B$4:$B$1003,B571,$C$4:$C$1003,C571,$D$4:$D$1003,D571,$E$4:$E$1003,E571,$F$4:$F$1003,F571,$G$4:$G$1003,G571,$M$4:$M$1003,"&lt;&gt;Superseded")&gt;1),"Duplicate relationship",IF(OR(IF(B571="UC",COUNTIF('Use cases'!$A$4:$A$253,C571),IF(B571="CAP",COUNTIF(Capabilities!$A$4:$A$253,C571),IF(B571="AIR",COUNTIF('System map'!$A$4:$A$203,C571),COUNTIFS(Components!$A$4:$A$253,C571,Components!$B$4:$B$253,B571))))&lt;&gt;1,IF(E571="UC",COUNTIF('Use cases'!$A$4:$A$253,F571),IF(E571="CAP",COUNTIF(Capabilities!$A$4:$A$253,F571),IF(E571="AIR",COUNTIF('System map'!$A$4:$A$203,F571),COUNTIFS(Components!$A$4:$A$253,F571,Components!$B$4:$B$253,E571))))&lt;&gt;1),"Endpoint missing or duplicated",IF(AND(NOT(AND(B571="UC",E571="CAP")),OR(G571="",COUNTIF('System map'!$A$4:$A$203,G571)&lt;&gt;1)),"AIR context missing / unknown",IF(AND(B571="CAP",E571="AIR",G571&lt;&gt;F571),"AIR context mismatch",IF(AND(B571="AIR",G571&lt;&gt;C571),"AIR context mismatch",IF(AND(B571="AIR",E571="AIR",C571=F571),"Self-dependency",IF(AND(B571="AIR",E571="AIR",M571&lt;&gt;"Superseded",COUNTIFS($B$4:$B$1003,"AIR",$C$4:$C$1003,F571,$E$4:$E$1003,"AIR",$F$4:$F$1003,C571,$M$4:$M$1003,"&lt;&gt;Superseded")&gt;0),"Dependency cycle (A↔B) — review",IF(AND(B571="AIR",OR(E571="MOD",E571="DATA",E571="IF",E571="AG",E571="TOOL"),IFERROR(INDEX(Components!$G$4:$G$253,MATCH(F571,Components!$A$4:$A$253,0)),"")&lt;&gt;"",IFERROR(INDEX(Components!$G$4:$G$253,MATCH(F571,Components!$A$4:$A$253,0)),"")&lt;&gt;C571),"Component owned by another AIR-ID",IF(AND(M571="Confirmed",OR(IF(B571="UC",COUNTIFS('Use cases'!$A$4:$A$253,C571,'Use cases'!$I$4:$I$253,"Confirmed",'Use cases'!$J$4:$J$253,"OK — verify source"),IF(B571="CAP",COUNTIFS(Capabilities!$A$4:$A$253,C571,Capabilities!$J$4:$J$253,"Confirmed",Capabilities!$K$4:$K$253,"OK — verify source"),IF(B571="AIR",COUNTIFS('System map'!$A$4:$A$203,C571,'System map'!$B$4:$B$203,"&lt;&gt;",'System map'!$C$4:$C$203,"&lt;&gt;",'System map'!$D$4:$D$203,"&lt;&gt;"),COUNTIFS(Components!$A$4:$A$253,C571,Components!$B$4:$B$253,B571,Components!$K$4:$K$253,"Confirmed",Components!$L$4:$L$253,"OK — verify source"))))&lt;&gt;1,IF(E571="UC",COUNTIFS('Use cases'!$A$4:$A$253,F571,'Use cases'!$I$4:$I$253,"Confirmed",'Use cases'!$J$4:$J$253,"OK — verify source"),IF(E571="CAP",COUNTIFS(Capabilities!$A$4:$A$253,F571,Capabilities!$J$4:$J$253,"Confirmed",Capabilities!$K$4:$K$253,"OK — verify source"),IF(E571="AIR",COUNTIFS('System map'!$A$4:$A$203,F571,'System map'!$B$4:$B$203,"&lt;&gt;",'System map'!$C$4:$C$203,"&lt;&gt;",'System map'!$D$4:$D$203,"&lt;&gt;"),COUNTIFS(Components!$A$4:$A$253,F571,Components!$B$4:$B$253,E571,Components!$K$4:$K$253,"Confirmed",Components!$L$4:$L$253,"OK — verify source"))))&lt;&gt;1)),"Endpoint not source-reconciled",IF(AND(M571="Confirmed",OR(L571="",K571="",K571="Unknown",K571="Low")),"Confirmed link lacks verification","OK — verify source"))))))))))))))</f>
        <v/>
      </c>
    </row>
    <row r="572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6" t="n"/>
      <c r="M572" s="25" t="n"/>
      <c r="N572" s="25">
        <f>IF(COUNTA(A572:M572)=0,"",IF(OR(A572="",B572="",C572="",D572="",E572="",F572="",I572="",J572="",K572="",M572=""),"Required link detail missing",IF(COUNTIF($A$4:$A$1003,A572)&gt;1,"Duplicate Map Edge ID",IF(NOT(OR(AND(B572="UC",E572="CAP",D572="requires"),AND(B572="CAP",E572="AIR",D572="provided by"),AND(B572="AIR",OR(E572="MOD",E572="DATA",E572="IF",E572="AG",E572="TOOL"),D572="references"),AND(B572="AIR",E572="AIR",D572="depends on"))),"Invalid relationship",IF(AND(M572&lt;&gt;"Superseded",COUNTIFS($B$4:$B$1003,B572,$C$4:$C$1003,C572,$D$4:$D$1003,D572,$E$4:$E$1003,E572,$F$4:$F$1003,F572,$G$4:$G$1003,G572,$M$4:$M$1003,"&lt;&gt;Superseded")&gt;1),"Duplicate relationship",IF(OR(IF(B572="UC",COUNTIF('Use cases'!$A$4:$A$253,C572),IF(B572="CAP",COUNTIF(Capabilities!$A$4:$A$253,C572),IF(B572="AIR",COUNTIF('System map'!$A$4:$A$203,C572),COUNTIFS(Components!$A$4:$A$253,C572,Components!$B$4:$B$253,B572))))&lt;&gt;1,IF(E572="UC",COUNTIF('Use cases'!$A$4:$A$253,F572),IF(E572="CAP",COUNTIF(Capabilities!$A$4:$A$253,F572),IF(E572="AIR",COUNTIF('System map'!$A$4:$A$203,F572),COUNTIFS(Components!$A$4:$A$253,F572,Components!$B$4:$B$253,E572))))&lt;&gt;1),"Endpoint missing or duplicated",IF(AND(NOT(AND(B572="UC",E572="CAP")),OR(G572="",COUNTIF('System map'!$A$4:$A$203,G572)&lt;&gt;1)),"AIR context missing / unknown",IF(AND(B572="CAP",E572="AIR",G572&lt;&gt;F572),"AIR context mismatch",IF(AND(B572="AIR",G572&lt;&gt;C572),"AIR context mismatch",IF(AND(B572="AIR",E572="AIR",C572=F572),"Self-dependency",IF(AND(B572="AIR",E572="AIR",M572&lt;&gt;"Superseded",COUNTIFS($B$4:$B$1003,"AIR",$C$4:$C$1003,F572,$E$4:$E$1003,"AIR",$F$4:$F$1003,C572,$M$4:$M$1003,"&lt;&gt;Superseded")&gt;0),"Dependency cycle (A↔B) — review",IF(AND(B572="AIR",OR(E572="MOD",E572="DATA",E572="IF",E572="AG",E572="TOOL"),IFERROR(INDEX(Components!$G$4:$G$253,MATCH(F572,Components!$A$4:$A$253,0)),"")&lt;&gt;"",IFERROR(INDEX(Components!$G$4:$G$253,MATCH(F572,Components!$A$4:$A$253,0)),"")&lt;&gt;C572),"Component owned by another AIR-ID",IF(AND(M572="Confirmed",OR(IF(B572="UC",COUNTIFS('Use cases'!$A$4:$A$253,C572,'Use cases'!$I$4:$I$253,"Confirmed",'Use cases'!$J$4:$J$253,"OK — verify source"),IF(B572="CAP",COUNTIFS(Capabilities!$A$4:$A$253,C572,Capabilities!$J$4:$J$253,"Confirmed",Capabilities!$K$4:$K$253,"OK — verify source"),IF(B572="AIR",COUNTIFS('System map'!$A$4:$A$203,C572,'System map'!$B$4:$B$203,"&lt;&gt;",'System map'!$C$4:$C$203,"&lt;&gt;",'System map'!$D$4:$D$203,"&lt;&gt;"),COUNTIFS(Components!$A$4:$A$253,C572,Components!$B$4:$B$253,B572,Components!$K$4:$K$253,"Confirmed",Components!$L$4:$L$253,"OK — verify source"))))&lt;&gt;1,IF(E572="UC",COUNTIFS('Use cases'!$A$4:$A$253,F572,'Use cases'!$I$4:$I$253,"Confirmed",'Use cases'!$J$4:$J$253,"OK — verify source"),IF(E572="CAP",COUNTIFS(Capabilities!$A$4:$A$253,F572,Capabilities!$J$4:$J$253,"Confirmed",Capabilities!$K$4:$K$253,"OK — verify source"),IF(E572="AIR",COUNTIFS('System map'!$A$4:$A$203,F572,'System map'!$B$4:$B$203,"&lt;&gt;",'System map'!$C$4:$C$203,"&lt;&gt;",'System map'!$D$4:$D$203,"&lt;&gt;"),COUNTIFS(Components!$A$4:$A$253,F572,Components!$B$4:$B$253,E572,Components!$K$4:$K$253,"Confirmed",Components!$L$4:$L$253,"OK — verify source"))))&lt;&gt;1)),"Endpoint not source-reconciled",IF(AND(M572="Confirmed",OR(L572="",K572="",K572="Unknown",K572="Low")),"Confirmed link lacks verification","OK — verify source"))))))))))))))</f>
        <v/>
      </c>
    </row>
    <row r="573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8" t="n"/>
      <c r="M573" s="27" t="n"/>
      <c r="N573" s="27">
        <f>IF(COUNTA(A573:M573)=0,"",IF(OR(A573="",B573="",C573="",D573="",E573="",F573="",I573="",J573="",K573="",M573=""),"Required link detail missing",IF(COUNTIF($A$4:$A$1003,A573)&gt;1,"Duplicate Map Edge ID",IF(NOT(OR(AND(B573="UC",E573="CAP",D573="requires"),AND(B573="CAP",E573="AIR",D573="provided by"),AND(B573="AIR",OR(E573="MOD",E573="DATA",E573="IF",E573="AG",E573="TOOL"),D573="references"),AND(B573="AIR",E573="AIR",D573="depends on"))),"Invalid relationship",IF(AND(M573&lt;&gt;"Superseded",COUNTIFS($B$4:$B$1003,B573,$C$4:$C$1003,C573,$D$4:$D$1003,D573,$E$4:$E$1003,E573,$F$4:$F$1003,F573,$G$4:$G$1003,G573,$M$4:$M$1003,"&lt;&gt;Superseded")&gt;1),"Duplicate relationship",IF(OR(IF(B573="UC",COUNTIF('Use cases'!$A$4:$A$253,C573),IF(B573="CAP",COUNTIF(Capabilities!$A$4:$A$253,C573),IF(B573="AIR",COUNTIF('System map'!$A$4:$A$203,C573),COUNTIFS(Components!$A$4:$A$253,C573,Components!$B$4:$B$253,B573))))&lt;&gt;1,IF(E573="UC",COUNTIF('Use cases'!$A$4:$A$253,F573),IF(E573="CAP",COUNTIF(Capabilities!$A$4:$A$253,F573),IF(E573="AIR",COUNTIF('System map'!$A$4:$A$203,F573),COUNTIFS(Components!$A$4:$A$253,F573,Components!$B$4:$B$253,E573))))&lt;&gt;1),"Endpoint missing or duplicated",IF(AND(NOT(AND(B573="UC",E573="CAP")),OR(G573="",COUNTIF('System map'!$A$4:$A$203,G573)&lt;&gt;1)),"AIR context missing / unknown",IF(AND(B573="CAP",E573="AIR",G573&lt;&gt;F573),"AIR context mismatch",IF(AND(B573="AIR",G573&lt;&gt;C573),"AIR context mismatch",IF(AND(B573="AIR",E573="AIR",C573=F573),"Self-dependency",IF(AND(B573="AIR",E573="AIR",M573&lt;&gt;"Superseded",COUNTIFS($B$4:$B$1003,"AIR",$C$4:$C$1003,F573,$E$4:$E$1003,"AIR",$F$4:$F$1003,C573,$M$4:$M$1003,"&lt;&gt;Superseded")&gt;0),"Dependency cycle (A↔B) — review",IF(AND(B573="AIR",OR(E573="MOD",E573="DATA",E573="IF",E573="AG",E573="TOOL"),IFERROR(INDEX(Components!$G$4:$G$253,MATCH(F573,Components!$A$4:$A$253,0)),"")&lt;&gt;"",IFERROR(INDEX(Components!$G$4:$G$253,MATCH(F573,Components!$A$4:$A$253,0)),"")&lt;&gt;C573),"Component owned by another AIR-ID",IF(AND(M573="Confirmed",OR(IF(B573="UC",COUNTIFS('Use cases'!$A$4:$A$253,C573,'Use cases'!$I$4:$I$253,"Confirmed",'Use cases'!$J$4:$J$253,"OK — verify source"),IF(B573="CAP",COUNTIFS(Capabilities!$A$4:$A$253,C573,Capabilities!$J$4:$J$253,"Confirmed",Capabilities!$K$4:$K$253,"OK — verify source"),IF(B573="AIR",COUNTIFS('System map'!$A$4:$A$203,C573,'System map'!$B$4:$B$203,"&lt;&gt;",'System map'!$C$4:$C$203,"&lt;&gt;",'System map'!$D$4:$D$203,"&lt;&gt;"),COUNTIFS(Components!$A$4:$A$253,C573,Components!$B$4:$B$253,B573,Components!$K$4:$K$253,"Confirmed",Components!$L$4:$L$253,"OK — verify source"))))&lt;&gt;1,IF(E573="UC",COUNTIFS('Use cases'!$A$4:$A$253,F573,'Use cases'!$I$4:$I$253,"Confirmed",'Use cases'!$J$4:$J$253,"OK — verify source"),IF(E573="CAP",COUNTIFS(Capabilities!$A$4:$A$253,F573,Capabilities!$J$4:$J$253,"Confirmed",Capabilities!$K$4:$K$253,"OK — verify source"),IF(E573="AIR",COUNTIFS('System map'!$A$4:$A$203,F573,'System map'!$B$4:$B$203,"&lt;&gt;",'System map'!$C$4:$C$203,"&lt;&gt;",'System map'!$D$4:$D$203,"&lt;&gt;"),COUNTIFS(Components!$A$4:$A$253,F573,Components!$B$4:$B$253,E573,Components!$K$4:$K$253,"Confirmed",Components!$L$4:$L$253,"OK — verify source"))))&lt;&gt;1)),"Endpoint not source-reconciled",IF(AND(M573="Confirmed",OR(L573="",K573="",K573="Unknown",K573="Low")),"Confirmed link lacks verification","OK — verify source"))))))))))))))</f>
        <v/>
      </c>
    </row>
    <row r="57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6" t="n"/>
      <c r="M574" s="25" t="n"/>
      <c r="N574" s="25">
        <f>IF(COUNTA(A574:M574)=0,"",IF(OR(A574="",B574="",C574="",D574="",E574="",F574="",I574="",J574="",K574="",M574=""),"Required link detail missing",IF(COUNTIF($A$4:$A$1003,A574)&gt;1,"Duplicate Map Edge ID",IF(NOT(OR(AND(B574="UC",E574="CAP",D574="requires"),AND(B574="CAP",E574="AIR",D574="provided by"),AND(B574="AIR",OR(E574="MOD",E574="DATA",E574="IF",E574="AG",E574="TOOL"),D574="references"),AND(B574="AIR",E574="AIR",D574="depends on"))),"Invalid relationship",IF(AND(M574&lt;&gt;"Superseded",COUNTIFS($B$4:$B$1003,B574,$C$4:$C$1003,C574,$D$4:$D$1003,D574,$E$4:$E$1003,E574,$F$4:$F$1003,F574,$G$4:$G$1003,G574,$M$4:$M$1003,"&lt;&gt;Superseded")&gt;1),"Duplicate relationship",IF(OR(IF(B574="UC",COUNTIF('Use cases'!$A$4:$A$253,C574),IF(B574="CAP",COUNTIF(Capabilities!$A$4:$A$253,C574),IF(B574="AIR",COUNTIF('System map'!$A$4:$A$203,C574),COUNTIFS(Components!$A$4:$A$253,C574,Components!$B$4:$B$253,B574))))&lt;&gt;1,IF(E574="UC",COUNTIF('Use cases'!$A$4:$A$253,F574),IF(E574="CAP",COUNTIF(Capabilities!$A$4:$A$253,F574),IF(E574="AIR",COUNTIF('System map'!$A$4:$A$203,F574),COUNTIFS(Components!$A$4:$A$253,F574,Components!$B$4:$B$253,E574))))&lt;&gt;1),"Endpoint missing or duplicated",IF(AND(NOT(AND(B574="UC",E574="CAP")),OR(G574="",COUNTIF('System map'!$A$4:$A$203,G574)&lt;&gt;1)),"AIR context missing / unknown",IF(AND(B574="CAP",E574="AIR",G574&lt;&gt;F574),"AIR context mismatch",IF(AND(B574="AIR",G574&lt;&gt;C574),"AIR context mismatch",IF(AND(B574="AIR",E574="AIR",C574=F574),"Self-dependency",IF(AND(B574="AIR",E574="AIR",M574&lt;&gt;"Superseded",COUNTIFS($B$4:$B$1003,"AIR",$C$4:$C$1003,F574,$E$4:$E$1003,"AIR",$F$4:$F$1003,C574,$M$4:$M$1003,"&lt;&gt;Superseded")&gt;0),"Dependency cycle (A↔B) — review",IF(AND(B574="AIR",OR(E574="MOD",E574="DATA",E574="IF",E574="AG",E574="TOOL"),IFERROR(INDEX(Components!$G$4:$G$253,MATCH(F574,Components!$A$4:$A$253,0)),"")&lt;&gt;"",IFERROR(INDEX(Components!$G$4:$G$253,MATCH(F574,Components!$A$4:$A$253,0)),"")&lt;&gt;C574),"Component owned by another AIR-ID",IF(AND(M574="Confirmed",OR(IF(B574="UC",COUNTIFS('Use cases'!$A$4:$A$253,C574,'Use cases'!$I$4:$I$253,"Confirmed",'Use cases'!$J$4:$J$253,"OK — verify source"),IF(B574="CAP",COUNTIFS(Capabilities!$A$4:$A$253,C574,Capabilities!$J$4:$J$253,"Confirmed",Capabilities!$K$4:$K$253,"OK — verify source"),IF(B574="AIR",COUNTIFS('System map'!$A$4:$A$203,C574,'System map'!$B$4:$B$203,"&lt;&gt;",'System map'!$C$4:$C$203,"&lt;&gt;",'System map'!$D$4:$D$203,"&lt;&gt;"),COUNTIFS(Components!$A$4:$A$253,C574,Components!$B$4:$B$253,B574,Components!$K$4:$K$253,"Confirmed",Components!$L$4:$L$253,"OK — verify source"))))&lt;&gt;1,IF(E574="UC",COUNTIFS('Use cases'!$A$4:$A$253,F574,'Use cases'!$I$4:$I$253,"Confirmed",'Use cases'!$J$4:$J$253,"OK — verify source"),IF(E574="CAP",COUNTIFS(Capabilities!$A$4:$A$253,F574,Capabilities!$J$4:$J$253,"Confirmed",Capabilities!$K$4:$K$253,"OK — verify source"),IF(E574="AIR",COUNTIFS('System map'!$A$4:$A$203,F574,'System map'!$B$4:$B$203,"&lt;&gt;",'System map'!$C$4:$C$203,"&lt;&gt;",'System map'!$D$4:$D$203,"&lt;&gt;"),COUNTIFS(Components!$A$4:$A$253,F574,Components!$B$4:$B$253,E574,Components!$K$4:$K$253,"Confirmed",Components!$L$4:$L$253,"OK — verify source"))))&lt;&gt;1)),"Endpoint not source-reconciled",IF(AND(M574="Confirmed",OR(L574="",K574="",K574="Unknown",K574="Low")),"Confirmed link lacks verification","OK — verify source"))))))))))))))</f>
        <v/>
      </c>
    </row>
    <row r="575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8" t="n"/>
      <c r="M575" s="27" t="n"/>
      <c r="N575" s="27">
        <f>IF(COUNTA(A575:M575)=0,"",IF(OR(A575="",B575="",C575="",D575="",E575="",F575="",I575="",J575="",K575="",M575=""),"Required link detail missing",IF(COUNTIF($A$4:$A$1003,A575)&gt;1,"Duplicate Map Edge ID",IF(NOT(OR(AND(B575="UC",E575="CAP",D575="requires"),AND(B575="CAP",E575="AIR",D575="provided by"),AND(B575="AIR",OR(E575="MOD",E575="DATA",E575="IF",E575="AG",E575="TOOL"),D575="references"),AND(B575="AIR",E575="AIR",D575="depends on"))),"Invalid relationship",IF(AND(M575&lt;&gt;"Superseded",COUNTIFS($B$4:$B$1003,B575,$C$4:$C$1003,C575,$D$4:$D$1003,D575,$E$4:$E$1003,E575,$F$4:$F$1003,F575,$G$4:$G$1003,G575,$M$4:$M$1003,"&lt;&gt;Superseded")&gt;1),"Duplicate relationship",IF(OR(IF(B575="UC",COUNTIF('Use cases'!$A$4:$A$253,C575),IF(B575="CAP",COUNTIF(Capabilities!$A$4:$A$253,C575),IF(B575="AIR",COUNTIF('System map'!$A$4:$A$203,C575),COUNTIFS(Components!$A$4:$A$253,C575,Components!$B$4:$B$253,B575))))&lt;&gt;1,IF(E575="UC",COUNTIF('Use cases'!$A$4:$A$253,F575),IF(E575="CAP",COUNTIF(Capabilities!$A$4:$A$253,F575),IF(E575="AIR",COUNTIF('System map'!$A$4:$A$203,F575),COUNTIFS(Components!$A$4:$A$253,F575,Components!$B$4:$B$253,E575))))&lt;&gt;1),"Endpoint missing or duplicated",IF(AND(NOT(AND(B575="UC",E575="CAP")),OR(G575="",COUNTIF('System map'!$A$4:$A$203,G575)&lt;&gt;1)),"AIR context missing / unknown",IF(AND(B575="CAP",E575="AIR",G575&lt;&gt;F575),"AIR context mismatch",IF(AND(B575="AIR",G575&lt;&gt;C575),"AIR context mismatch",IF(AND(B575="AIR",E575="AIR",C575=F575),"Self-dependency",IF(AND(B575="AIR",E575="AIR",M575&lt;&gt;"Superseded",COUNTIFS($B$4:$B$1003,"AIR",$C$4:$C$1003,F575,$E$4:$E$1003,"AIR",$F$4:$F$1003,C575,$M$4:$M$1003,"&lt;&gt;Superseded")&gt;0),"Dependency cycle (A↔B) — review",IF(AND(B575="AIR",OR(E575="MOD",E575="DATA",E575="IF",E575="AG",E575="TOOL"),IFERROR(INDEX(Components!$G$4:$G$253,MATCH(F575,Components!$A$4:$A$253,0)),"")&lt;&gt;"",IFERROR(INDEX(Components!$G$4:$G$253,MATCH(F575,Components!$A$4:$A$253,0)),"")&lt;&gt;C575),"Component owned by another AIR-ID",IF(AND(M575="Confirmed",OR(IF(B575="UC",COUNTIFS('Use cases'!$A$4:$A$253,C575,'Use cases'!$I$4:$I$253,"Confirmed",'Use cases'!$J$4:$J$253,"OK — verify source"),IF(B575="CAP",COUNTIFS(Capabilities!$A$4:$A$253,C575,Capabilities!$J$4:$J$253,"Confirmed",Capabilities!$K$4:$K$253,"OK — verify source"),IF(B575="AIR",COUNTIFS('System map'!$A$4:$A$203,C575,'System map'!$B$4:$B$203,"&lt;&gt;",'System map'!$C$4:$C$203,"&lt;&gt;",'System map'!$D$4:$D$203,"&lt;&gt;"),COUNTIFS(Components!$A$4:$A$253,C575,Components!$B$4:$B$253,B575,Components!$K$4:$K$253,"Confirmed",Components!$L$4:$L$253,"OK — verify source"))))&lt;&gt;1,IF(E575="UC",COUNTIFS('Use cases'!$A$4:$A$253,F575,'Use cases'!$I$4:$I$253,"Confirmed",'Use cases'!$J$4:$J$253,"OK — verify source"),IF(E575="CAP",COUNTIFS(Capabilities!$A$4:$A$253,F575,Capabilities!$J$4:$J$253,"Confirmed",Capabilities!$K$4:$K$253,"OK — verify source"),IF(E575="AIR",COUNTIFS('System map'!$A$4:$A$203,F575,'System map'!$B$4:$B$203,"&lt;&gt;",'System map'!$C$4:$C$203,"&lt;&gt;",'System map'!$D$4:$D$203,"&lt;&gt;"),COUNTIFS(Components!$A$4:$A$253,F575,Components!$B$4:$B$253,E575,Components!$K$4:$K$253,"Confirmed",Components!$L$4:$L$253,"OK — verify source"))))&lt;&gt;1)),"Endpoint not source-reconciled",IF(AND(M575="Confirmed",OR(L575="",K575="",K575="Unknown",K575="Low")),"Confirmed link lacks verification","OK — verify source"))))))))))))))</f>
        <v/>
      </c>
    </row>
    <row r="576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6" t="n"/>
      <c r="M576" s="25" t="n"/>
      <c r="N576" s="25">
        <f>IF(COUNTA(A576:M576)=0,"",IF(OR(A576="",B576="",C576="",D576="",E576="",F576="",I576="",J576="",K576="",M576=""),"Required link detail missing",IF(COUNTIF($A$4:$A$1003,A576)&gt;1,"Duplicate Map Edge ID",IF(NOT(OR(AND(B576="UC",E576="CAP",D576="requires"),AND(B576="CAP",E576="AIR",D576="provided by"),AND(B576="AIR",OR(E576="MOD",E576="DATA",E576="IF",E576="AG",E576="TOOL"),D576="references"),AND(B576="AIR",E576="AIR",D576="depends on"))),"Invalid relationship",IF(AND(M576&lt;&gt;"Superseded",COUNTIFS($B$4:$B$1003,B576,$C$4:$C$1003,C576,$D$4:$D$1003,D576,$E$4:$E$1003,E576,$F$4:$F$1003,F576,$G$4:$G$1003,G576,$M$4:$M$1003,"&lt;&gt;Superseded")&gt;1),"Duplicate relationship",IF(OR(IF(B576="UC",COUNTIF('Use cases'!$A$4:$A$253,C576),IF(B576="CAP",COUNTIF(Capabilities!$A$4:$A$253,C576),IF(B576="AIR",COUNTIF('System map'!$A$4:$A$203,C576),COUNTIFS(Components!$A$4:$A$253,C576,Components!$B$4:$B$253,B576))))&lt;&gt;1,IF(E576="UC",COUNTIF('Use cases'!$A$4:$A$253,F576),IF(E576="CAP",COUNTIF(Capabilities!$A$4:$A$253,F576),IF(E576="AIR",COUNTIF('System map'!$A$4:$A$203,F576),COUNTIFS(Components!$A$4:$A$253,F576,Components!$B$4:$B$253,E576))))&lt;&gt;1),"Endpoint missing or duplicated",IF(AND(NOT(AND(B576="UC",E576="CAP")),OR(G576="",COUNTIF('System map'!$A$4:$A$203,G576)&lt;&gt;1)),"AIR context missing / unknown",IF(AND(B576="CAP",E576="AIR",G576&lt;&gt;F576),"AIR context mismatch",IF(AND(B576="AIR",G576&lt;&gt;C576),"AIR context mismatch",IF(AND(B576="AIR",E576="AIR",C576=F576),"Self-dependency",IF(AND(B576="AIR",E576="AIR",M576&lt;&gt;"Superseded",COUNTIFS($B$4:$B$1003,"AIR",$C$4:$C$1003,F576,$E$4:$E$1003,"AIR",$F$4:$F$1003,C576,$M$4:$M$1003,"&lt;&gt;Superseded")&gt;0),"Dependency cycle (A↔B) — review",IF(AND(B576="AIR",OR(E576="MOD",E576="DATA",E576="IF",E576="AG",E576="TOOL"),IFERROR(INDEX(Components!$G$4:$G$253,MATCH(F576,Components!$A$4:$A$253,0)),"")&lt;&gt;"",IFERROR(INDEX(Components!$G$4:$G$253,MATCH(F576,Components!$A$4:$A$253,0)),"")&lt;&gt;C576),"Component owned by another AIR-ID",IF(AND(M576="Confirmed",OR(IF(B576="UC",COUNTIFS('Use cases'!$A$4:$A$253,C576,'Use cases'!$I$4:$I$253,"Confirmed",'Use cases'!$J$4:$J$253,"OK — verify source"),IF(B576="CAP",COUNTIFS(Capabilities!$A$4:$A$253,C576,Capabilities!$J$4:$J$253,"Confirmed",Capabilities!$K$4:$K$253,"OK — verify source"),IF(B576="AIR",COUNTIFS('System map'!$A$4:$A$203,C576,'System map'!$B$4:$B$203,"&lt;&gt;",'System map'!$C$4:$C$203,"&lt;&gt;",'System map'!$D$4:$D$203,"&lt;&gt;"),COUNTIFS(Components!$A$4:$A$253,C576,Components!$B$4:$B$253,B576,Components!$K$4:$K$253,"Confirmed",Components!$L$4:$L$253,"OK — verify source"))))&lt;&gt;1,IF(E576="UC",COUNTIFS('Use cases'!$A$4:$A$253,F576,'Use cases'!$I$4:$I$253,"Confirmed",'Use cases'!$J$4:$J$253,"OK — verify source"),IF(E576="CAP",COUNTIFS(Capabilities!$A$4:$A$253,F576,Capabilities!$J$4:$J$253,"Confirmed",Capabilities!$K$4:$K$253,"OK — verify source"),IF(E576="AIR",COUNTIFS('System map'!$A$4:$A$203,F576,'System map'!$B$4:$B$203,"&lt;&gt;",'System map'!$C$4:$C$203,"&lt;&gt;",'System map'!$D$4:$D$203,"&lt;&gt;"),COUNTIFS(Components!$A$4:$A$253,F576,Components!$B$4:$B$253,E576,Components!$K$4:$K$253,"Confirmed",Components!$L$4:$L$253,"OK — verify source"))))&lt;&gt;1)),"Endpoint not source-reconciled",IF(AND(M576="Confirmed",OR(L576="",K576="",K576="Unknown",K576="Low")),"Confirmed link lacks verification","OK — verify source"))))))))))))))</f>
        <v/>
      </c>
    </row>
    <row r="577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8" t="n"/>
      <c r="M577" s="27" t="n"/>
      <c r="N577" s="27">
        <f>IF(COUNTA(A577:M577)=0,"",IF(OR(A577="",B577="",C577="",D577="",E577="",F577="",I577="",J577="",K577="",M577=""),"Required link detail missing",IF(COUNTIF($A$4:$A$1003,A577)&gt;1,"Duplicate Map Edge ID",IF(NOT(OR(AND(B577="UC",E577="CAP",D577="requires"),AND(B577="CAP",E577="AIR",D577="provided by"),AND(B577="AIR",OR(E577="MOD",E577="DATA",E577="IF",E577="AG",E577="TOOL"),D577="references"),AND(B577="AIR",E577="AIR",D577="depends on"))),"Invalid relationship",IF(AND(M577&lt;&gt;"Superseded",COUNTIFS($B$4:$B$1003,B577,$C$4:$C$1003,C577,$D$4:$D$1003,D577,$E$4:$E$1003,E577,$F$4:$F$1003,F577,$G$4:$G$1003,G577,$M$4:$M$1003,"&lt;&gt;Superseded")&gt;1),"Duplicate relationship",IF(OR(IF(B577="UC",COUNTIF('Use cases'!$A$4:$A$253,C577),IF(B577="CAP",COUNTIF(Capabilities!$A$4:$A$253,C577),IF(B577="AIR",COUNTIF('System map'!$A$4:$A$203,C577),COUNTIFS(Components!$A$4:$A$253,C577,Components!$B$4:$B$253,B577))))&lt;&gt;1,IF(E577="UC",COUNTIF('Use cases'!$A$4:$A$253,F577),IF(E577="CAP",COUNTIF(Capabilities!$A$4:$A$253,F577),IF(E577="AIR",COUNTIF('System map'!$A$4:$A$203,F577),COUNTIFS(Components!$A$4:$A$253,F577,Components!$B$4:$B$253,E577))))&lt;&gt;1),"Endpoint missing or duplicated",IF(AND(NOT(AND(B577="UC",E577="CAP")),OR(G577="",COUNTIF('System map'!$A$4:$A$203,G577)&lt;&gt;1)),"AIR context missing / unknown",IF(AND(B577="CAP",E577="AIR",G577&lt;&gt;F577),"AIR context mismatch",IF(AND(B577="AIR",G577&lt;&gt;C577),"AIR context mismatch",IF(AND(B577="AIR",E577="AIR",C577=F577),"Self-dependency",IF(AND(B577="AIR",E577="AIR",M577&lt;&gt;"Superseded",COUNTIFS($B$4:$B$1003,"AIR",$C$4:$C$1003,F577,$E$4:$E$1003,"AIR",$F$4:$F$1003,C577,$M$4:$M$1003,"&lt;&gt;Superseded")&gt;0),"Dependency cycle (A↔B) — review",IF(AND(B577="AIR",OR(E577="MOD",E577="DATA",E577="IF",E577="AG",E577="TOOL"),IFERROR(INDEX(Components!$G$4:$G$253,MATCH(F577,Components!$A$4:$A$253,0)),"")&lt;&gt;"",IFERROR(INDEX(Components!$G$4:$G$253,MATCH(F577,Components!$A$4:$A$253,0)),"")&lt;&gt;C577),"Component owned by another AIR-ID",IF(AND(M577="Confirmed",OR(IF(B577="UC",COUNTIFS('Use cases'!$A$4:$A$253,C577,'Use cases'!$I$4:$I$253,"Confirmed",'Use cases'!$J$4:$J$253,"OK — verify source"),IF(B577="CAP",COUNTIFS(Capabilities!$A$4:$A$253,C577,Capabilities!$J$4:$J$253,"Confirmed",Capabilities!$K$4:$K$253,"OK — verify source"),IF(B577="AIR",COUNTIFS('System map'!$A$4:$A$203,C577,'System map'!$B$4:$B$203,"&lt;&gt;",'System map'!$C$4:$C$203,"&lt;&gt;",'System map'!$D$4:$D$203,"&lt;&gt;"),COUNTIFS(Components!$A$4:$A$253,C577,Components!$B$4:$B$253,B577,Components!$K$4:$K$253,"Confirmed",Components!$L$4:$L$253,"OK — verify source"))))&lt;&gt;1,IF(E577="UC",COUNTIFS('Use cases'!$A$4:$A$253,F577,'Use cases'!$I$4:$I$253,"Confirmed",'Use cases'!$J$4:$J$253,"OK — verify source"),IF(E577="CAP",COUNTIFS(Capabilities!$A$4:$A$253,F577,Capabilities!$J$4:$J$253,"Confirmed",Capabilities!$K$4:$K$253,"OK — verify source"),IF(E577="AIR",COUNTIFS('System map'!$A$4:$A$203,F577,'System map'!$B$4:$B$203,"&lt;&gt;",'System map'!$C$4:$C$203,"&lt;&gt;",'System map'!$D$4:$D$203,"&lt;&gt;"),COUNTIFS(Components!$A$4:$A$253,F577,Components!$B$4:$B$253,E577,Components!$K$4:$K$253,"Confirmed",Components!$L$4:$L$253,"OK — verify source"))))&lt;&gt;1)),"Endpoint not source-reconciled",IF(AND(M577="Confirmed",OR(L577="",K577="",K577="Unknown",K577="Low")),"Confirmed link lacks verification","OK — verify source"))))))))))))))</f>
        <v/>
      </c>
    </row>
    <row r="578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6" t="n"/>
      <c r="M578" s="25" t="n"/>
      <c r="N578" s="25">
        <f>IF(COUNTA(A578:M578)=0,"",IF(OR(A578="",B578="",C578="",D578="",E578="",F578="",I578="",J578="",K578="",M578=""),"Required link detail missing",IF(COUNTIF($A$4:$A$1003,A578)&gt;1,"Duplicate Map Edge ID",IF(NOT(OR(AND(B578="UC",E578="CAP",D578="requires"),AND(B578="CAP",E578="AIR",D578="provided by"),AND(B578="AIR",OR(E578="MOD",E578="DATA",E578="IF",E578="AG",E578="TOOL"),D578="references"),AND(B578="AIR",E578="AIR",D578="depends on"))),"Invalid relationship",IF(AND(M578&lt;&gt;"Superseded",COUNTIFS($B$4:$B$1003,B578,$C$4:$C$1003,C578,$D$4:$D$1003,D578,$E$4:$E$1003,E578,$F$4:$F$1003,F578,$G$4:$G$1003,G578,$M$4:$M$1003,"&lt;&gt;Superseded")&gt;1),"Duplicate relationship",IF(OR(IF(B578="UC",COUNTIF('Use cases'!$A$4:$A$253,C578),IF(B578="CAP",COUNTIF(Capabilities!$A$4:$A$253,C578),IF(B578="AIR",COUNTIF('System map'!$A$4:$A$203,C578),COUNTIFS(Components!$A$4:$A$253,C578,Components!$B$4:$B$253,B578))))&lt;&gt;1,IF(E578="UC",COUNTIF('Use cases'!$A$4:$A$253,F578),IF(E578="CAP",COUNTIF(Capabilities!$A$4:$A$253,F578),IF(E578="AIR",COUNTIF('System map'!$A$4:$A$203,F578),COUNTIFS(Components!$A$4:$A$253,F578,Components!$B$4:$B$253,E578))))&lt;&gt;1),"Endpoint missing or duplicated",IF(AND(NOT(AND(B578="UC",E578="CAP")),OR(G578="",COUNTIF('System map'!$A$4:$A$203,G578)&lt;&gt;1)),"AIR context missing / unknown",IF(AND(B578="CAP",E578="AIR",G578&lt;&gt;F578),"AIR context mismatch",IF(AND(B578="AIR",G578&lt;&gt;C578),"AIR context mismatch",IF(AND(B578="AIR",E578="AIR",C578=F578),"Self-dependency",IF(AND(B578="AIR",E578="AIR",M578&lt;&gt;"Superseded",COUNTIFS($B$4:$B$1003,"AIR",$C$4:$C$1003,F578,$E$4:$E$1003,"AIR",$F$4:$F$1003,C578,$M$4:$M$1003,"&lt;&gt;Superseded")&gt;0),"Dependency cycle (A↔B) — review",IF(AND(B578="AIR",OR(E578="MOD",E578="DATA",E578="IF",E578="AG",E578="TOOL"),IFERROR(INDEX(Components!$G$4:$G$253,MATCH(F578,Components!$A$4:$A$253,0)),"")&lt;&gt;"",IFERROR(INDEX(Components!$G$4:$G$253,MATCH(F578,Components!$A$4:$A$253,0)),"")&lt;&gt;C578),"Component owned by another AIR-ID",IF(AND(M578="Confirmed",OR(IF(B578="UC",COUNTIFS('Use cases'!$A$4:$A$253,C578,'Use cases'!$I$4:$I$253,"Confirmed",'Use cases'!$J$4:$J$253,"OK — verify source"),IF(B578="CAP",COUNTIFS(Capabilities!$A$4:$A$253,C578,Capabilities!$J$4:$J$253,"Confirmed",Capabilities!$K$4:$K$253,"OK — verify source"),IF(B578="AIR",COUNTIFS('System map'!$A$4:$A$203,C578,'System map'!$B$4:$B$203,"&lt;&gt;",'System map'!$C$4:$C$203,"&lt;&gt;",'System map'!$D$4:$D$203,"&lt;&gt;"),COUNTIFS(Components!$A$4:$A$253,C578,Components!$B$4:$B$253,B578,Components!$K$4:$K$253,"Confirmed",Components!$L$4:$L$253,"OK — verify source"))))&lt;&gt;1,IF(E578="UC",COUNTIFS('Use cases'!$A$4:$A$253,F578,'Use cases'!$I$4:$I$253,"Confirmed",'Use cases'!$J$4:$J$253,"OK — verify source"),IF(E578="CAP",COUNTIFS(Capabilities!$A$4:$A$253,F578,Capabilities!$J$4:$J$253,"Confirmed",Capabilities!$K$4:$K$253,"OK — verify source"),IF(E578="AIR",COUNTIFS('System map'!$A$4:$A$203,F578,'System map'!$B$4:$B$203,"&lt;&gt;",'System map'!$C$4:$C$203,"&lt;&gt;",'System map'!$D$4:$D$203,"&lt;&gt;"),COUNTIFS(Components!$A$4:$A$253,F578,Components!$B$4:$B$253,E578,Components!$K$4:$K$253,"Confirmed",Components!$L$4:$L$253,"OK — verify source"))))&lt;&gt;1)),"Endpoint not source-reconciled",IF(AND(M578="Confirmed",OR(L578="",K578="",K578="Unknown",K578="Low")),"Confirmed link lacks verification","OK — verify source"))))))))))))))</f>
        <v/>
      </c>
    </row>
    <row r="579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8" t="n"/>
      <c r="M579" s="27" t="n"/>
      <c r="N579" s="27">
        <f>IF(COUNTA(A579:M579)=0,"",IF(OR(A579="",B579="",C579="",D579="",E579="",F579="",I579="",J579="",K579="",M579=""),"Required link detail missing",IF(COUNTIF($A$4:$A$1003,A579)&gt;1,"Duplicate Map Edge ID",IF(NOT(OR(AND(B579="UC",E579="CAP",D579="requires"),AND(B579="CAP",E579="AIR",D579="provided by"),AND(B579="AIR",OR(E579="MOD",E579="DATA",E579="IF",E579="AG",E579="TOOL"),D579="references"),AND(B579="AIR",E579="AIR",D579="depends on"))),"Invalid relationship",IF(AND(M579&lt;&gt;"Superseded",COUNTIFS($B$4:$B$1003,B579,$C$4:$C$1003,C579,$D$4:$D$1003,D579,$E$4:$E$1003,E579,$F$4:$F$1003,F579,$G$4:$G$1003,G579,$M$4:$M$1003,"&lt;&gt;Superseded")&gt;1),"Duplicate relationship",IF(OR(IF(B579="UC",COUNTIF('Use cases'!$A$4:$A$253,C579),IF(B579="CAP",COUNTIF(Capabilities!$A$4:$A$253,C579),IF(B579="AIR",COUNTIF('System map'!$A$4:$A$203,C579),COUNTIFS(Components!$A$4:$A$253,C579,Components!$B$4:$B$253,B579))))&lt;&gt;1,IF(E579="UC",COUNTIF('Use cases'!$A$4:$A$253,F579),IF(E579="CAP",COUNTIF(Capabilities!$A$4:$A$253,F579),IF(E579="AIR",COUNTIF('System map'!$A$4:$A$203,F579),COUNTIFS(Components!$A$4:$A$253,F579,Components!$B$4:$B$253,E579))))&lt;&gt;1),"Endpoint missing or duplicated",IF(AND(NOT(AND(B579="UC",E579="CAP")),OR(G579="",COUNTIF('System map'!$A$4:$A$203,G579)&lt;&gt;1)),"AIR context missing / unknown",IF(AND(B579="CAP",E579="AIR",G579&lt;&gt;F579),"AIR context mismatch",IF(AND(B579="AIR",G579&lt;&gt;C579),"AIR context mismatch",IF(AND(B579="AIR",E579="AIR",C579=F579),"Self-dependency",IF(AND(B579="AIR",E579="AIR",M579&lt;&gt;"Superseded",COUNTIFS($B$4:$B$1003,"AIR",$C$4:$C$1003,F579,$E$4:$E$1003,"AIR",$F$4:$F$1003,C579,$M$4:$M$1003,"&lt;&gt;Superseded")&gt;0),"Dependency cycle (A↔B) — review",IF(AND(B579="AIR",OR(E579="MOD",E579="DATA",E579="IF",E579="AG",E579="TOOL"),IFERROR(INDEX(Components!$G$4:$G$253,MATCH(F579,Components!$A$4:$A$253,0)),"")&lt;&gt;"",IFERROR(INDEX(Components!$G$4:$G$253,MATCH(F579,Components!$A$4:$A$253,0)),"")&lt;&gt;C579),"Component owned by another AIR-ID",IF(AND(M579="Confirmed",OR(IF(B579="UC",COUNTIFS('Use cases'!$A$4:$A$253,C579,'Use cases'!$I$4:$I$253,"Confirmed",'Use cases'!$J$4:$J$253,"OK — verify source"),IF(B579="CAP",COUNTIFS(Capabilities!$A$4:$A$253,C579,Capabilities!$J$4:$J$253,"Confirmed",Capabilities!$K$4:$K$253,"OK — verify source"),IF(B579="AIR",COUNTIFS('System map'!$A$4:$A$203,C579,'System map'!$B$4:$B$203,"&lt;&gt;",'System map'!$C$4:$C$203,"&lt;&gt;",'System map'!$D$4:$D$203,"&lt;&gt;"),COUNTIFS(Components!$A$4:$A$253,C579,Components!$B$4:$B$253,B579,Components!$K$4:$K$253,"Confirmed",Components!$L$4:$L$253,"OK — verify source"))))&lt;&gt;1,IF(E579="UC",COUNTIFS('Use cases'!$A$4:$A$253,F579,'Use cases'!$I$4:$I$253,"Confirmed",'Use cases'!$J$4:$J$253,"OK — verify source"),IF(E579="CAP",COUNTIFS(Capabilities!$A$4:$A$253,F579,Capabilities!$J$4:$J$253,"Confirmed",Capabilities!$K$4:$K$253,"OK — verify source"),IF(E579="AIR",COUNTIFS('System map'!$A$4:$A$203,F579,'System map'!$B$4:$B$203,"&lt;&gt;",'System map'!$C$4:$C$203,"&lt;&gt;",'System map'!$D$4:$D$203,"&lt;&gt;"),COUNTIFS(Components!$A$4:$A$253,F579,Components!$B$4:$B$253,E579,Components!$K$4:$K$253,"Confirmed",Components!$L$4:$L$253,"OK — verify source"))))&lt;&gt;1)),"Endpoint not source-reconciled",IF(AND(M579="Confirmed",OR(L579="",K579="",K579="Unknown",K579="Low")),"Confirmed link lacks verification","OK — verify source"))))))))))))))</f>
        <v/>
      </c>
    </row>
    <row r="580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6" t="n"/>
      <c r="M580" s="25" t="n"/>
      <c r="N580" s="25">
        <f>IF(COUNTA(A580:M580)=0,"",IF(OR(A580="",B580="",C580="",D580="",E580="",F580="",I580="",J580="",K580="",M580=""),"Required link detail missing",IF(COUNTIF($A$4:$A$1003,A580)&gt;1,"Duplicate Map Edge ID",IF(NOT(OR(AND(B580="UC",E580="CAP",D580="requires"),AND(B580="CAP",E580="AIR",D580="provided by"),AND(B580="AIR",OR(E580="MOD",E580="DATA",E580="IF",E580="AG",E580="TOOL"),D580="references"),AND(B580="AIR",E580="AIR",D580="depends on"))),"Invalid relationship",IF(AND(M580&lt;&gt;"Superseded",COUNTIFS($B$4:$B$1003,B580,$C$4:$C$1003,C580,$D$4:$D$1003,D580,$E$4:$E$1003,E580,$F$4:$F$1003,F580,$G$4:$G$1003,G580,$M$4:$M$1003,"&lt;&gt;Superseded")&gt;1),"Duplicate relationship",IF(OR(IF(B580="UC",COUNTIF('Use cases'!$A$4:$A$253,C580),IF(B580="CAP",COUNTIF(Capabilities!$A$4:$A$253,C580),IF(B580="AIR",COUNTIF('System map'!$A$4:$A$203,C580),COUNTIFS(Components!$A$4:$A$253,C580,Components!$B$4:$B$253,B580))))&lt;&gt;1,IF(E580="UC",COUNTIF('Use cases'!$A$4:$A$253,F580),IF(E580="CAP",COUNTIF(Capabilities!$A$4:$A$253,F580),IF(E580="AIR",COUNTIF('System map'!$A$4:$A$203,F580),COUNTIFS(Components!$A$4:$A$253,F580,Components!$B$4:$B$253,E580))))&lt;&gt;1),"Endpoint missing or duplicated",IF(AND(NOT(AND(B580="UC",E580="CAP")),OR(G580="",COUNTIF('System map'!$A$4:$A$203,G580)&lt;&gt;1)),"AIR context missing / unknown",IF(AND(B580="CAP",E580="AIR",G580&lt;&gt;F580),"AIR context mismatch",IF(AND(B580="AIR",G580&lt;&gt;C580),"AIR context mismatch",IF(AND(B580="AIR",E580="AIR",C580=F580),"Self-dependency",IF(AND(B580="AIR",E580="AIR",M580&lt;&gt;"Superseded",COUNTIFS($B$4:$B$1003,"AIR",$C$4:$C$1003,F580,$E$4:$E$1003,"AIR",$F$4:$F$1003,C580,$M$4:$M$1003,"&lt;&gt;Superseded")&gt;0),"Dependency cycle (A↔B) — review",IF(AND(B580="AIR",OR(E580="MOD",E580="DATA",E580="IF",E580="AG",E580="TOOL"),IFERROR(INDEX(Components!$G$4:$G$253,MATCH(F580,Components!$A$4:$A$253,0)),"")&lt;&gt;"",IFERROR(INDEX(Components!$G$4:$G$253,MATCH(F580,Components!$A$4:$A$253,0)),"")&lt;&gt;C580),"Component owned by another AIR-ID",IF(AND(M580="Confirmed",OR(IF(B580="UC",COUNTIFS('Use cases'!$A$4:$A$253,C580,'Use cases'!$I$4:$I$253,"Confirmed",'Use cases'!$J$4:$J$253,"OK — verify source"),IF(B580="CAP",COUNTIFS(Capabilities!$A$4:$A$253,C580,Capabilities!$J$4:$J$253,"Confirmed",Capabilities!$K$4:$K$253,"OK — verify source"),IF(B580="AIR",COUNTIFS('System map'!$A$4:$A$203,C580,'System map'!$B$4:$B$203,"&lt;&gt;",'System map'!$C$4:$C$203,"&lt;&gt;",'System map'!$D$4:$D$203,"&lt;&gt;"),COUNTIFS(Components!$A$4:$A$253,C580,Components!$B$4:$B$253,B580,Components!$K$4:$K$253,"Confirmed",Components!$L$4:$L$253,"OK — verify source"))))&lt;&gt;1,IF(E580="UC",COUNTIFS('Use cases'!$A$4:$A$253,F580,'Use cases'!$I$4:$I$253,"Confirmed",'Use cases'!$J$4:$J$253,"OK — verify source"),IF(E580="CAP",COUNTIFS(Capabilities!$A$4:$A$253,F580,Capabilities!$J$4:$J$253,"Confirmed",Capabilities!$K$4:$K$253,"OK — verify source"),IF(E580="AIR",COUNTIFS('System map'!$A$4:$A$203,F580,'System map'!$B$4:$B$203,"&lt;&gt;",'System map'!$C$4:$C$203,"&lt;&gt;",'System map'!$D$4:$D$203,"&lt;&gt;"),COUNTIFS(Components!$A$4:$A$253,F580,Components!$B$4:$B$253,E580,Components!$K$4:$K$253,"Confirmed",Components!$L$4:$L$253,"OK — verify source"))))&lt;&gt;1)),"Endpoint not source-reconciled",IF(AND(M580="Confirmed",OR(L580="",K580="",K580="Unknown",K580="Low")),"Confirmed link lacks verification","OK — verify source"))))))))))))))</f>
        <v/>
      </c>
    </row>
    <row r="581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8" t="n"/>
      <c r="M581" s="27" t="n"/>
      <c r="N581" s="27">
        <f>IF(COUNTA(A581:M581)=0,"",IF(OR(A581="",B581="",C581="",D581="",E581="",F581="",I581="",J581="",K581="",M581=""),"Required link detail missing",IF(COUNTIF($A$4:$A$1003,A581)&gt;1,"Duplicate Map Edge ID",IF(NOT(OR(AND(B581="UC",E581="CAP",D581="requires"),AND(B581="CAP",E581="AIR",D581="provided by"),AND(B581="AIR",OR(E581="MOD",E581="DATA",E581="IF",E581="AG",E581="TOOL"),D581="references"),AND(B581="AIR",E581="AIR",D581="depends on"))),"Invalid relationship",IF(AND(M581&lt;&gt;"Superseded",COUNTIFS($B$4:$B$1003,B581,$C$4:$C$1003,C581,$D$4:$D$1003,D581,$E$4:$E$1003,E581,$F$4:$F$1003,F581,$G$4:$G$1003,G581,$M$4:$M$1003,"&lt;&gt;Superseded")&gt;1),"Duplicate relationship",IF(OR(IF(B581="UC",COUNTIF('Use cases'!$A$4:$A$253,C581),IF(B581="CAP",COUNTIF(Capabilities!$A$4:$A$253,C581),IF(B581="AIR",COUNTIF('System map'!$A$4:$A$203,C581),COUNTIFS(Components!$A$4:$A$253,C581,Components!$B$4:$B$253,B581))))&lt;&gt;1,IF(E581="UC",COUNTIF('Use cases'!$A$4:$A$253,F581),IF(E581="CAP",COUNTIF(Capabilities!$A$4:$A$253,F581),IF(E581="AIR",COUNTIF('System map'!$A$4:$A$203,F581),COUNTIFS(Components!$A$4:$A$253,F581,Components!$B$4:$B$253,E581))))&lt;&gt;1),"Endpoint missing or duplicated",IF(AND(NOT(AND(B581="UC",E581="CAP")),OR(G581="",COUNTIF('System map'!$A$4:$A$203,G581)&lt;&gt;1)),"AIR context missing / unknown",IF(AND(B581="CAP",E581="AIR",G581&lt;&gt;F581),"AIR context mismatch",IF(AND(B581="AIR",G581&lt;&gt;C581),"AIR context mismatch",IF(AND(B581="AIR",E581="AIR",C581=F581),"Self-dependency",IF(AND(B581="AIR",E581="AIR",M581&lt;&gt;"Superseded",COUNTIFS($B$4:$B$1003,"AIR",$C$4:$C$1003,F581,$E$4:$E$1003,"AIR",$F$4:$F$1003,C581,$M$4:$M$1003,"&lt;&gt;Superseded")&gt;0),"Dependency cycle (A↔B) — review",IF(AND(B581="AIR",OR(E581="MOD",E581="DATA",E581="IF",E581="AG",E581="TOOL"),IFERROR(INDEX(Components!$G$4:$G$253,MATCH(F581,Components!$A$4:$A$253,0)),"")&lt;&gt;"",IFERROR(INDEX(Components!$G$4:$G$253,MATCH(F581,Components!$A$4:$A$253,0)),"")&lt;&gt;C581),"Component owned by another AIR-ID",IF(AND(M581="Confirmed",OR(IF(B581="UC",COUNTIFS('Use cases'!$A$4:$A$253,C581,'Use cases'!$I$4:$I$253,"Confirmed",'Use cases'!$J$4:$J$253,"OK — verify source"),IF(B581="CAP",COUNTIFS(Capabilities!$A$4:$A$253,C581,Capabilities!$J$4:$J$253,"Confirmed",Capabilities!$K$4:$K$253,"OK — verify source"),IF(B581="AIR",COUNTIFS('System map'!$A$4:$A$203,C581,'System map'!$B$4:$B$203,"&lt;&gt;",'System map'!$C$4:$C$203,"&lt;&gt;",'System map'!$D$4:$D$203,"&lt;&gt;"),COUNTIFS(Components!$A$4:$A$253,C581,Components!$B$4:$B$253,B581,Components!$K$4:$K$253,"Confirmed",Components!$L$4:$L$253,"OK — verify source"))))&lt;&gt;1,IF(E581="UC",COUNTIFS('Use cases'!$A$4:$A$253,F581,'Use cases'!$I$4:$I$253,"Confirmed",'Use cases'!$J$4:$J$253,"OK — verify source"),IF(E581="CAP",COUNTIFS(Capabilities!$A$4:$A$253,F581,Capabilities!$J$4:$J$253,"Confirmed",Capabilities!$K$4:$K$253,"OK — verify source"),IF(E581="AIR",COUNTIFS('System map'!$A$4:$A$203,F581,'System map'!$B$4:$B$203,"&lt;&gt;",'System map'!$C$4:$C$203,"&lt;&gt;",'System map'!$D$4:$D$203,"&lt;&gt;"),COUNTIFS(Components!$A$4:$A$253,F581,Components!$B$4:$B$253,E581,Components!$K$4:$K$253,"Confirmed",Components!$L$4:$L$253,"OK — verify source"))))&lt;&gt;1)),"Endpoint not source-reconciled",IF(AND(M581="Confirmed",OR(L581="",K581="",K581="Unknown",K581="Low")),"Confirmed link lacks verification","OK — verify source"))))))))))))))</f>
        <v/>
      </c>
    </row>
    <row r="582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6" t="n"/>
      <c r="M582" s="25" t="n"/>
      <c r="N582" s="25">
        <f>IF(COUNTA(A582:M582)=0,"",IF(OR(A582="",B582="",C582="",D582="",E582="",F582="",I582="",J582="",K582="",M582=""),"Required link detail missing",IF(COUNTIF($A$4:$A$1003,A582)&gt;1,"Duplicate Map Edge ID",IF(NOT(OR(AND(B582="UC",E582="CAP",D582="requires"),AND(B582="CAP",E582="AIR",D582="provided by"),AND(B582="AIR",OR(E582="MOD",E582="DATA",E582="IF",E582="AG",E582="TOOL"),D582="references"),AND(B582="AIR",E582="AIR",D582="depends on"))),"Invalid relationship",IF(AND(M582&lt;&gt;"Superseded",COUNTIFS($B$4:$B$1003,B582,$C$4:$C$1003,C582,$D$4:$D$1003,D582,$E$4:$E$1003,E582,$F$4:$F$1003,F582,$G$4:$G$1003,G582,$M$4:$M$1003,"&lt;&gt;Superseded")&gt;1),"Duplicate relationship",IF(OR(IF(B582="UC",COUNTIF('Use cases'!$A$4:$A$253,C582),IF(B582="CAP",COUNTIF(Capabilities!$A$4:$A$253,C582),IF(B582="AIR",COUNTIF('System map'!$A$4:$A$203,C582),COUNTIFS(Components!$A$4:$A$253,C582,Components!$B$4:$B$253,B582))))&lt;&gt;1,IF(E582="UC",COUNTIF('Use cases'!$A$4:$A$253,F582),IF(E582="CAP",COUNTIF(Capabilities!$A$4:$A$253,F582),IF(E582="AIR",COUNTIF('System map'!$A$4:$A$203,F582),COUNTIFS(Components!$A$4:$A$253,F582,Components!$B$4:$B$253,E582))))&lt;&gt;1),"Endpoint missing or duplicated",IF(AND(NOT(AND(B582="UC",E582="CAP")),OR(G582="",COUNTIF('System map'!$A$4:$A$203,G582)&lt;&gt;1)),"AIR context missing / unknown",IF(AND(B582="CAP",E582="AIR",G582&lt;&gt;F582),"AIR context mismatch",IF(AND(B582="AIR",G582&lt;&gt;C582),"AIR context mismatch",IF(AND(B582="AIR",E582="AIR",C582=F582),"Self-dependency",IF(AND(B582="AIR",E582="AIR",M582&lt;&gt;"Superseded",COUNTIFS($B$4:$B$1003,"AIR",$C$4:$C$1003,F582,$E$4:$E$1003,"AIR",$F$4:$F$1003,C582,$M$4:$M$1003,"&lt;&gt;Superseded")&gt;0),"Dependency cycle (A↔B) — review",IF(AND(B582="AIR",OR(E582="MOD",E582="DATA",E582="IF",E582="AG",E582="TOOL"),IFERROR(INDEX(Components!$G$4:$G$253,MATCH(F582,Components!$A$4:$A$253,0)),"")&lt;&gt;"",IFERROR(INDEX(Components!$G$4:$G$253,MATCH(F582,Components!$A$4:$A$253,0)),"")&lt;&gt;C582),"Component owned by another AIR-ID",IF(AND(M582="Confirmed",OR(IF(B582="UC",COUNTIFS('Use cases'!$A$4:$A$253,C582,'Use cases'!$I$4:$I$253,"Confirmed",'Use cases'!$J$4:$J$253,"OK — verify source"),IF(B582="CAP",COUNTIFS(Capabilities!$A$4:$A$253,C582,Capabilities!$J$4:$J$253,"Confirmed",Capabilities!$K$4:$K$253,"OK — verify source"),IF(B582="AIR",COUNTIFS('System map'!$A$4:$A$203,C582,'System map'!$B$4:$B$203,"&lt;&gt;",'System map'!$C$4:$C$203,"&lt;&gt;",'System map'!$D$4:$D$203,"&lt;&gt;"),COUNTIFS(Components!$A$4:$A$253,C582,Components!$B$4:$B$253,B582,Components!$K$4:$K$253,"Confirmed",Components!$L$4:$L$253,"OK — verify source"))))&lt;&gt;1,IF(E582="UC",COUNTIFS('Use cases'!$A$4:$A$253,F582,'Use cases'!$I$4:$I$253,"Confirmed",'Use cases'!$J$4:$J$253,"OK — verify source"),IF(E582="CAP",COUNTIFS(Capabilities!$A$4:$A$253,F582,Capabilities!$J$4:$J$253,"Confirmed",Capabilities!$K$4:$K$253,"OK — verify source"),IF(E582="AIR",COUNTIFS('System map'!$A$4:$A$203,F582,'System map'!$B$4:$B$203,"&lt;&gt;",'System map'!$C$4:$C$203,"&lt;&gt;",'System map'!$D$4:$D$203,"&lt;&gt;"),COUNTIFS(Components!$A$4:$A$253,F582,Components!$B$4:$B$253,E582,Components!$K$4:$K$253,"Confirmed",Components!$L$4:$L$253,"OK — verify source"))))&lt;&gt;1)),"Endpoint not source-reconciled",IF(AND(M582="Confirmed",OR(L582="",K582="",K582="Unknown",K582="Low")),"Confirmed link lacks verification","OK — verify source"))))))))))))))</f>
        <v/>
      </c>
    </row>
    <row r="583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8" t="n"/>
      <c r="M583" s="27" t="n"/>
      <c r="N583" s="27">
        <f>IF(COUNTA(A583:M583)=0,"",IF(OR(A583="",B583="",C583="",D583="",E583="",F583="",I583="",J583="",K583="",M583=""),"Required link detail missing",IF(COUNTIF($A$4:$A$1003,A583)&gt;1,"Duplicate Map Edge ID",IF(NOT(OR(AND(B583="UC",E583="CAP",D583="requires"),AND(B583="CAP",E583="AIR",D583="provided by"),AND(B583="AIR",OR(E583="MOD",E583="DATA",E583="IF",E583="AG",E583="TOOL"),D583="references"),AND(B583="AIR",E583="AIR",D583="depends on"))),"Invalid relationship",IF(AND(M583&lt;&gt;"Superseded",COUNTIFS($B$4:$B$1003,B583,$C$4:$C$1003,C583,$D$4:$D$1003,D583,$E$4:$E$1003,E583,$F$4:$F$1003,F583,$G$4:$G$1003,G583,$M$4:$M$1003,"&lt;&gt;Superseded")&gt;1),"Duplicate relationship",IF(OR(IF(B583="UC",COUNTIF('Use cases'!$A$4:$A$253,C583),IF(B583="CAP",COUNTIF(Capabilities!$A$4:$A$253,C583),IF(B583="AIR",COUNTIF('System map'!$A$4:$A$203,C583),COUNTIFS(Components!$A$4:$A$253,C583,Components!$B$4:$B$253,B583))))&lt;&gt;1,IF(E583="UC",COUNTIF('Use cases'!$A$4:$A$253,F583),IF(E583="CAP",COUNTIF(Capabilities!$A$4:$A$253,F583),IF(E583="AIR",COUNTIF('System map'!$A$4:$A$203,F583),COUNTIFS(Components!$A$4:$A$253,F583,Components!$B$4:$B$253,E583))))&lt;&gt;1),"Endpoint missing or duplicated",IF(AND(NOT(AND(B583="UC",E583="CAP")),OR(G583="",COUNTIF('System map'!$A$4:$A$203,G583)&lt;&gt;1)),"AIR context missing / unknown",IF(AND(B583="CAP",E583="AIR",G583&lt;&gt;F583),"AIR context mismatch",IF(AND(B583="AIR",G583&lt;&gt;C583),"AIR context mismatch",IF(AND(B583="AIR",E583="AIR",C583=F583),"Self-dependency",IF(AND(B583="AIR",E583="AIR",M583&lt;&gt;"Superseded",COUNTIFS($B$4:$B$1003,"AIR",$C$4:$C$1003,F583,$E$4:$E$1003,"AIR",$F$4:$F$1003,C583,$M$4:$M$1003,"&lt;&gt;Superseded")&gt;0),"Dependency cycle (A↔B) — review",IF(AND(B583="AIR",OR(E583="MOD",E583="DATA",E583="IF",E583="AG",E583="TOOL"),IFERROR(INDEX(Components!$G$4:$G$253,MATCH(F583,Components!$A$4:$A$253,0)),"")&lt;&gt;"",IFERROR(INDEX(Components!$G$4:$G$253,MATCH(F583,Components!$A$4:$A$253,0)),"")&lt;&gt;C583),"Component owned by another AIR-ID",IF(AND(M583="Confirmed",OR(IF(B583="UC",COUNTIFS('Use cases'!$A$4:$A$253,C583,'Use cases'!$I$4:$I$253,"Confirmed",'Use cases'!$J$4:$J$253,"OK — verify source"),IF(B583="CAP",COUNTIFS(Capabilities!$A$4:$A$253,C583,Capabilities!$J$4:$J$253,"Confirmed",Capabilities!$K$4:$K$253,"OK — verify source"),IF(B583="AIR",COUNTIFS('System map'!$A$4:$A$203,C583,'System map'!$B$4:$B$203,"&lt;&gt;",'System map'!$C$4:$C$203,"&lt;&gt;",'System map'!$D$4:$D$203,"&lt;&gt;"),COUNTIFS(Components!$A$4:$A$253,C583,Components!$B$4:$B$253,B583,Components!$K$4:$K$253,"Confirmed",Components!$L$4:$L$253,"OK — verify source"))))&lt;&gt;1,IF(E583="UC",COUNTIFS('Use cases'!$A$4:$A$253,F583,'Use cases'!$I$4:$I$253,"Confirmed",'Use cases'!$J$4:$J$253,"OK — verify source"),IF(E583="CAP",COUNTIFS(Capabilities!$A$4:$A$253,F583,Capabilities!$J$4:$J$253,"Confirmed",Capabilities!$K$4:$K$253,"OK — verify source"),IF(E583="AIR",COUNTIFS('System map'!$A$4:$A$203,F583,'System map'!$B$4:$B$203,"&lt;&gt;",'System map'!$C$4:$C$203,"&lt;&gt;",'System map'!$D$4:$D$203,"&lt;&gt;"),COUNTIFS(Components!$A$4:$A$253,F583,Components!$B$4:$B$253,E583,Components!$K$4:$K$253,"Confirmed",Components!$L$4:$L$253,"OK — verify source"))))&lt;&gt;1)),"Endpoint not source-reconciled",IF(AND(M583="Confirmed",OR(L583="",K583="",K583="Unknown",K583="Low")),"Confirmed link lacks verification","OK — verify source"))))))))))))))</f>
        <v/>
      </c>
    </row>
    <row r="58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6" t="n"/>
      <c r="M584" s="25" t="n"/>
      <c r="N584" s="25">
        <f>IF(COUNTA(A584:M584)=0,"",IF(OR(A584="",B584="",C584="",D584="",E584="",F584="",I584="",J584="",K584="",M584=""),"Required link detail missing",IF(COUNTIF($A$4:$A$1003,A584)&gt;1,"Duplicate Map Edge ID",IF(NOT(OR(AND(B584="UC",E584="CAP",D584="requires"),AND(B584="CAP",E584="AIR",D584="provided by"),AND(B584="AIR",OR(E584="MOD",E584="DATA",E584="IF",E584="AG",E584="TOOL"),D584="references"),AND(B584="AIR",E584="AIR",D584="depends on"))),"Invalid relationship",IF(AND(M584&lt;&gt;"Superseded",COUNTIFS($B$4:$B$1003,B584,$C$4:$C$1003,C584,$D$4:$D$1003,D584,$E$4:$E$1003,E584,$F$4:$F$1003,F584,$G$4:$G$1003,G584,$M$4:$M$1003,"&lt;&gt;Superseded")&gt;1),"Duplicate relationship",IF(OR(IF(B584="UC",COUNTIF('Use cases'!$A$4:$A$253,C584),IF(B584="CAP",COUNTIF(Capabilities!$A$4:$A$253,C584),IF(B584="AIR",COUNTIF('System map'!$A$4:$A$203,C584),COUNTIFS(Components!$A$4:$A$253,C584,Components!$B$4:$B$253,B584))))&lt;&gt;1,IF(E584="UC",COUNTIF('Use cases'!$A$4:$A$253,F584),IF(E584="CAP",COUNTIF(Capabilities!$A$4:$A$253,F584),IF(E584="AIR",COUNTIF('System map'!$A$4:$A$203,F584),COUNTIFS(Components!$A$4:$A$253,F584,Components!$B$4:$B$253,E584))))&lt;&gt;1),"Endpoint missing or duplicated",IF(AND(NOT(AND(B584="UC",E584="CAP")),OR(G584="",COUNTIF('System map'!$A$4:$A$203,G584)&lt;&gt;1)),"AIR context missing / unknown",IF(AND(B584="CAP",E584="AIR",G584&lt;&gt;F584),"AIR context mismatch",IF(AND(B584="AIR",G584&lt;&gt;C584),"AIR context mismatch",IF(AND(B584="AIR",E584="AIR",C584=F584),"Self-dependency",IF(AND(B584="AIR",E584="AIR",M584&lt;&gt;"Superseded",COUNTIFS($B$4:$B$1003,"AIR",$C$4:$C$1003,F584,$E$4:$E$1003,"AIR",$F$4:$F$1003,C584,$M$4:$M$1003,"&lt;&gt;Superseded")&gt;0),"Dependency cycle (A↔B) — review",IF(AND(B584="AIR",OR(E584="MOD",E584="DATA",E584="IF",E584="AG",E584="TOOL"),IFERROR(INDEX(Components!$G$4:$G$253,MATCH(F584,Components!$A$4:$A$253,0)),"")&lt;&gt;"",IFERROR(INDEX(Components!$G$4:$G$253,MATCH(F584,Components!$A$4:$A$253,0)),"")&lt;&gt;C584),"Component owned by another AIR-ID",IF(AND(M584="Confirmed",OR(IF(B584="UC",COUNTIFS('Use cases'!$A$4:$A$253,C584,'Use cases'!$I$4:$I$253,"Confirmed",'Use cases'!$J$4:$J$253,"OK — verify source"),IF(B584="CAP",COUNTIFS(Capabilities!$A$4:$A$253,C584,Capabilities!$J$4:$J$253,"Confirmed",Capabilities!$K$4:$K$253,"OK — verify source"),IF(B584="AIR",COUNTIFS('System map'!$A$4:$A$203,C584,'System map'!$B$4:$B$203,"&lt;&gt;",'System map'!$C$4:$C$203,"&lt;&gt;",'System map'!$D$4:$D$203,"&lt;&gt;"),COUNTIFS(Components!$A$4:$A$253,C584,Components!$B$4:$B$253,B584,Components!$K$4:$K$253,"Confirmed",Components!$L$4:$L$253,"OK — verify source"))))&lt;&gt;1,IF(E584="UC",COUNTIFS('Use cases'!$A$4:$A$253,F584,'Use cases'!$I$4:$I$253,"Confirmed",'Use cases'!$J$4:$J$253,"OK — verify source"),IF(E584="CAP",COUNTIFS(Capabilities!$A$4:$A$253,F584,Capabilities!$J$4:$J$253,"Confirmed",Capabilities!$K$4:$K$253,"OK — verify source"),IF(E584="AIR",COUNTIFS('System map'!$A$4:$A$203,F584,'System map'!$B$4:$B$203,"&lt;&gt;",'System map'!$C$4:$C$203,"&lt;&gt;",'System map'!$D$4:$D$203,"&lt;&gt;"),COUNTIFS(Components!$A$4:$A$253,F584,Components!$B$4:$B$253,E584,Components!$K$4:$K$253,"Confirmed",Components!$L$4:$L$253,"OK — verify source"))))&lt;&gt;1)),"Endpoint not source-reconciled",IF(AND(M584="Confirmed",OR(L584="",K584="",K584="Unknown",K584="Low")),"Confirmed link lacks verification","OK — verify source"))))))))))))))</f>
        <v/>
      </c>
    </row>
    <row r="585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8" t="n"/>
      <c r="M585" s="27" t="n"/>
      <c r="N585" s="27">
        <f>IF(COUNTA(A585:M585)=0,"",IF(OR(A585="",B585="",C585="",D585="",E585="",F585="",I585="",J585="",K585="",M585=""),"Required link detail missing",IF(COUNTIF($A$4:$A$1003,A585)&gt;1,"Duplicate Map Edge ID",IF(NOT(OR(AND(B585="UC",E585="CAP",D585="requires"),AND(B585="CAP",E585="AIR",D585="provided by"),AND(B585="AIR",OR(E585="MOD",E585="DATA",E585="IF",E585="AG",E585="TOOL"),D585="references"),AND(B585="AIR",E585="AIR",D585="depends on"))),"Invalid relationship",IF(AND(M585&lt;&gt;"Superseded",COUNTIFS($B$4:$B$1003,B585,$C$4:$C$1003,C585,$D$4:$D$1003,D585,$E$4:$E$1003,E585,$F$4:$F$1003,F585,$G$4:$G$1003,G585,$M$4:$M$1003,"&lt;&gt;Superseded")&gt;1),"Duplicate relationship",IF(OR(IF(B585="UC",COUNTIF('Use cases'!$A$4:$A$253,C585),IF(B585="CAP",COUNTIF(Capabilities!$A$4:$A$253,C585),IF(B585="AIR",COUNTIF('System map'!$A$4:$A$203,C585),COUNTIFS(Components!$A$4:$A$253,C585,Components!$B$4:$B$253,B585))))&lt;&gt;1,IF(E585="UC",COUNTIF('Use cases'!$A$4:$A$253,F585),IF(E585="CAP",COUNTIF(Capabilities!$A$4:$A$253,F585),IF(E585="AIR",COUNTIF('System map'!$A$4:$A$203,F585),COUNTIFS(Components!$A$4:$A$253,F585,Components!$B$4:$B$253,E585))))&lt;&gt;1),"Endpoint missing or duplicated",IF(AND(NOT(AND(B585="UC",E585="CAP")),OR(G585="",COUNTIF('System map'!$A$4:$A$203,G585)&lt;&gt;1)),"AIR context missing / unknown",IF(AND(B585="CAP",E585="AIR",G585&lt;&gt;F585),"AIR context mismatch",IF(AND(B585="AIR",G585&lt;&gt;C585),"AIR context mismatch",IF(AND(B585="AIR",E585="AIR",C585=F585),"Self-dependency",IF(AND(B585="AIR",E585="AIR",M585&lt;&gt;"Superseded",COUNTIFS($B$4:$B$1003,"AIR",$C$4:$C$1003,F585,$E$4:$E$1003,"AIR",$F$4:$F$1003,C585,$M$4:$M$1003,"&lt;&gt;Superseded")&gt;0),"Dependency cycle (A↔B) — review",IF(AND(B585="AIR",OR(E585="MOD",E585="DATA",E585="IF",E585="AG",E585="TOOL"),IFERROR(INDEX(Components!$G$4:$G$253,MATCH(F585,Components!$A$4:$A$253,0)),"")&lt;&gt;"",IFERROR(INDEX(Components!$G$4:$G$253,MATCH(F585,Components!$A$4:$A$253,0)),"")&lt;&gt;C585),"Component owned by another AIR-ID",IF(AND(M585="Confirmed",OR(IF(B585="UC",COUNTIFS('Use cases'!$A$4:$A$253,C585,'Use cases'!$I$4:$I$253,"Confirmed",'Use cases'!$J$4:$J$253,"OK — verify source"),IF(B585="CAP",COUNTIFS(Capabilities!$A$4:$A$253,C585,Capabilities!$J$4:$J$253,"Confirmed",Capabilities!$K$4:$K$253,"OK — verify source"),IF(B585="AIR",COUNTIFS('System map'!$A$4:$A$203,C585,'System map'!$B$4:$B$203,"&lt;&gt;",'System map'!$C$4:$C$203,"&lt;&gt;",'System map'!$D$4:$D$203,"&lt;&gt;"),COUNTIFS(Components!$A$4:$A$253,C585,Components!$B$4:$B$253,B585,Components!$K$4:$K$253,"Confirmed",Components!$L$4:$L$253,"OK — verify source"))))&lt;&gt;1,IF(E585="UC",COUNTIFS('Use cases'!$A$4:$A$253,F585,'Use cases'!$I$4:$I$253,"Confirmed",'Use cases'!$J$4:$J$253,"OK — verify source"),IF(E585="CAP",COUNTIFS(Capabilities!$A$4:$A$253,F585,Capabilities!$J$4:$J$253,"Confirmed",Capabilities!$K$4:$K$253,"OK — verify source"),IF(E585="AIR",COUNTIFS('System map'!$A$4:$A$203,F585,'System map'!$B$4:$B$203,"&lt;&gt;",'System map'!$C$4:$C$203,"&lt;&gt;",'System map'!$D$4:$D$203,"&lt;&gt;"),COUNTIFS(Components!$A$4:$A$253,F585,Components!$B$4:$B$253,E585,Components!$K$4:$K$253,"Confirmed",Components!$L$4:$L$253,"OK — verify source"))))&lt;&gt;1)),"Endpoint not source-reconciled",IF(AND(M585="Confirmed",OR(L585="",K585="",K585="Unknown",K585="Low")),"Confirmed link lacks verification","OK — verify source"))))))))))))))</f>
        <v/>
      </c>
    </row>
    <row r="586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6" t="n"/>
      <c r="M586" s="25" t="n"/>
      <c r="N586" s="25">
        <f>IF(COUNTA(A586:M586)=0,"",IF(OR(A586="",B586="",C586="",D586="",E586="",F586="",I586="",J586="",K586="",M586=""),"Required link detail missing",IF(COUNTIF($A$4:$A$1003,A586)&gt;1,"Duplicate Map Edge ID",IF(NOT(OR(AND(B586="UC",E586="CAP",D586="requires"),AND(B586="CAP",E586="AIR",D586="provided by"),AND(B586="AIR",OR(E586="MOD",E586="DATA",E586="IF",E586="AG",E586="TOOL"),D586="references"),AND(B586="AIR",E586="AIR",D586="depends on"))),"Invalid relationship",IF(AND(M586&lt;&gt;"Superseded",COUNTIFS($B$4:$B$1003,B586,$C$4:$C$1003,C586,$D$4:$D$1003,D586,$E$4:$E$1003,E586,$F$4:$F$1003,F586,$G$4:$G$1003,G586,$M$4:$M$1003,"&lt;&gt;Superseded")&gt;1),"Duplicate relationship",IF(OR(IF(B586="UC",COUNTIF('Use cases'!$A$4:$A$253,C586),IF(B586="CAP",COUNTIF(Capabilities!$A$4:$A$253,C586),IF(B586="AIR",COUNTIF('System map'!$A$4:$A$203,C586),COUNTIFS(Components!$A$4:$A$253,C586,Components!$B$4:$B$253,B586))))&lt;&gt;1,IF(E586="UC",COUNTIF('Use cases'!$A$4:$A$253,F586),IF(E586="CAP",COUNTIF(Capabilities!$A$4:$A$253,F586),IF(E586="AIR",COUNTIF('System map'!$A$4:$A$203,F586),COUNTIFS(Components!$A$4:$A$253,F586,Components!$B$4:$B$253,E586))))&lt;&gt;1),"Endpoint missing or duplicated",IF(AND(NOT(AND(B586="UC",E586="CAP")),OR(G586="",COUNTIF('System map'!$A$4:$A$203,G586)&lt;&gt;1)),"AIR context missing / unknown",IF(AND(B586="CAP",E586="AIR",G586&lt;&gt;F586),"AIR context mismatch",IF(AND(B586="AIR",G586&lt;&gt;C586),"AIR context mismatch",IF(AND(B586="AIR",E586="AIR",C586=F586),"Self-dependency",IF(AND(B586="AIR",E586="AIR",M586&lt;&gt;"Superseded",COUNTIFS($B$4:$B$1003,"AIR",$C$4:$C$1003,F586,$E$4:$E$1003,"AIR",$F$4:$F$1003,C586,$M$4:$M$1003,"&lt;&gt;Superseded")&gt;0),"Dependency cycle (A↔B) — review",IF(AND(B586="AIR",OR(E586="MOD",E586="DATA",E586="IF",E586="AG",E586="TOOL"),IFERROR(INDEX(Components!$G$4:$G$253,MATCH(F586,Components!$A$4:$A$253,0)),"")&lt;&gt;"",IFERROR(INDEX(Components!$G$4:$G$253,MATCH(F586,Components!$A$4:$A$253,0)),"")&lt;&gt;C586),"Component owned by another AIR-ID",IF(AND(M586="Confirmed",OR(IF(B586="UC",COUNTIFS('Use cases'!$A$4:$A$253,C586,'Use cases'!$I$4:$I$253,"Confirmed",'Use cases'!$J$4:$J$253,"OK — verify source"),IF(B586="CAP",COUNTIFS(Capabilities!$A$4:$A$253,C586,Capabilities!$J$4:$J$253,"Confirmed",Capabilities!$K$4:$K$253,"OK — verify source"),IF(B586="AIR",COUNTIFS('System map'!$A$4:$A$203,C586,'System map'!$B$4:$B$203,"&lt;&gt;",'System map'!$C$4:$C$203,"&lt;&gt;",'System map'!$D$4:$D$203,"&lt;&gt;"),COUNTIFS(Components!$A$4:$A$253,C586,Components!$B$4:$B$253,B586,Components!$K$4:$K$253,"Confirmed",Components!$L$4:$L$253,"OK — verify source"))))&lt;&gt;1,IF(E586="UC",COUNTIFS('Use cases'!$A$4:$A$253,F586,'Use cases'!$I$4:$I$253,"Confirmed",'Use cases'!$J$4:$J$253,"OK — verify source"),IF(E586="CAP",COUNTIFS(Capabilities!$A$4:$A$253,F586,Capabilities!$J$4:$J$253,"Confirmed",Capabilities!$K$4:$K$253,"OK — verify source"),IF(E586="AIR",COUNTIFS('System map'!$A$4:$A$203,F586,'System map'!$B$4:$B$203,"&lt;&gt;",'System map'!$C$4:$C$203,"&lt;&gt;",'System map'!$D$4:$D$203,"&lt;&gt;"),COUNTIFS(Components!$A$4:$A$253,F586,Components!$B$4:$B$253,E586,Components!$K$4:$K$253,"Confirmed",Components!$L$4:$L$253,"OK — verify source"))))&lt;&gt;1)),"Endpoint not source-reconciled",IF(AND(M586="Confirmed",OR(L586="",K586="",K586="Unknown",K586="Low")),"Confirmed link lacks verification","OK — verify source"))))))))))))))</f>
        <v/>
      </c>
    </row>
    <row r="587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8" t="n"/>
      <c r="M587" s="27" t="n"/>
      <c r="N587" s="27">
        <f>IF(COUNTA(A587:M587)=0,"",IF(OR(A587="",B587="",C587="",D587="",E587="",F587="",I587="",J587="",K587="",M587=""),"Required link detail missing",IF(COUNTIF($A$4:$A$1003,A587)&gt;1,"Duplicate Map Edge ID",IF(NOT(OR(AND(B587="UC",E587="CAP",D587="requires"),AND(B587="CAP",E587="AIR",D587="provided by"),AND(B587="AIR",OR(E587="MOD",E587="DATA",E587="IF",E587="AG",E587="TOOL"),D587="references"),AND(B587="AIR",E587="AIR",D587="depends on"))),"Invalid relationship",IF(AND(M587&lt;&gt;"Superseded",COUNTIFS($B$4:$B$1003,B587,$C$4:$C$1003,C587,$D$4:$D$1003,D587,$E$4:$E$1003,E587,$F$4:$F$1003,F587,$G$4:$G$1003,G587,$M$4:$M$1003,"&lt;&gt;Superseded")&gt;1),"Duplicate relationship",IF(OR(IF(B587="UC",COUNTIF('Use cases'!$A$4:$A$253,C587),IF(B587="CAP",COUNTIF(Capabilities!$A$4:$A$253,C587),IF(B587="AIR",COUNTIF('System map'!$A$4:$A$203,C587),COUNTIFS(Components!$A$4:$A$253,C587,Components!$B$4:$B$253,B587))))&lt;&gt;1,IF(E587="UC",COUNTIF('Use cases'!$A$4:$A$253,F587),IF(E587="CAP",COUNTIF(Capabilities!$A$4:$A$253,F587),IF(E587="AIR",COUNTIF('System map'!$A$4:$A$203,F587),COUNTIFS(Components!$A$4:$A$253,F587,Components!$B$4:$B$253,E587))))&lt;&gt;1),"Endpoint missing or duplicated",IF(AND(NOT(AND(B587="UC",E587="CAP")),OR(G587="",COUNTIF('System map'!$A$4:$A$203,G587)&lt;&gt;1)),"AIR context missing / unknown",IF(AND(B587="CAP",E587="AIR",G587&lt;&gt;F587),"AIR context mismatch",IF(AND(B587="AIR",G587&lt;&gt;C587),"AIR context mismatch",IF(AND(B587="AIR",E587="AIR",C587=F587),"Self-dependency",IF(AND(B587="AIR",E587="AIR",M587&lt;&gt;"Superseded",COUNTIFS($B$4:$B$1003,"AIR",$C$4:$C$1003,F587,$E$4:$E$1003,"AIR",$F$4:$F$1003,C587,$M$4:$M$1003,"&lt;&gt;Superseded")&gt;0),"Dependency cycle (A↔B) — review",IF(AND(B587="AIR",OR(E587="MOD",E587="DATA",E587="IF",E587="AG",E587="TOOL"),IFERROR(INDEX(Components!$G$4:$G$253,MATCH(F587,Components!$A$4:$A$253,0)),"")&lt;&gt;"",IFERROR(INDEX(Components!$G$4:$G$253,MATCH(F587,Components!$A$4:$A$253,0)),"")&lt;&gt;C587),"Component owned by another AIR-ID",IF(AND(M587="Confirmed",OR(IF(B587="UC",COUNTIFS('Use cases'!$A$4:$A$253,C587,'Use cases'!$I$4:$I$253,"Confirmed",'Use cases'!$J$4:$J$253,"OK — verify source"),IF(B587="CAP",COUNTIFS(Capabilities!$A$4:$A$253,C587,Capabilities!$J$4:$J$253,"Confirmed",Capabilities!$K$4:$K$253,"OK — verify source"),IF(B587="AIR",COUNTIFS('System map'!$A$4:$A$203,C587,'System map'!$B$4:$B$203,"&lt;&gt;",'System map'!$C$4:$C$203,"&lt;&gt;",'System map'!$D$4:$D$203,"&lt;&gt;"),COUNTIFS(Components!$A$4:$A$253,C587,Components!$B$4:$B$253,B587,Components!$K$4:$K$253,"Confirmed",Components!$L$4:$L$253,"OK — verify source"))))&lt;&gt;1,IF(E587="UC",COUNTIFS('Use cases'!$A$4:$A$253,F587,'Use cases'!$I$4:$I$253,"Confirmed",'Use cases'!$J$4:$J$253,"OK — verify source"),IF(E587="CAP",COUNTIFS(Capabilities!$A$4:$A$253,F587,Capabilities!$J$4:$J$253,"Confirmed",Capabilities!$K$4:$K$253,"OK — verify source"),IF(E587="AIR",COUNTIFS('System map'!$A$4:$A$203,F587,'System map'!$B$4:$B$203,"&lt;&gt;",'System map'!$C$4:$C$203,"&lt;&gt;",'System map'!$D$4:$D$203,"&lt;&gt;"),COUNTIFS(Components!$A$4:$A$253,F587,Components!$B$4:$B$253,E587,Components!$K$4:$K$253,"Confirmed",Components!$L$4:$L$253,"OK — verify source"))))&lt;&gt;1)),"Endpoint not source-reconciled",IF(AND(M587="Confirmed",OR(L587="",K587="",K587="Unknown",K587="Low")),"Confirmed link lacks verification","OK — verify source"))))))))))))))</f>
        <v/>
      </c>
    </row>
    <row r="588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6" t="n"/>
      <c r="M588" s="25" t="n"/>
      <c r="N588" s="25">
        <f>IF(COUNTA(A588:M588)=0,"",IF(OR(A588="",B588="",C588="",D588="",E588="",F588="",I588="",J588="",K588="",M588=""),"Required link detail missing",IF(COUNTIF($A$4:$A$1003,A588)&gt;1,"Duplicate Map Edge ID",IF(NOT(OR(AND(B588="UC",E588="CAP",D588="requires"),AND(B588="CAP",E588="AIR",D588="provided by"),AND(B588="AIR",OR(E588="MOD",E588="DATA",E588="IF",E588="AG",E588="TOOL"),D588="references"),AND(B588="AIR",E588="AIR",D588="depends on"))),"Invalid relationship",IF(AND(M588&lt;&gt;"Superseded",COUNTIFS($B$4:$B$1003,B588,$C$4:$C$1003,C588,$D$4:$D$1003,D588,$E$4:$E$1003,E588,$F$4:$F$1003,F588,$G$4:$G$1003,G588,$M$4:$M$1003,"&lt;&gt;Superseded")&gt;1),"Duplicate relationship",IF(OR(IF(B588="UC",COUNTIF('Use cases'!$A$4:$A$253,C588),IF(B588="CAP",COUNTIF(Capabilities!$A$4:$A$253,C588),IF(B588="AIR",COUNTIF('System map'!$A$4:$A$203,C588),COUNTIFS(Components!$A$4:$A$253,C588,Components!$B$4:$B$253,B588))))&lt;&gt;1,IF(E588="UC",COUNTIF('Use cases'!$A$4:$A$253,F588),IF(E588="CAP",COUNTIF(Capabilities!$A$4:$A$253,F588),IF(E588="AIR",COUNTIF('System map'!$A$4:$A$203,F588),COUNTIFS(Components!$A$4:$A$253,F588,Components!$B$4:$B$253,E588))))&lt;&gt;1),"Endpoint missing or duplicated",IF(AND(NOT(AND(B588="UC",E588="CAP")),OR(G588="",COUNTIF('System map'!$A$4:$A$203,G588)&lt;&gt;1)),"AIR context missing / unknown",IF(AND(B588="CAP",E588="AIR",G588&lt;&gt;F588),"AIR context mismatch",IF(AND(B588="AIR",G588&lt;&gt;C588),"AIR context mismatch",IF(AND(B588="AIR",E588="AIR",C588=F588),"Self-dependency",IF(AND(B588="AIR",E588="AIR",M588&lt;&gt;"Superseded",COUNTIFS($B$4:$B$1003,"AIR",$C$4:$C$1003,F588,$E$4:$E$1003,"AIR",$F$4:$F$1003,C588,$M$4:$M$1003,"&lt;&gt;Superseded")&gt;0),"Dependency cycle (A↔B) — review",IF(AND(B588="AIR",OR(E588="MOD",E588="DATA",E588="IF",E588="AG",E588="TOOL"),IFERROR(INDEX(Components!$G$4:$G$253,MATCH(F588,Components!$A$4:$A$253,0)),"")&lt;&gt;"",IFERROR(INDEX(Components!$G$4:$G$253,MATCH(F588,Components!$A$4:$A$253,0)),"")&lt;&gt;C588),"Component owned by another AIR-ID",IF(AND(M588="Confirmed",OR(IF(B588="UC",COUNTIFS('Use cases'!$A$4:$A$253,C588,'Use cases'!$I$4:$I$253,"Confirmed",'Use cases'!$J$4:$J$253,"OK — verify source"),IF(B588="CAP",COUNTIFS(Capabilities!$A$4:$A$253,C588,Capabilities!$J$4:$J$253,"Confirmed",Capabilities!$K$4:$K$253,"OK — verify source"),IF(B588="AIR",COUNTIFS('System map'!$A$4:$A$203,C588,'System map'!$B$4:$B$203,"&lt;&gt;",'System map'!$C$4:$C$203,"&lt;&gt;",'System map'!$D$4:$D$203,"&lt;&gt;"),COUNTIFS(Components!$A$4:$A$253,C588,Components!$B$4:$B$253,B588,Components!$K$4:$K$253,"Confirmed",Components!$L$4:$L$253,"OK — verify source"))))&lt;&gt;1,IF(E588="UC",COUNTIFS('Use cases'!$A$4:$A$253,F588,'Use cases'!$I$4:$I$253,"Confirmed",'Use cases'!$J$4:$J$253,"OK — verify source"),IF(E588="CAP",COUNTIFS(Capabilities!$A$4:$A$253,F588,Capabilities!$J$4:$J$253,"Confirmed",Capabilities!$K$4:$K$253,"OK — verify source"),IF(E588="AIR",COUNTIFS('System map'!$A$4:$A$203,F588,'System map'!$B$4:$B$203,"&lt;&gt;",'System map'!$C$4:$C$203,"&lt;&gt;",'System map'!$D$4:$D$203,"&lt;&gt;"),COUNTIFS(Components!$A$4:$A$253,F588,Components!$B$4:$B$253,E588,Components!$K$4:$K$253,"Confirmed",Components!$L$4:$L$253,"OK — verify source"))))&lt;&gt;1)),"Endpoint not source-reconciled",IF(AND(M588="Confirmed",OR(L588="",K588="",K588="Unknown",K588="Low")),"Confirmed link lacks verification","OK — verify source"))))))))))))))</f>
        <v/>
      </c>
    </row>
    <row r="589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8" t="n"/>
      <c r="M589" s="27" t="n"/>
      <c r="N589" s="27">
        <f>IF(COUNTA(A589:M589)=0,"",IF(OR(A589="",B589="",C589="",D589="",E589="",F589="",I589="",J589="",K589="",M589=""),"Required link detail missing",IF(COUNTIF($A$4:$A$1003,A589)&gt;1,"Duplicate Map Edge ID",IF(NOT(OR(AND(B589="UC",E589="CAP",D589="requires"),AND(B589="CAP",E589="AIR",D589="provided by"),AND(B589="AIR",OR(E589="MOD",E589="DATA",E589="IF",E589="AG",E589="TOOL"),D589="references"),AND(B589="AIR",E589="AIR",D589="depends on"))),"Invalid relationship",IF(AND(M589&lt;&gt;"Superseded",COUNTIFS($B$4:$B$1003,B589,$C$4:$C$1003,C589,$D$4:$D$1003,D589,$E$4:$E$1003,E589,$F$4:$F$1003,F589,$G$4:$G$1003,G589,$M$4:$M$1003,"&lt;&gt;Superseded")&gt;1),"Duplicate relationship",IF(OR(IF(B589="UC",COUNTIF('Use cases'!$A$4:$A$253,C589),IF(B589="CAP",COUNTIF(Capabilities!$A$4:$A$253,C589),IF(B589="AIR",COUNTIF('System map'!$A$4:$A$203,C589),COUNTIFS(Components!$A$4:$A$253,C589,Components!$B$4:$B$253,B589))))&lt;&gt;1,IF(E589="UC",COUNTIF('Use cases'!$A$4:$A$253,F589),IF(E589="CAP",COUNTIF(Capabilities!$A$4:$A$253,F589),IF(E589="AIR",COUNTIF('System map'!$A$4:$A$203,F589),COUNTIFS(Components!$A$4:$A$253,F589,Components!$B$4:$B$253,E589))))&lt;&gt;1),"Endpoint missing or duplicated",IF(AND(NOT(AND(B589="UC",E589="CAP")),OR(G589="",COUNTIF('System map'!$A$4:$A$203,G589)&lt;&gt;1)),"AIR context missing / unknown",IF(AND(B589="CAP",E589="AIR",G589&lt;&gt;F589),"AIR context mismatch",IF(AND(B589="AIR",G589&lt;&gt;C589),"AIR context mismatch",IF(AND(B589="AIR",E589="AIR",C589=F589),"Self-dependency",IF(AND(B589="AIR",E589="AIR",M589&lt;&gt;"Superseded",COUNTIFS($B$4:$B$1003,"AIR",$C$4:$C$1003,F589,$E$4:$E$1003,"AIR",$F$4:$F$1003,C589,$M$4:$M$1003,"&lt;&gt;Superseded")&gt;0),"Dependency cycle (A↔B) — review",IF(AND(B589="AIR",OR(E589="MOD",E589="DATA",E589="IF",E589="AG",E589="TOOL"),IFERROR(INDEX(Components!$G$4:$G$253,MATCH(F589,Components!$A$4:$A$253,0)),"")&lt;&gt;"",IFERROR(INDEX(Components!$G$4:$G$253,MATCH(F589,Components!$A$4:$A$253,0)),"")&lt;&gt;C589),"Component owned by another AIR-ID",IF(AND(M589="Confirmed",OR(IF(B589="UC",COUNTIFS('Use cases'!$A$4:$A$253,C589,'Use cases'!$I$4:$I$253,"Confirmed",'Use cases'!$J$4:$J$253,"OK — verify source"),IF(B589="CAP",COUNTIFS(Capabilities!$A$4:$A$253,C589,Capabilities!$J$4:$J$253,"Confirmed",Capabilities!$K$4:$K$253,"OK — verify source"),IF(B589="AIR",COUNTIFS('System map'!$A$4:$A$203,C589,'System map'!$B$4:$B$203,"&lt;&gt;",'System map'!$C$4:$C$203,"&lt;&gt;",'System map'!$D$4:$D$203,"&lt;&gt;"),COUNTIFS(Components!$A$4:$A$253,C589,Components!$B$4:$B$253,B589,Components!$K$4:$K$253,"Confirmed",Components!$L$4:$L$253,"OK — verify source"))))&lt;&gt;1,IF(E589="UC",COUNTIFS('Use cases'!$A$4:$A$253,F589,'Use cases'!$I$4:$I$253,"Confirmed",'Use cases'!$J$4:$J$253,"OK — verify source"),IF(E589="CAP",COUNTIFS(Capabilities!$A$4:$A$253,F589,Capabilities!$J$4:$J$253,"Confirmed",Capabilities!$K$4:$K$253,"OK — verify source"),IF(E589="AIR",COUNTIFS('System map'!$A$4:$A$203,F589,'System map'!$B$4:$B$203,"&lt;&gt;",'System map'!$C$4:$C$203,"&lt;&gt;",'System map'!$D$4:$D$203,"&lt;&gt;"),COUNTIFS(Components!$A$4:$A$253,F589,Components!$B$4:$B$253,E589,Components!$K$4:$K$253,"Confirmed",Components!$L$4:$L$253,"OK — verify source"))))&lt;&gt;1)),"Endpoint not source-reconciled",IF(AND(M589="Confirmed",OR(L589="",K589="",K589="Unknown",K589="Low")),"Confirmed link lacks verification","OK — verify source"))))))))))))))</f>
        <v/>
      </c>
    </row>
    <row r="590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6" t="n"/>
      <c r="M590" s="25" t="n"/>
      <c r="N590" s="25">
        <f>IF(COUNTA(A590:M590)=0,"",IF(OR(A590="",B590="",C590="",D590="",E590="",F590="",I590="",J590="",K590="",M590=""),"Required link detail missing",IF(COUNTIF($A$4:$A$1003,A590)&gt;1,"Duplicate Map Edge ID",IF(NOT(OR(AND(B590="UC",E590="CAP",D590="requires"),AND(B590="CAP",E590="AIR",D590="provided by"),AND(B590="AIR",OR(E590="MOD",E590="DATA",E590="IF",E590="AG",E590="TOOL"),D590="references"),AND(B590="AIR",E590="AIR",D590="depends on"))),"Invalid relationship",IF(AND(M590&lt;&gt;"Superseded",COUNTIFS($B$4:$B$1003,B590,$C$4:$C$1003,C590,$D$4:$D$1003,D590,$E$4:$E$1003,E590,$F$4:$F$1003,F590,$G$4:$G$1003,G590,$M$4:$M$1003,"&lt;&gt;Superseded")&gt;1),"Duplicate relationship",IF(OR(IF(B590="UC",COUNTIF('Use cases'!$A$4:$A$253,C590),IF(B590="CAP",COUNTIF(Capabilities!$A$4:$A$253,C590),IF(B590="AIR",COUNTIF('System map'!$A$4:$A$203,C590),COUNTIFS(Components!$A$4:$A$253,C590,Components!$B$4:$B$253,B590))))&lt;&gt;1,IF(E590="UC",COUNTIF('Use cases'!$A$4:$A$253,F590),IF(E590="CAP",COUNTIF(Capabilities!$A$4:$A$253,F590),IF(E590="AIR",COUNTIF('System map'!$A$4:$A$203,F590),COUNTIFS(Components!$A$4:$A$253,F590,Components!$B$4:$B$253,E590))))&lt;&gt;1),"Endpoint missing or duplicated",IF(AND(NOT(AND(B590="UC",E590="CAP")),OR(G590="",COUNTIF('System map'!$A$4:$A$203,G590)&lt;&gt;1)),"AIR context missing / unknown",IF(AND(B590="CAP",E590="AIR",G590&lt;&gt;F590),"AIR context mismatch",IF(AND(B590="AIR",G590&lt;&gt;C590),"AIR context mismatch",IF(AND(B590="AIR",E590="AIR",C590=F590),"Self-dependency",IF(AND(B590="AIR",E590="AIR",M590&lt;&gt;"Superseded",COUNTIFS($B$4:$B$1003,"AIR",$C$4:$C$1003,F590,$E$4:$E$1003,"AIR",$F$4:$F$1003,C590,$M$4:$M$1003,"&lt;&gt;Superseded")&gt;0),"Dependency cycle (A↔B) — review",IF(AND(B590="AIR",OR(E590="MOD",E590="DATA",E590="IF",E590="AG",E590="TOOL"),IFERROR(INDEX(Components!$G$4:$G$253,MATCH(F590,Components!$A$4:$A$253,0)),"")&lt;&gt;"",IFERROR(INDEX(Components!$G$4:$G$253,MATCH(F590,Components!$A$4:$A$253,0)),"")&lt;&gt;C590),"Component owned by another AIR-ID",IF(AND(M590="Confirmed",OR(IF(B590="UC",COUNTIFS('Use cases'!$A$4:$A$253,C590,'Use cases'!$I$4:$I$253,"Confirmed",'Use cases'!$J$4:$J$253,"OK — verify source"),IF(B590="CAP",COUNTIFS(Capabilities!$A$4:$A$253,C590,Capabilities!$J$4:$J$253,"Confirmed",Capabilities!$K$4:$K$253,"OK — verify source"),IF(B590="AIR",COUNTIFS('System map'!$A$4:$A$203,C590,'System map'!$B$4:$B$203,"&lt;&gt;",'System map'!$C$4:$C$203,"&lt;&gt;",'System map'!$D$4:$D$203,"&lt;&gt;"),COUNTIFS(Components!$A$4:$A$253,C590,Components!$B$4:$B$253,B590,Components!$K$4:$K$253,"Confirmed",Components!$L$4:$L$253,"OK — verify source"))))&lt;&gt;1,IF(E590="UC",COUNTIFS('Use cases'!$A$4:$A$253,F590,'Use cases'!$I$4:$I$253,"Confirmed",'Use cases'!$J$4:$J$253,"OK — verify source"),IF(E590="CAP",COUNTIFS(Capabilities!$A$4:$A$253,F590,Capabilities!$J$4:$J$253,"Confirmed",Capabilities!$K$4:$K$253,"OK — verify source"),IF(E590="AIR",COUNTIFS('System map'!$A$4:$A$203,F590,'System map'!$B$4:$B$203,"&lt;&gt;",'System map'!$C$4:$C$203,"&lt;&gt;",'System map'!$D$4:$D$203,"&lt;&gt;"),COUNTIFS(Components!$A$4:$A$253,F590,Components!$B$4:$B$253,E590,Components!$K$4:$K$253,"Confirmed",Components!$L$4:$L$253,"OK — verify source"))))&lt;&gt;1)),"Endpoint not source-reconciled",IF(AND(M590="Confirmed",OR(L590="",K590="",K590="Unknown",K590="Low")),"Confirmed link lacks verification","OK — verify source"))))))))))))))</f>
        <v/>
      </c>
    </row>
    <row r="591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8" t="n"/>
      <c r="M591" s="27" t="n"/>
      <c r="N591" s="27">
        <f>IF(COUNTA(A591:M591)=0,"",IF(OR(A591="",B591="",C591="",D591="",E591="",F591="",I591="",J591="",K591="",M591=""),"Required link detail missing",IF(COUNTIF($A$4:$A$1003,A591)&gt;1,"Duplicate Map Edge ID",IF(NOT(OR(AND(B591="UC",E591="CAP",D591="requires"),AND(B591="CAP",E591="AIR",D591="provided by"),AND(B591="AIR",OR(E591="MOD",E591="DATA",E591="IF",E591="AG",E591="TOOL"),D591="references"),AND(B591="AIR",E591="AIR",D591="depends on"))),"Invalid relationship",IF(AND(M591&lt;&gt;"Superseded",COUNTIFS($B$4:$B$1003,B591,$C$4:$C$1003,C591,$D$4:$D$1003,D591,$E$4:$E$1003,E591,$F$4:$F$1003,F591,$G$4:$G$1003,G591,$M$4:$M$1003,"&lt;&gt;Superseded")&gt;1),"Duplicate relationship",IF(OR(IF(B591="UC",COUNTIF('Use cases'!$A$4:$A$253,C591),IF(B591="CAP",COUNTIF(Capabilities!$A$4:$A$253,C591),IF(B591="AIR",COUNTIF('System map'!$A$4:$A$203,C591),COUNTIFS(Components!$A$4:$A$253,C591,Components!$B$4:$B$253,B591))))&lt;&gt;1,IF(E591="UC",COUNTIF('Use cases'!$A$4:$A$253,F591),IF(E591="CAP",COUNTIF(Capabilities!$A$4:$A$253,F591),IF(E591="AIR",COUNTIF('System map'!$A$4:$A$203,F591),COUNTIFS(Components!$A$4:$A$253,F591,Components!$B$4:$B$253,E591))))&lt;&gt;1),"Endpoint missing or duplicated",IF(AND(NOT(AND(B591="UC",E591="CAP")),OR(G591="",COUNTIF('System map'!$A$4:$A$203,G591)&lt;&gt;1)),"AIR context missing / unknown",IF(AND(B591="CAP",E591="AIR",G591&lt;&gt;F591),"AIR context mismatch",IF(AND(B591="AIR",G591&lt;&gt;C591),"AIR context mismatch",IF(AND(B591="AIR",E591="AIR",C591=F591),"Self-dependency",IF(AND(B591="AIR",E591="AIR",M591&lt;&gt;"Superseded",COUNTIFS($B$4:$B$1003,"AIR",$C$4:$C$1003,F591,$E$4:$E$1003,"AIR",$F$4:$F$1003,C591,$M$4:$M$1003,"&lt;&gt;Superseded")&gt;0),"Dependency cycle (A↔B) — review",IF(AND(B591="AIR",OR(E591="MOD",E591="DATA",E591="IF",E591="AG",E591="TOOL"),IFERROR(INDEX(Components!$G$4:$G$253,MATCH(F591,Components!$A$4:$A$253,0)),"")&lt;&gt;"",IFERROR(INDEX(Components!$G$4:$G$253,MATCH(F591,Components!$A$4:$A$253,0)),"")&lt;&gt;C591),"Component owned by another AIR-ID",IF(AND(M591="Confirmed",OR(IF(B591="UC",COUNTIFS('Use cases'!$A$4:$A$253,C591,'Use cases'!$I$4:$I$253,"Confirmed",'Use cases'!$J$4:$J$253,"OK — verify source"),IF(B591="CAP",COUNTIFS(Capabilities!$A$4:$A$253,C591,Capabilities!$J$4:$J$253,"Confirmed",Capabilities!$K$4:$K$253,"OK — verify source"),IF(B591="AIR",COUNTIFS('System map'!$A$4:$A$203,C591,'System map'!$B$4:$B$203,"&lt;&gt;",'System map'!$C$4:$C$203,"&lt;&gt;",'System map'!$D$4:$D$203,"&lt;&gt;"),COUNTIFS(Components!$A$4:$A$253,C591,Components!$B$4:$B$253,B591,Components!$K$4:$K$253,"Confirmed",Components!$L$4:$L$253,"OK — verify source"))))&lt;&gt;1,IF(E591="UC",COUNTIFS('Use cases'!$A$4:$A$253,F591,'Use cases'!$I$4:$I$253,"Confirmed",'Use cases'!$J$4:$J$253,"OK — verify source"),IF(E591="CAP",COUNTIFS(Capabilities!$A$4:$A$253,F591,Capabilities!$J$4:$J$253,"Confirmed",Capabilities!$K$4:$K$253,"OK — verify source"),IF(E591="AIR",COUNTIFS('System map'!$A$4:$A$203,F591,'System map'!$B$4:$B$203,"&lt;&gt;",'System map'!$C$4:$C$203,"&lt;&gt;",'System map'!$D$4:$D$203,"&lt;&gt;"),COUNTIFS(Components!$A$4:$A$253,F591,Components!$B$4:$B$253,E591,Components!$K$4:$K$253,"Confirmed",Components!$L$4:$L$253,"OK — verify source"))))&lt;&gt;1)),"Endpoint not source-reconciled",IF(AND(M591="Confirmed",OR(L591="",K591="",K591="Unknown",K591="Low")),"Confirmed link lacks verification","OK — verify source"))))))))))))))</f>
        <v/>
      </c>
    </row>
    <row r="592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6" t="n"/>
      <c r="M592" s="25" t="n"/>
      <c r="N592" s="25">
        <f>IF(COUNTA(A592:M592)=0,"",IF(OR(A592="",B592="",C592="",D592="",E592="",F592="",I592="",J592="",K592="",M592=""),"Required link detail missing",IF(COUNTIF($A$4:$A$1003,A592)&gt;1,"Duplicate Map Edge ID",IF(NOT(OR(AND(B592="UC",E592="CAP",D592="requires"),AND(B592="CAP",E592="AIR",D592="provided by"),AND(B592="AIR",OR(E592="MOD",E592="DATA",E592="IF",E592="AG",E592="TOOL"),D592="references"),AND(B592="AIR",E592="AIR",D592="depends on"))),"Invalid relationship",IF(AND(M592&lt;&gt;"Superseded",COUNTIFS($B$4:$B$1003,B592,$C$4:$C$1003,C592,$D$4:$D$1003,D592,$E$4:$E$1003,E592,$F$4:$F$1003,F592,$G$4:$G$1003,G592,$M$4:$M$1003,"&lt;&gt;Superseded")&gt;1),"Duplicate relationship",IF(OR(IF(B592="UC",COUNTIF('Use cases'!$A$4:$A$253,C592),IF(B592="CAP",COUNTIF(Capabilities!$A$4:$A$253,C592),IF(B592="AIR",COUNTIF('System map'!$A$4:$A$203,C592),COUNTIFS(Components!$A$4:$A$253,C592,Components!$B$4:$B$253,B592))))&lt;&gt;1,IF(E592="UC",COUNTIF('Use cases'!$A$4:$A$253,F592),IF(E592="CAP",COUNTIF(Capabilities!$A$4:$A$253,F592),IF(E592="AIR",COUNTIF('System map'!$A$4:$A$203,F592),COUNTIFS(Components!$A$4:$A$253,F592,Components!$B$4:$B$253,E592))))&lt;&gt;1),"Endpoint missing or duplicated",IF(AND(NOT(AND(B592="UC",E592="CAP")),OR(G592="",COUNTIF('System map'!$A$4:$A$203,G592)&lt;&gt;1)),"AIR context missing / unknown",IF(AND(B592="CAP",E592="AIR",G592&lt;&gt;F592),"AIR context mismatch",IF(AND(B592="AIR",G592&lt;&gt;C592),"AIR context mismatch",IF(AND(B592="AIR",E592="AIR",C592=F592),"Self-dependency",IF(AND(B592="AIR",E592="AIR",M592&lt;&gt;"Superseded",COUNTIFS($B$4:$B$1003,"AIR",$C$4:$C$1003,F592,$E$4:$E$1003,"AIR",$F$4:$F$1003,C592,$M$4:$M$1003,"&lt;&gt;Superseded")&gt;0),"Dependency cycle (A↔B) — review",IF(AND(B592="AIR",OR(E592="MOD",E592="DATA",E592="IF",E592="AG",E592="TOOL"),IFERROR(INDEX(Components!$G$4:$G$253,MATCH(F592,Components!$A$4:$A$253,0)),"")&lt;&gt;"",IFERROR(INDEX(Components!$G$4:$G$253,MATCH(F592,Components!$A$4:$A$253,0)),"")&lt;&gt;C592),"Component owned by another AIR-ID",IF(AND(M592="Confirmed",OR(IF(B592="UC",COUNTIFS('Use cases'!$A$4:$A$253,C592,'Use cases'!$I$4:$I$253,"Confirmed",'Use cases'!$J$4:$J$253,"OK — verify source"),IF(B592="CAP",COUNTIFS(Capabilities!$A$4:$A$253,C592,Capabilities!$J$4:$J$253,"Confirmed",Capabilities!$K$4:$K$253,"OK — verify source"),IF(B592="AIR",COUNTIFS('System map'!$A$4:$A$203,C592,'System map'!$B$4:$B$203,"&lt;&gt;",'System map'!$C$4:$C$203,"&lt;&gt;",'System map'!$D$4:$D$203,"&lt;&gt;"),COUNTIFS(Components!$A$4:$A$253,C592,Components!$B$4:$B$253,B592,Components!$K$4:$K$253,"Confirmed",Components!$L$4:$L$253,"OK — verify source"))))&lt;&gt;1,IF(E592="UC",COUNTIFS('Use cases'!$A$4:$A$253,F592,'Use cases'!$I$4:$I$253,"Confirmed",'Use cases'!$J$4:$J$253,"OK — verify source"),IF(E592="CAP",COUNTIFS(Capabilities!$A$4:$A$253,F592,Capabilities!$J$4:$J$253,"Confirmed",Capabilities!$K$4:$K$253,"OK — verify source"),IF(E592="AIR",COUNTIFS('System map'!$A$4:$A$203,F592,'System map'!$B$4:$B$203,"&lt;&gt;",'System map'!$C$4:$C$203,"&lt;&gt;",'System map'!$D$4:$D$203,"&lt;&gt;"),COUNTIFS(Components!$A$4:$A$253,F592,Components!$B$4:$B$253,E592,Components!$K$4:$K$253,"Confirmed",Components!$L$4:$L$253,"OK — verify source"))))&lt;&gt;1)),"Endpoint not source-reconciled",IF(AND(M592="Confirmed",OR(L592="",K592="",K592="Unknown",K592="Low")),"Confirmed link lacks verification","OK — verify source"))))))))))))))</f>
        <v/>
      </c>
    </row>
    <row r="593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8" t="n"/>
      <c r="M593" s="27" t="n"/>
      <c r="N593" s="27">
        <f>IF(COUNTA(A593:M593)=0,"",IF(OR(A593="",B593="",C593="",D593="",E593="",F593="",I593="",J593="",K593="",M593=""),"Required link detail missing",IF(COUNTIF($A$4:$A$1003,A593)&gt;1,"Duplicate Map Edge ID",IF(NOT(OR(AND(B593="UC",E593="CAP",D593="requires"),AND(B593="CAP",E593="AIR",D593="provided by"),AND(B593="AIR",OR(E593="MOD",E593="DATA",E593="IF",E593="AG",E593="TOOL"),D593="references"),AND(B593="AIR",E593="AIR",D593="depends on"))),"Invalid relationship",IF(AND(M593&lt;&gt;"Superseded",COUNTIFS($B$4:$B$1003,B593,$C$4:$C$1003,C593,$D$4:$D$1003,D593,$E$4:$E$1003,E593,$F$4:$F$1003,F593,$G$4:$G$1003,G593,$M$4:$M$1003,"&lt;&gt;Superseded")&gt;1),"Duplicate relationship",IF(OR(IF(B593="UC",COUNTIF('Use cases'!$A$4:$A$253,C593),IF(B593="CAP",COUNTIF(Capabilities!$A$4:$A$253,C593),IF(B593="AIR",COUNTIF('System map'!$A$4:$A$203,C593),COUNTIFS(Components!$A$4:$A$253,C593,Components!$B$4:$B$253,B593))))&lt;&gt;1,IF(E593="UC",COUNTIF('Use cases'!$A$4:$A$253,F593),IF(E593="CAP",COUNTIF(Capabilities!$A$4:$A$253,F593),IF(E593="AIR",COUNTIF('System map'!$A$4:$A$203,F593),COUNTIFS(Components!$A$4:$A$253,F593,Components!$B$4:$B$253,E593))))&lt;&gt;1),"Endpoint missing or duplicated",IF(AND(NOT(AND(B593="UC",E593="CAP")),OR(G593="",COUNTIF('System map'!$A$4:$A$203,G593)&lt;&gt;1)),"AIR context missing / unknown",IF(AND(B593="CAP",E593="AIR",G593&lt;&gt;F593),"AIR context mismatch",IF(AND(B593="AIR",G593&lt;&gt;C593),"AIR context mismatch",IF(AND(B593="AIR",E593="AIR",C593=F593),"Self-dependency",IF(AND(B593="AIR",E593="AIR",M593&lt;&gt;"Superseded",COUNTIFS($B$4:$B$1003,"AIR",$C$4:$C$1003,F593,$E$4:$E$1003,"AIR",$F$4:$F$1003,C593,$M$4:$M$1003,"&lt;&gt;Superseded")&gt;0),"Dependency cycle (A↔B) — review",IF(AND(B593="AIR",OR(E593="MOD",E593="DATA",E593="IF",E593="AG",E593="TOOL"),IFERROR(INDEX(Components!$G$4:$G$253,MATCH(F593,Components!$A$4:$A$253,0)),"")&lt;&gt;"",IFERROR(INDEX(Components!$G$4:$G$253,MATCH(F593,Components!$A$4:$A$253,0)),"")&lt;&gt;C593),"Component owned by another AIR-ID",IF(AND(M593="Confirmed",OR(IF(B593="UC",COUNTIFS('Use cases'!$A$4:$A$253,C593,'Use cases'!$I$4:$I$253,"Confirmed",'Use cases'!$J$4:$J$253,"OK — verify source"),IF(B593="CAP",COUNTIFS(Capabilities!$A$4:$A$253,C593,Capabilities!$J$4:$J$253,"Confirmed",Capabilities!$K$4:$K$253,"OK — verify source"),IF(B593="AIR",COUNTIFS('System map'!$A$4:$A$203,C593,'System map'!$B$4:$B$203,"&lt;&gt;",'System map'!$C$4:$C$203,"&lt;&gt;",'System map'!$D$4:$D$203,"&lt;&gt;"),COUNTIFS(Components!$A$4:$A$253,C593,Components!$B$4:$B$253,B593,Components!$K$4:$K$253,"Confirmed",Components!$L$4:$L$253,"OK — verify source"))))&lt;&gt;1,IF(E593="UC",COUNTIFS('Use cases'!$A$4:$A$253,F593,'Use cases'!$I$4:$I$253,"Confirmed",'Use cases'!$J$4:$J$253,"OK — verify source"),IF(E593="CAP",COUNTIFS(Capabilities!$A$4:$A$253,F593,Capabilities!$J$4:$J$253,"Confirmed",Capabilities!$K$4:$K$253,"OK — verify source"),IF(E593="AIR",COUNTIFS('System map'!$A$4:$A$203,F593,'System map'!$B$4:$B$203,"&lt;&gt;",'System map'!$C$4:$C$203,"&lt;&gt;",'System map'!$D$4:$D$203,"&lt;&gt;"),COUNTIFS(Components!$A$4:$A$253,F593,Components!$B$4:$B$253,E593,Components!$K$4:$K$253,"Confirmed",Components!$L$4:$L$253,"OK — verify source"))))&lt;&gt;1)),"Endpoint not source-reconciled",IF(AND(M593="Confirmed",OR(L593="",K593="",K593="Unknown",K593="Low")),"Confirmed link lacks verification","OK — verify source"))))))))))))))</f>
        <v/>
      </c>
    </row>
    <row r="59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6" t="n"/>
      <c r="M594" s="25" t="n"/>
      <c r="N594" s="25">
        <f>IF(COUNTA(A594:M594)=0,"",IF(OR(A594="",B594="",C594="",D594="",E594="",F594="",I594="",J594="",K594="",M594=""),"Required link detail missing",IF(COUNTIF($A$4:$A$1003,A594)&gt;1,"Duplicate Map Edge ID",IF(NOT(OR(AND(B594="UC",E594="CAP",D594="requires"),AND(B594="CAP",E594="AIR",D594="provided by"),AND(B594="AIR",OR(E594="MOD",E594="DATA",E594="IF",E594="AG",E594="TOOL"),D594="references"),AND(B594="AIR",E594="AIR",D594="depends on"))),"Invalid relationship",IF(AND(M594&lt;&gt;"Superseded",COUNTIFS($B$4:$B$1003,B594,$C$4:$C$1003,C594,$D$4:$D$1003,D594,$E$4:$E$1003,E594,$F$4:$F$1003,F594,$G$4:$G$1003,G594,$M$4:$M$1003,"&lt;&gt;Superseded")&gt;1),"Duplicate relationship",IF(OR(IF(B594="UC",COUNTIF('Use cases'!$A$4:$A$253,C594),IF(B594="CAP",COUNTIF(Capabilities!$A$4:$A$253,C594),IF(B594="AIR",COUNTIF('System map'!$A$4:$A$203,C594),COUNTIFS(Components!$A$4:$A$253,C594,Components!$B$4:$B$253,B594))))&lt;&gt;1,IF(E594="UC",COUNTIF('Use cases'!$A$4:$A$253,F594),IF(E594="CAP",COUNTIF(Capabilities!$A$4:$A$253,F594),IF(E594="AIR",COUNTIF('System map'!$A$4:$A$203,F594),COUNTIFS(Components!$A$4:$A$253,F594,Components!$B$4:$B$253,E594))))&lt;&gt;1),"Endpoint missing or duplicated",IF(AND(NOT(AND(B594="UC",E594="CAP")),OR(G594="",COUNTIF('System map'!$A$4:$A$203,G594)&lt;&gt;1)),"AIR context missing / unknown",IF(AND(B594="CAP",E594="AIR",G594&lt;&gt;F594),"AIR context mismatch",IF(AND(B594="AIR",G594&lt;&gt;C594),"AIR context mismatch",IF(AND(B594="AIR",E594="AIR",C594=F594),"Self-dependency",IF(AND(B594="AIR",E594="AIR",M594&lt;&gt;"Superseded",COUNTIFS($B$4:$B$1003,"AIR",$C$4:$C$1003,F594,$E$4:$E$1003,"AIR",$F$4:$F$1003,C594,$M$4:$M$1003,"&lt;&gt;Superseded")&gt;0),"Dependency cycle (A↔B) — review",IF(AND(B594="AIR",OR(E594="MOD",E594="DATA",E594="IF",E594="AG",E594="TOOL"),IFERROR(INDEX(Components!$G$4:$G$253,MATCH(F594,Components!$A$4:$A$253,0)),"")&lt;&gt;"",IFERROR(INDEX(Components!$G$4:$G$253,MATCH(F594,Components!$A$4:$A$253,0)),"")&lt;&gt;C594),"Component owned by another AIR-ID",IF(AND(M594="Confirmed",OR(IF(B594="UC",COUNTIFS('Use cases'!$A$4:$A$253,C594,'Use cases'!$I$4:$I$253,"Confirmed",'Use cases'!$J$4:$J$253,"OK — verify source"),IF(B594="CAP",COUNTIFS(Capabilities!$A$4:$A$253,C594,Capabilities!$J$4:$J$253,"Confirmed",Capabilities!$K$4:$K$253,"OK — verify source"),IF(B594="AIR",COUNTIFS('System map'!$A$4:$A$203,C594,'System map'!$B$4:$B$203,"&lt;&gt;",'System map'!$C$4:$C$203,"&lt;&gt;",'System map'!$D$4:$D$203,"&lt;&gt;"),COUNTIFS(Components!$A$4:$A$253,C594,Components!$B$4:$B$253,B594,Components!$K$4:$K$253,"Confirmed",Components!$L$4:$L$253,"OK — verify source"))))&lt;&gt;1,IF(E594="UC",COUNTIFS('Use cases'!$A$4:$A$253,F594,'Use cases'!$I$4:$I$253,"Confirmed",'Use cases'!$J$4:$J$253,"OK — verify source"),IF(E594="CAP",COUNTIFS(Capabilities!$A$4:$A$253,F594,Capabilities!$J$4:$J$253,"Confirmed",Capabilities!$K$4:$K$253,"OK — verify source"),IF(E594="AIR",COUNTIFS('System map'!$A$4:$A$203,F594,'System map'!$B$4:$B$203,"&lt;&gt;",'System map'!$C$4:$C$203,"&lt;&gt;",'System map'!$D$4:$D$203,"&lt;&gt;"),COUNTIFS(Components!$A$4:$A$253,F594,Components!$B$4:$B$253,E594,Components!$K$4:$K$253,"Confirmed",Components!$L$4:$L$253,"OK — verify source"))))&lt;&gt;1)),"Endpoint not source-reconciled",IF(AND(M594="Confirmed",OR(L594="",K594="",K594="Unknown",K594="Low")),"Confirmed link lacks verification","OK — verify source"))))))))))))))</f>
        <v/>
      </c>
    </row>
    <row r="595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8" t="n"/>
      <c r="M595" s="27" t="n"/>
      <c r="N595" s="27">
        <f>IF(COUNTA(A595:M595)=0,"",IF(OR(A595="",B595="",C595="",D595="",E595="",F595="",I595="",J595="",K595="",M595=""),"Required link detail missing",IF(COUNTIF($A$4:$A$1003,A595)&gt;1,"Duplicate Map Edge ID",IF(NOT(OR(AND(B595="UC",E595="CAP",D595="requires"),AND(B595="CAP",E595="AIR",D595="provided by"),AND(B595="AIR",OR(E595="MOD",E595="DATA",E595="IF",E595="AG",E595="TOOL"),D595="references"),AND(B595="AIR",E595="AIR",D595="depends on"))),"Invalid relationship",IF(AND(M595&lt;&gt;"Superseded",COUNTIFS($B$4:$B$1003,B595,$C$4:$C$1003,C595,$D$4:$D$1003,D595,$E$4:$E$1003,E595,$F$4:$F$1003,F595,$G$4:$G$1003,G595,$M$4:$M$1003,"&lt;&gt;Superseded")&gt;1),"Duplicate relationship",IF(OR(IF(B595="UC",COUNTIF('Use cases'!$A$4:$A$253,C595),IF(B595="CAP",COUNTIF(Capabilities!$A$4:$A$253,C595),IF(B595="AIR",COUNTIF('System map'!$A$4:$A$203,C595),COUNTIFS(Components!$A$4:$A$253,C595,Components!$B$4:$B$253,B595))))&lt;&gt;1,IF(E595="UC",COUNTIF('Use cases'!$A$4:$A$253,F595),IF(E595="CAP",COUNTIF(Capabilities!$A$4:$A$253,F595),IF(E595="AIR",COUNTIF('System map'!$A$4:$A$203,F595),COUNTIFS(Components!$A$4:$A$253,F595,Components!$B$4:$B$253,E595))))&lt;&gt;1),"Endpoint missing or duplicated",IF(AND(NOT(AND(B595="UC",E595="CAP")),OR(G595="",COUNTIF('System map'!$A$4:$A$203,G595)&lt;&gt;1)),"AIR context missing / unknown",IF(AND(B595="CAP",E595="AIR",G595&lt;&gt;F595),"AIR context mismatch",IF(AND(B595="AIR",G595&lt;&gt;C595),"AIR context mismatch",IF(AND(B595="AIR",E595="AIR",C595=F595),"Self-dependency",IF(AND(B595="AIR",E595="AIR",M595&lt;&gt;"Superseded",COUNTIFS($B$4:$B$1003,"AIR",$C$4:$C$1003,F595,$E$4:$E$1003,"AIR",$F$4:$F$1003,C595,$M$4:$M$1003,"&lt;&gt;Superseded")&gt;0),"Dependency cycle (A↔B) — review",IF(AND(B595="AIR",OR(E595="MOD",E595="DATA",E595="IF",E595="AG",E595="TOOL"),IFERROR(INDEX(Components!$G$4:$G$253,MATCH(F595,Components!$A$4:$A$253,0)),"")&lt;&gt;"",IFERROR(INDEX(Components!$G$4:$G$253,MATCH(F595,Components!$A$4:$A$253,0)),"")&lt;&gt;C595),"Component owned by another AIR-ID",IF(AND(M595="Confirmed",OR(IF(B595="UC",COUNTIFS('Use cases'!$A$4:$A$253,C595,'Use cases'!$I$4:$I$253,"Confirmed",'Use cases'!$J$4:$J$253,"OK — verify source"),IF(B595="CAP",COUNTIFS(Capabilities!$A$4:$A$253,C595,Capabilities!$J$4:$J$253,"Confirmed",Capabilities!$K$4:$K$253,"OK — verify source"),IF(B595="AIR",COUNTIFS('System map'!$A$4:$A$203,C595,'System map'!$B$4:$B$203,"&lt;&gt;",'System map'!$C$4:$C$203,"&lt;&gt;",'System map'!$D$4:$D$203,"&lt;&gt;"),COUNTIFS(Components!$A$4:$A$253,C595,Components!$B$4:$B$253,B595,Components!$K$4:$K$253,"Confirmed",Components!$L$4:$L$253,"OK — verify source"))))&lt;&gt;1,IF(E595="UC",COUNTIFS('Use cases'!$A$4:$A$253,F595,'Use cases'!$I$4:$I$253,"Confirmed",'Use cases'!$J$4:$J$253,"OK — verify source"),IF(E595="CAP",COUNTIFS(Capabilities!$A$4:$A$253,F595,Capabilities!$J$4:$J$253,"Confirmed",Capabilities!$K$4:$K$253,"OK — verify source"),IF(E595="AIR",COUNTIFS('System map'!$A$4:$A$203,F595,'System map'!$B$4:$B$203,"&lt;&gt;",'System map'!$C$4:$C$203,"&lt;&gt;",'System map'!$D$4:$D$203,"&lt;&gt;"),COUNTIFS(Components!$A$4:$A$253,F595,Components!$B$4:$B$253,E595,Components!$K$4:$K$253,"Confirmed",Components!$L$4:$L$253,"OK — verify source"))))&lt;&gt;1)),"Endpoint not source-reconciled",IF(AND(M595="Confirmed",OR(L595="",K595="",K595="Unknown",K595="Low")),"Confirmed link lacks verification","OK — verify source"))))))))))))))</f>
        <v/>
      </c>
    </row>
    <row r="596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6" t="n"/>
      <c r="M596" s="25" t="n"/>
      <c r="N596" s="25">
        <f>IF(COUNTA(A596:M596)=0,"",IF(OR(A596="",B596="",C596="",D596="",E596="",F596="",I596="",J596="",K596="",M596=""),"Required link detail missing",IF(COUNTIF($A$4:$A$1003,A596)&gt;1,"Duplicate Map Edge ID",IF(NOT(OR(AND(B596="UC",E596="CAP",D596="requires"),AND(B596="CAP",E596="AIR",D596="provided by"),AND(B596="AIR",OR(E596="MOD",E596="DATA",E596="IF",E596="AG",E596="TOOL"),D596="references"),AND(B596="AIR",E596="AIR",D596="depends on"))),"Invalid relationship",IF(AND(M596&lt;&gt;"Superseded",COUNTIFS($B$4:$B$1003,B596,$C$4:$C$1003,C596,$D$4:$D$1003,D596,$E$4:$E$1003,E596,$F$4:$F$1003,F596,$G$4:$G$1003,G596,$M$4:$M$1003,"&lt;&gt;Superseded")&gt;1),"Duplicate relationship",IF(OR(IF(B596="UC",COUNTIF('Use cases'!$A$4:$A$253,C596),IF(B596="CAP",COUNTIF(Capabilities!$A$4:$A$253,C596),IF(B596="AIR",COUNTIF('System map'!$A$4:$A$203,C596),COUNTIFS(Components!$A$4:$A$253,C596,Components!$B$4:$B$253,B596))))&lt;&gt;1,IF(E596="UC",COUNTIF('Use cases'!$A$4:$A$253,F596),IF(E596="CAP",COUNTIF(Capabilities!$A$4:$A$253,F596),IF(E596="AIR",COUNTIF('System map'!$A$4:$A$203,F596),COUNTIFS(Components!$A$4:$A$253,F596,Components!$B$4:$B$253,E596))))&lt;&gt;1),"Endpoint missing or duplicated",IF(AND(NOT(AND(B596="UC",E596="CAP")),OR(G596="",COUNTIF('System map'!$A$4:$A$203,G596)&lt;&gt;1)),"AIR context missing / unknown",IF(AND(B596="CAP",E596="AIR",G596&lt;&gt;F596),"AIR context mismatch",IF(AND(B596="AIR",G596&lt;&gt;C596),"AIR context mismatch",IF(AND(B596="AIR",E596="AIR",C596=F596),"Self-dependency",IF(AND(B596="AIR",E596="AIR",M596&lt;&gt;"Superseded",COUNTIFS($B$4:$B$1003,"AIR",$C$4:$C$1003,F596,$E$4:$E$1003,"AIR",$F$4:$F$1003,C596,$M$4:$M$1003,"&lt;&gt;Superseded")&gt;0),"Dependency cycle (A↔B) — review",IF(AND(B596="AIR",OR(E596="MOD",E596="DATA",E596="IF",E596="AG",E596="TOOL"),IFERROR(INDEX(Components!$G$4:$G$253,MATCH(F596,Components!$A$4:$A$253,0)),"")&lt;&gt;"",IFERROR(INDEX(Components!$G$4:$G$253,MATCH(F596,Components!$A$4:$A$253,0)),"")&lt;&gt;C596),"Component owned by another AIR-ID",IF(AND(M596="Confirmed",OR(IF(B596="UC",COUNTIFS('Use cases'!$A$4:$A$253,C596,'Use cases'!$I$4:$I$253,"Confirmed",'Use cases'!$J$4:$J$253,"OK — verify source"),IF(B596="CAP",COUNTIFS(Capabilities!$A$4:$A$253,C596,Capabilities!$J$4:$J$253,"Confirmed",Capabilities!$K$4:$K$253,"OK — verify source"),IF(B596="AIR",COUNTIFS('System map'!$A$4:$A$203,C596,'System map'!$B$4:$B$203,"&lt;&gt;",'System map'!$C$4:$C$203,"&lt;&gt;",'System map'!$D$4:$D$203,"&lt;&gt;"),COUNTIFS(Components!$A$4:$A$253,C596,Components!$B$4:$B$253,B596,Components!$K$4:$K$253,"Confirmed",Components!$L$4:$L$253,"OK — verify source"))))&lt;&gt;1,IF(E596="UC",COUNTIFS('Use cases'!$A$4:$A$253,F596,'Use cases'!$I$4:$I$253,"Confirmed",'Use cases'!$J$4:$J$253,"OK — verify source"),IF(E596="CAP",COUNTIFS(Capabilities!$A$4:$A$253,F596,Capabilities!$J$4:$J$253,"Confirmed",Capabilities!$K$4:$K$253,"OK — verify source"),IF(E596="AIR",COUNTIFS('System map'!$A$4:$A$203,F596,'System map'!$B$4:$B$203,"&lt;&gt;",'System map'!$C$4:$C$203,"&lt;&gt;",'System map'!$D$4:$D$203,"&lt;&gt;"),COUNTIFS(Components!$A$4:$A$253,F596,Components!$B$4:$B$253,E596,Components!$K$4:$K$253,"Confirmed",Components!$L$4:$L$253,"OK — verify source"))))&lt;&gt;1)),"Endpoint not source-reconciled",IF(AND(M596="Confirmed",OR(L596="",K596="",K596="Unknown",K596="Low")),"Confirmed link lacks verification","OK — verify source"))))))))))))))</f>
        <v/>
      </c>
    </row>
    <row r="597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8" t="n"/>
      <c r="M597" s="27" t="n"/>
      <c r="N597" s="27">
        <f>IF(COUNTA(A597:M597)=0,"",IF(OR(A597="",B597="",C597="",D597="",E597="",F597="",I597="",J597="",K597="",M597=""),"Required link detail missing",IF(COUNTIF($A$4:$A$1003,A597)&gt;1,"Duplicate Map Edge ID",IF(NOT(OR(AND(B597="UC",E597="CAP",D597="requires"),AND(B597="CAP",E597="AIR",D597="provided by"),AND(B597="AIR",OR(E597="MOD",E597="DATA",E597="IF",E597="AG",E597="TOOL"),D597="references"),AND(B597="AIR",E597="AIR",D597="depends on"))),"Invalid relationship",IF(AND(M597&lt;&gt;"Superseded",COUNTIFS($B$4:$B$1003,B597,$C$4:$C$1003,C597,$D$4:$D$1003,D597,$E$4:$E$1003,E597,$F$4:$F$1003,F597,$G$4:$G$1003,G597,$M$4:$M$1003,"&lt;&gt;Superseded")&gt;1),"Duplicate relationship",IF(OR(IF(B597="UC",COUNTIF('Use cases'!$A$4:$A$253,C597),IF(B597="CAP",COUNTIF(Capabilities!$A$4:$A$253,C597),IF(B597="AIR",COUNTIF('System map'!$A$4:$A$203,C597),COUNTIFS(Components!$A$4:$A$253,C597,Components!$B$4:$B$253,B597))))&lt;&gt;1,IF(E597="UC",COUNTIF('Use cases'!$A$4:$A$253,F597),IF(E597="CAP",COUNTIF(Capabilities!$A$4:$A$253,F597),IF(E597="AIR",COUNTIF('System map'!$A$4:$A$203,F597),COUNTIFS(Components!$A$4:$A$253,F597,Components!$B$4:$B$253,E597))))&lt;&gt;1),"Endpoint missing or duplicated",IF(AND(NOT(AND(B597="UC",E597="CAP")),OR(G597="",COUNTIF('System map'!$A$4:$A$203,G597)&lt;&gt;1)),"AIR context missing / unknown",IF(AND(B597="CAP",E597="AIR",G597&lt;&gt;F597),"AIR context mismatch",IF(AND(B597="AIR",G597&lt;&gt;C597),"AIR context mismatch",IF(AND(B597="AIR",E597="AIR",C597=F597),"Self-dependency",IF(AND(B597="AIR",E597="AIR",M597&lt;&gt;"Superseded",COUNTIFS($B$4:$B$1003,"AIR",$C$4:$C$1003,F597,$E$4:$E$1003,"AIR",$F$4:$F$1003,C597,$M$4:$M$1003,"&lt;&gt;Superseded")&gt;0),"Dependency cycle (A↔B) — review",IF(AND(B597="AIR",OR(E597="MOD",E597="DATA",E597="IF",E597="AG",E597="TOOL"),IFERROR(INDEX(Components!$G$4:$G$253,MATCH(F597,Components!$A$4:$A$253,0)),"")&lt;&gt;"",IFERROR(INDEX(Components!$G$4:$G$253,MATCH(F597,Components!$A$4:$A$253,0)),"")&lt;&gt;C597),"Component owned by another AIR-ID",IF(AND(M597="Confirmed",OR(IF(B597="UC",COUNTIFS('Use cases'!$A$4:$A$253,C597,'Use cases'!$I$4:$I$253,"Confirmed",'Use cases'!$J$4:$J$253,"OK — verify source"),IF(B597="CAP",COUNTIFS(Capabilities!$A$4:$A$253,C597,Capabilities!$J$4:$J$253,"Confirmed",Capabilities!$K$4:$K$253,"OK — verify source"),IF(B597="AIR",COUNTIFS('System map'!$A$4:$A$203,C597,'System map'!$B$4:$B$203,"&lt;&gt;",'System map'!$C$4:$C$203,"&lt;&gt;",'System map'!$D$4:$D$203,"&lt;&gt;"),COUNTIFS(Components!$A$4:$A$253,C597,Components!$B$4:$B$253,B597,Components!$K$4:$K$253,"Confirmed",Components!$L$4:$L$253,"OK — verify source"))))&lt;&gt;1,IF(E597="UC",COUNTIFS('Use cases'!$A$4:$A$253,F597,'Use cases'!$I$4:$I$253,"Confirmed",'Use cases'!$J$4:$J$253,"OK — verify source"),IF(E597="CAP",COUNTIFS(Capabilities!$A$4:$A$253,F597,Capabilities!$J$4:$J$253,"Confirmed",Capabilities!$K$4:$K$253,"OK — verify source"),IF(E597="AIR",COUNTIFS('System map'!$A$4:$A$203,F597,'System map'!$B$4:$B$203,"&lt;&gt;",'System map'!$C$4:$C$203,"&lt;&gt;",'System map'!$D$4:$D$203,"&lt;&gt;"),COUNTIFS(Components!$A$4:$A$253,F597,Components!$B$4:$B$253,E597,Components!$K$4:$K$253,"Confirmed",Components!$L$4:$L$253,"OK — verify source"))))&lt;&gt;1)),"Endpoint not source-reconciled",IF(AND(M597="Confirmed",OR(L597="",K597="",K597="Unknown",K597="Low")),"Confirmed link lacks verification","OK — verify source"))))))))))))))</f>
        <v/>
      </c>
    </row>
    <row r="598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6" t="n"/>
      <c r="M598" s="25" t="n"/>
      <c r="N598" s="25">
        <f>IF(COUNTA(A598:M598)=0,"",IF(OR(A598="",B598="",C598="",D598="",E598="",F598="",I598="",J598="",K598="",M598=""),"Required link detail missing",IF(COUNTIF($A$4:$A$1003,A598)&gt;1,"Duplicate Map Edge ID",IF(NOT(OR(AND(B598="UC",E598="CAP",D598="requires"),AND(B598="CAP",E598="AIR",D598="provided by"),AND(B598="AIR",OR(E598="MOD",E598="DATA",E598="IF",E598="AG",E598="TOOL"),D598="references"),AND(B598="AIR",E598="AIR",D598="depends on"))),"Invalid relationship",IF(AND(M598&lt;&gt;"Superseded",COUNTIFS($B$4:$B$1003,B598,$C$4:$C$1003,C598,$D$4:$D$1003,D598,$E$4:$E$1003,E598,$F$4:$F$1003,F598,$G$4:$G$1003,G598,$M$4:$M$1003,"&lt;&gt;Superseded")&gt;1),"Duplicate relationship",IF(OR(IF(B598="UC",COUNTIF('Use cases'!$A$4:$A$253,C598),IF(B598="CAP",COUNTIF(Capabilities!$A$4:$A$253,C598),IF(B598="AIR",COUNTIF('System map'!$A$4:$A$203,C598),COUNTIFS(Components!$A$4:$A$253,C598,Components!$B$4:$B$253,B598))))&lt;&gt;1,IF(E598="UC",COUNTIF('Use cases'!$A$4:$A$253,F598),IF(E598="CAP",COUNTIF(Capabilities!$A$4:$A$253,F598),IF(E598="AIR",COUNTIF('System map'!$A$4:$A$203,F598),COUNTIFS(Components!$A$4:$A$253,F598,Components!$B$4:$B$253,E598))))&lt;&gt;1),"Endpoint missing or duplicated",IF(AND(NOT(AND(B598="UC",E598="CAP")),OR(G598="",COUNTIF('System map'!$A$4:$A$203,G598)&lt;&gt;1)),"AIR context missing / unknown",IF(AND(B598="CAP",E598="AIR",G598&lt;&gt;F598),"AIR context mismatch",IF(AND(B598="AIR",G598&lt;&gt;C598),"AIR context mismatch",IF(AND(B598="AIR",E598="AIR",C598=F598),"Self-dependency",IF(AND(B598="AIR",E598="AIR",M598&lt;&gt;"Superseded",COUNTIFS($B$4:$B$1003,"AIR",$C$4:$C$1003,F598,$E$4:$E$1003,"AIR",$F$4:$F$1003,C598,$M$4:$M$1003,"&lt;&gt;Superseded")&gt;0),"Dependency cycle (A↔B) — review",IF(AND(B598="AIR",OR(E598="MOD",E598="DATA",E598="IF",E598="AG",E598="TOOL"),IFERROR(INDEX(Components!$G$4:$G$253,MATCH(F598,Components!$A$4:$A$253,0)),"")&lt;&gt;"",IFERROR(INDEX(Components!$G$4:$G$253,MATCH(F598,Components!$A$4:$A$253,0)),"")&lt;&gt;C598),"Component owned by another AIR-ID",IF(AND(M598="Confirmed",OR(IF(B598="UC",COUNTIFS('Use cases'!$A$4:$A$253,C598,'Use cases'!$I$4:$I$253,"Confirmed",'Use cases'!$J$4:$J$253,"OK — verify source"),IF(B598="CAP",COUNTIFS(Capabilities!$A$4:$A$253,C598,Capabilities!$J$4:$J$253,"Confirmed",Capabilities!$K$4:$K$253,"OK — verify source"),IF(B598="AIR",COUNTIFS('System map'!$A$4:$A$203,C598,'System map'!$B$4:$B$203,"&lt;&gt;",'System map'!$C$4:$C$203,"&lt;&gt;",'System map'!$D$4:$D$203,"&lt;&gt;"),COUNTIFS(Components!$A$4:$A$253,C598,Components!$B$4:$B$253,B598,Components!$K$4:$K$253,"Confirmed",Components!$L$4:$L$253,"OK — verify source"))))&lt;&gt;1,IF(E598="UC",COUNTIFS('Use cases'!$A$4:$A$253,F598,'Use cases'!$I$4:$I$253,"Confirmed",'Use cases'!$J$4:$J$253,"OK — verify source"),IF(E598="CAP",COUNTIFS(Capabilities!$A$4:$A$253,F598,Capabilities!$J$4:$J$253,"Confirmed",Capabilities!$K$4:$K$253,"OK — verify source"),IF(E598="AIR",COUNTIFS('System map'!$A$4:$A$203,F598,'System map'!$B$4:$B$203,"&lt;&gt;",'System map'!$C$4:$C$203,"&lt;&gt;",'System map'!$D$4:$D$203,"&lt;&gt;"),COUNTIFS(Components!$A$4:$A$253,F598,Components!$B$4:$B$253,E598,Components!$K$4:$K$253,"Confirmed",Components!$L$4:$L$253,"OK — verify source"))))&lt;&gt;1)),"Endpoint not source-reconciled",IF(AND(M598="Confirmed",OR(L598="",K598="",K598="Unknown",K598="Low")),"Confirmed link lacks verification","OK — verify source"))))))))))))))</f>
        <v/>
      </c>
    </row>
    <row r="599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8" t="n"/>
      <c r="M599" s="27" t="n"/>
      <c r="N599" s="27">
        <f>IF(COUNTA(A599:M599)=0,"",IF(OR(A599="",B599="",C599="",D599="",E599="",F599="",I599="",J599="",K599="",M599=""),"Required link detail missing",IF(COUNTIF($A$4:$A$1003,A599)&gt;1,"Duplicate Map Edge ID",IF(NOT(OR(AND(B599="UC",E599="CAP",D599="requires"),AND(B599="CAP",E599="AIR",D599="provided by"),AND(B599="AIR",OR(E599="MOD",E599="DATA",E599="IF",E599="AG",E599="TOOL"),D599="references"),AND(B599="AIR",E599="AIR",D599="depends on"))),"Invalid relationship",IF(AND(M599&lt;&gt;"Superseded",COUNTIFS($B$4:$B$1003,B599,$C$4:$C$1003,C599,$D$4:$D$1003,D599,$E$4:$E$1003,E599,$F$4:$F$1003,F599,$G$4:$G$1003,G599,$M$4:$M$1003,"&lt;&gt;Superseded")&gt;1),"Duplicate relationship",IF(OR(IF(B599="UC",COUNTIF('Use cases'!$A$4:$A$253,C599),IF(B599="CAP",COUNTIF(Capabilities!$A$4:$A$253,C599),IF(B599="AIR",COUNTIF('System map'!$A$4:$A$203,C599),COUNTIFS(Components!$A$4:$A$253,C599,Components!$B$4:$B$253,B599))))&lt;&gt;1,IF(E599="UC",COUNTIF('Use cases'!$A$4:$A$253,F599),IF(E599="CAP",COUNTIF(Capabilities!$A$4:$A$253,F599),IF(E599="AIR",COUNTIF('System map'!$A$4:$A$203,F599),COUNTIFS(Components!$A$4:$A$253,F599,Components!$B$4:$B$253,E599))))&lt;&gt;1),"Endpoint missing or duplicated",IF(AND(NOT(AND(B599="UC",E599="CAP")),OR(G599="",COUNTIF('System map'!$A$4:$A$203,G599)&lt;&gt;1)),"AIR context missing / unknown",IF(AND(B599="CAP",E599="AIR",G599&lt;&gt;F599),"AIR context mismatch",IF(AND(B599="AIR",G599&lt;&gt;C599),"AIR context mismatch",IF(AND(B599="AIR",E599="AIR",C599=F599),"Self-dependency",IF(AND(B599="AIR",E599="AIR",M599&lt;&gt;"Superseded",COUNTIFS($B$4:$B$1003,"AIR",$C$4:$C$1003,F599,$E$4:$E$1003,"AIR",$F$4:$F$1003,C599,$M$4:$M$1003,"&lt;&gt;Superseded")&gt;0),"Dependency cycle (A↔B) — review",IF(AND(B599="AIR",OR(E599="MOD",E599="DATA",E599="IF",E599="AG",E599="TOOL"),IFERROR(INDEX(Components!$G$4:$G$253,MATCH(F599,Components!$A$4:$A$253,0)),"")&lt;&gt;"",IFERROR(INDEX(Components!$G$4:$G$253,MATCH(F599,Components!$A$4:$A$253,0)),"")&lt;&gt;C599),"Component owned by another AIR-ID",IF(AND(M599="Confirmed",OR(IF(B599="UC",COUNTIFS('Use cases'!$A$4:$A$253,C599,'Use cases'!$I$4:$I$253,"Confirmed",'Use cases'!$J$4:$J$253,"OK — verify source"),IF(B599="CAP",COUNTIFS(Capabilities!$A$4:$A$253,C599,Capabilities!$J$4:$J$253,"Confirmed",Capabilities!$K$4:$K$253,"OK — verify source"),IF(B599="AIR",COUNTIFS('System map'!$A$4:$A$203,C599,'System map'!$B$4:$B$203,"&lt;&gt;",'System map'!$C$4:$C$203,"&lt;&gt;",'System map'!$D$4:$D$203,"&lt;&gt;"),COUNTIFS(Components!$A$4:$A$253,C599,Components!$B$4:$B$253,B599,Components!$K$4:$K$253,"Confirmed",Components!$L$4:$L$253,"OK — verify source"))))&lt;&gt;1,IF(E599="UC",COUNTIFS('Use cases'!$A$4:$A$253,F599,'Use cases'!$I$4:$I$253,"Confirmed",'Use cases'!$J$4:$J$253,"OK — verify source"),IF(E599="CAP",COUNTIFS(Capabilities!$A$4:$A$253,F599,Capabilities!$J$4:$J$253,"Confirmed",Capabilities!$K$4:$K$253,"OK — verify source"),IF(E599="AIR",COUNTIFS('System map'!$A$4:$A$203,F599,'System map'!$B$4:$B$203,"&lt;&gt;",'System map'!$C$4:$C$203,"&lt;&gt;",'System map'!$D$4:$D$203,"&lt;&gt;"),COUNTIFS(Components!$A$4:$A$253,F599,Components!$B$4:$B$253,E599,Components!$K$4:$K$253,"Confirmed",Components!$L$4:$L$253,"OK — verify source"))))&lt;&gt;1)),"Endpoint not source-reconciled",IF(AND(M599="Confirmed",OR(L599="",K599="",K599="Unknown",K599="Low")),"Confirmed link lacks verification","OK — verify source"))))))))))))))</f>
        <v/>
      </c>
    </row>
    <row r="600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6" t="n"/>
      <c r="M600" s="25" t="n"/>
      <c r="N600" s="25">
        <f>IF(COUNTA(A600:M600)=0,"",IF(OR(A600="",B600="",C600="",D600="",E600="",F600="",I600="",J600="",K600="",M600=""),"Required link detail missing",IF(COUNTIF($A$4:$A$1003,A600)&gt;1,"Duplicate Map Edge ID",IF(NOT(OR(AND(B600="UC",E600="CAP",D600="requires"),AND(B600="CAP",E600="AIR",D600="provided by"),AND(B600="AIR",OR(E600="MOD",E600="DATA",E600="IF",E600="AG",E600="TOOL"),D600="references"),AND(B600="AIR",E600="AIR",D600="depends on"))),"Invalid relationship",IF(AND(M600&lt;&gt;"Superseded",COUNTIFS($B$4:$B$1003,B600,$C$4:$C$1003,C600,$D$4:$D$1003,D600,$E$4:$E$1003,E600,$F$4:$F$1003,F600,$G$4:$G$1003,G600,$M$4:$M$1003,"&lt;&gt;Superseded")&gt;1),"Duplicate relationship",IF(OR(IF(B600="UC",COUNTIF('Use cases'!$A$4:$A$253,C600),IF(B600="CAP",COUNTIF(Capabilities!$A$4:$A$253,C600),IF(B600="AIR",COUNTIF('System map'!$A$4:$A$203,C600),COUNTIFS(Components!$A$4:$A$253,C600,Components!$B$4:$B$253,B600))))&lt;&gt;1,IF(E600="UC",COUNTIF('Use cases'!$A$4:$A$253,F600),IF(E600="CAP",COUNTIF(Capabilities!$A$4:$A$253,F600),IF(E600="AIR",COUNTIF('System map'!$A$4:$A$203,F600),COUNTIFS(Components!$A$4:$A$253,F600,Components!$B$4:$B$253,E600))))&lt;&gt;1),"Endpoint missing or duplicated",IF(AND(NOT(AND(B600="UC",E600="CAP")),OR(G600="",COUNTIF('System map'!$A$4:$A$203,G600)&lt;&gt;1)),"AIR context missing / unknown",IF(AND(B600="CAP",E600="AIR",G600&lt;&gt;F600),"AIR context mismatch",IF(AND(B600="AIR",G600&lt;&gt;C600),"AIR context mismatch",IF(AND(B600="AIR",E600="AIR",C600=F600),"Self-dependency",IF(AND(B600="AIR",E600="AIR",M600&lt;&gt;"Superseded",COUNTIFS($B$4:$B$1003,"AIR",$C$4:$C$1003,F600,$E$4:$E$1003,"AIR",$F$4:$F$1003,C600,$M$4:$M$1003,"&lt;&gt;Superseded")&gt;0),"Dependency cycle (A↔B) — review",IF(AND(B600="AIR",OR(E600="MOD",E600="DATA",E600="IF",E600="AG",E600="TOOL"),IFERROR(INDEX(Components!$G$4:$G$253,MATCH(F600,Components!$A$4:$A$253,0)),"")&lt;&gt;"",IFERROR(INDEX(Components!$G$4:$G$253,MATCH(F600,Components!$A$4:$A$253,0)),"")&lt;&gt;C600),"Component owned by another AIR-ID",IF(AND(M600="Confirmed",OR(IF(B600="UC",COUNTIFS('Use cases'!$A$4:$A$253,C600,'Use cases'!$I$4:$I$253,"Confirmed",'Use cases'!$J$4:$J$253,"OK — verify source"),IF(B600="CAP",COUNTIFS(Capabilities!$A$4:$A$253,C600,Capabilities!$J$4:$J$253,"Confirmed",Capabilities!$K$4:$K$253,"OK — verify source"),IF(B600="AIR",COUNTIFS('System map'!$A$4:$A$203,C600,'System map'!$B$4:$B$203,"&lt;&gt;",'System map'!$C$4:$C$203,"&lt;&gt;",'System map'!$D$4:$D$203,"&lt;&gt;"),COUNTIFS(Components!$A$4:$A$253,C600,Components!$B$4:$B$253,B600,Components!$K$4:$K$253,"Confirmed",Components!$L$4:$L$253,"OK — verify source"))))&lt;&gt;1,IF(E600="UC",COUNTIFS('Use cases'!$A$4:$A$253,F600,'Use cases'!$I$4:$I$253,"Confirmed",'Use cases'!$J$4:$J$253,"OK — verify source"),IF(E600="CAP",COUNTIFS(Capabilities!$A$4:$A$253,F600,Capabilities!$J$4:$J$253,"Confirmed",Capabilities!$K$4:$K$253,"OK — verify source"),IF(E600="AIR",COUNTIFS('System map'!$A$4:$A$203,F600,'System map'!$B$4:$B$203,"&lt;&gt;",'System map'!$C$4:$C$203,"&lt;&gt;",'System map'!$D$4:$D$203,"&lt;&gt;"),COUNTIFS(Components!$A$4:$A$253,F600,Components!$B$4:$B$253,E600,Components!$K$4:$K$253,"Confirmed",Components!$L$4:$L$253,"OK — verify source"))))&lt;&gt;1)),"Endpoint not source-reconciled",IF(AND(M600="Confirmed",OR(L600="",K600="",K600="Unknown",K600="Low")),"Confirmed link lacks verification","OK — verify source"))))))))))))))</f>
        <v/>
      </c>
    </row>
    <row r="601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8" t="n"/>
      <c r="M601" s="27" t="n"/>
      <c r="N601" s="27">
        <f>IF(COUNTA(A601:M601)=0,"",IF(OR(A601="",B601="",C601="",D601="",E601="",F601="",I601="",J601="",K601="",M601=""),"Required link detail missing",IF(COUNTIF($A$4:$A$1003,A601)&gt;1,"Duplicate Map Edge ID",IF(NOT(OR(AND(B601="UC",E601="CAP",D601="requires"),AND(B601="CAP",E601="AIR",D601="provided by"),AND(B601="AIR",OR(E601="MOD",E601="DATA",E601="IF",E601="AG",E601="TOOL"),D601="references"),AND(B601="AIR",E601="AIR",D601="depends on"))),"Invalid relationship",IF(AND(M601&lt;&gt;"Superseded",COUNTIFS($B$4:$B$1003,B601,$C$4:$C$1003,C601,$D$4:$D$1003,D601,$E$4:$E$1003,E601,$F$4:$F$1003,F601,$G$4:$G$1003,G601,$M$4:$M$1003,"&lt;&gt;Superseded")&gt;1),"Duplicate relationship",IF(OR(IF(B601="UC",COUNTIF('Use cases'!$A$4:$A$253,C601),IF(B601="CAP",COUNTIF(Capabilities!$A$4:$A$253,C601),IF(B601="AIR",COUNTIF('System map'!$A$4:$A$203,C601),COUNTIFS(Components!$A$4:$A$253,C601,Components!$B$4:$B$253,B601))))&lt;&gt;1,IF(E601="UC",COUNTIF('Use cases'!$A$4:$A$253,F601),IF(E601="CAP",COUNTIF(Capabilities!$A$4:$A$253,F601),IF(E601="AIR",COUNTIF('System map'!$A$4:$A$203,F601),COUNTIFS(Components!$A$4:$A$253,F601,Components!$B$4:$B$253,E601))))&lt;&gt;1),"Endpoint missing or duplicated",IF(AND(NOT(AND(B601="UC",E601="CAP")),OR(G601="",COUNTIF('System map'!$A$4:$A$203,G601)&lt;&gt;1)),"AIR context missing / unknown",IF(AND(B601="CAP",E601="AIR",G601&lt;&gt;F601),"AIR context mismatch",IF(AND(B601="AIR",G601&lt;&gt;C601),"AIR context mismatch",IF(AND(B601="AIR",E601="AIR",C601=F601),"Self-dependency",IF(AND(B601="AIR",E601="AIR",M601&lt;&gt;"Superseded",COUNTIFS($B$4:$B$1003,"AIR",$C$4:$C$1003,F601,$E$4:$E$1003,"AIR",$F$4:$F$1003,C601,$M$4:$M$1003,"&lt;&gt;Superseded")&gt;0),"Dependency cycle (A↔B) — review",IF(AND(B601="AIR",OR(E601="MOD",E601="DATA",E601="IF",E601="AG",E601="TOOL"),IFERROR(INDEX(Components!$G$4:$G$253,MATCH(F601,Components!$A$4:$A$253,0)),"")&lt;&gt;"",IFERROR(INDEX(Components!$G$4:$G$253,MATCH(F601,Components!$A$4:$A$253,0)),"")&lt;&gt;C601),"Component owned by another AIR-ID",IF(AND(M601="Confirmed",OR(IF(B601="UC",COUNTIFS('Use cases'!$A$4:$A$253,C601,'Use cases'!$I$4:$I$253,"Confirmed",'Use cases'!$J$4:$J$253,"OK — verify source"),IF(B601="CAP",COUNTIFS(Capabilities!$A$4:$A$253,C601,Capabilities!$J$4:$J$253,"Confirmed",Capabilities!$K$4:$K$253,"OK — verify source"),IF(B601="AIR",COUNTIFS('System map'!$A$4:$A$203,C601,'System map'!$B$4:$B$203,"&lt;&gt;",'System map'!$C$4:$C$203,"&lt;&gt;",'System map'!$D$4:$D$203,"&lt;&gt;"),COUNTIFS(Components!$A$4:$A$253,C601,Components!$B$4:$B$253,B601,Components!$K$4:$K$253,"Confirmed",Components!$L$4:$L$253,"OK — verify source"))))&lt;&gt;1,IF(E601="UC",COUNTIFS('Use cases'!$A$4:$A$253,F601,'Use cases'!$I$4:$I$253,"Confirmed",'Use cases'!$J$4:$J$253,"OK — verify source"),IF(E601="CAP",COUNTIFS(Capabilities!$A$4:$A$253,F601,Capabilities!$J$4:$J$253,"Confirmed",Capabilities!$K$4:$K$253,"OK — verify source"),IF(E601="AIR",COUNTIFS('System map'!$A$4:$A$203,F601,'System map'!$B$4:$B$203,"&lt;&gt;",'System map'!$C$4:$C$203,"&lt;&gt;",'System map'!$D$4:$D$203,"&lt;&gt;"),COUNTIFS(Components!$A$4:$A$253,F601,Components!$B$4:$B$253,E601,Components!$K$4:$K$253,"Confirmed",Components!$L$4:$L$253,"OK — verify source"))))&lt;&gt;1)),"Endpoint not source-reconciled",IF(AND(M601="Confirmed",OR(L601="",K601="",K601="Unknown",K601="Low")),"Confirmed link lacks verification","OK — verify source"))))))))))))))</f>
        <v/>
      </c>
    </row>
    <row r="602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6" t="n"/>
      <c r="M602" s="25" t="n"/>
      <c r="N602" s="25">
        <f>IF(COUNTA(A602:M602)=0,"",IF(OR(A602="",B602="",C602="",D602="",E602="",F602="",I602="",J602="",K602="",M602=""),"Required link detail missing",IF(COUNTIF($A$4:$A$1003,A602)&gt;1,"Duplicate Map Edge ID",IF(NOT(OR(AND(B602="UC",E602="CAP",D602="requires"),AND(B602="CAP",E602="AIR",D602="provided by"),AND(B602="AIR",OR(E602="MOD",E602="DATA",E602="IF",E602="AG",E602="TOOL"),D602="references"),AND(B602="AIR",E602="AIR",D602="depends on"))),"Invalid relationship",IF(AND(M602&lt;&gt;"Superseded",COUNTIFS($B$4:$B$1003,B602,$C$4:$C$1003,C602,$D$4:$D$1003,D602,$E$4:$E$1003,E602,$F$4:$F$1003,F602,$G$4:$G$1003,G602,$M$4:$M$1003,"&lt;&gt;Superseded")&gt;1),"Duplicate relationship",IF(OR(IF(B602="UC",COUNTIF('Use cases'!$A$4:$A$253,C602),IF(B602="CAP",COUNTIF(Capabilities!$A$4:$A$253,C602),IF(B602="AIR",COUNTIF('System map'!$A$4:$A$203,C602),COUNTIFS(Components!$A$4:$A$253,C602,Components!$B$4:$B$253,B602))))&lt;&gt;1,IF(E602="UC",COUNTIF('Use cases'!$A$4:$A$253,F602),IF(E602="CAP",COUNTIF(Capabilities!$A$4:$A$253,F602),IF(E602="AIR",COUNTIF('System map'!$A$4:$A$203,F602),COUNTIFS(Components!$A$4:$A$253,F602,Components!$B$4:$B$253,E602))))&lt;&gt;1),"Endpoint missing or duplicated",IF(AND(NOT(AND(B602="UC",E602="CAP")),OR(G602="",COUNTIF('System map'!$A$4:$A$203,G602)&lt;&gt;1)),"AIR context missing / unknown",IF(AND(B602="CAP",E602="AIR",G602&lt;&gt;F602),"AIR context mismatch",IF(AND(B602="AIR",G602&lt;&gt;C602),"AIR context mismatch",IF(AND(B602="AIR",E602="AIR",C602=F602),"Self-dependency",IF(AND(B602="AIR",E602="AIR",M602&lt;&gt;"Superseded",COUNTIFS($B$4:$B$1003,"AIR",$C$4:$C$1003,F602,$E$4:$E$1003,"AIR",$F$4:$F$1003,C602,$M$4:$M$1003,"&lt;&gt;Superseded")&gt;0),"Dependency cycle (A↔B) — review",IF(AND(B602="AIR",OR(E602="MOD",E602="DATA",E602="IF",E602="AG",E602="TOOL"),IFERROR(INDEX(Components!$G$4:$G$253,MATCH(F602,Components!$A$4:$A$253,0)),"")&lt;&gt;"",IFERROR(INDEX(Components!$G$4:$G$253,MATCH(F602,Components!$A$4:$A$253,0)),"")&lt;&gt;C602),"Component owned by another AIR-ID",IF(AND(M602="Confirmed",OR(IF(B602="UC",COUNTIFS('Use cases'!$A$4:$A$253,C602,'Use cases'!$I$4:$I$253,"Confirmed",'Use cases'!$J$4:$J$253,"OK — verify source"),IF(B602="CAP",COUNTIFS(Capabilities!$A$4:$A$253,C602,Capabilities!$J$4:$J$253,"Confirmed",Capabilities!$K$4:$K$253,"OK — verify source"),IF(B602="AIR",COUNTIFS('System map'!$A$4:$A$203,C602,'System map'!$B$4:$B$203,"&lt;&gt;",'System map'!$C$4:$C$203,"&lt;&gt;",'System map'!$D$4:$D$203,"&lt;&gt;"),COUNTIFS(Components!$A$4:$A$253,C602,Components!$B$4:$B$253,B602,Components!$K$4:$K$253,"Confirmed",Components!$L$4:$L$253,"OK — verify source"))))&lt;&gt;1,IF(E602="UC",COUNTIFS('Use cases'!$A$4:$A$253,F602,'Use cases'!$I$4:$I$253,"Confirmed",'Use cases'!$J$4:$J$253,"OK — verify source"),IF(E602="CAP",COUNTIFS(Capabilities!$A$4:$A$253,F602,Capabilities!$J$4:$J$253,"Confirmed",Capabilities!$K$4:$K$253,"OK — verify source"),IF(E602="AIR",COUNTIFS('System map'!$A$4:$A$203,F602,'System map'!$B$4:$B$203,"&lt;&gt;",'System map'!$C$4:$C$203,"&lt;&gt;",'System map'!$D$4:$D$203,"&lt;&gt;"),COUNTIFS(Components!$A$4:$A$253,F602,Components!$B$4:$B$253,E602,Components!$K$4:$K$253,"Confirmed",Components!$L$4:$L$253,"OK — verify source"))))&lt;&gt;1)),"Endpoint not source-reconciled",IF(AND(M602="Confirmed",OR(L602="",K602="",K602="Unknown",K602="Low")),"Confirmed link lacks verification","OK — verify source"))))))))))))))</f>
        <v/>
      </c>
    </row>
    <row r="603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8" t="n"/>
      <c r="M603" s="27" t="n"/>
      <c r="N603" s="27">
        <f>IF(COUNTA(A603:M603)=0,"",IF(OR(A603="",B603="",C603="",D603="",E603="",F603="",I603="",J603="",K603="",M603=""),"Required link detail missing",IF(COUNTIF($A$4:$A$1003,A603)&gt;1,"Duplicate Map Edge ID",IF(NOT(OR(AND(B603="UC",E603="CAP",D603="requires"),AND(B603="CAP",E603="AIR",D603="provided by"),AND(B603="AIR",OR(E603="MOD",E603="DATA",E603="IF",E603="AG",E603="TOOL"),D603="references"),AND(B603="AIR",E603="AIR",D603="depends on"))),"Invalid relationship",IF(AND(M603&lt;&gt;"Superseded",COUNTIFS($B$4:$B$1003,B603,$C$4:$C$1003,C603,$D$4:$D$1003,D603,$E$4:$E$1003,E603,$F$4:$F$1003,F603,$G$4:$G$1003,G603,$M$4:$M$1003,"&lt;&gt;Superseded")&gt;1),"Duplicate relationship",IF(OR(IF(B603="UC",COUNTIF('Use cases'!$A$4:$A$253,C603),IF(B603="CAP",COUNTIF(Capabilities!$A$4:$A$253,C603),IF(B603="AIR",COUNTIF('System map'!$A$4:$A$203,C603),COUNTIFS(Components!$A$4:$A$253,C603,Components!$B$4:$B$253,B603))))&lt;&gt;1,IF(E603="UC",COUNTIF('Use cases'!$A$4:$A$253,F603),IF(E603="CAP",COUNTIF(Capabilities!$A$4:$A$253,F603),IF(E603="AIR",COUNTIF('System map'!$A$4:$A$203,F603),COUNTIFS(Components!$A$4:$A$253,F603,Components!$B$4:$B$253,E603))))&lt;&gt;1),"Endpoint missing or duplicated",IF(AND(NOT(AND(B603="UC",E603="CAP")),OR(G603="",COUNTIF('System map'!$A$4:$A$203,G603)&lt;&gt;1)),"AIR context missing / unknown",IF(AND(B603="CAP",E603="AIR",G603&lt;&gt;F603),"AIR context mismatch",IF(AND(B603="AIR",G603&lt;&gt;C603),"AIR context mismatch",IF(AND(B603="AIR",E603="AIR",C603=F603),"Self-dependency",IF(AND(B603="AIR",E603="AIR",M603&lt;&gt;"Superseded",COUNTIFS($B$4:$B$1003,"AIR",$C$4:$C$1003,F603,$E$4:$E$1003,"AIR",$F$4:$F$1003,C603,$M$4:$M$1003,"&lt;&gt;Superseded")&gt;0),"Dependency cycle (A↔B) — review",IF(AND(B603="AIR",OR(E603="MOD",E603="DATA",E603="IF",E603="AG",E603="TOOL"),IFERROR(INDEX(Components!$G$4:$G$253,MATCH(F603,Components!$A$4:$A$253,0)),"")&lt;&gt;"",IFERROR(INDEX(Components!$G$4:$G$253,MATCH(F603,Components!$A$4:$A$253,0)),"")&lt;&gt;C603),"Component owned by another AIR-ID",IF(AND(M603="Confirmed",OR(IF(B603="UC",COUNTIFS('Use cases'!$A$4:$A$253,C603,'Use cases'!$I$4:$I$253,"Confirmed",'Use cases'!$J$4:$J$253,"OK — verify source"),IF(B603="CAP",COUNTIFS(Capabilities!$A$4:$A$253,C603,Capabilities!$J$4:$J$253,"Confirmed",Capabilities!$K$4:$K$253,"OK — verify source"),IF(B603="AIR",COUNTIFS('System map'!$A$4:$A$203,C603,'System map'!$B$4:$B$203,"&lt;&gt;",'System map'!$C$4:$C$203,"&lt;&gt;",'System map'!$D$4:$D$203,"&lt;&gt;"),COUNTIFS(Components!$A$4:$A$253,C603,Components!$B$4:$B$253,B603,Components!$K$4:$K$253,"Confirmed",Components!$L$4:$L$253,"OK — verify source"))))&lt;&gt;1,IF(E603="UC",COUNTIFS('Use cases'!$A$4:$A$253,F603,'Use cases'!$I$4:$I$253,"Confirmed",'Use cases'!$J$4:$J$253,"OK — verify source"),IF(E603="CAP",COUNTIFS(Capabilities!$A$4:$A$253,F603,Capabilities!$J$4:$J$253,"Confirmed",Capabilities!$K$4:$K$253,"OK — verify source"),IF(E603="AIR",COUNTIFS('System map'!$A$4:$A$203,F603,'System map'!$B$4:$B$203,"&lt;&gt;",'System map'!$C$4:$C$203,"&lt;&gt;",'System map'!$D$4:$D$203,"&lt;&gt;"),COUNTIFS(Components!$A$4:$A$253,F603,Components!$B$4:$B$253,E603,Components!$K$4:$K$253,"Confirmed",Components!$L$4:$L$253,"OK — verify source"))))&lt;&gt;1)),"Endpoint not source-reconciled",IF(AND(M603="Confirmed",OR(L603="",K603="",K603="Unknown",K603="Low")),"Confirmed link lacks verification","OK — verify source"))))))))))))))</f>
        <v/>
      </c>
    </row>
    <row r="60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6" t="n"/>
      <c r="M604" s="25" t="n"/>
      <c r="N604" s="25">
        <f>IF(COUNTA(A604:M604)=0,"",IF(OR(A604="",B604="",C604="",D604="",E604="",F604="",I604="",J604="",K604="",M604=""),"Required link detail missing",IF(COUNTIF($A$4:$A$1003,A604)&gt;1,"Duplicate Map Edge ID",IF(NOT(OR(AND(B604="UC",E604="CAP",D604="requires"),AND(B604="CAP",E604="AIR",D604="provided by"),AND(B604="AIR",OR(E604="MOD",E604="DATA",E604="IF",E604="AG",E604="TOOL"),D604="references"),AND(B604="AIR",E604="AIR",D604="depends on"))),"Invalid relationship",IF(AND(M604&lt;&gt;"Superseded",COUNTIFS($B$4:$B$1003,B604,$C$4:$C$1003,C604,$D$4:$D$1003,D604,$E$4:$E$1003,E604,$F$4:$F$1003,F604,$G$4:$G$1003,G604,$M$4:$M$1003,"&lt;&gt;Superseded")&gt;1),"Duplicate relationship",IF(OR(IF(B604="UC",COUNTIF('Use cases'!$A$4:$A$253,C604),IF(B604="CAP",COUNTIF(Capabilities!$A$4:$A$253,C604),IF(B604="AIR",COUNTIF('System map'!$A$4:$A$203,C604),COUNTIFS(Components!$A$4:$A$253,C604,Components!$B$4:$B$253,B604))))&lt;&gt;1,IF(E604="UC",COUNTIF('Use cases'!$A$4:$A$253,F604),IF(E604="CAP",COUNTIF(Capabilities!$A$4:$A$253,F604),IF(E604="AIR",COUNTIF('System map'!$A$4:$A$203,F604),COUNTIFS(Components!$A$4:$A$253,F604,Components!$B$4:$B$253,E604))))&lt;&gt;1),"Endpoint missing or duplicated",IF(AND(NOT(AND(B604="UC",E604="CAP")),OR(G604="",COUNTIF('System map'!$A$4:$A$203,G604)&lt;&gt;1)),"AIR context missing / unknown",IF(AND(B604="CAP",E604="AIR",G604&lt;&gt;F604),"AIR context mismatch",IF(AND(B604="AIR",G604&lt;&gt;C604),"AIR context mismatch",IF(AND(B604="AIR",E604="AIR",C604=F604),"Self-dependency",IF(AND(B604="AIR",E604="AIR",M604&lt;&gt;"Superseded",COUNTIFS($B$4:$B$1003,"AIR",$C$4:$C$1003,F604,$E$4:$E$1003,"AIR",$F$4:$F$1003,C604,$M$4:$M$1003,"&lt;&gt;Superseded")&gt;0),"Dependency cycle (A↔B) — review",IF(AND(B604="AIR",OR(E604="MOD",E604="DATA",E604="IF",E604="AG",E604="TOOL"),IFERROR(INDEX(Components!$G$4:$G$253,MATCH(F604,Components!$A$4:$A$253,0)),"")&lt;&gt;"",IFERROR(INDEX(Components!$G$4:$G$253,MATCH(F604,Components!$A$4:$A$253,0)),"")&lt;&gt;C604),"Component owned by another AIR-ID",IF(AND(M604="Confirmed",OR(IF(B604="UC",COUNTIFS('Use cases'!$A$4:$A$253,C604,'Use cases'!$I$4:$I$253,"Confirmed",'Use cases'!$J$4:$J$253,"OK — verify source"),IF(B604="CAP",COUNTIFS(Capabilities!$A$4:$A$253,C604,Capabilities!$J$4:$J$253,"Confirmed",Capabilities!$K$4:$K$253,"OK — verify source"),IF(B604="AIR",COUNTIFS('System map'!$A$4:$A$203,C604,'System map'!$B$4:$B$203,"&lt;&gt;",'System map'!$C$4:$C$203,"&lt;&gt;",'System map'!$D$4:$D$203,"&lt;&gt;"),COUNTIFS(Components!$A$4:$A$253,C604,Components!$B$4:$B$253,B604,Components!$K$4:$K$253,"Confirmed",Components!$L$4:$L$253,"OK — verify source"))))&lt;&gt;1,IF(E604="UC",COUNTIFS('Use cases'!$A$4:$A$253,F604,'Use cases'!$I$4:$I$253,"Confirmed",'Use cases'!$J$4:$J$253,"OK — verify source"),IF(E604="CAP",COUNTIFS(Capabilities!$A$4:$A$253,F604,Capabilities!$J$4:$J$253,"Confirmed",Capabilities!$K$4:$K$253,"OK — verify source"),IF(E604="AIR",COUNTIFS('System map'!$A$4:$A$203,F604,'System map'!$B$4:$B$203,"&lt;&gt;",'System map'!$C$4:$C$203,"&lt;&gt;",'System map'!$D$4:$D$203,"&lt;&gt;"),COUNTIFS(Components!$A$4:$A$253,F604,Components!$B$4:$B$253,E604,Components!$K$4:$K$253,"Confirmed",Components!$L$4:$L$253,"OK — verify source"))))&lt;&gt;1)),"Endpoint not source-reconciled",IF(AND(M604="Confirmed",OR(L604="",K604="",K604="Unknown",K604="Low")),"Confirmed link lacks verification","OK — verify source"))))))))))))))</f>
        <v/>
      </c>
    </row>
    <row r="605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8" t="n"/>
      <c r="M605" s="27" t="n"/>
      <c r="N605" s="27">
        <f>IF(COUNTA(A605:M605)=0,"",IF(OR(A605="",B605="",C605="",D605="",E605="",F605="",I605="",J605="",K605="",M605=""),"Required link detail missing",IF(COUNTIF($A$4:$A$1003,A605)&gt;1,"Duplicate Map Edge ID",IF(NOT(OR(AND(B605="UC",E605="CAP",D605="requires"),AND(B605="CAP",E605="AIR",D605="provided by"),AND(B605="AIR",OR(E605="MOD",E605="DATA",E605="IF",E605="AG",E605="TOOL"),D605="references"),AND(B605="AIR",E605="AIR",D605="depends on"))),"Invalid relationship",IF(AND(M605&lt;&gt;"Superseded",COUNTIFS($B$4:$B$1003,B605,$C$4:$C$1003,C605,$D$4:$D$1003,D605,$E$4:$E$1003,E605,$F$4:$F$1003,F605,$G$4:$G$1003,G605,$M$4:$M$1003,"&lt;&gt;Superseded")&gt;1),"Duplicate relationship",IF(OR(IF(B605="UC",COUNTIF('Use cases'!$A$4:$A$253,C605),IF(B605="CAP",COUNTIF(Capabilities!$A$4:$A$253,C605),IF(B605="AIR",COUNTIF('System map'!$A$4:$A$203,C605),COUNTIFS(Components!$A$4:$A$253,C605,Components!$B$4:$B$253,B605))))&lt;&gt;1,IF(E605="UC",COUNTIF('Use cases'!$A$4:$A$253,F605),IF(E605="CAP",COUNTIF(Capabilities!$A$4:$A$253,F605),IF(E605="AIR",COUNTIF('System map'!$A$4:$A$203,F605),COUNTIFS(Components!$A$4:$A$253,F605,Components!$B$4:$B$253,E605))))&lt;&gt;1),"Endpoint missing or duplicated",IF(AND(NOT(AND(B605="UC",E605="CAP")),OR(G605="",COUNTIF('System map'!$A$4:$A$203,G605)&lt;&gt;1)),"AIR context missing / unknown",IF(AND(B605="CAP",E605="AIR",G605&lt;&gt;F605),"AIR context mismatch",IF(AND(B605="AIR",G605&lt;&gt;C605),"AIR context mismatch",IF(AND(B605="AIR",E605="AIR",C605=F605),"Self-dependency",IF(AND(B605="AIR",E605="AIR",M605&lt;&gt;"Superseded",COUNTIFS($B$4:$B$1003,"AIR",$C$4:$C$1003,F605,$E$4:$E$1003,"AIR",$F$4:$F$1003,C605,$M$4:$M$1003,"&lt;&gt;Superseded")&gt;0),"Dependency cycle (A↔B) — review",IF(AND(B605="AIR",OR(E605="MOD",E605="DATA",E605="IF",E605="AG",E605="TOOL"),IFERROR(INDEX(Components!$G$4:$G$253,MATCH(F605,Components!$A$4:$A$253,0)),"")&lt;&gt;"",IFERROR(INDEX(Components!$G$4:$G$253,MATCH(F605,Components!$A$4:$A$253,0)),"")&lt;&gt;C605),"Component owned by another AIR-ID",IF(AND(M605="Confirmed",OR(IF(B605="UC",COUNTIFS('Use cases'!$A$4:$A$253,C605,'Use cases'!$I$4:$I$253,"Confirmed",'Use cases'!$J$4:$J$253,"OK — verify source"),IF(B605="CAP",COUNTIFS(Capabilities!$A$4:$A$253,C605,Capabilities!$J$4:$J$253,"Confirmed",Capabilities!$K$4:$K$253,"OK — verify source"),IF(B605="AIR",COUNTIFS('System map'!$A$4:$A$203,C605,'System map'!$B$4:$B$203,"&lt;&gt;",'System map'!$C$4:$C$203,"&lt;&gt;",'System map'!$D$4:$D$203,"&lt;&gt;"),COUNTIFS(Components!$A$4:$A$253,C605,Components!$B$4:$B$253,B605,Components!$K$4:$K$253,"Confirmed",Components!$L$4:$L$253,"OK — verify source"))))&lt;&gt;1,IF(E605="UC",COUNTIFS('Use cases'!$A$4:$A$253,F605,'Use cases'!$I$4:$I$253,"Confirmed",'Use cases'!$J$4:$J$253,"OK — verify source"),IF(E605="CAP",COUNTIFS(Capabilities!$A$4:$A$253,F605,Capabilities!$J$4:$J$253,"Confirmed",Capabilities!$K$4:$K$253,"OK — verify source"),IF(E605="AIR",COUNTIFS('System map'!$A$4:$A$203,F605,'System map'!$B$4:$B$203,"&lt;&gt;",'System map'!$C$4:$C$203,"&lt;&gt;",'System map'!$D$4:$D$203,"&lt;&gt;"),COUNTIFS(Components!$A$4:$A$253,F605,Components!$B$4:$B$253,E605,Components!$K$4:$K$253,"Confirmed",Components!$L$4:$L$253,"OK — verify source"))))&lt;&gt;1)),"Endpoint not source-reconciled",IF(AND(M605="Confirmed",OR(L605="",K605="",K605="Unknown",K605="Low")),"Confirmed link lacks verification","OK — verify source"))))))))))))))</f>
        <v/>
      </c>
    </row>
    <row r="606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6" t="n"/>
      <c r="M606" s="25" t="n"/>
      <c r="N606" s="25">
        <f>IF(COUNTA(A606:M606)=0,"",IF(OR(A606="",B606="",C606="",D606="",E606="",F606="",I606="",J606="",K606="",M606=""),"Required link detail missing",IF(COUNTIF($A$4:$A$1003,A606)&gt;1,"Duplicate Map Edge ID",IF(NOT(OR(AND(B606="UC",E606="CAP",D606="requires"),AND(B606="CAP",E606="AIR",D606="provided by"),AND(B606="AIR",OR(E606="MOD",E606="DATA",E606="IF",E606="AG",E606="TOOL"),D606="references"),AND(B606="AIR",E606="AIR",D606="depends on"))),"Invalid relationship",IF(AND(M606&lt;&gt;"Superseded",COUNTIFS($B$4:$B$1003,B606,$C$4:$C$1003,C606,$D$4:$D$1003,D606,$E$4:$E$1003,E606,$F$4:$F$1003,F606,$G$4:$G$1003,G606,$M$4:$M$1003,"&lt;&gt;Superseded")&gt;1),"Duplicate relationship",IF(OR(IF(B606="UC",COUNTIF('Use cases'!$A$4:$A$253,C606),IF(B606="CAP",COUNTIF(Capabilities!$A$4:$A$253,C606),IF(B606="AIR",COUNTIF('System map'!$A$4:$A$203,C606),COUNTIFS(Components!$A$4:$A$253,C606,Components!$B$4:$B$253,B606))))&lt;&gt;1,IF(E606="UC",COUNTIF('Use cases'!$A$4:$A$253,F606),IF(E606="CAP",COUNTIF(Capabilities!$A$4:$A$253,F606),IF(E606="AIR",COUNTIF('System map'!$A$4:$A$203,F606),COUNTIFS(Components!$A$4:$A$253,F606,Components!$B$4:$B$253,E606))))&lt;&gt;1),"Endpoint missing or duplicated",IF(AND(NOT(AND(B606="UC",E606="CAP")),OR(G606="",COUNTIF('System map'!$A$4:$A$203,G606)&lt;&gt;1)),"AIR context missing / unknown",IF(AND(B606="CAP",E606="AIR",G606&lt;&gt;F606),"AIR context mismatch",IF(AND(B606="AIR",G606&lt;&gt;C606),"AIR context mismatch",IF(AND(B606="AIR",E606="AIR",C606=F606),"Self-dependency",IF(AND(B606="AIR",E606="AIR",M606&lt;&gt;"Superseded",COUNTIFS($B$4:$B$1003,"AIR",$C$4:$C$1003,F606,$E$4:$E$1003,"AIR",$F$4:$F$1003,C606,$M$4:$M$1003,"&lt;&gt;Superseded")&gt;0),"Dependency cycle (A↔B) — review",IF(AND(B606="AIR",OR(E606="MOD",E606="DATA",E606="IF",E606="AG",E606="TOOL"),IFERROR(INDEX(Components!$G$4:$G$253,MATCH(F606,Components!$A$4:$A$253,0)),"")&lt;&gt;"",IFERROR(INDEX(Components!$G$4:$G$253,MATCH(F606,Components!$A$4:$A$253,0)),"")&lt;&gt;C606),"Component owned by another AIR-ID",IF(AND(M606="Confirmed",OR(IF(B606="UC",COUNTIFS('Use cases'!$A$4:$A$253,C606,'Use cases'!$I$4:$I$253,"Confirmed",'Use cases'!$J$4:$J$253,"OK — verify source"),IF(B606="CAP",COUNTIFS(Capabilities!$A$4:$A$253,C606,Capabilities!$J$4:$J$253,"Confirmed",Capabilities!$K$4:$K$253,"OK — verify source"),IF(B606="AIR",COUNTIFS('System map'!$A$4:$A$203,C606,'System map'!$B$4:$B$203,"&lt;&gt;",'System map'!$C$4:$C$203,"&lt;&gt;",'System map'!$D$4:$D$203,"&lt;&gt;"),COUNTIFS(Components!$A$4:$A$253,C606,Components!$B$4:$B$253,B606,Components!$K$4:$K$253,"Confirmed",Components!$L$4:$L$253,"OK — verify source"))))&lt;&gt;1,IF(E606="UC",COUNTIFS('Use cases'!$A$4:$A$253,F606,'Use cases'!$I$4:$I$253,"Confirmed",'Use cases'!$J$4:$J$253,"OK — verify source"),IF(E606="CAP",COUNTIFS(Capabilities!$A$4:$A$253,F606,Capabilities!$J$4:$J$253,"Confirmed",Capabilities!$K$4:$K$253,"OK — verify source"),IF(E606="AIR",COUNTIFS('System map'!$A$4:$A$203,F606,'System map'!$B$4:$B$203,"&lt;&gt;",'System map'!$C$4:$C$203,"&lt;&gt;",'System map'!$D$4:$D$203,"&lt;&gt;"),COUNTIFS(Components!$A$4:$A$253,F606,Components!$B$4:$B$253,E606,Components!$K$4:$K$253,"Confirmed",Components!$L$4:$L$253,"OK — verify source"))))&lt;&gt;1)),"Endpoint not source-reconciled",IF(AND(M606="Confirmed",OR(L606="",K606="",K606="Unknown",K606="Low")),"Confirmed link lacks verification","OK — verify source"))))))))))))))</f>
        <v/>
      </c>
    </row>
    <row r="607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8" t="n"/>
      <c r="M607" s="27" t="n"/>
      <c r="N607" s="27">
        <f>IF(COUNTA(A607:M607)=0,"",IF(OR(A607="",B607="",C607="",D607="",E607="",F607="",I607="",J607="",K607="",M607=""),"Required link detail missing",IF(COUNTIF($A$4:$A$1003,A607)&gt;1,"Duplicate Map Edge ID",IF(NOT(OR(AND(B607="UC",E607="CAP",D607="requires"),AND(B607="CAP",E607="AIR",D607="provided by"),AND(B607="AIR",OR(E607="MOD",E607="DATA",E607="IF",E607="AG",E607="TOOL"),D607="references"),AND(B607="AIR",E607="AIR",D607="depends on"))),"Invalid relationship",IF(AND(M607&lt;&gt;"Superseded",COUNTIFS($B$4:$B$1003,B607,$C$4:$C$1003,C607,$D$4:$D$1003,D607,$E$4:$E$1003,E607,$F$4:$F$1003,F607,$G$4:$G$1003,G607,$M$4:$M$1003,"&lt;&gt;Superseded")&gt;1),"Duplicate relationship",IF(OR(IF(B607="UC",COUNTIF('Use cases'!$A$4:$A$253,C607),IF(B607="CAP",COUNTIF(Capabilities!$A$4:$A$253,C607),IF(B607="AIR",COUNTIF('System map'!$A$4:$A$203,C607),COUNTIFS(Components!$A$4:$A$253,C607,Components!$B$4:$B$253,B607))))&lt;&gt;1,IF(E607="UC",COUNTIF('Use cases'!$A$4:$A$253,F607),IF(E607="CAP",COUNTIF(Capabilities!$A$4:$A$253,F607),IF(E607="AIR",COUNTIF('System map'!$A$4:$A$203,F607),COUNTIFS(Components!$A$4:$A$253,F607,Components!$B$4:$B$253,E607))))&lt;&gt;1),"Endpoint missing or duplicated",IF(AND(NOT(AND(B607="UC",E607="CAP")),OR(G607="",COUNTIF('System map'!$A$4:$A$203,G607)&lt;&gt;1)),"AIR context missing / unknown",IF(AND(B607="CAP",E607="AIR",G607&lt;&gt;F607),"AIR context mismatch",IF(AND(B607="AIR",G607&lt;&gt;C607),"AIR context mismatch",IF(AND(B607="AIR",E607="AIR",C607=F607),"Self-dependency",IF(AND(B607="AIR",E607="AIR",M607&lt;&gt;"Superseded",COUNTIFS($B$4:$B$1003,"AIR",$C$4:$C$1003,F607,$E$4:$E$1003,"AIR",$F$4:$F$1003,C607,$M$4:$M$1003,"&lt;&gt;Superseded")&gt;0),"Dependency cycle (A↔B) — review",IF(AND(B607="AIR",OR(E607="MOD",E607="DATA",E607="IF",E607="AG",E607="TOOL"),IFERROR(INDEX(Components!$G$4:$G$253,MATCH(F607,Components!$A$4:$A$253,0)),"")&lt;&gt;"",IFERROR(INDEX(Components!$G$4:$G$253,MATCH(F607,Components!$A$4:$A$253,0)),"")&lt;&gt;C607),"Component owned by another AIR-ID",IF(AND(M607="Confirmed",OR(IF(B607="UC",COUNTIFS('Use cases'!$A$4:$A$253,C607,'Use cases'!$I$4:$I$253,"Confirmed",'Use cases'!$J$4:$J$253,"OK — verify source"),IF(B607="CAP",COUNTIFS(Capabilities!$A$4:$A$253,C607,Capabilities!$J$4:$J$253,"Confirmed",Capabilities!$K$4:$K$253,"OK — verify source"),IF(B607="AIR",COUNTIFS('System map'!$A$4:$A$203,C607,'System map'!$B$4:$B$203,"&lt;&gt;",'System map'!$C$4:$C$203,"&lt;&gt;",'System map'!$D$4:$D$203,"&lt;&gt;"),COUNTIFS(Components!$A$4:$A$253,C607,Components!$B$4:$B$253,B607,Components!$K$4:$K$253,"Confirmed",Components!$L$4:$L$253,"OK — verify source"))))&lt;&gt;1,IF(E607="UC",COUNTIFS('Use cases'!$A$4:$A$253,F607,'Use cases'!$I$4:$I$253,"Confirmed",'Use cases'!$J$4:$J$253,"OK — verify source"),IF(E607="CAP",COUNTIFS(Capabilities!$A$4:$A$253,F607,Capabilities!$J$4:$J$253,"Confirmed",Capabilities!$K$4:$K$253,"OK — verify source"),IF(E607="AIR",COUNTIFS('System map'!$A$4:$A$203,F607,'System map'!$B$4:$B$203,"&lt;&gt;",'System map'!$C$4:$C$203,"&lt;&gt;",'System map'!$D$4:$D$203,"&lt;&gt;"),COUNTIFS(Components!$A$4:$A$253,F607,Components!$B$4:$B$253,E607,Components!$K$4:$K$253,"Confirmed",Components!$L$4:$L$253,"OK — verify source"))))&lt;&gt;1)),"Endpoint not source-reconciled",IF(AND(M607="Confirmed",OR(L607="",K607="",K607="Unknown",K607="Low")),"Confirmed link lacks verification","OK — verify source"))))))))))))))</f>
        <v/>
      </c>
    </row>
    <row r="608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6" t="n"/>
      <c r="M608" s="25" t="n"/>
      <c r="N608" s="25">
        <f>IF(COUNTA(A608:M608)=0,"",IF(OR(A608="",B608="",C608="",D608="",E608="",F608="",I608="",J608="",K608="",M608=""),"Required link detail missing",IF(COUNTIF($A$4:$A$1003,A608)&gt;1,"Duplicate Map Edge ID",IF(NOT(OR(AND(B608="UC",E608="CAP",D608="requires"),AND(B608="CAP",E608="AIR",D608="provided by"),AND(B608="AIR",OR(E608="MOD",E608="DATA",E608="IF",E608="AG",E608="TOOL"),D608="references"),AND(B608="AIR",E608="AIR",D608="depends on"))),"Invalid relationship",IF(AND(M608&lt;&gt;"Superseded",COUNTIFS($B$4:$B$1003,B608,$C$4:$C$1003,C608,$D$4:$D$1003,D608,$E$4:$E$1003,E608,$F$4:$F$1003,F608,$G$4:$G$1003,G608,$M$4:$M$1003,"&lt;&gt;Superseded")&gt;1),"Duplicate relationship",IF(OR(IF(B608="UC",COUNTIF('Use cases'!$A$4:$A$253,C608),IF(B608="CAP",COUNTIF(Capabilities!$A$4:$A$253,C608),IF(B608="AIR",COUNTIF('System map'!$A$4:$A$203,C608),COUNTIFS(Components!$A$4:$A$253,C608,Components!$B$4:$B$253,B608))))&lt;&gt;1,IF(E608="UC",COUNTIF('Use cases'!$A$4:$A$253,F608),IF(E608="CAP",COUNTIF(Capabilities!$A$4:$A$253,F608),IF(E608="AIR",COUNTIF('System map'!$A$4:$A$203,F608),COUNTIFS(Components!$A$4:$A$253,F608,Components!$B$4:$B$253,E608))))&lt;&gt;1),"Endpoint missing or duplicated",IF(AND(NOT(AND(B608="UC",E608="CAP")),OR(G608="",COUNTIF('System map'!$A$4:$A$203,G608)&lt;&gt;1)),"AIR context missing / unknown",IF(AND(B608="CAP",E608="AIR",G608&lt;&gt;F608),"AIR context mismatch",IF(AND(B608="AIR",G608&lt;&gt;C608),"AIR context mismatch",IF(AND(B608="AIR",E608="AIR",C608=F608),"Self-dependency",IF(AND(B608="AIR",E608="AIR",M608&lt;&gt;"Superseded",COUNTIFS($B$4:$B$1003,"AIR",$C$4:$C$1003,F608,$E$4:$E$1003,"AIR",$F$4:$F$1003,C608,$M$4:$M$1003,"&lt;&gt;Superseded")&gt;0),"Dependency cycle (A↔B) — review",IF(AND(B608="AIR",OR(E608="MOD",E608="DATA",E608="IF",E608="AG",E608="TOOL"),IFERROR(INDEX(Components!$G$4:$G$253,MATCH(F608,Components!$A$4:$A$253,0)),"")&lt;&gt;"",IFERROR(INDEX(Components!$G$4:$G$253,MATCH(F608,Components!$A$4:$A$253,0)),"")&lt;&gt;C608),"Component owned by another AIR-ID",IF(AND(M608="Confirmed",OR(IF(B608="UC",COUNTIFS('Use cases'!$A$4:$A$253,C608,'Use cases'!$I$4:$I$253,"Confirmed",'Use cases'!$J$4:$J$253,"OK — verify source"),IF(B608="CAP",COUNTIFS(Capabilities!$A$4:$A$253,C608,Capabilities!$J$4:$J$253,"Confirmed",Capabilities!$K$4:$K$253,"OK — verify source"),IF(B608="AIR",COUNTIFS('System map'!$A$4:$A$203,C608,'System map'!$B$4:$B$203,"&lt;&gt;",'System map'!$C$4:$C$203,"&lt;&gt;",'System map'!$D$4:$D$203,"&lt;&gt;"),COUNTIFS(Components!$A$4:$A$253,C608,Components!$B$4:$B$253,B608,Components!$K$4:$K$253,"Confirmed",Components!$L$4:$L$253,"OK — verify source"))))&lt;&gt;1,IF(E608="UC",COUNTIFS('Use cases'!$A$4:$A$253,F608,'Use cases'!$I$4:$I$253,"Confirmed",'Use cases'!$J$4:$J$253,"OK — verify source"),IF(E608="CAP",COUNTIFS(Capabilities!$A$4:$A$253,F608,Capabilities!$J$4:$J$253,"Confirmed",Capabilities!$K$4:$K$253,"OK — verify source"),IF(E608="AIR",COUNTIFS('System map'!$A$4:$A$203,F608,'System map'!$B$4:$B$203,"&lt;&gt;",'System map'!$C$4:$C$203,"&lt;&gt;",'System map'!$D$4:$D$203,"&lt;&gt;"),COUNTIFS(Components!$A$4:$A$253,F608,Components!$B$4:$B$253,E608,Components!$K$4:$K$253,"Confirmed",Components!$L$4:$L$253,"OK — verify source"))))&lt;&gt;1)),"Endpoint not source-reconciled",IF(AND(M608="Confirmed",OR(L608="",K608="",K608="Unknown",K608="Low")),"Confirmed link lacks verification","OK — verify source"))))))))))))))</f>
        <v/>
      </c>
    </row>
    <row r="609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8" t="n"/>
      <c r="M609" s="27" t="n"/>
      <c r="N609" s="27">
        <f>IF(COUNTA(A609:M609)=0,"",IF(OR(A609="",B609="",C609="",D609="",E609="",F609="",I609="",J609="",K609="",M609=""),"Required link detail missing",IF(COUNTIF($A$4:$A$1003,A609)&gt;1,"Duplicate Map Edge ID",IF(NOT(OR(AND(B609="UC",E609="CAP",D609="requires"),AND(B609="CAP",E609="AIR",D609="provided by"),AND(B609="AIR",OR(E609="MOD",E609="DATA",E609="IF",E609="AG",E609="TOOL"),D609="references"),AND(B609="AIR",E609="AIR",D609="depends on"))),"Invalid relationship",IF(AND(M609&lt;&gt;"Superseded",COUNTIFS($B$4:$B$1003,B609,$C$4:$C$1003,C609,$D$4:$D$1003,D609,$E$4:$E$1003,E609,$F$4:$F$1003,F609,$G$4:$G$1003,G609,$M$4:$M$1003,"&lt;&gt;Superseded")&gt;1),"Duplicate relationship",IF(OR(IF(B609="UC",COUNTIF('Use cases'!$A$4:$A$253,C609),IF(B609="CAP",COUNTIF(Capabilities!$A$4:$A$253,C609),IF(B609="AIR",COUNTIF('System map'!$A$4:$A$203,C609),COUNTIFS(Components!$A$4:$A$253,C609,Components!$B$4:$B$253,B609))))&lt;&gt;1,IF(E609="UC",COUNTIF('Use cases'!$A$4:$A$253,F609),IF(E609="CAP",COUNTIF(Capabilities!$A$4:$A$253,F609),IF(E609="AIR",COUNTIF('System map'!$A$4:$A$203,F609),COUNTIFS(Components!$A$4:$A$253,F609,Components!$B$4:$B$253,E609))))&lt;&gt;1),"Endpoint missing or duplicated",IF(AND(NOT(AND(B609="UC",E609="CAP")),OR(G609="",COUNTIF('System map'!$A$4:$A$203,G609)&lt;&gt;1)),"AIR context missing / unknown",IF(AND(B609="CAP",E609="AIR",G609&lt;&gt;F609),"AIR context mismatch",IF(AND(B609="AIR",G609&lt;&gt;C609),"AIR context mismatch",IF(AND(B609="AIR",E609="AIR",C609=F609),"Self-dependency",IF(AND(B609="AIR",E609="AIR",M609&lt;&gt;"Superseded",COUNTIFS($B$4:$B$1003,"AIR",$C$4:$C$1003,F609,$E$4:$E$1003,"AIR",$F$4:$F$1003,C609,$M$4:$M$1003,"&lt;&gt;Superseded")&gt;0),"Dependency cycle (A↔B) — review",IF(AND(B609="AIR",OR(E609="MOD",E609="DATA",E609="IF",E609="AG",E609="TOOL"),IFERROR(INDEX(Components!$G$4:$G$253,MATCH(F609,Components!$A$4:$A$253,0)),"")&lt;&gt;"",IFERROR(INDEX(Components!$G$4:$G$253,MATCH(F609,Components!$A$4:$A$253,0)),"")&lt;&gt;C609),"Component owned by another AIR-ID",IF(AND(M609="Confirmed",OR(IF(B609="UC",COUNTIFS('Use cases'!$A$4:$A$253,C609,'Use cases'!$I$4:$I$253,"Confirmed",'Use cases'!$J$4:$J$253,"OK — verify source"),IF(B609="CAP",COUNTIFS(Capabilities!$A$4:$A$253,C609,Capabilities!$J$4:$J$253,"Confirmed",Capabilities!$K$4:$K$253,"OK — verify source"),IF(B609="AIR",COUNTIFS('System map'!$A$4:$A$203,C609,'System map'!$B$4:$B$203,"&lt;&gt;",'System map'!$C$4:$C$203,"&lt;&gt;",'System map'!$D$4:$D$203,"&lt;&gt;"),COUNTIFS(Components!$A$4:$A$253,C609,Components!$B$4:$B$253,B609,Components!$K$4:$K$253,"Confirmed",Components!$L$4:$L$253,"OK — verify source"))))&lt;&gt;1,IF(E609="UC",COUNTIFS('Use cases'!$A$4:$A$253,F609,'Use cases'!$I$4:$I$253,"Confirmed",'Use cases'!$J$4:$J$253,"OK — verify source"),IF(E609="CAP",COUNTIFS(Capabilities!$A$4:$A$253,F609,Capabilities!$J$4:$J$253,"Confirmed",Capabilities!$K$4:$K$253,"OK — verify source"),IF(E609="AIR",COUNTIFS('System map'!$A$4:$A$203,F609,'System map'!$B$4:$B$203,"&lt;&gt;",'System map'!$C$4:$C$203,"&lt;&gt;",'System map'!$D$4:$D$203,"&lt;&gt;"),COUNTIFS(Components!$A$4:$A$253,F609,Components!$B$4:$B$253,E609,Components!$K$4:$K$253,"Confirmed",Components!$L$4:$L$253,"OK — verify source"))))&lt;&gt;1)),"Endpoint not source-reconciled",IF(AND(M609="Confirmed",OR(L609="",K609="",K609="Unknown",K609="Low")),"Confirmed link lacks verification","OK — verify source"))))))))))))))</f>
        <v/>
      </c>
    </row>
    <row r="610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6" t="n"/>
      <c r="M610" s="25" t="n"/>
      <c r="N610" s="25">
        <f>IF(COUNTA(A610:M610)=0,"",IF(OR(A610="",B610="",C610="",D610="",E610="",F610="",I610="",J610="",K610="",M610=""),"Required link detail missing",IF(COUNTIF($A$4:$A$1003,A610)&gt;1,"Duplicate Map Edge ID",IF(NOT(OR(AND(B610="UC",E610="CAP",D610="requires"),AND(B610="CAP",E610="AIR",D610="provided by"),AND(B610="AIR",OR(E610="MOD",E610="DATA",E610="IF",E610="AG",E610="TOOL"),D610="references"),AND(B610="AIR",E610="AIR",D610="depends on"))),"Invalid relationship",IF(AND(M610&lt;&gt;"Superseded",COUNTIFS($B$4:$B$1003,B610,$C$4:$C$1003,C610,$D$4:$D$1003,D610,$E$4:$E$1003,E610,$F$4:$F$1003,F610,$G$4:$G$1003,G610,$M$4:$M$1003,"&lt;&gt;Superseded")&gt;1),"Duplicate relationship",IF(OR(IF(B610="UC",COUNTIF('Use cases'!$A$4:$A$253,C610),IF(B610="CAP",COUNTIF(Capabilities!$A$4:$A$253,C610),IF(B610="AIR",COUNTIF('System map'!$A$4:$A$203,C610),COUNTIFS(Components!$A$4:$A$253,C610,Components!$B$4:$B$253,B610))))&lt;&gt;1,IF(E610="UC",COUNTIF('Use cases'!$A$4:$A$253,F610),IF(E610="CAP",COUNTIF(Capabilities!$A$4:$A$253,F610),IF(E610="AIR",COUNTIF('System map'!$A$4:$A$203,F610),COUNTIFS(Components!$A$4:$A$253,F610,Components!$B$4:$B$253,E610))))&lt;&gt;1),"Endpoint missing or duplicated",IF(AND(NOT(AND(B610="UC",E610="CAP")),OR(G610="",COUNTIF('System map'!$A$4:$A$203,G610)&lt;&gt;1)),"AIR context missing / unknown",IF(AND(B610="CAP",E610="AIR",G610&lt;&gt;F610),"AIR context mismatch",IF(AND(B610="AIR",G610&lt;&gt;C610),"AIR context mismatch",IF(AND(B610="AIR",E610="AIR",C610=F610),"Self-dependency",IF(AND(B610="AIR",E610="AIR",M610&lt;&gt;"Superseded",COUNTIFS($B$4:$B$1003,"AIR",$C$4:$C$1003,F610,$E$4:$E$1003,"AIR",$F$4:$F$1003,C610,$M$4:$M$1003,"&lt;&gt;Superseded")&gt;0),"Dependency cycle (A↔B) — review",IF(AND(B610="AIR",OR(E610="MOD",E610="DATA",E610="IF",E610="AG",E610="TOOL"),IFERROR(INDEX(Components!$G$4:$G$253,MATCH(F610,Components!$A$4:$A$253,0)),"")&lt;&gt;"",IFERROR(INDEX(Components!$G$4:$G$253,MATCH(F610,Components!$A$4:$A$253,0)),"")&lt;&gt;C610),"Component owned by another AIR-ID",IF(AND(M610="Confirmed",OR(IF(B610="UC",COUNTIFS('Use cases'!$A$4:$A$253,C610,'Use cases'!$I$4:$I$253,"Confirmed",'Use cases'!$J$4:$J$253,"OK — verify source"),IF(B610="CAP",COUNTIFS(Capabilities!$A$4:$A$253,C610,Capabilities!$J$4:$J$253,"Confirmed",Capabilities!$K$4:$K$253,"OK — verify source"),IF(B610="AIR",COUNTIFS('System map'!$A$4:$A$203,C610,'System map'!$B$4:$B$203,"&lt;&gt;",'System map'!$C$4:$C$203,"&lt;&gt;",'System map'!$D$4:$D$203,"&lt;&gt;"),COUNTIFS(Components!$A$4:$A$253,C610,Components!$B$4:$B$253,B610,Components!$K$4:$K$253,"Confirmed",Components!$L$4:$L$253,"OK — verify source"))))&lt;&gt;1,IF(E610="UC",COUNTIFS('Use cases'!$A$4:$A$253,F610,'Use cases'!$I$4:$I$253,"Confirmed",'Use cases'!$J$4:$J$253,"OK — verify source"),IF(E610="CAP",COUNTIFS(Capabilities!$A$4:$A$253,F610,Capabilities!$J$4:$J$253,"Confirmed",Capabilities!$K$4:$K$253,"OK — verify source"),IF(E610="AIR",COUNTIFS('System map'!$A$4:$A$203,F610,'System map'!$B$4:$B$203,"&lt;&gt;",'System map'!$C$4:$C$203,"&lt;&gt;",'System map'!$D$4:$D$203,"&lt;&gt;"),COUNTIFS(Components!$A$4:$A$253,F610,Components!$B$4:$B$253,E610,Components!$K$4:$K$253,"Confirmed",Components!$L$4:$L$253,"OK — verify source"))))&lt;&gt;1)),"Endpoint not source-reconciled",IF(AND(M610="Confirmed",OR(L610="",K610="",K610="Unknown",K610="Low")),"Confirmed link lacks verification","OK — verify source"))))))))))))))</f>
        <v/>
      </c>
    </row>
    <row r="611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8" t="n"/>
      <c r="M611" s="27" t="n"/>
      <c r="N611" s="27">
        <f>IF(COUNTA(A611:M611)=0,"",IF(OR(A611="",B611="",C611="",D611="",E611="",F611="",I611="",J611="",K611="",M611=""),"Required link detail missing",IF(COUNTIF($A$4:$A$1003,A611)&gt;1,"Duplicate Map Edge ID",IF(NOT(OR(AND(B611="UC",E611="CAP",D611="requires"),AND(B611="CAP",E611="AIR",D611="provided by"),AND(B611="AIR",OR(E611="MOD",E611="DATA",E611="IF",E611="AG",E611="TOOL"),D611="references"),AND(B611="AIR",E611="AIR",D611="depends on"))),"Invalid relationship",IF(AND(M611&lt;&gt;"Superseded",COUNTIFS($B$4:$B$1003,B611,$C$4:$C$1003,C611,$D$4:$D$1003,D611,$E$4:$E$1003,E611,$F$4:$F$1003,F611,$G$4:$G$1003,G611,$M$4:$M$1003,"&lt;&gt;Superseded")&gt;1),"Duplicate relationship",IF(OR(IF(B611="UC",COUNTIF('Use cases'!$A$4:$A$253,C611),IF(B611="CAP",COUNTIF(Capabilities!$A$4:$A$253,C611),IF(B611="AIR",COUNTIF('System map'!$A$4:$A$203,C611),COUNTIFS(Components!$A$4:$A$253,C611,Components!$B$4:$B$253,B611))))&lt;&gt;1,IF(E611="UC",COUNTIF('Use cases'!$A$4:$A$253,F611),IF(E611="CAP",COUNTIF(Capabilities!$A$4:$A$253,F611),IF(E611="AIR",COUNTIF('System map'!$A$4:$A$203,F611),COUNTIFS(Components!$A$4:$A$253,F611,Components!$B$4:$B$253,E611))))&lt;&gt;1),"Endpoint missing or duplicated",IF(AND(NOT(AND(B611="UC",E611="CAP")),OR(G611="",COUNTIF('System map'!$A$4:$A$203,G611)&lt;&gt;1)),"AIR context missing / unknown",IF(AND(B611="CAP",E611="AIR",G611&lt;&gt;F611),"AIR context mismatch",IF(AND(B611="AIR",G611&lt;&gt;C611),"AIR context mismatch",IF(AND(B611="AIR",E611="AIR",C611=F611),"Self-dependency",IF(AND(B611="AIR",E611="AIR",M611&lt;&gt;"Superseded",COUNTIFS($B$4:$B$1003,"AIR",$C$4:$C$1003,F611,$E$4:$E$1003,"AIR",$F$4:$F$1003,C611,$M$4:$M$1003,"&lt;&gt;Superseded")&gt;0),"Dependency cycle (A↔B) — review",IF(AND(B611="AIR",OR(E611="MOD",E611="DATA",E611="IF",E611="AG",E611="TOOL"),IFERROR(INDEX(Components!$G$4:$G$253,MATCH(F611,Components!$A$4:$A$253,0)),"")&lt;&gt;"",IFERROR(INDEX(Components!$G$4:$G$253,MATCH(F611,Components!$A$4:$A$253,0)),"")&lt;&gt;C611),"Component owned by another AIR-ID",IF(AND(M611="Confirmed",OR(IF(B611="UC",COUNTIFS('Use cases'!$A$4:$A$253,C611,'Use cases'!$I$4:$I$253,"Confirmed",'Use cases'!$J$4:$J$253,"OK — verify source"),IF(B611="CAP",COUNTIFS(Capabilities!$A$4:$A$253,C611,Capabilities!$J$4:$J$253,"Confirmed",Capabilities!$K$4:$K$253,"OK — verify source"),IF(B611="AIR",COUNTIFS('System map'!$A$4:$A$203,C611,'System map'!$B$4:$B$203,"&lt;&gt;",'System map'!$C$4:$C$203,"&lt;&gt;",'System map'!$D$4:$D$203,"&lt;&gt;"),COUNTIFS(Components!$A$4:$A$253,C611,Components!$B$4:$B$253,B611,Components!$K$4:$K$253,"Confirmed",Components!$L$4:$L$253,"OK — verify source"))))&lt;&gt;1,IF(E611="UC",COUNTIFS('Use cases'!$A$4:$A$253,F611,'Use cases'!$I$4:$I$253,"Confirmed",'Use cases'!$J$4:$J$253,"OK — verify source"),IF(E611="CAP",COUNTIFS(Capabilities!$A$4:$A$253,F611,Capabilities!$J$4:$J$253,"Confirmed",Capabilities!$K$4:$K$253,"OK — verify source"),IF(E611="AIR",COUNTIFS('System map'!$A$4:$A$203,F611,'System map'!$B$4:$B$203,"&lt;&gt;",'System map'!$C$4:$C$203,"&lt;&gt;",'System map'!$D$4:$D$203,"&lt;&gt;"),COUNTIFS(Components!$A$4:$A$253,F611,Components!$B$4:$B$253,E611,Components!$K$4:$K$253,"Confirmed",Components!$L$4:$L$253,"OK — verify source"))))&lt;&gt;1)),"Endpoint not source-reconciled",IF(AND(M611="Confirmed",OR(L611="",K611="",K611="Unknown",K611="Low")),"Confirmed link lacks verification","OK — verify source"))))))))))))))</f>
        <v/>
      </c>
    </row>
    <row r="612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6" t="n"/>
      <c r="M612" s="25" t="n"/>
      <c r="N612" s="25">
        <f>IF(COUNTA(A612:M612)=0,"",IF(OR(A612="",B612="",C612="",D612="",E612="",F612="",I612="",J612="",K612="",M612=""),"Required link detail missing",IF(COUNTIF($A$4:$A$1003,A612)&gt;1,"Duplicate Map Edge ID",IF(NOT(OR(AND(B612="UC",E612="CAP",D612="requires"),AND(B612="CAP",E612="AIR",D612="provided by"),AND(B612="AIR",OR(E612="MOD",E612="DATA",E612="IF",E612="AG",E612="TOOL"),D612="references"),AND(B612="AIR",E612="AIR",D612="depends on"))),"Invalid relationship",IF(AND(M612&lt;&gt;"Superseded",COUNTIFS($B$4:$B$1003,B612,$C$4:$C$1003,C612,$D$4:$D$1003,D612,$E$4:$E$1003,E612,$F$4:$F$1003,F612,$G$4:$G$1003,G612,$M$4:$M$1003,"&lt;&gt;Superseded")&gt;1),"Duplicate relationship",IF(OR(IF(B612="UC",COUNTIF('Use cases'!$A$4:$A$253,C612),IF(B612="CAP",COUNTIF(Capabilities!$A$4:$A$253,C612),IF(B612="AIR",COUNTIF('System map'!$A$4:$A$203,C612),COUNTIFS(Components!$A$4:$A$253,C612,Components!$B$4:$B$253,B612))))&lt;&gt;1,IF(E612="UC",COUNTIF('Use cases'!$A$4:$A$253,F612),IF(E612="CAP",COUNTIF(Capabilities!$A$4:$A$253,F612),IF(E612="AIR",COUNTIF('System map'!$A$4:$A$203,F612),COUNTIFS(Components!$A$4:$A$253,F612,Components!$B$4:$B$253,E612))))&lt;&gt;1),"Endpoint missing or duplicated",IF(AND(NOT(AND(B612="UC",E612="CAP")),OR(G612="",COUNTIF('System map'!$A$4:$A$203,G612)&lt;&gt;1)),"AIR context missing / unknown",IF(AND(B612="CAP",E612="AIR",G612&lt;&gt;F612),"AIR context mismatch",IF(AND(B612="AIR",G612&lt;&gt;C612),"AIR context mismatch",IF(AND(B612="AIR",E612="AIR",C612=F612),"Self-dependency",IF(AND(B612="AIR",E612="AIR",M612&lt;&gt;"Superseded",COUNTIFS($B$4:$B$1003,"AIR",$C$4:$C$1003,F612,$E$4:$E$1003,"AIR",$F$4:$F$1003,C612,$M$4:$M$1003,"&lt;&gt;Superseded")&gt;0),"Dependency cycle (A↔B) — review",IF(AND(B612="AIR",OR(E612="MOD",E612="DATA",E612="IF",E612="AG",E612="TOOL"),IFERROR(INDEX(Components!$G$4:$G$253,MATCH(F612,Components!$A$4:$A$253,0)),"")&lt;&gt;"",IFERROR(INDEX(Components!$G$4:$G$253,MATCH(F612,Components!$A$4:$A$253,0)),"")&lt;&gt;C612),"Component owned by another AIR-ID",IF(AND(M612="Confirmed",OR(IF(B612="UC",COUNTIFS('Use cases'!$A$4:$A$253,C612,'Use cases'!$I$4:$I$253,"Confirmed",'Use cases'!$J$4:$J$253,"OK — verify source"),IF(B612="CAP",COUNTIFS(Capabilities!$A$4:$A$253,C612,Capabilities!$J$4:$J$253,"Confirmed",Capabilities!$K$4:$K$253,"OK — verify source"),IF(B612="AIR",COUNTIFS('System map'!$A$4:$A$203,C612,'System map'!$B$4:$B$203,"&lt;&gt;",'System map'!$C$4:$C$203,"&lt;&gt;",'System map'!$D$4:$D$203,"&lt;&gt;"),COUNTIFS(Components!$A$4:$A$253,C612,Components!$B$4:$B$253,B612,Components!$K$4:$K$253,"Confirmed",Components!$L$4:$L$253,"OK — verify source"))))&lt;&gt;1,IF(E612="UC",COUNTIFS('Use cases'!$A$4:$A$253,F612,'Use cases'!$I$4:$I$253,"Confirmed",'Use cases'!$J$4:$J$253,"OK — verify source"),IF(E612="CAP",COUNTIFS(Capabilities!$A$4:$A$253,F612,Capabilities!$J$4:$J$253,"Confirmed",Capabilities!$K$4:$K$253,"OK — verify source"),IF(E612="AIR",COUNTIFS('System map'!$A$4:$A$203,F612,'System map'!$B$4:$B$203,"&lt;&gt;",'System map'!$C$4:$C$203,"&lt;&gt;",'System map'!$D$4:$D$203,"&lt;&gt;"),COUNTIFS(Components!$A$4:$A$253,F612,Components!$B$4:$B$253,E612,Components!$K$4:$K$253,"Confirmed",Components!$L$4:$L$253,"OK — verify source"))))&lt;&gt;1)),"Endpoint not source-reconciled",IF(AND(M612="Confirmed",OR(L612="",K612="",K612="Unknown",K612="Low")),"Confirmed link lacks verification","OK — verify source"))))))))))))))</f>
        <v/>
      </c>
    </row>
    <row r="613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8" t="n"/>
      <c r="M613" s="27" t="n"/>
      <c r="N613" s="27">
        <f>IF(COUNTA(A613:M613)=0,"",IF(OR(A613="",B613="",C613="",D613="",E613="",F613="",I613="",J613="",K613="",M613=""),"Required link detail missing",IF(COUNTIF($A$4:$A$1003,A613)&gt;1,"Duplicate Map Edge ID",IF(NOT(OR(AND(B613="UC",E613="CAP",D613="requires"),AND(B613="CAP",E613="AIR",D613="provided by"),AND(B613="AIR",OR(E613="MOD",E613="DATA",E613="IF",E613="AG",E613="TOOL"),D613="references"),AND(B613="AIR",E613="AIR",D613="depends on"))),"Invalid relationship",IF(AND(M613&lt;&gt;"Superseded",COUNTIFS($B$4:$B$1003,B613,$C$4:$C$1003,C613,$D$4:$D$1003,D613,$E$4:$E$1003,E613,$F$4:$F$1003,F613,$G$4:$G$1003,G613,$M$4:$M$1003,"&lt;&gt;Superseded")&gt;1),"Duplicate relationship",IF(OR(IF(B613="UC",COUNTIF('Use cases'!$A$4:$A$253,C613),IF(B613="CAP",COUNTIF(Capabilities!$A$4:$A$253,C613),IF(B613="AIR",COUNTIF('System map'!$A$4:$A$203,C613),COUNTIFS(Components!$A$4:$A$253,C613,Components!$B$4:$B$253,B613))))&lt;&gt;1,IF(E613="UC",COUNTIF('Use cases'!$A$4:$A$253,F613),IF(E613="CAP",COUNTIF(Capabilities!$A$4:$A$253,F613),IF(E613="AIR",COUNTIF('System map'!$A$4:$A$203,F613),COUNTIFS(Components!$A$4:$A$253,F613,Components!$B$4:$B$253,E613))))&lt;&gt;1),"Endpoint missing or duplicated",IF(AND(NOT(AND(B613="UC",E613="CAP")),OR(G613="",COUNTIF('System map'!$A$4:$A$203,G613)&lt;&gt;1)),"AIR context missing / unknown",IF(AND(B613="CAP",E613="AIR",G613&lt;&gt;F613),"AIR context mismatch",IF(AND(B613="AIR",G613&lt;&gt;C613),"AIR context mismatch",IF(AND(B613="AIR",E613="AIR",C613=F613),"Self-dependency",IF(AND(B613="AIR",E613="AIR",M613&lt;&gt;"Superseded",COUNTIFS($B$4:$B$1003,"AIR",$C$4:$C$1003,F613,$E$4:$E$1003,"AIR",$F$4:$F$1003,C613,$M$4:$M$1003,"&lt;&gt;Superseded")&gt;0),"Dependency cycle (A↔B) — review",IF(AND(B613="AIR",OR(E613="MOD",E613="DATA",E613="IF",E613="AG",E613="TOOL"),IFERROR(INDEX(Components!$G$4:$G$253,MATCH(F613,Components!$A$4:$A$253,0)),"")&lt;&gt;"",IFERROR(INDEX(Components!$G$4:$G$253,MATCH(F613,Components!$A$4:$A$253,0)),"")&lt;&gt;C613),"Component owned by another AIR-ID",IF(AND(M613="Confirmed",OR(IF(B613="UC",COUNTIFS('Use cases'!$A$4:$A$253,C613,'Use cases'!$I$4:$I$253,"Confirmed",'Use cases'!$J$4:$J$253,"OK — verify source"),IF(B613="CAP",COUNTIFS(Capabilities!$A$4:$A$253,C613,Capabilities!$J$4:$J$253,"Confirmed",Capabilities!$K$4:$K$253,"OK — verify source"),IF(B613="AIR",COUNTIFS('System map'!$A$4:$A$203,C613,'System map'!$B$4:$B$203,"&lt;&gt;",'System map'!$C$4:$C$203,"&lt;&gt;",'System map'!$D$4:$D$203,"&lt;&gt;"),COUNTIFS(Components!$A$4:$A$253,C613,Components!$B$4:$B$253,B613,Components!$K$4:$K$253,"Confirmed",Components!$L$4:$L$253,"OK — verify source"))))&lt;&gt;1,IF(E613="UC",COUNTIFS('Use cases'!$A$4:$A$253,F613,'Use cases'!$I$4:$I$253,"Confirmed",'Use cases'!$J$4:$J$253,"OK — verify source"),IF(E613="CAP",COUNTIFS(Capabilities!$A$4:$A$253,F613,Capabilities!$J$4:$J$253,"Confirmed",Capabilities!$K$4:$K$253,"OK — verify source"),IF(E613="AIR",COUNTIFS('System map'!$A$4:$A$203,F613,'System map'!$B$4:$B$203,"&lt;&gt;",'System map'!$C$4:$C$203,"&lt;&gt;",'System map'!$D$4:$D$203,"&lt;&gt;"),COUNTIFS(Components!$A$4:$A$253,F613,Components!$B$4:$B$253,E613,Components!$K$4:$K$253,"Confirmed",Components!$L$4:$L$253,"OK — verify source"))))&lt;&gt;1)),"Endpoint not source-reconciled",IF(AND(M613="Confirmed",OR(L613="",K613="",K613="Unknown",K613="Low")),"Confirmed link lacks verification","OK — verify source"))))))))))))))</f>
        <v/>
      </c>
    </row>
    <row r="61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6" t="n"/>
      <c r="M614" s="25" t="n"/>
      <c r="N614" s="25">
        <f>IF(COUNTA(A614:M614)=0,"",IF(OR(A614="",B614="",C614="",D614="",E614="",F614="",I614="",J614="",K614="",M614=""),"Required link detail missing",IF(COUNTIF($A$4:$A$1003,A614)&gt;1,"Duplicate Map Edge ID",IF(NOT(OR(AND(B614="UC",E614="CAP",D614="requires"),AND(B614="CAP",E614="AIR",D614="provided by"),AND(B614="AIR",OR(E614="MOD",E614="DATA",E614="IF",E614="AG",E614="TOOL"),D614="references"),AND(B614="AIR",E614="AIR",D614="depends on"))),"Invalid relationship",IF(AND(M614&lt;&gt;"Superseded",COUNTIFS($B$4:$B$1003,B614,$C$4:$C$1003,C614,$D$4:$D$1003,D614,$E$4:$E$1003,E614,$F$4:$F$1003,F614,$G$4:$G$1003,G614,$M$4:$M$1003,"&lt;&gt;Superseded")&gt;1),"Duplicate relationship",IF(OR(IF(B614="UC",COUNTIF('Use cases'!$A$4:$A$253,C614),IF(B614="CAP",COUNTIF(Capabilities!$A$4:$A$253,C614),IF(B614="AIR",COUNTIF('System map'!$A$4:$A$203,C614),COUNTIFS(Components!$A$4:$A$253,C614,Components!$B$4:$B$253,B614))))&lt;&gt;1,IF(E614="UC",COUNTIF('Use cases'!$A$4:$A$253,F614),IF(E614="CAP",COUNTIF(Capabilities!$A$4:$A$253,F614),IF(E614="AIR",COUNTIF('System map'!$A$4:$A$203,F614),COUNTIFS(Components!$A$4:$A$253,F614,Components!$B$4:$B$253,E614))))&lt;&gt;1),"Endpoint missing or duplicated",IF(AND(NOT(AND(B614="UC",E614="CAP")),OR(G614="",COUNTIF('System map'!$A$4:$A$203,G614)&lt;&gt;1)),"AIR context missing / unknown",IF(AND(B614="CAP",E614="AIR",G614&lt;&gt;F614),"AIR context mismatch",IF(AND(B614="AIR",G614&lt;&gt;C614),"AIR context mismatch",IF(AND(B614="AIR",E614="AIR",C614=F614),"Self-dependency",IF(AND(B614="AIR",E614="AIR",M614&lt;&gt;"Superseded",COUNTIFS($B$4:$B$1003,"AIR",$C$4:$C$1003,F614,$E$4:$E$1003,"AIR",$F$4:$F$1003,C614,$M$4:$M$1003,"&lt;&gt;Superseded")&gt;0),"Dependency cycle (A↔B) — review",IF(AND(B614="AIR",OR(E614="MOD",E614="DATA",E614="IF",E614="AG",E614="TOOL"),IFERROR(INDEX(Components!$G$4:$G$253,MATCH(F614,Components!$A$4:$A$253,0)),"")&lt;&gt;"",IFERROR(INDEX(Components!$G$4:$G$253,MATCH(F614,Components!$A$4:$A$253,0)),"")&lt;&gt;C614),"Component owned by another AIR-ID",IF(AND(M614="Confirmed",OR(IF(B614="UC",COUNTIFS('Use cases'!$A$4:$A$253,C614,'Use cases'!$I$4:$I$253,"Confirmed",'Use cases'!$J$4:$J$253,"OK — verify source"),IF(B614="CAP",COUNTIFS(Capabilities!$A$4:$A$253,C614,Capabilities!$J$4:$J$253,"Confirmed",Capabilities!$K$4:$K$253,"OK — verify source"),IF(B614="AIR",COUNTIFS('System map'!$A$4:$A$203,C614,'System map'!$B$4:$B$203,"&lt;&gt;",'System map'!$C$4:$C$203,"&lt;&gt;",'System map'!$D$4:$D$203,"&lt;&gt;"),COUNTIFS(Components!$A$4:$A$253,C614,Components!$B$4:$B$253,B614,Components!$K$4:$K$253,"Confirmed",Components!$L$4:$L$253,"OK — verify source"))))&lt;&gt;1,IF(E614="UC",COUNTIFS('Use cases'!$A$4:$A$253,F614,'Use cases'!$I$4:$I$253,"Confirmed",'Use cases'!$J$4:$J$253,"OK — verify source"),IF(E614="CAP",COUNTIFS(Capabilities!$A$4:$A$253,F614,Capabilities!$J$4:$J$253,"Confirmed",Capabilities!$K$4:$K$253,"OK — verify source"),IF(E614="AIR",COUNTIFS('System map'!$A$4:$A$203,F614,'System map'!$B$4:$B$203,"&lt;&gt;",'System map'!$C$4:$C$203,"&lt;&gt;",'System map'!$D$4:$D$203,"&lt;&gt;"),COUNTIFS(Components!$A$4:$A$253,F614,Components!$B$4:$B$253,E614,Components!$K$4:$K$253,"Confirmed",Components!$L$4:$L$253,"OK — verify source"))))&lt;&gt;1)),"Endpoint not source-reconciled",IF(AND(M614="Confirmed",OR(L614="",K614="",K614="Unknown",K614="Low")),"Confirmed link lacks verification","OK — verify source"))))))))))))))</f>
        <v/>
      </c>
    </row>
    <row r="615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8" t="n"/>
      <c r="M615" s="27" t="n"/>
      <c r="N615" s="27">
        <f>IF(COUNTA(A615:M615)=0,"",IF(OR(A615="",B615="",C615="",D615="",E615="",F615="",I615="",J615="",K615="",M615=""),"Required link detail missing",IF(COUNTIF($A$4:$A$1003,A615)&gt;1,"Duplicate Map Edge ID",IF(NOT(OR(AND(B615="UC",E615="CAP",D615="requires"),AND(B615="CAP",E615="AIR",D615="provided by"),AND(B615="AIR",OR(E615="MOD",E615="DATA",E615="IF",E615="AG",E615="TOOL"),D615="references"),AND(B615="AIR",E615="AIR",D615="depends on"))),"Invalid relationship",IF(AND(M615&lt;&gt;"Superseded",COUNTIFS($B$4:$B$1003,B615,$C$4:$C$1003,C615,$D$4:$D$1003,D615,$E$4:$E$1003,E615,$F$4:$F$1003,F615,$G$4:$G$1003,G615,$M$4:$M$1003,"&lt;&gt;Superseded")&gt;1),"Duplicate relationship",IF(OR(IF(B615="UC",COUNTIF('Use cases'!$A$4:$A$253,C615),IF(B615="CAP",COUNTIF(Capabilities!$A$4:$A$253,C615),IF(B615="AIR",COUNTIF('System map'!$A$4:$A$203,C615),COUNTIFS(Components!$A$4:$A$253,C615,Components!$B$4:$B$253,B615))))&lt;&gt;1,IF(E615="UC",COUNTIF('Use cases'!$A$4:$A$253,F615),IF(E615="CAP",COUNTIF(Capabilities!$A$4:$A$253,F615),IF(E615="AIR",COUNTIF('System map'!$A$4:$A$203,F615),COUNTIFS(Components!$A$4:$A$253,F615,Components!$B$4:$B$253,E615))))&lt;&gt;1),"Endpoint missing or duplicated",IF(AND(NOT(AND(B615="UC",E615="CAP")),OR(G615="",COUNTIF('System map'!$A$4:$A$203,G615)&lt;&gt;1)),"AIR context missing / unknown",IF(AND(B615="CAP",E615="AIR",G615&lt;&gt;F615),"AIR context mismatch",IF(AND(B615="AIR",G615&lt;&gt;C615),"AIR context mismatch",IF(AND(B615="AIR",E615="AIR",C615=F615),"Self-dependency",IF(AND(B615="AIR",E615="AIR",M615&lt;&gt;"Superseded",COUNTIFS($B$4:$B$1003,"AIR",$C$4:$C$1003,F615,$E$4:$E$1003,"AIR",$F$4:$F$1003,C615,$M$4:$M$1003,"&lt;&gt;Superseded")&gt;0),"Dependency cycle (A↔B) — review",IF(AND(B615="AIR",OR(E615="MOD",E615="DATA",E615="IF",E615="AG",E615="TOOL"),IFERROR(INDEX(Components!$G$4:$G$253,MATCH(F615,Components!$A$4:$A$253,0)),"")&lt;&gt;"",IFERROR(INDEX(Components!$G$4:$G$253,MATCH(F615,Components!$A$4:$A$253,0)),"")&lt;&gt;C615),"Component owned by another AIR-ID",IF(AND(M615="Confirmed",OR(IF(B615="UC",COUNTIFS('Use cases'!$A$4:$A$253,C615,'Use cases'!$I$4:$I$253,"Confirmed",'Use cases'!$J$4:$J$253,"OK — verify source"),IF(B615="CAP",COUNTIFS(Capabilities!$A$4:$A$253,C615,Capabilities!$J$4:$J$253,"Confirmed",Capabilities!$K$4:$K$253,"OK — verify source"),IF(B615="AIR",COUNTIFS('System map'!$A$4:$A$203,C615,'System map'!$B$4:$B$203,"&lt;&gt;",'System map'!$C$4:$C$203,"&lt;&gt;",'System map'!$D$4:$D$203,"&lt;&gt;"),COUNTIFS(Components!$A$4:$A$253,C615,Components!$B$4:$B$253,B615,Components!$K$4:$K$253,"Confirmed",Components!$L$4:$L$253,"OK — verify source"))))&lt;&gt;1,IF(E615="UC",COUNTIFS('Use cases'!$A$4:$A$253,F615,'Use cases'!$I$4:$I$253,"Confirmed",'Use cases'!$J$4:$J$253,"OK — verify source"),IF(E615="CAP",COUNTIFS(Capabilities!$A$4:$A$253,F615,Capabilities!$J$4:$J$253,"Confirmed",Capabilities!$K$4:$K$253,"OK — verify source"),IF(E615="AIR",COUNTIFS('System map'!$A$4:$A$203,F615,'System map'!$B$4:$B$203,"&lt;&gt;",'System map'!$C$4:$C$203,"&lt;&gt;",'System map'!$D$4:$D$203,"&lt;&gt;"),COUNTIFS(Components!$A$4:$A$253,F615,Components!$B$4:$B$253,E615,Components!$K$4:$K$253,"Confirmed",Components!$L$4:$L$253,"OK — verify source"))))&lt;&gt;1)),"Endpoint not source-reconciled",IF(AND(M615="Confirmed",OR(L615="",K615="",K615="Unknown",K615="Low")),"Confirmed link lacks verification","OK — verify source"))))))))))))))</f>
        <v/>
      </c>
    </row>
    <row r="616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6" t="n"/>
      <c r="M616" s="25" t="n"/>
      <c r="N616" s="25">
        <f>IF(COUNTA(A616:M616)=0,"",IF(OR(A616="",B616="",C616="",D616="",E616="",F616="",I616="",J616="",K616="",M616=""),"Required link detail missing",IF(COUNTIF($A$4:$A$1003,A616)&gt;1,"Duplicate Map Edge ID",IF(NOT(OR(AND(B616="UC",E616="CAP",D616="requires"),AND(B616="CAP",E616="AIR",D616="provided by"),AND(B616="AIR",OR(E616="MOD",E616="DATA",E616="IF",E616="AG",E616="TOOL"),D616="references"),AND(B616="AIR",E616="AIR",D616="depends on"))),"Invalid relationship",IF(AND(M616&lt;&gt;"Superseded",COUNTIFS($B$4:$B$1003,B616,$C$4:$C$1003,C616,$D$4:$D$1003,D616,$E$4:$E$1003,E616,$F$4:$F$1003,F616,$G$4:$G$1003,G616,$M$4:$M$1003,"&lt;&gt;Superseded")&gt;1),"Duplicate relationship",IF(OR(IF(B616="UC",COUNTIF('Use cases'!$A$4:$A$253,C616),IF(B616="CAP",COUNTIF(Capabilities!$A$4:$A$253,C616),IF(B616="AIR",COUNTIF('System map'!$A$4:$A$203,C616),COUNTIFS(Components!$A$4:$A$253,C616,Components!$B$4:$B$253,B616))))&lt;&gt;1,IF(E616="UC",COUNTIF('Use cases'!$A$4:$A$253,F616),IF(E616="CAP",COUNTIF(Capabilities!$A$4:$A$253,F616),IF(E616="AIR",COUNTIF('System map'!$A$4:$A$203,F616),COUNTIFS(Components!$A$4:$A$253,F616,Components!$B$4:$B$253,E616))))&lt;&gt;1),"Endpoint missing or duplicated",IF(AND(NOT(AND(B616="UC",E616="CAP")),OR(G616="",COUNTIF('System map'!$A$4:$A$203,G616)&lt;&gt;1)),"AIR context missing / unknown",IF(AND(B616="CAP",E616="AIR",G616&lt;&gt;F616),"AIR context mismatch",IF(AND(B616="AIR",G616&lt;&gt;C616),"AIR context mismatch",IF(AND(B616="AIR",E616="AIR",C616=F616),"Self-dependency",IF(AND(B616="AIR",E616="AIR",M616&lt;&gt;"Superseded",COUNTIFS($B$4:$B$1003,"AIR",$C$4:$C$1003,F616,$E$4:$E$1003,"AIR",$F$4:$F$1003,C616,$M$4:$M$1003,"&lt;&gt;Superseded")&gt;0),"Dependency cycle (A↔B) — review",IF(AND(B616="AIR",OR(E616="MOD",E616="DATA",E616="IF",E616="AG",E616="TOOL"),IFERROR(INDEX(Components!$G$4:$G$253,MATCH(F616,Components!$A$4:$A$253,0)),"")&lt;&gt;"",IFERROR(INDEX(Components!$G$4:$G$253,MATCH(F616,Components!$A$4:$A$253,0)),"")&lt;&gt;C616),"Component owned by another AIR-ID",IF(AND(M616="Confirmed",OR(IF(B616="UC",COUNTIFS('Use cases'!$A$4:$A$253,C616,'Use cases'!$I$4:$I$253,"Confirmed",'Use cases'!$J$4:$J$253,"OK — verify source"),IF(B616="CAP",COUNTIFS(Capabilities!$A$4:$A$253,C616,Capabilities!$J$4:$J$253,"Confirmed",Capabilities!$K$4:$K$253,"OK — verify source"),IF(B616="AIR",COUNTIFS('System map'!$A$4:$A$203,C616,'System map'!$B$4:$B$203,"&lt;&gt;",'System map'!$C$4:$C$203,"&lt;&gt;",'System map'!$D$4:$D$203,"&lt;&gt;"),COUNTIFS(Components!$A$4:$A$253,C616,Components!$B$4:$B$253,B616,Components!$K$4:$K$253,"Confirmed",Components!$L$4:$L$253,"OK — verify source"))))&lt;&gt;1,IF(E616="UC",COUNTIFS('Use cases'!$A$4:$A$253,F616,'Use cases'!$I$4:$I$253,"Confirmed",'Use cases'!$J$4:$J$253,"OK — verify source"),IF(E616="CAP",COUNTIFS(Capabilities!$A$4:$A$253,F616,Capabilities!$J$4:$J$253,"Confirmed",Capabilities!$K$4:$K$253,"OK — verify source"),IF(E616="AIR",COUNTIFS('System map'!$A$4:$A$203,F616,'System map'!$B$4:$B$203,"&lt;&gt;",'System map'!$C$4:$C$203,"&lt;&gt;",'System map'!$D$4:$D$203,"&lt;&gt;"),COUNTIFS(Components!$A$4:$A$253,F616,Components!$B$4:$B$253,E616,Components!$K$4:$K$253,"Confirmed",Components!$L$4:$L$253,"OK — verify source"))))&lt;&gt;1)),"Endpoint not source-reconciled",IF(AND(M616="Confirmed",OR(L616="",K616="",K616="Unknown",K616="Low")),"Confirmed link lacks verification","OK — verify source"))))))))))))))</f>
        <v/>
      </c>
    </row>
    <row r="617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8" t="n"/>
      <c r="M617" s="27" t="n"/>
      <c r="N617" s="27">
        <f>IF(COUNTA(A617:M617)=0,"",IF(OR(A617="",B617="",C617="",D617="",E617="",F617="",I617="",J617="",K617="",M617=""),"Required link detail missing",IF(COUNTIF($A$4:$A$1003,A617)&gt;1,"Duplicate Map Edge ID",IF(NOT(OR(AND(B617="UC",E617="CAP",D617="requires"),AND(B617="CAP",E617="AIR",D617="provided by"),AND(B617="AIR",OR(E617="MOD",E617="DATA",E617="IF",E617="AG",E617="TOOL"),D617="references"),AND(B617="AIR",E617="AIR",D617="depends on"))),"Invalid relationship",IF(AND(M617&lt;&gt;"Superseded",COUNTIFS($B$4:$B$1003,B617,$C$4:$C$1003,C617,$D$4:$D$1003,D617,$E$4:$E$1003,E617,$F$4:$F$1003,F617,$G$4:$G$1003,G617,$M$4:$M$1003,"&lt;&gt;Superseded")&gt;1),"Duplicate relationship",IF(OR(IF(B617="UC",COUNTIF('Use cases'!$A$4:$A$253,C617),IF(B617="CAP",COUNTIF(Capabilities!$A$4:$A$253,C617),IF(B617="AIR",COUNTIF('System map'!$A$4:$A$203,C617),COUNTIFS(Components!$A$4:$A$253,C617,Components!$B$4:$B$253,B617))))&lt;&gt;1,IF(E617="UC",COUNTIF('Use cases'!$A$4:$A$253,F617),IF(E617="CAP",COUNTIF(Capabilities!$A$4:$A$253,F617),IF(E617="AIR",COUNTIF('System map'!$A$4:$A$203,F617),COUNTIFS(Components!$A$4:$A$253,F617,Components!$B$4:$B$253,E617))))&lt;&gt;1),"Endpoint missing or duplicated",IF(AND(NOT(AND(B617="UC",E617="CAP")),OR(G617="",COUNTIF('System map'!$A$4:$A$203,G617)&lt;&gt;1)),"AIR context missing / unknown",IF(AND(B617="CAP",E617="AIR",G617&lt;&gt;F617),"AIR context mismatch",IF(AND(B617="AIR",G617&lt;&gt;C617),"AIR context mismatch",IF(AND(B617="AIR",E617="AIR",C617=F617),"Self-dependency",IF(AND(B617="AIR",E617="AIR",M617&lt;&gt;"Superseded",COUNTIFS($B$4:$B$1003,"AIR",$C$4:$C$1003,F617,$E$4:$E$1003,"AIR",$F$4:$F$1003,C617,$M$4:$M$1003,"&lt;&gt;Superseded")&gt;0),"Dependency cycle (A↔B) — review",IF(AND(B617="AIR",OR(E617="MOD",E617="DATA",E617="IF",E617="AG",E617="TOOL"),IFERROR(INDEX(Components!$G$4:$G$253,MATCH(F617,Components!$A$4:$A$253,0)),"")&lt;&gt;"",IFERROR(INDEX(Components!$G$4:$G$253,MATCH(F617,Components!$A$4:$A$253,0)),"")&lt;&gt;C617),"Component owned by another AIR-ID",IF(AND(M617="Confirmed",OR(IF(B617="UC",COUNTIFS('Use cases'!$A$4:$A$253,C617,'Use cases'!$I$4:$I$253,"Confirmed",'Use cases'!$J$4:$J$253,"OK — verify source"),IF(B617="CAP",COUNTIFS(Capabilities!$A$4:$A$253,C617,Capabilities!$J$4:$J$253,"Confirmed",Capabilities!$K$4:$K$253,"OK — verify source"),IF(B617="AIR",COUNTIFS('System map'!$A$4:$A$203,C617,'System map'!$B$4:$B$203,"&lt;&gt;",'System map'!$C$4:$C$203,"&lt;&gt;",'System map'!$D$4:$D$203,"&lt;&gt;"),COUNTIFS(Components!$A$4:$A$253,C617,Components!$B$4:$B$253,B617,Components!$K$4:$K$253,"Confirmed",Components!$L$4:$L$253,"OK — verify source"))))&lt;&gt;1,IF(E617="UC",COUNTIFS('Use cases'!$A$4:$A$253,F617,'Use cases'!$I$4:$I$253,"Confirmed",'Use cases'!$J$4:$J$253,"OK — verify source"),IF(E617="CAP",COUNTIFS(Capabilities!$A$4:$A$253,F617,Capabilities!$J$4:$J$253,"Confirmed",Capabilities!$K$4:$K$253,"OK — verify source"),IF(E617="AIR",COUNTIFS('System map'!$A$4:$A$203,F617,'System map'!$B$4:$B$203,"&lt;&gt;",'System map'!$C$4:$C$203,"&lt;&gt;",'System map'!$D$4:$D$203,"&lt;&gt;"),COUNTIFS(Components!$A$4:$A$253,F617,Components!$B$4:$B$253,E617,Components!$K$4:$K$253,"Confirmed",Components!$L$4:$L$253,"OK — verify source"))))&lt;&gt;1)),"Endpoint not source-reconciled",IF(AND(M617="Confirmed",OR(L617="",K617="",K617="Unknown",K617="Low")),"Confirmed link lacks verification","OK — verify source"))))))))))))))</f>
        <v/>
      </c>
    </row>
    <row r="618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6" t="n"/>
      <c r="M618" s="25" t="n"/>
      <c r="N618" s="25">
        <f>IF(COUNTA(A618:M618)=0,"",IF(OR(A618="",B618="",C618="",D618="",E618="",F618="",I618="",J618="",K618="",M618=""),"Required link detail missing",IF(COUNTIF($A$4:$A$1003,A618)&gt;1,"Duplicate Map Edge ID",IF(NOT(OR(AND(B618="UC",E618="CAP",D618="requires"),AND(B618="CAP",E618="AIR",D618="provided by"),AND(B618="AIR",OR(E618="MOD",E618="DATA",E618="IF",E618="AG",E618="TOOL"),D618="references"),AND(B618="AIR",E618="AIR",D618="depends on"))),"Invalid relationship",IF(AND(M618&lt;&gt;"Superseded",COUNTIFS($B$4:$B$1003,B618,$C$4:$C$1003,C618,$D$4:$D$1003,D618,$E$4:$E$1003,E618,$F$4:$F$1003,F618,$G$4:$G$1003,G618,$M$4:$M$1003,"&lt;&gt;Superseded")&gt;1),"Duplicate relationship",IF(OR(IF(B618="UC",COUNTIF('Use cases'!$A$4:$A$253,C618),IF(B618="CAP",COUNTIF(Capabilities!$A$4:$A$253,C618),IF(B618="AIR",COUNTIF('System map'!$A$4:$A$203,C618),COUNTIFS(Components!$A$4:$A$253,C618,Components!$B$4:$B$253,B618))))&lt;&gt;1,IF(E618="UC",COUNTIF('Use cases'!$A$4:$A$253,F618),IF(E618="CAP",COUNTIF(Capabilities!$A$4:$A$253,F618),IF(E618="AIR",COUNTIF('System map'!$A$4:$A$203,F618),COUNTIFS(Components!$A$4:$A$253,F618,Components!$B$4:$B$253,E618))))&lt;&gt;1),"Endpoint missing or duplicated",IF(AND(NOT(AND(B618="UC",E618="CAP")),OR(G618="",COUNTIF('System map'!$A$4:$A$203,G618)&lt;&gt;1)),"AIR context missing / unknown",IF(AND(B618="CAP",E618="AIR",G618&lt;&gt;F618),"AIR context mismatch",IF(AND(B618="AIR",G618&lt;&gt;C618),"AIR context mismatch",IF(AND(B618="AIR",E618="AIR",C618=F618),"Self-dependency",IF(AND(B618="AIR",E618="AIR",M618&lt;&gt;"Superseded",COUNTIFS($B$4:$B$1003,"AIR",$C$4:$C$1003,F618,$E$4:$E$1003,"AIR",$F$4:$F$1003,C618,$M$4:$M$1003,"&lt;&gt;Superseded")&gt;0),"Dependency cycle (A↔B) — review",IF(AND(B618="AIR",OR(E618="MOD",E618="DATA",E618="IF",E618="AG",E618="TOOL"),IFERROR(INDEX(Components!$G$4:$G$253,MATCH(F618,Components!$A$4:$A$253,0)),"")&lt;&gt;"",IFERROR(INDEX(Components!$G$4:$G$253,MATCH(F618,Components!$A$4:$A$253,0)),"")&lt;&gt;C618),"Component owned by another AIR-ID",IF(AND(M618="Confirmed",OR(IF(B618="UC",COUNTIFS('Use cases'!$A$4:$A$253,C618,'Use cases'!$I$4:$I$253,"Confirmed",'Use cases'!$J$4:$J$253,"OK — verify source"),IF(B618="CAP",COUNTIFS(Capabilities!$A$4:$A$253,C618,Capabilities!$J$4:$J$253,"Confirmed",Capabilities!$K$4:$K$253,"OK — verify source"),IF(B618="AIR",COUNTIFS('System map'!$A$4:$A$203,C618,'System map'!$B$4:$B$203,"&lt;&gt;",'System map'!$C$4:$C$203,"&lt;&gt;",'System map'!$D$4:$D$203,"&lt;&gt;"),COUNTIFS(Components!$A$4:$A$253,C618,Components!$B$4:$B$253,B618,Components!$K$4:$K$253,"Confirmed",Components!$L$4:$L$253,"OK — verify source"))))&lt;&gt;1,IF(E618="UC",COUNTIFS('Use cases'!$A$4:$A$253,F618,'Use cases'!$I$4:$I$253,"Confirmed",'Use cases'!$J$4:$J$253,"OK — verify source"),IF(E618="CAP",COUNTIFS(Capabilities!$A$4:$A$253,F618,Capabilities!$J$4:$J$253,"Confirmed",Capabilities!$K$4:$K$253,"OK — verify source"),IF(E618="AIR",COUNTIFS('System map'!$A$4:$A$203,F618,'System map'!$B$4:$B$203,"&lt;&gt;",'System map'!$C$4:$C$203,"&lt;&gt;",'System map'!$D$4:$D$203,"&lt;&gt;"),COUNTIFS(Components!$A$4:$A$253,F618,Components!$B$4:$B$253,E618,Components!$K$4:$K$253,"Confirmed",Components!$L$4:$L$253,"OK — verify source"))))&lt;&gt;1)),"Endpoint not source-reconciled",IF(AND(M618="Confirmed",OR(L618="",K618="",K618="Unknown",K618="Low")),"Confirmed link lacks verification","OK — verify source"))))))))))))))</f>
        <v/>
      </c>
    </row>
    <row r="619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8" t="n"/>
      <c r="M619" s="27" t="n"/>
      <c r="N619" s="27">
        <f>IF(COUNTA(A619:M619)=0,"",IF(OR(A619="",B619="",C619="",D619="",E619="",F619="",I619="",J619="",K619="",M619=""),"Required link detail missing",IF(COUNTIF($A$4:$A$1003,A619)&gt;1,"Duplicate Map Edge ID",IF(NOT(OR(AND(B619="UC",E619="CAP",D619="requires"),AND(B619="CAP",E619="AIR",D619="provided by"),AND(B619="AIR",OR(E619="MOD",E619="DATA",E619="IF",E619="AG",E619="TOOL"),D619="references"),AND(B619="AIR",E619="AIR",D619="depends on"))),"Invalid relationship",IF(AND(M619&lt;&gt;"Superseded",COUNTIFS($B$4:$B$1003,B619,$C$4:$C$1003,C619,$D$4:$D$1003,D619,$E$4:$E$1003,E619,$F$4:$F$1003,F619,$G$4:$G$1003,G619,$M$4:$M$1003,"&lt;&gt;Superseded")&gt;1),"Duplicate relationship",IF(OR(IF(B619="UC",COUNTIF('Use cases'!$A$4:$A$253,C619),IF(B619="CAP",COUNTIF(Capabilities!$A$4:$A$253,C619),IF(B619="AIR",COUNTIF('System map'!$A$4:$A$203,C619),COUNTIFS(Components!$A$4:$A$253,C619,Components!$B$4:$B$253,B619))))&lt;&gt;1,IF(E619="UC",COUNTIF('Use cases'!$A$4:$A$253,F619),IF(E619="CAP",COUNTIF(Capabilities!$A$4:$A$253,F619),IF(E619="AIR",COUNTIF('System map'!$A$4:$A$203,F619),COUNTIFS(Components!$A$4:$A$253,F619,Components!$B$4:$B$253,E619))))&lt;&gt;1),"Endpoint missing or duplicated",IF(AND(NOT(AND(B619="UC",E619="CAP")),OR(G619="",COUNTIF('System map'!$A$4:$A$203,G619)&lt;&gt;1)),"AIR context missing / unknown",IF(AND(B619="CAP",E619="AIR",G619&lt;&gt;F619),"AIR context mismatch",IF(AND(B619="AIR",G619&lt;&gt;C619),"AIR context mismatch",IF(AND(B619="AIR",E619="AIR",C619=F619),"Self-dependency",IF(AND(B619="AIR",E619="AIR",M619&lt;&gt;"Superseded",COUNTIFS($B$4:$B$1003,"AIR",$C$4:$C$1003,F619,$E$4:$E$1003,"AIR",$F$4:$F$1003,C619,$M$4:$M$1003,"&lt;&gt;Superseded")&gt;0),"Dependency cycle (A↔B) — review",IF(AND(B619="AIR",OR(E619="MOD",E619="DATA",E619="IF",E619="AG",E619="TOOL"),IFERROR(INDEX(Components!$G$4:$G$253,MATCH(F619,Components!$A$4:$A$253,0)),"")&lt;&gt;"",IFERROR(INDEX(Components!$G$4:$G$253,MATCH(F619,Components!$A$4:$A$253,0)),"")&lt;&gt;C619),"Component owned by another AIR-ID",IF(AND(M619="Confirmed",OR(IF(B619="UC",COUNTIFS('Use cases'!$A$4:$A$253,C619,'Use cases'!$I$4:$I$253,"Confirmed",'Use cases'!$J$4:$J$253,"OK — verify source"),IF(B619="CAP",COUNTIFS(Capabilities!$A$4:$A$253,C619,Capabilities!$J$4:$J$253,"Confirmed",Capabilities!$K$4:$K$253,"OK — verify source"),IF(B619="AIR",COUNTIFS('System map'!$A$4:$A$203,C619,'System map'!$B$4:$B$203,"&lt;&gt;",'System map'!$C$4:$C$203,"&lt;&gt;",'System map'!$D$4:$D$203,"&lt;&gt;"),COUNTIFS(Components!$A$4:$A$253,C619,Components!$B$4:$B$253,B619,Components!$K$4:$K$253,"Confirmed",Components!$L$4:$L$253,"OK — verify source"))))&lt;&gt;1,IF(E619="UC",COUNTIFS('Use cases'!$A$4:$A$253,F619,'Use cases'!$I$4:$I$253,"Confirmed",'Use cases'!$J$4:$J$253,"OK — verify source"),IF(E619="CAP",COUNTIFS(Capabilities!$A$4:$A$253,F619,Capabilities!$J$4:$J$253,"Confirmed",Capabilities!$K$4:$K$253,"OK — verify source"),IF(E619="AIR",COUNTIFS('System map'!$A$4:$A$203,F619,'System map'!$B$4:$B$203,"&lt;&gt;",'System map'!$C$4:$C$203,"&lt;&gt;",'System map'!$D$4:$D$203,"&lt;&gt;"),COUNTIFS(Components!$A$4:$A$253,F619,Components!$B$4:$B$253,E619,Components!$K$4:$K$253,"Confirmed",Components!$L$4:$L$253,"OK — verify source"))))&lt;&gt;1)),"Endpoint not source-reconciled",IF(AND(M619="Confirmed",OR(L619="",K619="",K619="Unknown",K619="Low")),"Confirmed link lacks verification","OK — verify source"))))))))))))))</f>
        <v/>
      </c>
    </row>
    <row r="620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6" t="n"/>
      <c r="M620" s="25" t="n"/>
      <c r="N620" s="25">
        <f>IF(COUNTA(A620:M620)=0,"",IF(OR(A620="",B620="",C620="",D620="",E620="",F620="",I620="",J620="",K620="",M620=""),"Required link detail missing",IF(COUNTIF($A$4:$A$1003,A620)&gt;1,"Duplicate Map Edge ID",IF(NOT(OR(AND(B620="UC",E620="CAP",D620="requires"),AND(B620="CAP",E620="AIR",D620="provided by"),AND(B620="AIR",OR(E620="MOD",E620="DATA",E620="IF",E620="AG",E620="TOOL"),D620="references"),AND(B620="AIR",E620="AIR",D620="depends on"))),"Invalid relationship",IF(AND(M620&lt;&gt;"Superseded",COUNTIFS($B$4:$B$1003,B620,$C$4:$C$1003,C620,$D$4:$D$1003,D620,$E$4:$E$1003,E620,$F$4:$F$1003,F620,$G$4:$G$1003,G620,$M$4:$M$1003,"&lt;&gt;Superseded")&gt;1),"Duplicate relationship",IF(OR(IF(B620="UC",COUNTIF('Use cases'!$A$4:$A$253,C620),IF(B620="CAP",COUNTIF(Capabilities!$A$4:$A$253,C620),IF(B620="AIR",COUNTIF('System map'!$A$4:$A$203,C620),COUNTIFS(Components!$A$4:$A$253,C620,Components!$B$4:$B$253,B620))))&lt;&gt;1,IF(E620="UC",COUNTIF('Use cases'!$A$4:$A$253,F620),IF(E620="CAP",COUNTIF(Capabilities!$A$4:$A$253,F620),IF(E620="AIR",COUNTIF('System map'!$A$4:$A$203,F620),COUNTIFS(Components!$A$4:$A$253,F620,Components!$B$4:$B$253,E620))))&lt;&gt;1),"Endpoint missing or duplicated",IF(AND(NOT(AND(B620="UC",E620="CAP")),OR(G620="",COUNTIF('System map'!$A$4:$A$203,G620)&lt;&gt;1)),"AIR context missing / unknown",IF(AND(B620="CAP",E620="AIR",G620&lt;&gt;F620),"AIR context mismatch",IF(AND(B620="AIR",G620&lt;&gt;C620),"AIR context mismatch",IF(AND(B620="AIR",E620="AIR",C620=F620),"Self-dependency",IF(AND(B620="AIR",E620="AIR",M620&lt;&gt;"Superseded",COUNTIFS($B$4:$B$1003,"AIR",$C$4:$C$1003,F620,$E$4:$E$1003,"AIR",$F$4:$F$1003,C620,$M$4:$M$1003,"&lt;&gt;Superseded")&gt;0),"Dependency cycle (A↔B) — review",IF(AND(B620="AIR",OR(E620="MOD",E620="DATA",E620="IF",E620="AG",E620="TOOL"),IFERROR(INDEX(Components!$G$4:$G$253,MATCH(F620,Components!$A$4:$A$253,0)),"")&lt;&gt;"",IFERROR(INDEX(Components!$G$4:$G$253,MATCH(F620,Components!$A$4:$A$253,0)),"")&lt;&gt;C620),"Component owned by another AIR-ID",IF(AND(M620="Confirmed",OR(IF(B620="UC",COUNTIFS('Use cases'!$A$4:$A$253,C620,'Use cases'!$I$4:$I$253,"Confirmed",'Use cases'!$J$4:$J$253,"OK — verify source"),IF(B620="CAP",COUNTIFS(Capabilities!$A$4:$A$253,C620,Capabilities!$J$4:$J$253,"Confirmed",Capabilities!$K$4:$K$253,"OK — verify source"),IF(B620="AIR",COUNTIFS('System map'!$A$4:$A$203,C620,'System map'!$B$4:$B$203,"&lt;&gt;",'System map'!$C$4:$C$203,"&lt;&gt;",'System map'!$D$4:$D$203,"&lt;&gt;"),COUNTIFS(Components!$A$4:$A$253,C620,Components!$B$4:$B$253,B620,Components!$K$4:$K$253,"Confirmed",Components!$L$4:$L$253,"OK — verify source"))))&lt;&gt;1,IF(E620="UC",COUNTIFS('Use cases'!$A$4:$A$253,F620,'Use cases'!$I$4:$I$253,"Confirmed",'Use cases'!$J$4:$J$253,"OK — verify source"),IF(E620="CAP",COUNTIFS(Capabilities!$A$4:$A$253,F620,Capabilities!$J$4:$J$253,"Confirmed",Capabilities!$K$4:$K$253,"OK — verify source"),IF(E620="AIR",COUNTIFS('System map'!$A$4:$A$203,F620,'System map'!$B$4:$B$203,"&lt;&gt;",'System map'!$C$4:$C$203,"&lt;&gt;",'System map'!$D$4:$D$203,"&lt;&gt;"),COUNTIFS(Components!$A$4:$A$253,F620,Components!$B$4:$B$253,E620,Components!$K$4:$K$253,"Confirmed",Components!$L$4:$L$253,"OK — verify source"))))&lt;&gt;1)),"Endpoint not source-reconciled",IF(AND(M620="Confirmed",OR(L620="",K620="",K620="Unknown",K620="Low")),"Confirmed link lacks verification","OK — verify source"))))))))))))))</f>
        <v/>
      </c>
    </row>
    <row r="621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8" t="n"/>
      <c r="M621" s="27" t="n"/>
      <c r="N621" s="27">
        <f>IF(COUNTA(A621:M621)=0,"",IF(OR(A621="",B621="",C621="",D621="",E621="",F621="",I621="",J621="",K621="",M621=""),"Required link detail missing",IF(COUNTIF($A$4:$A$1003,A621)&gt;1,"Duplicate Map Edge ID",IF(NOT(OR(AND(B621="UC",E621="CAP",D621="requires"),AND(B621="CAP",E621="AIR",D621="provided by"),AND(B621="AIR",OR(E621="MOD",E621="DATA",E621="IF",E621="AG",E621="TOOL"),D621="references"),AND(B621="AIR",E621="AIR",D621="depends on"))),"Invalid relationship",IF(AND(M621&lt;&gt;"Superseded",COUNTIFS($B$4:$B$1003,B621,$C$4:$C$1003,C621,$D$4:$D$1003,D621,$E$4:$E$1003,E621,$F$4:$F$1003,F621,$G$4:$G$1003,G621,$M$4:$M$1003,"&lt;&gt;Superseded")&gt;1),"Duplicate relationship",IF(OR(IF(B621="UC",COUNTIF('Use cases'!$A$4:$A$253,C621),IF(B621="CAP",COUNTIF(Capabilities!$A$4:$A$253,C621),IF(B621="AIR",COUNTIF('System map'!$A$4:$A$203,C621),COUNTIFS(Components!$A$4:$A$253,C621,Components!$B$4:$B$253,B621))))&lt;&gt;1,IF(E621="UC",COUNTIF('Use cases'!$A$4:$A$253,F621),IF(E621="CAP",COUNTIF(Capabilities!$A$4:$A$253,F621),IF(E621="AIR",COUNTIF('System map'!$A$4:$A$203,F621),COUNTIFS(Components!$A$4:$A$253,F621,Components!$B$4:$B$253,E621))))&lt;&gt;1),"Endpoint missing or duplicated",IF(AND(NOT(AND(B621="UC",E621="CAP")),OR(G621="",COUNTIF('System map'!$A$4:$A$203,G621)&lt;&gt;1)),"AIR context missing / unknown",IF(AND(B621="CAP",E621="AIR",G621&lt;&gt;F621),"AIR context mismatch",IF(AND(B621="AIR",G621&lt;&gt;C621),"AIR context mismatch",IF(AND(B621="AIR",E621="AIR",C621=F621),"Self-dependency",IF(AND(B621="AIR",E621="AIR",M621&lt;&gt;"Superseded",COUNTIFS($B$4:$B$1003,"AIR",$C$4:$C$1003,F621,$E$4:$E$1003,"AIR",$F$4:$F$1003,C621,$M$4:$M$1003,"&lt;&gt;Superseded")&gt;0),"Dependency cycle (A↔B) — review",IF(AND(B621="AIR",OR(E621="MOD",E621="DATA",E621="IF",E621="AG",E621="TOOL"),IFERROR(INDEX(Components!$G$4:$G$253,MATCH(F621,Components!$A$4:$A$253,0)),"")&lt;&gt;"",IFERROR(INDEX(Components!$G$4:$G$253,MATCH(F621,Components!$A$4:$A$253,0)),"")&lt;&gt;C621),"Component owned by another AIR-ID",IF(AND(M621="Confirmed",OR(IF(B621="UC",COUNTIFS('Use cases'!$A$4:$A$253,C621,'Use cases'!$I$4:$I$253,"Confirmed",'Use cases'!$J$4:$J$253,"OK — verify source"),IF(B621="CAP",COUNTIFS(Capabilities!$A$4:$A$253,C621,Capabilities!$J$4:$J$253,"Confirmed",Capabilities!$K$4:$K$253,"OK — verify source"),IF(B621="AIR",COUNTIFS('System map'!$A$4:$A$203,C621,'System map'!$B$4:$B$203,"&lt;&gt;",'System map'!$C$4:$C$203,"&lt;&gt;",'System map'!$D$4:$D$203,"&lt;&gt;"),COUNTIFS(Components!$A$4:$A$253,C621,Components!$B$4:$B$253,B621,Components!$K$4:$K$253,"Confirmed",Components!$L$4:$L$253,"OK — verify source"))))&lt;&gt;1,IF(E621="UC",COUNTIFS('Use cases'!$A$4:$A$253,F621,'Use cases'!$I$4:$I$253,"Confirmed",'Use cases'!$J$4:$J$253,"OK — verify source"),IF(E621="CAP",COUNTIFS(Capabilities!$A$4:$A$253,F621,Capabilities!$J$4:$J$253,"Confirmed",Capabilities!$K$4:$K$253,"OK — verify source"),IF(E621="AIR",COUNTIFS('System map'!$A$4:$A$203,F621,'System map'!$B$4:$B$203,"&lt;&gt;",'System map'!$C$4:$C$203,"&lt;&gt;",'System map'!$D$4:$D$203,"&lt;&gt;"),COUNTIFS(Components!$A$4:$A$253,F621,Components!$B$4:$B$253,E621,Components!$K$4:$K$253,"Confirmed",Components!$L$4:$L$253,"OK — verify source"))))&lt;&gt;1)),"Endpoint not source-reconciled",IF(AND(M621="Confirmed",OR(L621="",K621="",K621="Unknown",K621="Low")),"Confirmed link lacks verification","OK — verify source"))))))))))))))</f>
        <v/>
      </c>
    </row>
    <row r="622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6" t="n"/>
      <c r="M622" s="25" t="n"/>
      <c r="N622" s="25">
        <f>IF(COUNTA(A622:M622)=0,"",IF(OR(A622="",B622="",C622="",D622="",E622="",F622="",I622="",J622="",K622="",M622=""),"Required link detail missing",IF(COUNTIF($A$4:$A$1003,A622)&gt;1,"Duplicate Map Edge ID",IF(NOT(OR(AND(B622="UC",E622="CAP",D622="requires"),AND(B622="CAP",E622="AIR",D622="provided by"),AND(B622="AIR",OR(E622="MOD",E622="DATA",E622="IF",E622="AG",E622="TOOL"),D622="references"),AND(B622="AIR",E622="AIR",D622="depends on"))),"Invalid relationship",IF(AND(M622&lt;&gt;"Superseded",COUNTIFS($B$4:$B$1003,B622,$C$4:$C$1003,C622,$D$4:$D$1003,D622,$E$4:$E$1003,E622,$F$4:$F$1003,F622,$G$4:$G$1003,G622,$M$4:$M$1003,"&lt;&gt;Superseded")&gt;1),"Duplicate relationship",IF(OR(IF(B622="UC",COUNTIF('Use cases'!$A$4:$A$253,C622),IF(B622="CAP",COUNTIF(Capabilities!$A$4:$A$253,C622),IF(B622="AIR",COUNTIF('System map'!$A$4:$A$203,C622),COUNTIFS(Components!$A$4:$A$253,C622,Components!$B$4:$B$253,B622))))&lt;&gt;1,IF(E622="UC",COUNTIF('Use cases'!$A$4:$A$253,F622),IF(E622="CAP",COUNTIF(Capabilities!$A$4:$A$253,F622),IF(E622="AIR",COUNTIF('System map'!$A$4:$A$203,F622),COUNTIFS(Components!$A$4:$A$253,F622,Components!$B$4:$B$253,E622))))&lt;&gt;1),"Endpoint missing or duplicated",IF(AND(NOT(AND(B622="UC",E622="CAP")),OR(G622="",COUNTIF('System map'!$A$4:$A$203,G622)&lt;&gt;1)),"AIR context missing / unknown",IF(AND(B622="CAP",E622="AIR",G622&lt;&gt;F622),"AIR context mismatch",IF(AND(B622="AIR",G622&lt;&gt;C622),"AIR context mismatch",IF(AND(B622="AIR",E622="AIR",C622=F622),"Self-dependency",IF(AND(B622="AIR",E622="AIR",M622&lt;&gt;"Superseded",COUNTIFS($B$4:$B$1003,"AIR",$C$4:$C$1003,F622,$E$4:$E$1003,"AIR",$F$4:$F$1003,C622,$M$4:$M$1003,"&lt;&gt;Superseded")&gt;0),"Dependency cycle (A↔B) — review",IF(AND(B622="AIR",OR(E622="MOD",E622="DATA",E622="IF",E622="AG",E622="TOOL"),IFERROR(INDEX(Components!$G$4:$G$253,MATCH(F622,Components!$A$4:$A$253,0)),"")&lt;&gt;"",IFERROR(INDEX(Components!$G$4:$G$253,MATCH(F622,Components!$A$4:$A$253,0)),"")&lt;&gt;C622),"Component owned by another AIR-ID",IF(AND(M622="Confirmed",OR(IF(B622="UC",COUNTIFS('Use cases'!$A$4:$A$253,C622,'Use cases'!$I$4:$I$253,"Confirmed",'Use cases'!$J$4:$J$253,"OK — verify source"),IF(B622="CAP",COUNTIFS(Capabilities!$A$4:$A$253,C622,Capabilities!$J$4:$J$253,"Confirmed",Capabilities!$K$4:$K$253,"OK — verify source"),IF(B622="AIR",COUNTIFS('System map'!$A$4:$A$203,C622,'System map'!$B$4:$B$203,"&lt;&gt;",'System map'!$C$4:$C$203,"&lt;&gt;",'System map'!$D$4:$D$203,"&lt;&gt;"),COUNTIFS(Components!$A$4:$A$253,C622,Components!$B$4:$B$253,B622,Components!$K$4:$K$253,"Confirmed",Components!$L$4:$L$253,"OK — verify source"))))&lt;&gt;1,IF(E622="UC",COUNTIFS('Use cases'!$A$4:$A$253,F622,'Use cases'!$I$4:$I$253,"Confirmed",'Use cases'!$J$4:$J$253,"OK — verify source"),IF(E622="CAP",COUNTIFS(Capabilities!$A$4:$A$253,F622,Capabilities!$J$4:$J$253,"Confirmed",Capabilities!$K$4:$K$253,"OK — verify source"),IF(E622="AIR",COUNTIFS('System map'!$A$4:$A$203,F622,'System map'!$B$4:$B$203,"&lt;&gt;",'System map'!$C$4:$C$203,"&lt;&gt;",'System map'!$D$4:$D$203,"&lt;&gt;"),COUNTIFS(Components!$A$4:$A$253,F622,Components!$B$4:$B$253,E622,Components!$K$4:$K$253,"Confirmed",Components!$L$4:$L$253,"OK — verify source"))))&lt;&gt;1)),"Endpoint not source-reconciled",IF(AND(M622="Confirmed",OR(L622="",K622="",K622="Unknown",K622="Low")),"Confirmed link lacks verification","OK — verify source"))))))))))))))</f>
        <v/>
      </c>
    </row>
    <row r="623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8" t="n"/>
      <c r="M623" s="27" t="n"/>
      <c r="N623" s="27">
        <f>IF(COUNTA(A623:M623)=0,"",IF(OR(A623="",B623="",C623="",D623="",E623="",F623="",I623="",J623="",K623="",M623=""),"Required link detail missing",IF(COUNTIF($A$4:$A$1003,A623)&gt;1,"Duplicate Map Edge ID",IF(NOT(OR(AND(B623="UC",E623="CAP",D623="requires"),AND(B623="CAP",E623="AIR",D623="provided by"),AND(B623="AIR",OR(E623="MOD",E623="DATA",E623="IF",E623="AG",E623="TOOL"),D623="references"),AND(B623="AIR",E623="AIR",D623="depends on"))),"Invalid relationship",IF(AND(M623&lt;&gt;"Superseded",COUNTIFS($B$4:$B$1003,B623,$C$4:$C$1003,C623,$D$4:$D$1003,D623,$E$4:$E$1003,E623,$F$4:$F$1003,F623,$G$4:$G$1003,G623,$M$4:$M$1003,"&lt;&gt;Superseded")&gt;1),"Duplicate relationship",IF(OR(IF(B623="UC",COUNTIF('Use cases'!$A$4:$A$253,C623),IF(B623="CAP",COUNTIF(Capabilities!$A$4:$A$253,C623),IF(B623="AIR",COUNTIF('System map'!$A$4:$A$203,C623),COUNTIFS(Components!$A$4:$A$253,C623,Components!$B$4:$B$253,B623))))&lt;&gt;1,IF(E623="UC",COUNTIF('Use cases'!$A$4:$A$253,F623),IF(E623="CAP",COUNTIF(Capabilities!$A$4:$A$253,F623),IF(E623="AIR",COUNTIF('System map'!$A$4:$A$203,F623),COUNTIFS(Components!$A$4:$A$253,F623,Components!$B$4:$B$253,E623))))&lt;&gt;1),"Endpoint missing or duplicated",IF(AND(NOT(AND(B623="UC",E623="CAP")),OR(G623="",COUNTIF('System map'!$A$4:$A$203,G623)&lt;&gt;1)),"AIR context missing / unknown",IF(AND(B623="CAP",E623="AIR",G623&lt;&gt;F623),"AIR context mismatch",IF(AND(B623="AIR",G623&lt;&gt;C623),"AIR context mismatch",IF(AND(B623="AIR",E623="AIR",C623=F623),"Self-dependency",IF(AND(B623="AIR",E623="AIR",M623&lt;&gt;"Superseded",COUNTIFS($B$4:$B$1003,"AIR",$C$4:$C$1003,F623,$E$4:$E$1003,"AIR",$F$4:$F$1003,C623,$M$4:$M$1003,"&lt;&gt;Superseded")&gt;0),"Dependency cycle (A↔B) — review",IF(AND(B623="AIR",OR(E623="MOD",E623="DATA",E623="IF",E623="AG",E623="TOOL"),IFERROR(INDEX(Components!$G$4:$G$253,MATCH(F623,Components!$A$4:$A$253,0)),"")&lt;&gt;"",IFERROR(INDEX(Components!$G$4:$G$253,MATCH(F623,Components!$A$4:$A$253,0)),"")&lt;&gt;C623),"Component owned by another AIR-ID",IF(AND(M623="Confirmed",OR(IF(B623="UC",COUNTIFS('Use cases'!$A$4:$A$253,C623,'Use cases'!$I$4:$I$253,"Confirmed",'Use cases'!$J$4:$J$253,"OK — verify source"),IF(B623="CAP",COUNTIFS(Capabilities!$A$4:$A$253,C623,Capabilities!$J$4:$J$253,"Confirmed",Capabilities!$K$4:$K$253,"OK — verify source"),IF(B623="AIR",COUNTIFS('System map'!$A$4:$A$203,C623,'System map'!$B$4:$B$203,"&lt;&gt;",'System map'!$C$4:$C$203,"&lt;&gt;",'System map'!$D$4:$D$203,"&lt;&gt;"),COUNTIFS(Components!$A$4:$A$253,C623,Components!$B$4:$B$253,B623,Components!$K$4:$K$253,"Confirmed",Components!$L$4:$L$253,"OK — verify source"))))&lt;&gt;1,IF(E623="UC",COUNTIFS('Use cases'!$A$4:$A$253,F623,'Use cases'!$I$4:$I$253,"Confirmed",'Use cases'!$J$4:$J$253,"OK — verify source"),IF(E623="CAP",COUNTIFS(Capabilities!$A$4:$A$253,F623,Capabilities!$J$4:$J$253,"Confirmed",Capabilities!$K$4:$K$253,"OK — verify source"),IF(E623="AIR",COUNTIFS('System map'!$A$4:$A$203,F623,'System map'!$B$4:$B$203,"&lt;&gt;",'System map'!$C$4:$C$203,"&lt;&gt;",'System map'!$D$4:$D$203,"&lt;&gt;"),COUNTIFS(Components!$A$4:$A$253,F623,Components!$B$4:$B$253,E623,Components!$K$4:$K$253,"Confirmed",Components!$L$4:$L$253,"OK — verify source"))))&lt;&gt;1)),"Endpoint not source-reconciled",IF(AND(M623="Confirmed",OR(L623="",K623="",K623="Unknown",K623="Low")),"Confirmed link lacks verification","OK — verify source"))))))))))))))</f>
        <v/>
      </c>
    </row>
    <row r="62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6" t="n"/>
      <c r="M624" s="25" t="n"/>
      <c r="N624" s="25">
        <f>IF(COUNTA(A624:M624)=0,"",IF(OR(A624="",B624="",C624="",D624="",E624="",F624="",I624="",J624="",K624="",M624=""),"Required link detail missing",IF(COUNTIF($A$4:$A$1003,A624)&gt;1,"Duplicate Map Edge ID",IF(NOT(OR(AND(B624="UC",E624="CAP",D624="requires"),AND(B624="CAP",E624="AIR",D624="provided by"),AND(B624="AIR",OR(E624="MOD",E624="DATA",E624="IF",E624="AG",E624="TOOL"),D624="references"),AND(B624="AIR",E624="AIR",D624="depends on"))),"Invalid relationship",IF(AND(M624&lt;&gt;"Superseded",COUNTIFS($B$4:$B$1003,B624,$C$4:$C$1003,C624,$D$4:$D$1003,D624,$E$4:$E$1003,E624,$F$4:$F$1003,F624,$G$4:$G$1003,G624,$M$4:$M$1003,"&lt;&gt;Superseded")&gt;1),"Duplicate relationship",IF(OR(IF(B624="UC",COUNTIF('Use cases'!$A$4:$A$253,C624),IF(B624="CAP",COUNTIF(Capabilities!$A$4:$A$253,C624),IF(B624="AIR",COUNTIF('System map'!$A$4:$A$203,C624),COUNTIFS(Components!$A$4:$A$253,C624,Components!$B$4:$B$253,B624))))&lt;&gt;1,IF(E624="UC",COUNTIF('Use cases'!$A$4:$A$253,F624),IF(E624="CAP",COUNTIF(Capabilities!$A$4:$A$253,F624),IF(E624="AIR",COUNTIF('System map'!$A$4:$A$203,F624),COUNTIFS(Components!$A$4:$A$253,F624,Components!$B$4:$B$253,E624))))&lt;&gt;1),"Endpoint missing or duplicated",IF(AND(NOT(AND(B624="UC",E624="CAP")),OR(G624="",COUNTIF('System map'!$A$4:$A$203,G624)&lt;&gt;1)),"AIR context missing / unknown",IF(AND(B624="CAP",E624="AIR",G624&lt;&gt;F624),"AIR context mismatch",IF(AND(B624="AIR",G624&lt;&gt;C624),"AIR context mismatch",IF(AND(B624="AIR",E624="AIR",C624=F624),"Self-dependency",IF(AND(B624="AIR",E624="AIR",M624&lt;&gt;"Superseded",COUNTIFS($B$4:$B$1003,"AIR",$C$4:$C$1003,F624,$E$4:$E$1003,"AIR",$F$4:$F$1003,C624,$M$4:$M$1003,"&lt;&gt;Superseded")&gt;0),"Dependency cycle (A↔B) — review",IF(AND(B624="AIR",OR(E624="MOD",E624="DATA",E624="IF",E624="AG",E624="TOOL"),IFERROR(INDEX(Components!$G$4:$G$253,MATCH(F624,Components!$A$4:$A$253,0)),"")&lt;&gt;"",IFERROR(INDEX(Components!$G$4:$G$253,MATCH(F624,Components!$A$4:$A$253,0)),"")&lt;&gt;C624),"Component owned by another AIR-ID",IF(AND(M624="Confirmed",OR(IF(B624="UC",COUNTIFS('Use cases'!$A$4:$A$253,C624,'Use cases'!$I$4:$I$253,"Confirmed",'Use cases'!$J$4:$J$253,"OK — verify source"),IF(B624="CAP",COUNTIFS(Capabilities!$A$4:$A$253,C624,Capabilities!$J$4:$J$253,"Confirmed",Capabilities!$K$4:$K$253,"OK — verify source"),IF(B624="AIR",COUNTIFS('System map'!$A$4:$A$203,C624,'System map'!$B$4:$B$203,"&lt;&gt;",'System map'!$C$4:$C$203,"&lt;&gt;",'System map'!$D$4:$D$203,"&lt;&gt;"),COUNTIFS(Components!$A$4:$A$253,C624,Components!$B$4:$B$253,B624,Components!$K$4:$K$253,"Confirmed",Components!$L$4:$L$253,"OK — verify source"))))&lt;&gt;1,IF(E624="UC",COUNTIFS('Use cases'!$A$4:$A$253,F624,'Use cases'!$I$4:$I$253,"Confirmed",'Use cases'!$J$4:$J$253,"OK — verify source"),IF(E624="CAP",COUNTIFS(Capabilities!$A$4:$A$253,F624,Capabilities!$J$4:$J$253,"Confirmed",Capabilities!$K$4:$K$253,"OK — verify source"),IF(E624="AIR",COUNTIFS('System map'!$A$4:$A$203,F624,'System map'!$B$4:$B$203,"&lt;&gt;",'System map'!$C$4:$C$203,"&lt;&gt;",'System map'!$D$4:$D$203,"&lt;&gt;"),COUNTIFS(Components!$A$4:$A$253,F624,Components!$B$4:$B$253,E624,Components!$K$4:$K$253,"Confirmed",Components!$L$4:$L$253,"OK — verify source"))))&lt;&gt;1)),"Endpoint not source-reconciled",IF(AND(M624="Confirmed",OR(L624="",K624="",K624="Unknown",K624="Low")),"Confirmed link lacks verification","OK — verify source"))))))))))))))</f>
        <v/>
      </c>
    </row>
    <row r="625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8" t="n"/>
      <c r="M625" s="27" t="n"/>
      <c r="N625" s="27">
        <f>IF(COUNTA(A625:M625)=0,"",IF(OR(A625="",B625="",C625="",D625="",E625="",F625="",I625="",J625="",K625="",M625=""),"Required link detail missing",IF(COUNTIF($A$4:$A$1003,A625)&gt;1,"Duplicate Map Edge ID",IF(NOT(OR(AND(B625="UC",E625="CAP",D625="requires"),AND(B625="CAP",E625="AIR",D625="provided by"),AND(B625="AIR",OR(E625="MOD",E625="DATA",E625="IF",E625="AG",E625="TOOL"),D625="references"),AND(B625="AIR",E625="AIR",D625="depends on"))),"Invalid relationship",IF(AND(M625&lt;&gt;"Superseded",COUNTIFS($B$4:$B$1003,B625,$C$4:$C$1003,C625,$D$4:$D$1003,D625,$E$4:$E$1003,E625,$F$4:$F$1003,F625,$G$4:$G$1003,G625,$M$4:$M$1003,"&lt;&gt;Superseded")&gt;1),"Duplicate relationship",IF(OR(IF(B625="UC",COUNTIF('Use cases'!$A$4:$A$253,C625),IF(B625="CAP",COUNTIF(Capabilities!$A$4:$A$253,C625),IF(B625="AIR",COUNTIF('System map'!$A$4:$A$203,C625),COUNTIFS(Components!$A$4:$A$253,C625,Components!$B$4:$B$253,B625))))&lt;&gt;1,IF(E625="UC",COUNTIF('Use cases'!$A$4:$A$253,F625),IF(E625="CAP",COUNTIF(Capabilities!$A$4:$A$253,F625),IF(E625="AIR",COUNTIF('System map'!$A$4:$A$203,F625),COUNTIFS(Components!$A$4:$A$253,F625,Components!$B$4:$B$253,E625))))&lt;&gt;1),"Endpoint missing or duplicated",IF(AND(NOT(AND(B625="UC",E625="CAP")),OR(G625="",COUNTIF('System map'!$A$4:$A$203,G625)&lt;&gt;1)),"AIR context missing / unknown",IF(AND(B625="CAP",E625="AIR",G625&lt;&gt;F625),"AIR context mismatch",IF(AND(B625="AIR",G625&lt;&gt;C625),"AIR context mismatch",IF(AND(B625="AIR",E625="AIR",C625=F625),"Self-dependency",IF(AND(B625="AIR",E625="AIR",M625&lt;&gt;"Superseded",COUNTIFS($B$4:$B$1003,"AIR",$C$4:$C$1003,F625,$E$4:$E$1003,"AIR",$F$4:$F$1003,C625,$M$4:$M$1003,"&lt;&gt;Superseded")&gt;0),"Dependency cycle (A↔B) — review",IF(AND(B625="AIR",OR(E625="MOD",E625="DATA",E625="IF",E625="AG",E625="TOOL"),IFERROR(INDEX(Components!$G$4:$G$253,MATCH(F625,Components!$A$4:$A$253,0)),"")&lt;&gt;"",IFERROR(INDEX(Components!$G$4:$G$253,MATCH(F625,Components!$A$4:$A$253,0)),"")&lt;&gt;C625),"Component owned by another AIR-ID",IF(AND(M625="Confirmed",OR(IF(B625="UC",COUNTIFS('Use cases'!$A$4:$A$253,C625,'Use cases'!$I$4:$I$253,"Confirmed",'Use cases'!$J$4:$J$253,"OK — verify source"),IF(B625="CAP",COUNTIFS(Capabilities!$A$4:$A$253,C625,Capabilities!$J$4:$J$253,"Confirmed",Capabilities!$K$4:$K$253,"OK — verify source"),IF(B625="AIR",COUNTIFS('System map'!$A$4:$A$203,C625,'System map'!$B$4:$B$203,"&lt;&gt;",'System map'!$C$4:$C$203,"&lt;&gt;",'System map'!$D$4:$D$203,"&lt;&gt;"),COUNTIFS(Components!$A$4:$A$253,C625,Components!$B$4:$B$253,B625,Components!$K$4:$K$253,"Confirmed",Components!$L$4:$L$253,"OK — verify source"))))&lt;&gt;1,IF(E625="UC",COUNTIFS('Use cases'!$A$4:$A$253,F625,'Use cases'!$I$4:$I$253,"Confirmed",'Use cases'!$J$4:$J$253,"OK — verify source"),IF(E625="CAP",COUNTIFS(Capabilities!$A$4:$A$253,F625,Capabilities!$J$4:$J$253,"Confirmed",Capabilities!$K$4:$K$253,"OK — verify source"),IF(E625="AIR",COUNTIFS('System map'!$A$4:$A$203,F625,'System map'!$B$4:$B$203,"&lt;&gt;",'System map'!$C$4:$C$203,"&lt;&gt;",'System map'!$D$4:$D$203,"&lt;&gt;"),COUNTIFS(Components!$A$4:$A$253,F625,Components!$B$4:$B$253,E625,Components!$K$4:$K$253,"Confirmed",Components!$L$4:$L$253,"OK — verify source"))))&lt;&gt;1)),"Endpoint not source-reconciled",IF(AND(M625="Confirmed",OR(L625="",K625="",K625="Unknown",K625="Low")),"Confirmed link lacks verification","OK — verify source"))))))))))))))</f>
        <v/>
      </c>
    </row>
    <row r="626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6" t="n"/>
      <c r="M626" s="25" t="n"/>
      <c r="N626" s="25">
        <f>IF(COUNTA(A626:M626)=0,"",IF(OR(A626="",B626="",C626="",D626="",E626="",F626="",I626="",J626="",K626="",M626=""),"Required link detail missing",IF(COUNTIF($A$4:$A$1003,A626)&gt;1,"Duplicate Map Edge ID",IF(NOT(OR(AND(B626="UC",E626="CAP",D626="requires"),AND(B626="CAP",E626="AIR",D626="provided by"),AND(B626="AIR",OR(E626="MOD",E626="DATA",E626="IF",E626="AG",E626="TOOL"),D626="references"),AND(B626="AIR",E626="AIR",D626="depends on"))),"Invalid relationship",IF(AND(M626&lt;&gt;"Superseded",COUNTIFS($B$4:$B$1003,B626,$C$4:$C$1003,C626,$D$4:$D$1003,D626,$E$4:$E$1003,E626,$F$4:$F$1003,F626,$G$4:$G$1003,G626,$M$4:$M$1003,"&lt;&gt;Superseded")&gt;1),"Duplicate relationship",IF(OR(IF(B626="UC",COUNTIF('Use cases'!$A$4:$A$253,C626),IF(B626="CAP",COUNTIF(Capabilities!$A$4:$A$253,C626),IF(B626="AIR",COUNTIF('System map'!$A$4:$A$203,C626),COUNTIFS(Components!$A$4:$A$253,C626,Components!$B$4:$B$253,B626))))&lt;&gt;1,IF(E626="UC",COUNTIF('Use cases'!$A$4:$A$253,F626),IF(E626="CAP",COUNTIF(Capabilities!$A$4:$A$253,F626),IF(E626="AIR",COUNTIF('System map'!$A$4:$A$203,F626),COUNTIFS(Components!$A$4:$A$253,F626,Components!$B$4:$B$253,E626))))&lt;&gt;1),"Endpoint missing or duplicated",IF(AND(NOT(AND(B626="UC",E626="CAP")),OR(G626="",COUNTIF('System map'!$A$4:$A$203,G626)&lt;&gt;1)),"AIR context missing / unknown",IF(AND(B626="CAP",E626="AIR",G626&lt;&gt;F626),"AIR context mismatch",IF(AND(B626="AIR",G626&lt;&gt;C626),"AIR context mismatch",IF(AND(B626="AIR",E626="AIR",C626=F626),"Self-dependency",IF(AND(B626="AIR",E626="AIR",M626&lt;&gt;"Superseded",COUNTIFS($B$4:$B$1003,"AIR",$C$4:$C$1003,F626,$E$4:$E$1003,"AIR",$F$4:$F$1003,C626,$M$4:$M$1003,"&lt;&gt;Superseded")&gt;0),"Dependency cycle (A↔B) — review",IF(AND(B626="AIR",OR(E626="MOD",E626="DATA",E626="IF",E626="AG",E626="TOOL"),IFERROR(INDEX(Components!$G$4:$G$253,MATCH(F626,Components!$A$4:$A$253,0)),"")&lt;&gt;"",IFERROR(INDEX(Components!$G$4:$G$253,MATCH(F626,Components!$A$4:$A$253,0)),"")&lt;&gt;C626),"Component owned by another AIR-ID",IF(AND(M626="Confirmed",OR(IF(B626="UC",COUNTIFS('Use cases'!$A$4:$A$253,C626,'Use cases'!$I$4:$I$253,"Confirmed",'Use cases'!$J$4:$J$253,"OK — verify source"),IF(B626="CAP",COUNTIFS(Capabilities!$A$4:$A$253,C626,Capabilities!$J$4:$J$253,"Confirmed",Capabilities!$K$4:$K$253,"OK — verify source"),IF(B626="AIR",COUNTIFS('System map'!$A$4:$A$203,C626,'System map'!$B$4:$B$203,"&lt;&gt;",'System map'!$C$4:$C$203,"&lt;&gt;",'System map'!$D$4:$D$203,"&lt;&gt;"),COUNTIFS(Components!$A$4:$A$253,C626,Components!$B$4:$B$253,B626,Components!$K$4:$K$253,"Confirmed",Components!$L$4:$L$253,"OK — verify source"))))&lt;&gt;1,IF(E626="UC",COUNTIFS('Use cases'!$A$4:$A$253,F626,'Use cases'!$I$4:$I$253,"Confirmed",'Use cases'!$J$4:$J$253,"OK — verify source"),IF(E626="CAP",COUNTIFS(Capabilities!$A$4:$A$253,F626,Capabilities!$J$4:$J$253,"Confirmed",Capabilities!$K$4:$K$253,"OK — verify source"),IF(E626="AIR",COUNTIFS('System map'!$A$4:$A$203,F626,'System map'!$B$4:$B$203,"&lt;&gt;",'System map'!$C$4:$C$203,"&lt;&gt;",'System map'!$D$4:$D$203,"&lt;&gt;"),COUNTIFS(Components!$A$4:$A$253,F626,Components!$B$4:$B$253,E626,Components!$K$4:$K$253,"Confirmed",Components!$L$4:$L$253,"OK — verify source"))))&lt;&gt;1)),"Endpoint not source-reconciled",IF(AND(M626="Confirmed",OR(L626="",K626="",K626="Unknown",K626="Low")),"Confirmed link lacks verification","OK — verify source"))))))))))))))</f>
        <v/>
      </c>
    </row>
    <row r="627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8" t="n"/>
      <c r="M627" s="27" t="n"/>
      <c r="N627" s="27">
        <f>IF(COUNTA(A627:M627)=0,"",IF(OR(A627="",B627="",C627="",D627="",E627="",F627="",I627="",J627="",K627="",M627=""),"Required link detail missing",IF(COUNTIF($A$4:$A$1003,A627)&gt;1,"Duplicate Map Edge ID",IF(NOT(OR(AND(B627="UC",E627="CAP",D627="requires"),AND(B627="CAP",E627="AIR",D627="provided by"),AND(B627="AIR",OR(E627="MOD",E627="DATA",E627="IF",E627="AG",E627="TOOL"),D627="references"),AND(B627="AIR",E627="AIR",D627="depends on"))),"Invalid relationship",IF(AND(M627&lt;&gt;"Superseded",COUNTIFS($B$4:$B$1003,B627,$C$4:$C$1003,C627,$D$4:$D$1003,D627,$E$4:$E$1003,E627,$F$4:$F$1003,F627,$G$4:$G$1003,G627,$M$4:$M$1003,"&lt;&gt;Superseded")&gt;1),"Duplicate relationship",IF(OR(IF(B627="UC",COUNTIF('Use cases'!$A$4:$A$253,C627),IF(B627="CAP",COUNTIF(Capabilities!$A$4:$A$253,C627),IF(B627="AIR",COUNTIF('System map'!$A$4:$A$203,C627),COUNTIFS(Components!$A$4:$A$253,C627,Components!$B$4:$B$253,B627))))&lt;&gt;1,IF(E627="UC",COUNTIF('Use cases'!$A$4:$A$253,F627),IF(E627="CAP",COUNTIF(Capabilities!$A$4:$A$253,F627),IF(E627="AIR",COUNTIF('System map'!$A$4:$A$203,F627),COUNTIFS(Components!$A$4:$A$253,F627,Components!$B$4:$B$253,E627))))&lt;&gt;1),"Endpoint missing or duplicated",IF(AND(NOT(AND(B627="UC",E627="CAP")),OR(G627="",COUNTIF('System map'!$A$4:$A$203,G627)&lt;&gt;1)),"AIR context missing / unknown",IF(AND(B627="CAP",E627="AIR",G627&lt;&gt;F627),"AIR context mismatch",IF(AND(B627="AIR",G627&lt;&gt;C627),"AIR context mismatch",IF(AND(B627="AIR",E627="AIR",C627=F627),"Self-dependency",IF(AND(B627="AIR",E627="AIR",M627&lt;&gt;"Superseded",COUNTIFS($B$4:$B$1003,"AIR",$C$4:$C$1003,F627,$E$4:$E$1003,"AIR",$F$4:$F$1003,C627,$M$4:$M$1003,"&lt;&gt;Superseded")&gt;0),"Dependency cycle (A↔B) — review",IF(AND(B627="AIR",OR(E627="MOD",E627="DATA",E627="IF",E627="AG",E627="TOOL"),IFERROR(INDEX(Components!$G$4:$G$253,MATCH(F627,Components!$A$4:$A$253,0)),"")&lt;&gt;"",IFERROR(INDEX(Components!$G$4:$G$253,MATCH(F627,Components!$A$4:$A$253,0)),"")&lt;&gt;C627),"Component owned by another AIR-ID",IF(AND(M627="Confirmed",OR(IF(B627="UC",COUNTIFS('Use cases'!$A$4:$A$253,C627,'Use cases'!$I$4:$I$253,"Confirmed",'Use cases'!$J$4:$J$253,"OK — verify source"),IF(B627="CAP",COUNTIFS(Capabilities!$A$4:$A$253,C627,Capabilities!$J$4:$J$253,"Confirmed",Capabilities!$K$4:$K$253,"OK — verify source"),IF(B627="AIR",COUNTIFS('System map'!$A$4:$A$203,C627,'System map'!$B$4:$B$203,"&lt;&gt;",'System map'!$C$4:$C$203,"&lt;&gt;",'System map'!$D$4:$D$203,"&lt;&gt;"),COUNTIFS(Components!$A$4:$A$253,C627,Components!$B$4:$B$253,B627,Components!$K$4:$K$253,"Confirmed",Components!$L$4:$L$253,"OK — verify source"))))&lt;&gt;1,IF(E627="UC",COUNTIFS('Use cases'!$A$4:$A$253,F627,'Use cases'!$I$4:$I$253,"Confirmed",'Use cases'!$J$4:$J$253,"OK — verify source"),IF(E627="CAP",COUNTIFS(Capabilities!$A$4:$A$253,F627,Capabilities!$J$4:$J$253,"Confirmed",Capabilities!$K$4:$K$253,"OK — verify source"),IF(E627="AIR",COUNTIFS('System map'!$A$4:$A$203,F627,'System map'!$B$4:$B$203,"&lt;&gt;",'System map'!$C$4:$C$203,"&lt;&gt;",'System map'!$D$4:$D$203,"&lt;&gt;"),COUNTIFS(Components!$A$4:$A$253,F627,Components!$B$4:$B$253,E627,Components!$K$4:$K$253,"Confirmed",Components!$L$4:$L$253,"OK — verify source"))))&lt;&gt;1)),"Endpoint not source-reconciled",IF(AND(M627="Confirmed",OR(L627="",K627="",K627="Unknown",K627="Low")),"Confirmed link lacks verification","OK — verify source"))))))))))))))</f>
        <v/>
      </c>
    </row>
    <row r="628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6" t="n"/>
      <c r="M628" s="25" t="n"/>
      <c r="N628" s="25">
        <f>IF(COUNTA(A628:M628)=0,"",IF(OR(A628="",B628="",C628="",D628="",E628="",F628="",I628="",J628="",K628="",M628=""),"Required link detail missing",IF(COUNTIF($A$4:$A$1003,A628)&gt;1,"Duplicate Map Edge ID",IF(NOT(OR(AND(B628="UC",E628="CAP",D628="requires"),AND(B628="CAP",E628="AIR",D628="provided by"),AND(B628="AIR",OR(E628="MOD",E628="DATA",E628="IF",E628="AG",E628="TOOL"),D628="references"),AND(B628="AIR",E628="AIR",D628="depends on"))),"Invalid relationship",IF(AND(M628&lt;&gt;"Superseded",COUNTIFS($B$4:$B$1003,B628,$C$4:$C$1003,C628,$D$4:$D$1003,D628,$E$4:$E$1003,E628,$F$4:$F$1003,F628,$G$4:$G$1003,G628,$M$4:$M$1003,"&lt;&gt;Superseded")&gt;1),"Duplicate relationship",IF(OR(IF(B628="UC",COUNTIF('Use cases'!$A$4:$A$253,C628),IF(B628="CAP",COUNTIF(Capabilities!$A$4:$A$253,C628),IF(B628="AIR",COUNTIF('System map'!$A$4:$A$203,C628),COUNTIFS(Components!$A$4:$A$253,C628,Components!$B$4:$B$253,B628))))&lt;&gt;1,IF(E628="UC",COUNTIF('Use cases'!$A$4:$A$253,F628),IF(E628="CAP",COUNTIF(Capabilities!$A$4:$A$253,F628),IF(E628="AIR",COUNTIF('System map'!$A$4:$A$203,F628),COUNTIFS(Components!$A$4:$A$253,F628,Components!$B$4:$B$253,E628))))&lt;&gt;1),"Endpoint missing or duplicated",IF(AND(NOT(AND(B628="UC",E628="CAP")),OR(G628="",COUNTIF('System map'!$A$4:$A$203,G628)&lt;&gt;1)),"AIR context missing / unknown",IF(AND(B628="CAP",E628="AIR",G628&lt;&gt;F628),"AIR context mismatch",IF(AND(B628="AIR",G628&lt;&gt;C628),"AIR context mismatch",IF(AND(B628="AIR",E628="AIR",C628=F628),"Self-dependency",IF(AND(B628="AIR",E628="AIR",M628&lt;&gt;"Superseded",COUNTIFS($B$4:$B$1003,"AIR",$C$4:$C$1003,F628,$E$4:$E$1003,"AIR",$F$4:$F$1003,C628,$M$4:$M$1003,"&lt;&gt;Superseded")&gt;0),"Dependency cycle (A↔B) — review",IF(AND(B628="AIR",OR(E628="MOD",E628="DATA",E628="IF",E628="AG",E628="TOOL"),IFERROR(INDEX(Components!$G$4:$G$253,MATCH(F628,Components!$A$4:$A$253,0)),"")&lt;&gt;"",IFERROR(INDEX(Components!$G$4:$G$253,MATCH(F628,Components!$A$4:$A$253,0)),"")&lt;&gt;C628),"Component owned by another AIR-ID",IF(AND(M628="Confirmed",OR(IF(B628="UC",COUNTIFS('Use cases'!$A$4:$A$253,C628,'Use cases'!$I$4:$I$253,"Confirmed",'Use cases'!$J$4:$J$253,"OK — verify source"),IF(B628="CAP",COUNTIFS(Capabilities!$A$4:$A$253,C628,Capabilities!$J$4:$J$253,"Confirmed",Capabilities!$K$4:$K$253,"OK — verify source"),IF(B628="AIR",COUNTIFS('System map'!$A$4:$A$203,C628,'System map'!$B$4:$B$203,"&lt;&gt;",'System map'!$C$4:$C$203,"&lt;&gt;",'System map'!$D$4:$D$203,"&lt;&gt;"),COUNTIFS(Components!$A$4:$A$253,C628,Components!$B$4:$B$253,B628,Components!$K$4:$K$253,"Confirmed",Components!$L$4:$L$253,"OK — verify source"))))&lt;&gt;1,IF(E628="UC",COUNTIFS('Use cases'!$A$4:$A$253,F628,'Use cases'!$I$4:$I$253,"Confirmed",'Use cases'!$J$4:$J$253,"OK — verify source"),IF(E628="CAP",COUNTIFS(Capabilities!$A$4:$A$253,F628,Capabilities!$J$4:$J$253,"Confirmed",Capabilities!$K$4:$K$253,"OK — verify source"),IF(E628="AIR",COUNTIFS('System map'!$A$4:$A$203,F628,'System map'!$B$4:$B$203,"&lt;&gt;",'System map'!$C$4:$C$203,"&lt;&gt;",'System map'!$D$4:$D$203,"&lt;&gt;"),COUNTIFS(Components!$A$4:$A$253,F628,Components!$B$4:$B$253,E628,Components!$K$4:$K$253,"Confirmed",Components!$L$4:$L$253,"OK — verify source"))))&lt;&gt;1)),"Endpoint not source-reconciled",IF(AND(M628="Confirmed",OR(L628="",K628="",K628="Unknown",K628="Low")),"Confirmed link lacks verification","OK — verify source"))))))))))))))</f>
        <v/>
      </c>
    </row>
    <row r="629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8" t="n"/>
      <c r="M629" s="27" t="n"/>
      <c r="N629" s="27">
        <f>IF(COUNTA(A629:M629)=0,"",IF(OR(A629="",B629="",C629="",D629="",E629="",F629="",I629="",J629="",K629="",M629=""),"Required link detail missing",IF(COUNTIF($A$4:$A$1003,A629)&gt;1,"Duplicate Map Edge ID",IF(NOT(OR(AND(B629="UC",E629="CAP",D629="requires"),AND(B629="CAP",E629="AIR",D629="provided by"),AND(B629="AIR",OR(E629="MOD",E629="DATA",E629="IF",E629="AG",E629="TOOL"),D629="references"),AND(B629="AIR",E629="AIR",D629="depends on"))),"Invalid relationship",IF(AND(M629&lt;&gt;"Superseded",COUNTIFS($B$4:$B$1003,B629,$C$4:$C$1003,C629,$D$4:$D$1003,D629,$E$4:$E$1003,E629,$F$4:$F$1003,F629,$G$4:$G$1003,G629,$M$4:$M$1003,"&lt;&gt;Superseded")&gt;1),"Duplicate relationship",IF(OR(IF(B629="UC",COUNTIF('Use cases'!$A$4:$A$253,C629),IF(B629="CAP",COUNTIF(Capabilities!$A$4:$A$253,C629),IF(B629="AIR",COUNTIF('System map'!$A$4:$A$203,C629),COUNTIFS(Components!$A$4:$A$253,C629,Components!$B$4:$B$253,B629))))&lt;&gt;1,IF(E629="UC",COUNTIF('Use cases'!$A$4:$A$253,F629),IF(E629="CAP",COUNTIF(Capabilities!$A$4:$A$253,F629),IF(E629="AIR",COUNTIF('System map'!$A$4:$A$203,F629),COUNTIFS(Components!$A$4:$A$253,F629,Components!$B$4:$B$253,E629))))&lt;&gt;1),"Endpoint missing or duplicated",IF(AND(NOT(AND(B629="UC",E629="CAP")),OR(G629="",COUNTIF('System map'!$A$4:$A$203,G629)&lt;&gt;1)),"AIR context missing / unknown",IF(AND(B629="CAP",E629="AIR",G629&lt;&gt;F629),"AIR context mismatch",IF(AND(B629="AIR",G629&lt;&gt;C629),"AIR context mismatch",IF(AND(B629="AIR",E629="AIR",C629=F629),"Self-dependency",IF(AND(B629="AIR",E629="AIR",M629&lt;&gt;"Superseded",COUNTIFS($B$4:$B$1003,"AIR",$C$4:$C$1003,F629,$E$4:$E$1003,"AIR",$F$4:$F$1003,C629,$M$4:$M$1003,"&lt;&gt;Superseded")&gt;0),"Dependency cycle (A↔B) — review",IF(AND(B629="AIR",OR(E629="MOD",E629="DATA",E629="IF",E629="AG",E629="TOOL"),IFERROR(INDEX(Components!$G$4:$G$253,MATCH(F629,Components!$A$4:$A$253,0)),"")&lt;&gt;"",IFERROR(INDEX(Components!$G$4:$G$253,MATCH(F629,Components!$A$4:$A$253,0)),"")&lt;&gt;C629),"Component owned by another AIR-ID",IF(AND(M629="Confirmed",OR(IF(B629="UC",COUNTIFS('Use cases'!$A$4:$A$253,C629,'Use cases'!$I$4:$I$253,"Confirmed",'Use cases'!$J$4:$J$253,"OK — verify source"),IF(B629="CAP",COUNTIFS(Capabilities!$A$4:$A$253,C629,Capabilities!$J$4:$J$253,"Confirmed",Capabilities!$K$4:$K$253,"OK — verify source"),IF(B629="AIR",COUNTIFS('System map'!$A$4:$A$203,C629,'System map'!$B$4:$B$203,"&lt;&gt;",'System map'!$C$4:$C$203,"&lt;&gt;",'System map'!$D$4:$D$203,"&lt;&gt;"),COUNTIFS(Components!$A$4:$A$253,C629,Components!$B$4:$B$253,B629,Components!$K$4:$K$253,"Confirmed",Components!$L$4:$L$253,"OK — verify source"))))&lt;&gt;1,IF(E629="UC",COUNTIFS('Use cases'!$A$4:$A$253,F629,'Use cases'!$I$4:$I$253,"Confirmed",'Use cases'!$J$4:$J$253,"OK — verify source"),IF(E629="CAP",COUNTIFS(Capabilities!$A$4:$A$253,F629,Capabilities!$J$4:$J$253,"Confirmed",Capabilities!$K$4:$K$253,"OK — verify source"),IF(E629="AIR",COUNTIFS('System map'!$A$4:$A$203,F629,'System map'!$B$4:$B$203,"&lt;&gt;",'System map'!$C$4:$C$203,"&lt;&gt;",'System map'!$D$4:$D$203,"&lt;&gt;"),COUNTIFS(Components!$A$4:$A$253,F629,Components!$B$4:$B$253,E629,Components!$K$4:$K$253,"Confirmed",Components!$L$4:$L$253,"OK — verify source"))))&lt;&gt;1)),"Endpoint not source-reconciled",IF(AND(M629="Confirmed",OR(L629="",K629="",K629="Unknown",K629="Low")),"Confirmed link lacks verification","OK — verify source"))))))))))))))</f>
        <v/>
      </c>
    </row>
    <row r="630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6" t="n"/>
      <c r="M630" s="25" t="n"/>
      <c r="N630" s="25">
        <f>IF(COUNTA(A630:M630)=0,"",IF(OR(A630="",B630="",C630="",D630="",E630="",F630="",I630="",J630="",K630="",M630=""),"Required link detail missing",IF(COUNTIF($A$4:$A$1003,A630)&gt;1,"Duplicate Map Edge ID",IF(NOT(OR(AND(B630="UC",E630="CAP",D630="requires"),AND(B630="CAP",E630="AIR",D630="provided by"),AND(B630="AIR",OR(E630="MOD",E630="DATA",E630="IF",E630="AG",E630="TOOL"),D630="references"),AND(B630="AIR",E630="AIR",D630="depends on"))),"Invalid relationship",IF(AND(M630&lt;&gt;"Superseded",COUNTIFS($B$4:$B$1003,B630,$C$4:$C$1003,C630,$D$4:$D$1003,D630,$E$4:$E$1003,E630,$F$4:$F$1003,F630,$G$4:$G$1003,G630,$M$4:$M$1003,"&lt;&gt;Superseded")&gt;1),"Duplicate relationship",IF(OR(IF(B630="UC",COUNTIF('Use cases'!$A$4:$A$253,C630),IF(B630="CAP",COUNTIF(Capabilities!$A$4:$A$253,C630),IF(B630="AIR",COUNTIF('System map'!$A$4:$A$203,C630),COUNTIFS(Components!$A$4:$A$253,C630,Components!$B$4:$B$253,B630))))&lt;&gt;1,IF(E630="UC",COUNTIF('Use cases'!$A$4:$A$253,F630),IF(E630="CAP",COUNTIF(Capabilities!$A$4:$A$253,F630),IF(E630="AIR",COUNTIF('System map'!$A$4:$A$203,F630),COUNTIFS(Components!$A$4:$A$253,F630,Components!$B$4:$B$253,E630))))&lt;&gt;1),"Endpoint missing or duplicated",IF(AND(NOT(AND(B630="UC",E630="CAP")),OR(G630="",COUNTIF('System map'!$A$4:$A$203,G630)&lt;&gt;1)),"AIR context missing / unknown",IF(AND(B630="CAP",E630="AIR",G630&lt;&gt;F630),"AIR context mismatch",IF(AND(B630="AIR",G630&lt;&gt;C630),"AIR context mismatch",IF(AND(B630="AIR",E630="AIR",C630=F630),"Self-dependency",IF(AND(B630="AIR",E630="AIR",M630&lt;&gt;"Superseded",COUNTIFS($B$4:$B$1003,"AIR",$C$4:$C$1003,F630,$E$4:$E$1003,"AIR",$F$4:$F$1003,C630,$M$4:$M$1003,"&lt;&gt;Superseded")&gt;0),"Dependency cycle (A↔B) — review",IF(AND(B630="AIR",OR(E630="MOD",E630="DATA",E630="IF",E630="AG",E630="TOOL"),IFERROR(INDEX(Components!$G$4:$G$253,MATCH(F630,Components!$A$4:$A$253,0)),"")&lt;&gt;"",IFERROR(INDEX(Components!$G$4:$G$253,MATCH(F630,Components!$A$4:$A$253,0)),"")&lt;&gt;C630),"Component owned by another AIR-ID",IF(AND(M630="Confirmed",OR(IF(B630="UC",COUNTIFS('Use cases'!$A$4:$A$253,C630,'Use cases'!$I$4:$I$253,"Confirmed",'Use cases'!$J$4:$J$253,"OK — verify source"),IF(B630="CAP",COUNTIFS(Capabilities!$A$4:$A$253,C630,Capabilities!$J$4:$J$253,"Confirmed",Capabilities!$K$4:$K$253,"OK — verify source"),IF(B630="AIR",COUNTIFS('System map'!$A$4:$A$203,C630,'System map'!$B$4:$B$203,"&lt;&gt;",'System map'!$C$4:$C$203,"&lt;&gt;",'System map'!$D$4:$D$203,"&lt;&gt;"),COUNTIFS(Components!$A$4:$A$253,C630,Components!$B$4:$B$253,B630,Components!$K$4:$K$253,"Confirmed",Components!$L$4:$L$253,"OK — verify source"))))&lt;&gt;1,IF(E630="UC",COUNTIFS('Use cases'!$A$4:$A$253,F630,'Use cases'!$I$4:$I$253,"Confirmed",'Use cases'!$J$4:$J$253,"OK — verify source"),IF(E630="CAP",COUNTIFS(Capabilities!$A$4:$A$253,F630,Capabilities!$J$4:$J$253,"Confirmed",Capabilities!$K$4:$K$253,"OK — verify source"),IF(E630="AIR",COUNTIFS('System map'!$A$4:$A$203,F630,'System map'!$B$4:$B$203,"&lt;&gt;",'System map'!$C$4:$C$203,"&lt;&gt;",'System map'!$D$4:$D$203,"&lt;&gt;"),COUNTIFS(Components!$A$4:$A$253,F630,Components!$B$4:$B$253,E630,Components!$K$4:$K$253,"Confirmed",Components!$L$4:$L$253,"OK — verify source"))))&lt;&gt;1)),"Endpoint not source-reconciled",IF(AND(M630="Confirmed",OR(L630="",K630="",K630="Unknown",K630="Low")),"Confirmed link lacks verification","OK — verify source"))))))))))))))</f>
        <v/>
      </c>
    </row>
    <row r="631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8" t="n"/>
      <c r="M631" s="27" t="n"/>
      <c r="N631" s="27">
        <f>IF(COUNTA(A631:M631)=0,"",IF(OR(A631="",B631="",C631="",D631="",E631="",F631="",I631="",J631="",K631="",M631=""),"Required link detail missing",IF(COUNTIF($A$4:$A$1003,A631)&gt;1,"Duplicate Map Edge ID",IF(NOT(OR(AND(B631="UC",E631="CAP",D631="requires"),AND(B631="CAP",E631="AIR",D631="provided by"),AND(B631="AIR",OR(E631="MOD",E631="DATA",E631="IF",E631="AG",E631="TOOL"),D631="references"),AND(B631="AIR",E631="AIR",D631="depends on"))),"Invalid relationship",IF(AND(M631&lt;&gt;"Superseded",COUNTIFS($B$4:$B$1003,B631,$C$4:$C$1003,C631,$D$4:$D$1003,D631,$E$4:$E$1003,E631,$F$4:$F$1003,F631,$G$4:$G$1003,G631,$M$4:$M$1003,"&lt;&gt;Superseded")&gt;1),"Duplicate relationship",IF(OR(IF(B631="UC",COUNTIF('Use cases'!$A$4:$A$253,C631),IF(B631="CAP",COUNTIF(Capabilities!$A$4:$A$253,C631),IF(B631="AIR",COUNTIF('System map'!$A$4:$A$203,C631),COUNTIFS(Components!$A$4:$A$253,C631,Components!$B$4:$B$253,B631))))&lt;&gt;1,IF(E631="UC",COUNTIF('Use cases'!$A$4:$A$253,F631),IF(E631="CAP",COUNTIF(Capabilities!$A$4:$A$253,F631),IF(E631="AIR",COUNTIF('System map'!$A$4:$A$203,F631),COUNTIFS(Components!$A$4:$A$253,F631,Components!$B$4:$B$253,E631))))&lt;&gt;1),"Endpoint missing or duplicated",IF(AND(NOT(AND(B631="UC",E631="CAP")),OR(G631="",COUNTIF('System map'!$A$4:$A$203,G631)&lt;&gt;1)),"AIR context missing / unknown",IF(AND(B631="CAP",E631="AIR",G631&lt;&gt;F631),"AIR context mismatch",IF(AND(B631="AIR",G631&lt;&gt;C631),"AIR context mismatch",IF(AND(B631="AIR",E631="AIR",C631=F631),"Self-dependency",IF(AND(B631="AIR",E631="AIR",M631&lt;&gt;"Superseded",COUNTIFS($B$4:$B$1003,"AIR",$C$4:$C$1003,F631,$E$4:$E$1003,"AIR",$F$4:$F$1003,C631,$M$4:$M$1003,"&lt;&gt;Superseded")&gt;0),"Dependency cycle (A↔B) — review",IF(AND(B631="AIR",OR(E631="MOD",E631="DATA",E631="IF",E631="AG",E631="TOOL"),IFERROR(INDEX(Components!$G$4:$G$253,MATCH(F631,Components!$A$4:$A$253,0)),"")&lt;&gt;"",IFERROR(INDEX(Components!$G$4:$G$253,MATCH(F631,Components!$A$4:$A$253,0)),"")&lt;&gt;C631),"Component owned by another AIR-ID",IF(AND(M631="Confirmed",OR(IF(B631="UC",COUNTIFS('Use cases'!$A$4:$A$253,C631,'Use cases'!$I$4:$I$253,"Confirmed",'Use cases'!$J$4:$J$253,"OK — verify source"),IF(B631="CAP",COUNTIFS(Capabilities!$A$4:$A$253,C631,Capabilities!$J$4:$J$253,"Confirmed",Capabilities!$K$4:$K$253,"OK — verify source"),IF(B631="AIR",COUNTIFS('System map'!$A$4:$A$203,C631,'System map'!$B$4:$B$203,"&lt;&gt;",'System map'!$C$4:$C$203,"&lt;&gt;",'System map'!$D$4:$D$203,"&lt;&gt;"),COUNTIFS(Components!$A$4:$A$253,C631,Components!$B$4:$B$253,B631,Components!$K$4:$K$253,"Confirmed",Components!$L$4:$L$253,"OK — verify source"))))&lt;&gt;1,IF(E631="UC",COUNTIFS('Use cases'!$A$4:$A$253,F631,'Use cases'!$I$4:$I$253,"Confirmed",'Use cases'!$J$4:$J$253,"OK — verify source"),IF(E631="CAP",COUNTIFS(Capabilities!$A$4:$A$253,F631,Capabilities!$J$4:$J$253,"Confirmed",Capabilities!$K$4:$K$253,"OK — verify source"),IF(E631="AIR",COUNTIFS('System map'!$A$4:$A$203,F631,'System map'!$B$4:$B$203,"&lt;&gt;",'System map'!$C$4:$C$203,"&lt;&gt;",'System map'!$D$4:$D$203,"&lt;&gt;"),COUNTIFS(Components!$A$4:$A$253,F631,Components!$B$4:$B$253,E631,Components!$K$4:$K$253,"Confirmed",Components!$L$4:$L$253,"OK — verify source"))))&lt;&gt;1)),"Endpoint not source-reconciled",IF(AND(M631="Confirmed",OR(L631="",K631="",K631="Unknown",K631="Low")),"Confirmed link lacks verification","OK — verify source"))))))))))))))</f>
        <v/>
      </c>
    </row>
    <row r="632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6" t="n"/>
      <c r="M632" s="25" t="n"/>
      <c r="N632" s="25">
        <f>IF(COUNTA(A632:M632)=0,"",IF(OR(A632="",B632="",C632="",D632="",E632="",F632="",I632="",J632="",K632="",M632=""),"Required link detail missing",IF(COUNTIF($A$4:$A$1003,A632)&gt;1,"Duplicate Map Edge ID",IF(NOT(OR(AND(B632="UC",E632="CAP",D632="requires"),AND(B632="CAP",E632="AIR",D632="provided by"),AND(B632="AIR",OR(E632="MOD",E632="DATA",E632="IF",E632="AG",E632="TOOL"),D632="references"),AND(B632="AIR",E632="AIR",D632="depends on"))),"Invalid relationship",IF(AND(M632&lt;&gt;"Superseded",COUNTIFS($B$4:$B$1003,B632,$C$4:$C$1003,C632,$D$4:$D$1003,D632,$E$4:$E$1003,E632,$F$4:$F$1003,F632,$G$4:$G$1003,G632,$M$4:$M$1003,"&lt;&gt;Superseded")&gt;1),"Duplicate relationship",IF(OR(IF(B632="UC",COUNTIF('Use cases'!$A$4:$A$253,C632),IF(B632="CAP",COUNTIF(Capabilities!$A$4:$A$253,C632),IF(B632="AIR",COUNTIF('System map'!$A$4:$A$203,C632),COUNTIFS(Components!$A$4:$A$253,C632,Components!$B$4:$B$253,B632))))&lt;&gt;1,IF(E632="UC",COUNTIF('Use cases'!$A$4:$A$253,F632),IF(E632="CAP",COUNTIF(Capabilities!$A$4:$A$253,F632),IF(E632="AIR",COUNTIF('System map'!$A$4:$A$203,F632),COUNTIFS(Components!$A$4:$A$253,F632,Components!$B$4:$B$253,E632))))&lt;&gt;1),"Endpoint missing or duplicated",IF(AND(NOT(AND(B632="UC",E632="CAP")),OR(G632="",COUNTIF('System map'!$A$4:$A$203,G632)&lt;&gt;1)),"AIR context missing / unknown",IF(AND(B632="CAP",E632="AIR",G632&lt;&gt;F632),"AIR context mismatch",IF(AND(B632="AIR",G632&lt;&gt;C632),"AIR context mismatch",IF(AND(B632="AIR",E632="AIR",C632=F632),"Self-dependency",IF(AND(B632="AIR",E632="AIR",M632&lt;&gt;"Superseded",COUNTIFS($B$4:$B$1003,"AIR",$C$4:$C$1003,F632,$E$4:$E$1003,"AIR",$F$4:$F$1003,C632,$M$4:$M$1003,"&lt;&gt;Superseded")&gt;0),"Dependency cycle (A↔B) — review",IF(AND(B632="AIR",OR(E632="MOD",E632="DATA",E632="IF",E632="AG",E632="TOOL"),IFERROR(INDEX(Components!$G$4:$G$253,MATCH(F632,Components!$A$4:$A$253,0)),"")&lt;&gt;"",IFERROR(INDEX(Components!$G$4:$G$253,MATCH(F632,Components!$A$4:$A$253,0)),"")&lt;&gt;C632),"Component owned by another AIR-ID",IF(AND(M632="Confirmed",OR(IF(B632="UC",COUNTIFS('Use cases'!$A$4:$A$253,C632,'Use cases'!$I$4:$I$253,"Confirmed",'Use cases'!$J$4:$J$253,"OK — verify source"),IF(B632="CAP",COUNTIFS(Capabilities!$A$4:$A$253,C632,Capabilities!$J$4:$J$253,"Confirmed",Capabilities!$K$4:$K$253,"OK — verify source"),IF(B632="AIR",COUNTIFS('System map'!$A$4:$A$203,C632,'System map'!$B$4:$B$203,"&lt;&gt;",'System map'!$C$4:$C$203,"&lt;&gt;",'System map'!$D$4:$D$203,"&lt;&gt;"),COUNTIFS(Components!$A$4:$A$253,C632,Components!$B$4:$B$253,B632,Components!$K$4:$K$253,"Confirmed",Components!$L$4:$L$253,"OK — verify source"))))&lt;&gt;1,IF(E632="UC",COUNTIFS('Use cases'!$A$4:$A$253,F632,'Use cases'!$I$4:$I$253,"Confirmed",'Use cases'!$J$4:$J$253,"OK — verify source"),IF(E632="CAP",COUNTIFS(Capabilities!$A$4:$A$253,F632,Capabilities!$J$4:$J$253,"Confirmed",Capabilities!$K$4:$K$253,"OK — verify source"),IF(E632="AIR",COUNTIFS('System map'!$A$4:$A$203,F632,'System map'!$B$4:$B$203,"&lt;&gt;",'System map'!$C$4:$C$203,"&lt;&gt;",'System map'!$D$4:$D$203,"&lt;&gt;"),COUNTIFS(Components!$A$4:$A$253,F632,Components!$B$4:$B$253,E632,Components!$K$4:$K$253,"Confirmed",Components!$L$4:$L$253,"OK — verify source"))))&lt;&gt;1)),"Endpoint not source-reconciled",IF(AND(M632="Confirmed",OR(L632="",K632="",K632="Unknown",K632="Low")),"Confirmed link lacks verification","OK — verify source"))))))))))))))</f>
        <v/>
      </c>
    </row>
    <row r="633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8" t="n"/>
      <c r="M633" s="27" t="n"/>
      <c r="N633" s="27">
        <f>IF(COUNTA(A633:M633)=0,"",IF(OR(A633="",B633="",C633="",D633="",E633="",F633="",I633="",J633="",K633="",M633=""),"Required link detail missing",IF(COUNTIF($A$4:$A$1003,A633)&gt;1,"Duplicate Map Edge ID",IF(NOT(OR(AND(B633="UC",E633="CAP",D633="requires"),AND(B633="CAP",E633="AIR",D633="provided by"),AND(B633="AIR",OR(E633="MOD",E633="DATA",E633="IF",E633="AG",E633="TOOL"),D633="references"),AND(B633="AIR",E633="AIR",D633="depends on"))),"Invalid relationship",IF(AND(M633&lt;&gt;"Superseded",COUNTIFS($B$4:$B$1003,B633,$C$4:$C$1003,C633,$D$4:$D$1003,D633,$E$4:$E$1003,E633,$F$4:$F$1003,F633,$G$4:$G$1003,G633,$M$4:$M$1003,"&lt;&gt;Superseded")&gt;1),"Duplicate relationship",IF(OR(IF(B633="UC",COUNTIF('Use cases'!$A$4:$A$253,C633),IF(B633="CAP",COUNTIF(Capabilities!$A$4:$A$253,C633),IF(B633="AIR",COUNTIF('System map'!$A$4:$A$203,C633),COUNTIFS(Components!$A$4:$A$253,C633,Components!$B$4:$B$253,B633))))&lt;&gt;1,IF(E633="UC",COUNTIF('Use cases'!$A$4:$A$253,F633),IF(E633="CAP",COUNTIF(Capabilities!$A$4:$A$253,F633),IF(E633="AIR",COUNTIF('System map'!$A$4:$A$203,F633),COUNTIFS(Components!$A$4:$A$253,F633,Components!$B$4:$B$253,E633))))&lt;&gt;1),"Endpoint missing or duplicated",IF(AND(NOT(AND(B633="UC",E633="CAP")),OR(G633="",COUNTIF('System map'!$A$4:$A$203,G633)&lt;&gt;1)),"AIR context missing / unknown",IF(AND(B633="CAP",E633="AIR",G633&lt;&gt;F633),"AIR context mismatch",IF(AND(B633="AIR",G633&lt;&gt;C633),"AIR context mismatch",IF(AND(B633="AIR",E633="AIR",C633=F633),"Self-dependency",IF(AND(B633="AIR",E633="AIR",M633&lt;&gt;"Superseded",COUNTIFS($B$4:$B$1003,"AIR",$C$4:$C$1003,F633,$E$4:$E$1003,"AIR",$F$4:$F$1003,C633,$M$4:$M$1003,"&lt;&gt;Superseded")&gt;0),"Dependency cycle (A↔B) — review",IF(AND(B633="AIR",OR(E633="MOD",E633="DATA",E633="IF",E633="AG",E633="TOOL"),IFERROR(INDEX(Components!$G$4:$G$253,MATCH(F633,Components!$A$4:$A$253,0)),"")&lt;&gt;"",IFERROR(INDEX(Components!$G$4:$G$253,MATCH(F633,Components!$A$4:$A$253,0)),"")&lt;&gt;C633),"Component owned by another AIR-ID",IF(AND(M633="Confirmed",OR(IF(B633="UC",COUNTIFS('Use cases'!$A$4:$A$253,C633,'Use cases'!$I$4:$I$253,"Confirmed",'Use cases'!$J$4:$J$253,"OK — verify source"),IF(B633="CAP",COUNTIFS(Capabilities!$A$4:$A$253,C633,Capabilities!$J$4:$J$253,"Confirmed",Capabilities!$K$4:$K$253,"OK — verify source"),IF(B633="AIR",COUNTIFS('System map'!$A$4:$A$203,C633,'System map'!$B$4:$B$203,"&lt;&gt;",'System map'!$C$4:$C$203,"&lt;&gt;",'System map'!$D$4:$D$203,"&lt;&gt;"),COUNTIFS(Components!$A$4:$A$253,C633,Components!$B$4:$B$253,B633,Components!$K$4:$K$253,"Confirmed",Components!$L$4:$L$253,"OK — verify source"))))&lt;&gt;1,IF(E633="UC",COUNTIFS('Use cases'!$A$4:$A$253,F633,'Use cases'!$I$4:$I$253,"Confirmed",'Use cases'!$J$4:$J$253,"OK — verify source"),IF(E633="CAP",COUNTIFS(Capabilities!$A$4:$A$253,F633,Capabilities!$J$4:$J$253,"Confirmed",Capabilities!$K$4:$K$253,"OK — verify source"),IF(E633="AIR",COUNTIFS('System map'!$A$4:$A$203,F633,'System map'!$B$4:$B$203,"&lt;&gt;",'System map'!$C$4:$C$203,"&lt;&gt;",'System map'!$D$4:$D$203,"&lt;&gt;"),COUNTIFS(Components!$A$4:$A$253,F633,Components!$B$4:$B$253,E633,Components!$K$4:$K$253,"Confirmed",Components!$L$4:$L$253,"OK — verify source"))))&lt;&gt;1)),"Endpoint not source-reconciled",IF(AND(M633="Confirmed",OR(L633="",K633="",K633="Unknown",K633="Low")),"Confirmed link lacks verification","OK — verify source"))))))))))))))</f>
        <v/>
      </c>
    </row>
    <row r="63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6" t="n"/>
      <c r="M634" s="25" t="n"/>
      <c r="N634" s="25">
        <f>IF(COUNTA(A634:M634)=0,"",IF(OR(A634="",B634="",C634="",D634="",E634="",F634="",I634="",J634="",K634="",M634=""),"Required link detail missing",IF(COUNTIF($A$4:$A$1003,A634)&gt;1,"Duplicate Map Edge ID",IF(NOT(OR(AND(B634="UC",E634="CAP",D634="requires"),AND(B634="CAP",E634="AIR",D634="provided by"),AND(B634="AIR",OR(E634="MOD",E634="DATA",E634="IF",E634="AG",E634="TOOL"),D634="references"),AND(B634="AIR",E634="AIR",D634="depends on"))),"Invalid relationship",IF(AND(M634&lt;&gt;"Superseded",COUNTIFS($B$4:$B$1003,B634,$C$4:$C$1003,C634,$D$4:$D$1003,D634,$E$4:$E$1003,E634,$F$4:$F$1003,F634,$G$4:$G$1003,G634,$M$4:$M$1003,"&lt;&gt;Superseded")&gt;1),"Duplicate relationship",IF(OR(IF(B634="UC",COUNTIF('Use cases'!$A$4:$A$253,C634),IF(B634="CAP",COUNTIF(Capabilities!$A$4:$A$253,C634),IF(B634="AIR",COUNTIF('System map'!$A$4:$A$203,C634),COUNTIFS(Components!$A$4:$A$253,C634,Components!$B$4:$B$253,B634))))&lt;&gt;1,IF(E634="UC",COUNTIF('Use cases'!$A$4:$A$253,F634),IF(E634="CAP",COUNTIF(Capabilities!$A$4:$A$253,F634),IF(E634="AIR",COUNTIF('System map'!$A$4:$A$203,F634),COUNTIFS(Components!$A$4:$A$253,F634,Components!$B$4:$B$253,E634))))&lt;&gt;1),"Endpoint missing or duplicated",IF(AND(NOT(AND(B634="UC",E634="CAP")),OR(G634="",COUNTIF('System map'!$A$4:$A$203,G634)&lt;&gt;1)),"AIR context missing / unknown",IF(AND(B634="CAP",E634="AIR",G634&lt;&gt;F634),"AIR context mismatch",IF(AND(B634="AIR",G634&lt;&gt;C634),"AIR context mismatch",IF(AND(B634="AIR",E634="AIR",C634=F634),"Self-dependency",IF(AND(B634="AIR",E634="AIR",M634&lt;&gt;"Superseded",COUNTIFS($B$4:$B$1003,"AIR",$C$4:$C$1003,F634,$E$4:$E$1003,"AIR",$F$4:$F$1003,C634,$M$4:$M$1003,"&lt;&gt;Superseded")&gt;0),"Dependency cycle (A↔B) — review",IF(AND(B634="AIR",OR(E634="MOD",E634="DATA",E634="IF",E634="AG",E634="TOOL"),IFERROR(INDEX(Components!$G$4:$G$253,MATCH(F634,Components!$A$4:$A$253,0)),"")&lt;&gt;"",IFERROR(INDEX(Components!$G$4:$G$253,MATCH(F634,Components!$A$4:$A$253,0)),"")&lt;&gt;C634),"Component owned by another AIR-ID",IF(AND(M634="Confirmed",OR(IF(B634="UC",COUNTIFS('Use cases'!$A$4:$A$253,C634,'Use cases'!$I$4:$I$253,"Confirmed",'Use cases'!$J$4:$J$253,"OK — verify source"),IF(B634="CAP",COUNTIFS(Capabilities!$A$4:$A$253,C634,Capabilities!$J$4:$J$253,"Confirmed",Capabilities!$K$4:$K$253,"OK — verify source"),IF(B634="AIR",COUNTIFS('System map'!$A$4:$A$203,C634,'System map'!$B$4:$B$203,"&lt;&gt;",'System map'!$C$4:$C$203,"&lt;&gt;",'System map'!$D$4:$D$203,"&lt;&gt;"),COUNTIFS(Components!$A$4:$A$253,C634,Components!$B$4:$B$253,B634,Components!$K$4:$K$253,"Confirmed",Components!$L$4:$L$253,"OK — verify source"))))&lt;&gt;1,IF(E634="UC",COUNTIFS('Use cases'!$A$4:$A$253,F634,'Use cases'!$I$4:$I$253,"Confirmed",'Use cases'!$J$4:$J$253,"OK — verify source"),IF(E634="CAP",COUNTIFS(Capabilities!$A$4:$A$253,F634,Capabilities!$J$4:$J$253,"Confirmed",Capabilities!$K$4:$K$253,"OK — verify source"),IF(E634="AIR",COUNTIFS('System map'!$A$4:$A$203,F634,'System map'!$B$4:$B$203,"&lt;&gt;",'System map'!$C$4:$C$203,"&lt;&gt;",'System map'!$D$4:$D$203,"&lt;&gt;"),COUNTIFS(Components!$A$4:$A$253,F634,Components!$B$4:$B$253,E634,Components!$K$4:$K$253,"Confirmed",Components!$L$4:$L$253,"OK — verify source"))))&lt;&gt;1)),"Endpoint not source-reconciled",IF(AND(M634="Confirmed",OR(L634="",K634="",K634="Unknown",K634="Low")),"Confirmed link lacks verification","OK — verify source"))))))))))))))</f>
        <v/>
      </c>
    </row>
    <row r="635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8" t="n"/>
      <c r="M635" s="27" t="n"/>
      <c r="N635" s="27">
        <f>IF(COUNTA(A635:M635)=0,"",IF(OR(A635="",B635="",C635="",D635="",E635="",F635="",I635="",J635="",K635="",M635=""),"Required link detail missing",IF(COUNTIF($A$4:$A$1003,A635)&gt;1,"Duplicate Map Edge ID",IF(NOT(OR(AND(B635="UC",E635="CAP",D635="requires"),AND(B635="CAP",E635="AIR",D635="provided by"),AND(B635="AIR",OR(E635="MOD",E635="DATA",E635="IF",E635="AG",E635="TOOL"),D635="references"),AND(B635="AIR",E635="AIR",D635="depends on"))),"Invalid relationship",IF(AND(M635&lt;&gt;"Superseded",COUNTIFS($B$4:$B$1003,B635,$C$4:$C$1003,C635,$D$4:$D$1003,D635,$E$4:$E$1003,E635,$F$4:$F$1003,F635,$G$4:$G$1003,G635,$M$4:$M$1003,"&lt;&gt;Superseded")&gt;1),"Duplicate relationship",IF(OR(IF(B635="UC",COUNTIF('Use cases'!$A$4:$A$253,C635),IF(B635="CAP",COUNTIF(Capabilities!$A$4:$A$253,C635),IF(B635="AIR",COUNTIF('System map'!$A$4:$A$203,C635),COUNTIFS(Components!$A$4:$A$253,C635,Components!$B$4:$B$253,B635))))&lt;&gt;1,IF(E635="UC",COUNTIF('Use cases'!$A$4:$A$253,F635),IF(E635="CAP",COUNTIF(Capabilities!$A$4:$A$253,F635),IF(E635="AIR",COUNTIF('System map'!$A$4:$A$203,F635),COUNTIFS(Components!$A$4:$A$253,F635,Components!$B$4:$B$253,E635))))&lt;&gt;1),"Endpoint missing or duplicated",IF(AND(NOT(AND(B635="UC",E635="CAP")),OR(G635="",COUNTIF('System map'!$A$4:$A$203,G635)&lt;&gt;1)),"AIR context missing / unknown",IF(AND(B635="CAP",E635="AIR",G635&lt;&gt;F635),"AIR context mismatch",IF(AND(B635="AIR",G635&lt;&gt;C635),"AIR context mismatch",IF(AND(B635="AIR",E635="AIR",C635=F635),"Self-dependency",IF(AND(B635="AIR",E635="AIR",M635&lt;&gt;"Superseded",COUNTIFS($B$4:$B$1003,"AIR",$C$4:$C$1003,F635,$E$4:$E$1003,"AIR",$F$4:$F$1003,C635,$M$4:$M$1003,"&lt;&gt;Superseded")&gt;0),"Dependency cycle (A↔B) — review",IF(AND(B635="AIR",OR(E635="MOD",E635="DATA",E635="IF",E635="AG",E635="TOOL"),IFERROR(INDEX(Components!$G$4:$G$253,MATCH(F635,Components!$A$4:$A$253,0)),"")&lt;&gt;"",IFERROR(INDEX(Components!$G$4:$G$253,MATCH(F635,Components!$A$4:$A$253,0)),"")&lt;&gt;C635),"Component owned by another AIR-ID",IF(AND(M635="Confirmed",OR(IF(B635="UC",COUNTIFS('Use cases'!$A$4:$A$253,C635,'Use cases'!$I$4:$I$253,"Confirmed",'Use cases'!$J$4:$J$253,"OK — verify source"),IF(B635="CAP",COUNTIFS(Capabilities!$A$4:$A$253,C635,Capabilities!$J$4:$J$253,"Confirmed",Capabilities!$K$4:$K$253,"OK — verify source"),IF(B635="AIR",COUNTIFS('System map'!$A$4:$A$203,C635,'System map'!$B$4:$B$203,"&lt;&gt;",'System map'!$C$4:$C$203,"&lt;&gt;",'System map'!$D$4:$D$203,"&lt;&gt;"),COUNTIFS(Components!$A$4:$A$253,C635,Components!$B$4:$B$253,B635,Components!$K$4:$K$253,"Confirmed",Components!$L$4:$L$253,"OK — verify source"))))&lt;&gt;1,IF(E635="UC",COUNTIFS('Use cases'!$A$4:$A$253,F635,'Use cases'!$I$4:$I$253,"Confirmed",'Use cases'!$J$4:$J$253,"OK — verify source"),IF(E635="CAP",COUNTIFS(Capabilities!$A$4:$A$253,F635,Capabilities!$J$4:$J$253,"Confirmed",Capabilities!$K$4:$K$253,"OK — verify source"),IF(E635="AIR",COUNTIFS('System map'!$A$4:$A$203,F635,'System map'!$B$4:$B$203,"&lt;&gt;",'System map'!$C$4:$C$203,"&lt;&gt;",'System map'!$D$4:$D$203,"&lt;&gt;"),COUNTIFS(Components!$A$4:$A$253,F635,Components!$B$4:$B$253,E635,Components!$K$4:$K$253,"Confirmed",Components!$L$4:$L$253,"OK — verify source"))))&lt;&gt;1)),"Endpoint not source-reconciled",IF(AND(M635="Confirmed",OR(L635="",K635="",K635="Unknown",K635="Low")),"Confirmed link lacks verification","OK — verify source"))))))))))))))</f>
        <v/>
      </c>
    </row>
    <row r="636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6" t="n"/>
      <c r="M636" s="25" t="n"/>
      <c r="N636" s="25">
        <f>IF(COUNTA(A636:M636)=0,"",IF(OR(A636="",B636="",C636="",D636="",E636="",F636="",I636="",J636="",K636="",M636=""),"Required link detail missing",IF(COUNTIF($A$4:$A$1003,A636)&gt;1,"Duplicate Map Edge ID",IF(NOT(OR(AND(B636="UC",E636="CAP",D636="requires"),AND(B636="CAP",E636="AIR",D636="provided by"),AND(B636="AIR",OR(E636="MOD",E636="DATA",E636="IF",E636="AG",E636="TOOL"),D636="references"),AND(B636="AIR",E636="AIR",D636="depends on"))),"Invalid relationship",IF(AND(M636&lt;&gt;"Superseded",COUNTIFS($B$4:$B$1003,B636,$C$4:$C$1003,C636,$D$4:$D$1003,D636,$E$4:$E$1003,E636,$F$4:$F$1003,F636,$G$4:$G$1003,G636,$M$4:$M$1003,"&lt;&gt;Superseded")&gt;1),"Duplicate relationship",IF(OR(IF(B636="UC",COUNTIF('Use cases'!$A$4:$A$253,C636),IF(B636="CAP",COUNTIF(Capabilities!$A$4:$A$253,C636),IF(B636="AIR",COUNTIF('System map'!$A$4:$A$203,C636),COUNTIFS(Components!$A$4:$A$253,C636,Components!$B$4:$B$253,B636))))&lt;&gt;1,IF(E636="UC",COUNTIF('Use cases'!$A$4:$A$253,F636),IF(E636="CAP",COUNTIF(Capabilities!$A$4:$A$253,F636),IF(E636="AIR",COUNTIF('System map'!$A$4:$A$203,F636),COUNTIFS(Components!$A$4:$A$253,F636,Components!$B$4:$B$253,E636))))&lt;&gt;1),"Endpoint missing or duplicated",IF(AND(NOT(AND(B636="UC",E636="CAP")),OR(G636="",COUNTIF('System map'!$A$4:$A$203,G636)&lt;&gt;1)),"AIR context missing / unknown",IF(AND(B636="CAP",E636="AIR",G636&lt;&gt;F636),"AIR context mismatch",IF(AND(B636="AIR",G636&lt;&gt;C636),"AIR context mismatch",IF(AND(B636="AIR",E636="AIR",C636=F636),"Self-dependency",IF(AND(B636="AIR",E636="AIR",M636&lt;&gt;"Superseded",COUNTIFS($B$4:$B$1003,"AIR",$C$4:$C$1003,F636,$E$4:$E$1003,"AIR",$F$4:$F$1003,C636,$M$4:$M$1003,"&lt;&gt;Superseded")&gt;0),"Dependency cycle (A↔B) — review",IF(AND(B636="AIR",OR(E636="MOD",E636="DATA",E636="IF",E636="AG",E636="TOOL"),IFERROR(INDEX(Components!$G$4:$G$253,MATCH(F636,Components!$A$4:$A$253,0)),"")&lt;&gt;"",IFERROR(INDEX(Components!$G$4:$G$253,MATCH(F636,Components!$A$4:$A$253,0)),"")&lt;&gt;C636),"Component owned by another AIR-ID",IF(AND(M636="Confirmed",OR(IF(B636="UC",COUNTIFS('Use cases'!$A$4:$A$253,C636,'Use cases'!$I$4:$I$253,"Confirmed",'Use cases'!$J$4:$J$253,"OK — verify source"),IF(B636="CAP",COUNTIFS(Capabilities!$A$4:$A$253,C636,Capabilities!$J$4:$J$253,"Confirmed",Capabilities!$K$4:$K$253,"OK — verify source"),IF(B636="AIR",COUNTIFS('System map'!$A$4:$A$203,C636,'System map'!$B$4:$B$203,"&lt;&gt;",'System map'!$C$4:$C$203,"&lt;&gt;",'System map'!$D$4:$D$203,"&lt;&gt;"),COUNTIFS(Components!$A$4:$A$253,C636,Components!$B$4:$B$253,B636,Components!$K$4:$K$253,"Confirmed",Components!$L$4:$L$253,"OK — verify source"))))&lt;&gt;1,IF(E636="UC",COUNTIFS('Use cases'!$A$4:$A$253,F636,'Use cases'!$I$4:$I$253,"Confirmed",'Use cases'!$J$4:$J$253,"OK — verify source"),IF(E636="CAP",COUNTIFS(Capabilities!$A$4:$A$253,F636,Capabilities!$J$4:$J$253,"Confirmed",Capabilities!$K$4:$K$253,"OK — verify source"),IF(E636="AIR",COUNTIFS('System map'!$A$4:$A$203,F636,'System map'!$B$4:$B$203,"&lt;&gt;",'System map'!$C$4:$C$203,"&lt;&gt;",'System map'!$D$4:$D$203,"&lt;&gt;"),COUNTIFS(Components!$A$4:$A$253,F636,Components!$B$4:$B$253,E636,Components!$K$4:$K$253,"Confirmed",Components!$L$4:$L$253,"OK — verify source"))))&lt;&gt;1)),"Endpoint not source-reconciled",IF(AND(M636="Confirmed",OR(L636="",K636="",K636="Unknown",K636="Low")),"Confirmed link lacks verification","OK — verify source"))))))))))))))</f>
        <v/>
      </c>
    </row>
    <row r="637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8" t="n"/>
      <c r="M637" s="27" t="n"/>
      <c r="N637" s="27">
        <f>IF(COUNTA(A637:M637)=0,"",IF(OR(A637="",B637="",C637="",D637="",E637="",F637="",I637="",J637="",K637="",M637=""),"Required link detail missing",IF(COUNTIF($A$4:$A$1003,A637)&gt;1,"Duplicate Map Edge ID",IF(NOT(OR(AND(B637="UC",E637="CAP",D637="requires"),AND(B637="CAP",E637="AIR",D637="provided by"),AND(B637="AIR",OR(E637="MOD",E637="DATA",E637="IF",E637="AG",E637="TOOL"),D637="references"),AND(B637="AIR",E637="AIR",D637="depends on"))),"Invalid relationship",IF(AND(M637&lt;&gt;"Superseded",COUNTIFS($B$4:$B$1003,B637,$C$4:$C$1003,C637,$D$4:$D$1003,D637,$E$4:$E$1003,E637,$F$4:$F$1003,F637,$G$4:$G$1003,G637,$M$4:$M$1003,"&lt;&gt;Superseded")&gt;1),"Duplicate relationship",IF(OR(IF(B637="UC",COUNTIF('Use cases'!$A$4:$A$253,C637),IF(B637="CAP",COUNTIF(Capabilities!$A$4:$A$253,C637),IF(B637="AIR",COUNTIF('System map'!$A$4:$A$203,C637),COUNTIFS(Components!$A$4:$A$253,C637,Components!$B$4:$B$253,B637))))&lt;&gt;1,IF(E637="UC",COUNTIF('Use cases'!$A$4:$A$253,F637),IF(E637="CAP",COUNTIF(Capabilities!$A$4:$A$253,F637),IF(E637="AIR",COUNTIF('System map'!$A$4:$A$203,F637),COUNTIFS(Components!$A$4:$A$253,F637,Components!$B$4:$B$253,E637))))&lt;&gt;1),"Endpoint missing or duplicated",IF(AND(NOT(AND(B637="UC",E637="CAP")),OR(G637="",COUNTIF('System map'!$A$4:$A$203,G637)&lt;&gt;1)),"AIR context missing / unknown",IF(AND(B637="CAP",E637="AIR",G637&lt;&gt;F637),"AIR context mismatch",IF(AND(B637="AIR",G637&lt;&gt;C637),"AIR context mismatch",IF(AND(B637="AIR",E637="AIR",C637=F637),"Self-dependency",IF(AND(B637="AIR",E637="AIR",M637&lt;&gt;"Superseded",COUNTIFS($B$4:$B$1003,"AIR",$C$4:$C$1003,F637,$E$4:$E$1003,"AIR",$F$4:$F$1003,C637,$M$4:$M$1003,"&lt;&gt;Superseded")&gt;0),"Dependency cycle (A↔B) — review",IF(AND(B637="AIR",OR(E637="MOD",E637="DATA",E637="IF",E637="AG",E637="TOOL"),IFERROR(INDEX(Components!$G$4:$G$253,MATCH(F637,Components!$A$4:$A$253,0)),"")&lt;&gt;"",IFERROR(INDEX(Components!$G$4:$G$253,MATCH(F637,Components!$A$4:$A$253,0)),"")&lt;&gt;C637),"Component owned by another AIR-ID",IF(AND(M637="Confirmed",OR(IF(B637="UC",COUNTIFS('Use cases'!$A$4:$A$253,C637,'Use cases'!$I$4:$I$253,"Confirmed",'Use cases'!$J$4:$J$253,"OK — verify source"),IF(B637="CAP",COUNTIFS(Capabilities!$A$4:$A$253,C637,Capabilities!$J$4:$J$253,"Confirmed",Capabilities!$K$4:$K$253,"OK — verify source"),IF(B637="AIR",COUNTIFS('System map'!$A$4:$A$203,C637,'System map'!$B$4:$B$203,"&lt;&gt;",'System map'!$C$4:$C$203,"&lt;&gt;",'System map'!$D$4:$D$203,"&lt;&gt;"),COUNTIFS(Components!$A$4:$A$253,C637,Components!$B$4:$B$253,B637,Components!$K$4:$K$253,"Confirmed",Components!$L$4:$L$253,"OK — verify source"))))&lt;&gt;1,IF(E637="UC",COUNTIFS('Use cases'!$A$4:$A$253,F637,'Use cases'!$I$4:$I$253,"Confirmed",'Use cases'!$J$4:$J$253,"OK — verify source"),IF(E637="CAP",COUNTIFS(Capabilities!$A$4:$A$253,F637,Capabilities!$J$4:$J$253,"Confirmed",Capabilities!$K$4:$K$253,"OK — verify source"),IF(E637="AIR",COUNTIFS('System map'!$A$4:$A$203,F637,'System map'!$B$4:$B$203,"&lt;&gt;",'System map'!$C$4:$C$203,"&lt;&gt;",'System map'!$D$4:$D$203,"&lt;&gt;"),COUNTIFS(Components!$A$4:$A$253,F637,Components!$B$4:$B$253,E637,Components!$K$4:$K$253,"Confirmed",Components!$L$4:$L$253,"OK — verify source"))))&lt;&gt;1)),"Endpoint not source-reconciled",IF(AND(M637="Confirmed",OR(L637="",K637="",K637="Unknown",K637="Low")),"Confirmed link lacks verification","OK — verify source"))))))))))))))</f>
        <v/>
      </c>
    </row>
    <row r="638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6" t="n"/>
      <c r="M638" s="25" t="n"/>
      <c r="N638" s="25">
        <f>IF(COUNTA(A638:M638)=0,"",IF(OR(A638="",B638="",C638="",D638="",E638="",F638="",I638="",J638="",K638="",M638=""),"Required link detail missing",IF(COUNTIF($A$4:$A$1003,A638)&gt;1,"Duplicate Map Edge ID",IF(NOT(OR(AND(B638="UC",E638="CAP",D638="requires"),AND(B638="CAP",E638="AIR",D638="provided by"),AND(B638="AIR",OR(E638="MOD",E638="DATA",E638="IF",E638="AG",E638="TOOL"),D638="references"),AND(B638="AIR",E638="AIR",D638="depends on"))),"Invalid relationship",IF(AND(M638&lt;&gt;"Superseded",COUNTIFS($B$4:$B$1003,B638,$C$4:$C$1003,C638,$D$4:$D$1003,D638,$E$4:$E$1003,E638,$F$4:$F$1003,F638,$G$4:$G$1003,G638,$M$4:$M$1003,"&lt;&gt;Superseded")&gt;1),"Duplicate relationship",IF(OR(IF(B638="UC",COUNTIF('Use cases'!$A$4:$A$253,C638),IF(B638="CAP",COUNTIF(Capabilities!$A$4:$A$253,C638),IF(B638="AIR",COUNTIF('System map'!$A$4:$A$203,C638),COUNTIFS(Components!$A$4:$A$253,C638,Components!$B$4:$B$253,B638))))&lt;&gt;1,IF(E638="UC",COUNTIF('Use cases'!$A$4:$A$253,F638),IF(E638="CAP",COUNTIF(Capabilities!$A$4:$A$253,F638),IF(E638="AIR",COUNTIF('System map'!$A$4:$A$203,F638),COUNTIFS(Components!$A$4:$A$253,F638,Components!$B$4:$B$253,E638))))&lt;&gt;1),"Endpoint missing or duplicated",IF(AND(NOT(AND(B638="UC",E638="CAP")),OR(G638="",COUNTIF('System map'!$A$4:$A$203,G638)&lt;&gt;1)),"AIR context missing / unknown",IF(AND(B638="CAP",E638="AIR",G638&lt;&gt;F638),"AIR context mismatch",IF(AND(B638="AIR",G638&lt;&gt;C638),"AIR context mismatch",IF(AND(B638="AIR",E638="AIR",C638=F638),"Self-dependency",IF(AND(B638="AIR",E638="AIR",M638&lt;&gt;"Superseded",COUNTIFS($B$4:$B$1003,"AIR",$C$4:$C$1003,F638,$E$4:$E$1003,"AIR",$F$4:$F$1003,C638,$M$4:$M$1003,"&lt;&gt;Superseded")&gt;0),"Dependency cycle (A↔B) — review",IF(AND(B638="AIR",OR(E638="MOD",E638="DATA",E638="IF",E638="AG",E638="TOOL"),IFERROR(INDEX(Components!$G$4:$G$253,MATCH(F638,Components!$A$4:$A$253,0)),"")&lt;&gt;"",IFERROR(INDEX(Components!$G$4:$G$253,MATCH(F638,Components!$A$4:$A$253,0)),"")&lt;&gt;C638),"Component owned by another AIR-ID",IF(AND(M638="Confirmed",OR(IF(B638="UC",COUNTIFS('Use cases'!$A$4:$A$253,C638,'Use cases'!$I$4:$I$253,"Confirmed",'Use cases'!$J$4:$J$253,"OK — verify source"),IF(B638="CAP",COUNTIFS(Capabilities!$A$4:$A$253,C638,Capabilities!$J$4:$J$253,"Confirmed",Capabilities!$K$4:$K$253,"OK — verify source"),IF(B638="AIR",COUNTIFS('System map'!$A$4:$A$203,C638,'System map'!$B$4:$B$203,"&lt;&gt;",'System map'!$C$4:$C$203,"&lt;&gt;",'System map'!$D$4:$D$203,"&lt;&gt;"),COUNTIFS(Components!$A$4:$A$253,C638,Components!$B$4:$B$253,B638,Components!$K$4:$K$253,"Confirmed",Components!$L$4:$L$253,"OK — verify source"))))&lt;&gt;1,IF(E638="UC",COUNTIFS('Use cases'!$A$4:$A$253,F638,'Use cases'!$I$4:$I$253,"Confirmed",'Use cases'!$J$4:$J$253,"OK — verify source"),IF(E638="CAP",COUNTIFS(Capabilities!$A$4:$A$253,F638,Capabilities!$J$4:$J$253,"Confirmed",Capabilities!$K$4:$K$253,"OK — verify source"),IF(E638="AIR",COUNTIFS('System map'!$A$4:$A$203,F638,'System map'!$B$4:$B$203,"&lt;&gt;",'System map'!$C$4:$C$203,"&lt;&gt;",'System map'!$D$4:$D$203,"&lt;&gt;"),COUNTIFS(Components!$A$4:$A$253,F638,Components!$B$4:$B$253,E638,Components!$K$4:$K$253,"Confirmed",Components!$L$4:$L$253,"OK — verify source"))))&lt;&gt;1)),"Endpoint not source-reconciled",IF(AND(M638="Confirmed",OR(L638="",K638="",K638="Unknown",K638="Low")),"Confirmed link lacks verification","OK — verify source"))))))))))))))</f>
        <v/>
      </c>
    </row>
    <row r="639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8" t="n"/>
      <c r="M639" s="27" t="n"/>
      <c r="N639" s="27">
        <f>IF(COUNTA(A639:M639)=0,"",IF(OR(A639="",B639="",C639="",D639="",E639="",F639="",I639="",J639="",K639="",M639=""),"Required link detail missing",IF(COUNTIF($A$4:$A$1003,A639)&gt;1,"Duplicate Map Edge ID",IF(NOT(OR(AND(B639="UC",E639="CAP",D639="requires"),AND(B639="CAP",E639="AIR",D639="provided by"),AND(B639="AIR",OR(E639="MOD",E639="DATA",E639="IF",E639="AG",E639="TOOL"),D639="references"),AND(B639="AIR",E639="AIR",D639="depends on"))),"Invalid relationship",IF(AND(M639&lt;&gt;"Superseded",COUNTIFS($B$4:$B$1003,B639,$C$4:$C$1003,C639,$D$4:$D$1003,D639,$E$4:$E$1003,E639,$F$4:$F$1003,F639,$G$4:$G$1003,G639,$M$4:$M$1003,"&lt;&gt;Superseded")&gt;1),"Duplicate relationship",IF(OR(IF(B639="UC",COUNTIF('Use cases'!$A$4:$A$253,C639),IF(B639="CAP",COUNTIF(Capabilities!$A$4:$A$253,C639),IF(B639="AIR",COUNTIF('System map'!$A$4:$A$203,C639),COUNTIFS(Components!$A$4:$A$253,C639,Components!$B$4:$B$253,B639))))&lt;&gt;1,IF(E639="UC",COUNTIF('Use cases'!$A$4:$A$253,F639),IF(E639="CAP",COUNTIF(Capabilities!$A$4:$A$253,F639),IF(E639="AIR",COUNTIF('System map'!$A$4:$A$203,F639),COUNTIFS(Components!$A$4:$A$253,F639,Components!$B$4:$B$253,E639))))&lt;&gt;1),"Endpoint missing or duplicated",IF(AND(NOT(AND(B639="UC",E639="CAP")),OR(G639="",COUNTIF('System map'!$A$4:$A$203,G639)&lt;&gt;1)),"AIR context missing / unknown",IF(AND(B639="CAP",E639="AIR",G639&lt;&gt;F639),"AIR context mismatch",IF(AND(B639="AIR",G639&lt;&gt;C639),"AIR context mismatch",IF(AND(B639="AIR",E639="AIR",C639=F639),"Self-dependency",IF(AND(B639="AIR",E639="AIR",M639&lt;&gt;"Superseded",COUNTIFS($B$4:$B$1003,"AIR",$C$4:$C$1003,F639,$E$4:$E$1003,"AIR",$F$4:$F$1003,C639,$M$4:$M$1003,"&lt;&gt;Superseded")&gt;0),"Dependency cycle (A↔B) — review",IF(AND(B639="AIR",OR(E639="MOD",E639="DATA",E639="IF",E639="AG",E639="TOOL"),IFERROR(INDEX(Components!$G$4:$G$253,MATCH(F639,Components!$A$4:$A$253,0)),"")&lt;&gt;"",IFERROR(INDEX(Components!$G$4:$G$253,MATCH(F639,Components!$A$4:$A$253,0)),"")&lt;&gt;C639),"Component owned by another AIR-ID",IF(AND(M639="Confirmed",OR(IF(B639="UC",COUNTIFS('Use cases'!$A$4:$A$253,C639,'Use cases'!$I$4:$I$253,"Confirmed",'Use cases'!$J$4:$J$253,"OK — verify source"),IF(B639="CAP",COUNTIFS(Capabilities!$A$4:$A$253,C639,Capabilities!$J$4:$J$253,"Confirmed",Capabilities!$K$4:$K$253,"OK — verify source"),IF(B639="AIR",COUNTIFS('System map'!$A$4:$A$203,C639,'System map'!$B$4:$B$203,"&lt;&gt;",'System map'!$C$4:$C$203,"&lt;&gt;",'System map'!$D$4:$D$203,"&lt;&gt;"),COUNTIFS(Components!$A$4:$A$253,C639,Components!$B$4:$B$253,B639,Components!$K$4:$K$253,"Confirmed",Components!$L$4:$L$253,"OK — verify source"))))&lt;&gt;1,IF(E639="UC",COUNTIFS('Use cases'!$A$4:$A$253,F639,'Use cases'!$I$4:$I$253,"Confirmed",'Use cases'!$J$4:$J$253,"OK — verify source"),IF(E639="CAP",COUNTIFS(Capabilities!$A$4:$A$253,F639,Capabilities!$J$4:$J$253,"Confirmed",Capabilities!$K$4:$K$253,"OK — verify source"),IF(E639="AIR",COUNTIFS('System map'!$A$4:$A$203,F639,'System map'!$B$4:$B$203,"&lt;&gt;",'System map'!$C$4:$C$203,"&lt;&gt;",'System map'!$D$4:$D$203,"&lt;&gt;"),COUNTIFS(Components!$A$4:$A$253,F639,Components!$B$4:$B$253,E639,Components!$K$4:$K$253,"Confirmed",Components!$L$4:$L$253,"OK — verify source"))))&lt;&gt;1)),"Endpoint not source-reconciled",IF(AND(M639="Confirmed",OR(L639="",K639="",K639="Unknown",K639="Low")),"Confirmed link lacks verification","OK — verify source"))))))))))))))</f>
        <v/>
      </c>
    </row>
    <row r="640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6" t="n"/>
      <c r="M640" s="25" t="n"/>
      <c r="N640" s="25">
        <f>IF(COUNTA(A640:M640)=0,"",IF(OR(A640="",B640="",C640="",D640="",E640="",F640="",I640="",J640="",K640="",M640=""),"Required link detail missing",IF(COUNTIF($A$4:$A$1003,A640)&gt;1,"Duplicate Map Edge ID",IF(NOT(OR(AND(B640="UC",E640="CAP",D640="requires"),AND(B640="CAP",E640="AIR",D640="provided by"),AND(B640="AIR",OR(E640="MOD",E640="DATA",E640="IF",E640="AG",E640="TOOL"),D640="references"),AND(B640="AIR",E640="AIR",D640="depends on"))),"Invalid relationship",IF(AND(M640&lt;&gt;"Superseded",COUNTIFS($B$4:$B$1003,B640,$C$4:$C$1003,C640,$D$4:$D$1003,D640,$E$4:$E$1003,E640,$F$4:$F$1003,F640,$G$4:$G$1003,G640,$M$4:$M$1003,"&lt;&gt;Superseded")&gt;1),"Duplicate relationship",IF(OR(IF(B640="UC",COUNTIF('Use cases'!$A$4:$A$253,C640),IF(B640="CAP",COUNTIF(Capabilities!$A$4:$A$253,C640),IF(B640="AIR",COUNTIF('System map'!$A$4:$A$203,C640),COUNTIFS(Components!$A$4:$A$253,C640,Components!$B$4:$B$253,B640))))&lt;&gt;1,IF(E640="UC",COUNTIF('Use cases'!$A$4:$A$253,F640),IF(E640="CAP",COUNTIF(Capabilities!$A$4:$A$253,F640),IF(E640="AIR",COUNTIF('System map'!$A$4:$A$203,F640),COUNTIFS(Components!$A$4:$A$253,F640,Components!$B$4:$B$253,E640))))&lt;&gt;1),"Endpoint missing or duplicated",IF(AND(NOT(AND(B640="UC",E640="CAP")),OR(G640="",COUNTIF('System map'!$A$4:$A$203,G640)&lt;&gt;1)),"AIR context missing / unknown",IF(AND(B640="CAP",E640="AIR",G640&lt;&gt;F640),"AIR context mismatch",IF(AND(B640="AIR",G640&lt;&gt;C640),"AIR context mismatch",IF(AND(B640="AIR",E640="AIR",C640=F640),"Self-dependency",IF(AND(B640="AIR",E640="AIR",M640&lt;&gt;"Superseded",COUNTIFS($B$4:$B$1003,"AIR",$C$4:$C$1003,F640,$E$4:$E$1003,"AIR",$F$4:$F$1003,C640,$M$4:$M$1003,"&lt;&gt;Superseded")&gt;0),"Dependency cycle (A↔B) — review",IF(AND(B640="AIR",OR(E640="MOD",E640="DATA",E640="IF",E640="AG",E640="TOOL"),IFERROR(INDEX(Components!$G$4:$G$253,MATCH(F640,Components!$A$4:$A$253,0)),"")&lt;&gt;"",IFERROR(INDEX(Components!$G$4:$G$253,MATCH(F640,Components!$A$4:$A$253,0)),"")&lt;&gt;C640),"Component owned by another AIR-ID",IF(AND(M640="Confirmed",OR(IF(B640="UC",COUNTIFS('Use cases'!$A$4:$A$253,C640,'Use cases'!$I$4:$I$253,"Confirmed",'Use cases'!$J$4:$J$253,"OK — verify source"),IF(B640="CAP",COUNTIFS(Capabilities!$A$4:$A$253,C640,Capabilities!$J$4:$J$253,"Confirmed",Capabilities!$K$4:$K$253,"OK — verify source"),IF(B640="AIR",COUNTIFS('System map'!$A$4:$A$203,C640,'System map'!$B$4:$B$203,"&lt;&gt;",'System map'!$C$4:$C$203,"&lt;&gt;",'System map'!$D$4:$D$203,"&lt;&gt;"),COUNTIFS(Components!$A$4:$A$253,C640,Components!$B$4:$B$253,B640,Components!$K$4:$K$253,"Confirmed",Components!$L$4:$L$253,"OK — verify source"))))&lt;&gt;1,IF(E640="UC",COUNTIFS('Use cases'!$A$4:$A$253,F640,'Use cases'!$I$4:$I$253,"Confirmed",'Use cases'!$J$4:$J$253,"OK — verify source"),IF(E640="CAP",COUNTIFS(Capabilities!$A$4:$A$253,F640,Capabilities!$J$4:$J$253,"Confirmed",Capabilities!$K$4:$K$253,"OK — verify source"),IF(E640="AIR",COUNTIFS('System map'!$A$4:$A$203,F640,'System map'!$B$4:$B$203,"&lt;&gt;",'System map'!$C$4:$C$203,"&lt;&gt;",'System map'!$D$4:$D$203,"&lt;&gt;"),COUNTIFS(Components!$A$4:$A$253,F640,Components!$B$4:$B$253,E640,Components!$K$4:$K$253,"Confirmed",Components!$L$4:$L$253,"OK — verify source"))))&lt;&gt;1)),"Endpoint not source-reconciled",IF(AND(M640="Confirmed",OR(L640="",K640="",K640="Unknown",K640="Low")),"Confirmed link lacks verification","OK — verify source"))))))))))))))</f>
        <v/>
      </c>
    </row>
    <row r="641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8" t="n"/>
      <c r="M641" s="27" t="n"/>
      <c r="N641" s="27">
        <f>IF(COUNTA(A641:M641)=0,"",IF(OR(A641="",B641="",C641="",D641="",E641="",F641="",I641="",J641="",K641="",M641=""),"Required link detail missing",IF(COUNTIF($A$4:$A$1003,A641)&gt;1,"Duplicate Map Edge ID",IF(NOT(OR(AND(B641="UC",E641="CAP",D641="requires"),AND(B641="CAP",E641="AIR",D641="provided by"),AND(B641="AIR",OR(E641="MOD",E641="DATA",E641="IF",E641="AG",E641="TOOL"),D641="references"),AND(B641="AIR",E641="AIR",D641="depends on"))),"Invalid relationship",IF(AND(M641&lt;&gt;"Superseded",COUNTIFS($B$4:$B$1003,B641,$C$4:$C$1003,C641,$D$4:$D$1003,D641,$E$4:$E$1003,E641,$F$4:$F$1003,F641,$G$4:$G$1003,G641,$M$4:$M$1003,"&lt;&gt;Superseded")&gt;1),"Duplicate relationship",IF(OR(IF(B641="UC",COUNTIF('Use cases'!$A$4:$A$253,C641),IF(B641="CAP",COUNTIF(Capabilities!$A$4:$A$253,C641),IF(B641="AIR",COUNTIF('System map'!$A$4:$A$203,C641),COUNTIFS(Components!$A$4:$A$253,C641,Components!$B$4:$B$253,B641))))&lt;&gt;1,IF(E641="UC",COUNTIF('Use cases'!$A$4:$A$253,F641),IF(E641="CAP",COUNTIF(Capabilities!$A$4:$A$253,F641),IF(E641="AIR",COUNTIF('System map'!$A$4:$A$203,F641),COUNTIFS(Components!$A$4:$A$253,F641,Components!$B$4:$B$253,E641))))&lt;&gt;1),"Endpoint missing or duplicated",IF(AND(NOT(AND(B641="UC",E641="CAP")),OR(G641="",COUNTIF('System map'!$A$4:$A$203,G641)&lt;&gt;1)),"AIR context missing / unknown",IF(AND(B641="CAP",E641="AIR",G641&lt;&gt;F641),"AIR context mismatch",IF(AND(B641="AIR",G641&lt;&gt;C641),"AIR context mismatch",IF(AND(B641="AIR",E641="AIR",C641=F641),"Self-dependency",IF(AND(B641="AIR",E641="AIR",M641&lt;&gt;"Superseded",COUNTIFS($B$4:$B$1003,"AIR",$C$4:$C$1003,F641,$E$4:$E$1003,"AIR",$F$4:$F$1003,C641,$M$4:$M$1003,"&lt;&gt;Superseded")&gt;0),"Dependency cycle (A↔B) — review",IF(AND(B641="AIR",OR(E641="MOD",E641="DATA",E641="IF",E641="AG",E641="TOOL"),IFERROR(INDEX(Components!$G$4:$G$253,MATCH(F641,Components!$A$4:$A$253,0)),"")&lt;&gt;"",IFERROR(INDEX(Components!$G$4:$G$253,MATCH(F641,Components!$A$4:$A$253,0)),"")&lt;&gt;C641),"Component owned by another AIR-ID",IF(AND(M641="Confirmed",OR(IF(B641="UC",COUNTIFS('Use cases'!$A$4:$A$253,C641,'Use cases'!$I$4:$I$253,"Confirmed",'Use cases'!$J$4:$J$253,"OK — verify source"),IF(B641="CAP",COUNTIFS(Capabilities!$A$4:$A$253,C641,Capabilities!$J$4:$J$253,"Confirmed",Capabilities!$K$4:$K$253,"OK — verify source"),IF(B641="AIR",COUNTIFS('System map'!$A$4:$A$203,C641,'System map'!$B$4:$B$203,"&lt;&gt;",'System map'!$C$4:$C$203,"&lt;&gt;",'System map'!$D$4:$D$203,"&lt;&gt;"),COUNTIFS(Components!$A$4:$A$253,C641,Components!$B$4:$B$253,B641,Components!$K$4:$K$253,"Confirmed",Components!$L$4:$L$253,"OK — verify source"))))&lt;&gt;1,IF(E641="UC",COUNTIFS('Use cases'!$A$4:$A$253,F641,'Use cases'!$I$4:$I$253,"Confirmed",'Use cases'!$J$4:$J$253,"OK — verify source"),IF(E641="CAP",COUNTIFS(Capabilities!$A$4:$A$253,F641,Capabilities!$J$4:$J$253,"Confirmed",Capabilities!$K$4:$K$253,"OK — verify source"),IF(E641="AIR",COUNTIFS('System map'!$A$4:$A$203,F641,'System map'!$B$4:$B$203,"&lt;&gt;",'System map'!$C$4:$C$203,"&lt;&gt;",'System map'!$D$4:$D$203,"&lt;&gt;"),COUNTIFS(Components!$A$4:$A$253,F641,Components!$B$4:$B$253,E641,Components!$K$4:$K$253,"Confirmed",Components!$L$4:$L$253,"OK — verify source"))))&lt;&gt;1)),"Endpoint not source-reconciled",IF(AND(M641="Confirmed",OR(L641="",K641="",K641="Unknown",K641="Low")),"Confirmed link lacks verification","OK — verify source"))))))))))))))</f>
        <v/>
      </c>
    </row>
    <row r="642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6" t="n"/>
      <c r="M642" s="25" t="n"/>
      <c r="N642" s="25">
        <f>IF(COUNTA(A642:M642)=0,"",IF(OR(A642="",B642="",C642="",D642="",E642="",F642="",I642="",J642="",K642="",M642=""),"Required link detail missing",IF(COUNTIF($A$4:$A$1003,A642)&gt;1,"Duplicate Map Edge ID",IF(NOT(OR(AND(B642="UC",E642="CAP",D642="requires"),AND(B642="CAP",E642="AIR",D642="provided by"),AND(B642="AIR",OR(E642="MOD",E642="DATA",E642="IF",E642="AG",E642="TOOL"),D642="references"),AND(B642="AIR",E642="AIR",D642="depends on"))),"Invalid relationship",IF(AND(M642&lt;&gt;"Superseded",COUNTIFS($B$4:$B$1003,B642,$C$4:$C$1003,C642,$D$4:$D$1003,D642,$E$4:$E$1003,E642,$F$4:$F$1003,F642,$G$4:$G$1003,G642,$M$4:$M$1003,"&lt;&gt;Superseded")&gt;1),"Duplicate relationship",IF(OR(IF(B642="UC",COUNTIF('Use cases'!$A$4:$A$253,C642),IF(B642="CAP",COUNTIF(Capabilities!$A$4:$A$253,C642),IF(B642="AIR",COUNTIF('System map'!$A$4:$A$203,C642),COUNTIFS(Components!$A$4:$A$253,C642,Components!$B$4:$B$253,B642))))&lt;&gt;1,IF(E642="UC",COUNTIF('Use cases'!$A$4:$A$253,F642),IF(E642="CAP",COUNTIF(Capabilities!$A$4:$A$253,F642),IF(E642="AIR",COUNTIF('System map'!$A$4:$A$203,F642),COUNTIFS(Components!$A$4:$A$253,F642,Components!$B$4:$B$253,E642))))&lt;&gt;1),"Endpoint missing or duplicated",IF(AND(NOT(AND(B642="UC",E642="CAP")),OR(G642="",COUNTIF('System map'!$A$4:$A$203,G642)&lt;&gt;1)),"AIR context missing / unknown",IF(AND(B642="CAP",E642="AIR",G642&lt;&gt;F642),"AIR context mismatch",IF(AND(B642="AIR",G642&lt;&gt;C642),"AIR context mismatch",IF(AND(B642="AIR",E642="AIR",C642=F642),"Self-dependency",IF(AND(B642="AIR",E642="AIR",M642&lt;&gt;"Superseded",COUNTIFS($B$4:$B$1003,"AIR",$C$4:$C$1003,F642,$E$4:$E$1003,"AIR",$F$4:$F$1003,C642,$M$4:$M$1003,"&lt;&gt;Superseded")&gt;0),"Dependency cycle (A↔B) — review",IF(AND(B642="AIR",OR(E642="MOD",E642="DATA",E642="IF",E642="AG",E642="TOOL"),IFERROR(INDEX(Components!$G$4:$G$253,MATCH(F642,Components!$A$4:$A$253,0)),"")&lt;&gt;"",IFERROR(INDEX(Components!$G$4:$G$253,MATCH(F642,Components!$A$4:$A$253,0)),"")&lt;&gt;C642),"Component owned by another AIR-ID",IF(AND(M642="Confirmed",OR(IF(B642="UC",COUNTIFS('Use cases'!$A$4:$A$253,C642,'Use cases'!$I$4:$I$253,"Confirmed",'Use cases'!$J$4:$J$253,"OK — verify source"),IF(B642="CAP",COUNTIFS(Capabilities!$A$4:$A$253,C642,Capabilities!$J$4:$J$253,"Confirmed",Capabilities!$K$4:$K$253,"OK — verify source"),IF(B642="AIR",COUNTIFS('System map'!$A$4:$A$203,C642,'System map'!$B$4:$B$203,"&lt;&gt;",'System map'!$C$4:$C$203,"&lt;&gt;",'System map'!$D$4:$D$203,"&lt;&gt;"),COUNTIFS(Components!$A$4:$A$253,C642,Components!$B$4:$B$253,B642,Components!$K$4:$K$253,"Confirmed",Components!$L$4:$L$253,"OK — verify source"))))&lt;&gt;1,IF(E642="UC",COUNTIFS('Use cases'!$A$4:$A$253,F642,'Use cases'!$I$4:$I$253,"Confirmed",'Use cases'!$J$4:$J$253,"OK — verify source"),IF(E642="CAP",COUNTIFS(Capabilities!$A$4:$A$253,F642,Capabilities!$J$4:$J$253,"Confirmed",Capabilities!$K$4:$K$253,"OK — verify source"),IF(E642="AIR",COUNTIFS('System map'!$A$4:$A$203,F642,'System map'!$B$4:$B$203,"&lt;&gt;",'System map'!$C$4:$C$203,"&lt;&gt;",'System map'!$D$4:$D$203,"&lt;&gt;"),COUNTIFS(Components!$A$4:$A$253,F642,Components!$B$4:$B$253,E642,Components!$K$4:$K$253,"Confirmed",Components!$L$4:$L$253,"OK — verify source"))))&lt;&gt;1)),"Endpoint not source-reconciled",IF(AND(M642="Confirmed",OR(L642="",K642="",K642="Unknown",K642="Low")),"Confirmed link lacks verification","OK — verify source"))))))))))))))</f>
        <v/>
      </c>
    </row>
    <row r="643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8" t="n"/>
      <c r="M643" s="27" t="n"/>
      <c r="N643" s="27">
        <f>IF(COUNTA(A643:M643)=0,"",IF(OR(A643="",B643="",C643="",D643="",E643="",F643="",I643="",J643="",K643="",M643=""),"Required link detail missing",IF(COUNTIF($A$4:$A$1003,A643)&gt;1,"Duplicate Map Edge ID",IF(NOT(OR(AND(B643="UC",E643="CAP",D643="requires"),AND(B643="CAP",E643="AIR",D643="provided by"),AND(B643="AIR",OR(E643="MOD",E643="DATA",E643="IF",E643="AG",E643="TOOL"),D643="references"),AND(B643="AIR",E643="AIR",D643="depends on"))),"Invalid relationship",IF(AND(M643&lt;&gt;"Superseded",COUNTIFS($B$4:$B$1003,B643,$C$4:$C$1003,C643,$D$4:$D$1003,D643,$E$4:$E$1003,E643,$F$4:$F$1003,F643,$G$4:$G$1003,G643,$M$4:$M$1003,"&lt;&gt;Superseded")&gt;1),"Duplicate relationship",IF(OR(IF(B643="UC",COUNTIF('Use cases'!$A$4:$A$253,C643),IF(B643="CAP",COUNTIF(Capabilities!$A$4:$A$253,C643),IF(B643="AIR",COUNTIF('System map'!$A$4:$A$203,C643),COUNTIFS(Components!$A$4:$A$253,C643,Components!$B$4:$B$253,B643))))&lt;&gt;1,IF(E643="UC",COUNTIF('Use cases'!$A$4:$A$253,F643),IF(E643="CAP",COUNTIF(Capabilities!$A$4:$A$253,F643),IF(E643="AIR",COUNTIF('System map'!$A$4:$A$203,F643),COUNTIFS(Components!$A$4:$A$253,F643,Components!$B$4:$B$253,E643))))&lt;&gt;1),"Endpoint missing or duplicated",IF(AND(NOT(AND(B643="UC",E643="CAP")),OR(G643="",COUNTIF('System map'!$A$4:$A$203,G643)&lt;&gt;1)),"AIR context missing / unknown",IF(AND(B643="CAP",E643="AIR",G643&lt;&gt;F643),"AIR context mismatch",IF(AND(B643="AIR",G643&lt;&gt;C643),"AIR context mismatch",IF(AND(B643="AIR",E643="AIR",C643=F643),"Self-dependency",IF(AND(B643="AIR",E643="AIR",M643&lt;&gt;"Superseded",COUNTIFS($B$4:$B$1003,"AIR",$C$4:$C$1003,F643,$E$4:$E$1003,"AIR",$F$4:$F$1003,C643,$M$4:$M$1003,"&lt;&gt;Superseded")&gt;0),"Dependency cycle (A↔B) — review",IF(AND(B643="AIR",OR(E643="MOD",E643="DATA",E643="IF",E643="AG",E643="TOOL"),IFERROR(INDEX(Components!$G$4:$G$253,MATCH(F643,Components!$A$4:$A$253,0)),"")&lt;&gt;"",IFERROR(INDEX(Components!$G$4:$G$253,MATCH(F643,Components!$A$4:$A$253,0)),"")&lt;&gt;C643),"Component owned by another AIR-ID",IF(AND(M643="Confirmed",OR(IF(B643="UC",COUNTIFS('Use cases'!$A$4:$A$253,C643,'Use cases'!$I$4:$I$253,"Confirmed",'Use cases'!$J$4:$J$253,"OK — verify source"),IF(B643="CAP",COUNTIFS(Capabilities!$A$4:$A$253,C643,Capabilities!$J$4:$J$253,"Confirmed",Capabilities!$K$4:$K$253,"OK — verify source"),IF(B643="AIR",COUNTIFS('System map'!$A$4:$A$203,C643,'System map'!$B$4:$B$203,"&lt;&gt;",'System map'!$C$4:$C$203,"&lt;&gt;",'System map'!$D$4:$D$203,"&lt;&gt;"),COUNTIFS(Components!$A$4:$A$253,C643,Components!$B$4:$B$253,B643,Components!$K$4:$K$253,"Confirmed",Components!$L$4:$L$253,"OK — verify source"))))&lt;&gt;1,IF(E643="UC",COUNTIFS('Use cases'!$A$4:$A$253,F643,'Use cases'!$I$4:$I$253,"Confirmed",'Use cases'!$J$4:$J$253,"OK — verify source"),IF(E643="CAP",COUNTIFS(Capabilities!$A$4:$A$253,F643,Capabilities!$J$4:$J$253,"Confirmed",Capabilities!$K$4:$K$253,"OK — verify source"),IF(E643="AIR",COUNTIFS('System map'!$A$4:$A$203,F643,'System map'!$B$4:$B$203,"&lt;&gt;",'System map'!$C$4:$C$203,"&lt;&gt;",'System map'!$D$4:$D$203,"&lt;&gt;"),COUNTIFS(Components!$A$4:$A$253,F643,Components!$B$4:$B$253,E643,Components!$K$4:$K$253,"Confirmed",Components!$L$4:$L$253,"OK — verify source"))))&lt;&gt;1)),"Endpoint not source-reconciled",IF(AND(M643="Confirmed",OR(L643="",K643="",K643="Unknown",K643="Low")),"Confirmed link lacks verification","OK — verify source"))))))))))))))</f>
        <v/>
      </c>
    </row>
    <row r="64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6" t="n"/>
      <c r="M644" s="25" t="n"/>
      <c r="N644" s="25">
        <f>IF(COUNTA(A644:M644)=0,"",IF(OR(A644="",B644="",C644="",D644="",E644="",F644="",I644="",J644="",K644="",M644=""),"Required link detail missing",IF(COUNTIF($A$4:$A$1003,A644)&gt;1,"Duplicate Map Edge ID",IF(NOT(OR(AND(B644="UC",E644="CAP",D644="requires"),AND(B644="CAP",E644="AIR",D644="provided by"),AND(B644="AIR",OR(E644="MOD",E644="DATA",E644="IF",E644="AG",E644="TOOL"),D644="references"),AND(B644="AIR",E644="AIR",D644="depends on"))),"Invalid relationship",IF(AND(M644&lt;&gt;"Superseded",COUNTIFS($B$4:$B$1003,B644,$C$4:$C$1003,C644,$D$4:$D$1003,D644,$E$4:$E$1003,E644,$F$4:$F$1003,F644,$G$4:$G$1003,G644,$M$4:$M$1003,"&lt;&gt;Superseded")&gt;1),"Duplicate relationship",IF(OR(IF(B644="UC",COUNTIF('Use cases'!$A$4:$A$253,C644),IF(B644="CAP",COUNTIF(Capabilities!$A$4:$A$253,C644),IF(B644="AIR",COUNTIF('System map'!$A$4:$A$203,C644),COUNTIFS(Components!$A$4:$A$253,C644,Components!$B$4:$B$253,B644))))&lt;&gt;1,IF(E644="UC",COUNTIF('Use cases'!$A$4:$A$253,F644),IF(E644="CAP",COUNTIF(Capabilities!$A$4:$A$253,F644),IF(E644="AIR",COUNTIF('System map'!$A$4:$A$203,F644),COUNTIFS(Components!$A$4:$A$253,F644,Components!$B$4:$B$253,E644))))&lt;&gt;1),"Endpoint missing or duplicated",IF(AND(NOT(AND(B644="UC",E644="CAP")),OR(G644="",COUNTIF('System map'!$A$4:$A$203,G644)&lt;&gt;1)),"AIR context missing / unknown",IF(AND(B644="CAP",E644="AIR",G644&lt;&gt;F644),"AIR context mismatch",IF(AND(B644="AIR",G644&lt;&gt;C644),"AIR context mismatch",IF(AND(B644="AIR",E644="AIR",C644=F644),"Self-dependency",IF(AND(B644="AIR",E644="AIR",M644&lt;&gt;"Superseded",COUNTIFS($B$4:$B$1003,"AIR",$C$4:$C$1003,F644,$E$4:$E$1003,"AIR",$F$4:$F$1003,C644,$M$4:$M$1003,"&lt;&gt;Superseded")&gt;0),"Dependency cycle (A↔B) — review",IF(AND(B644="AIR",OR(E644="MOD",E644="DATA",E644="IF",E644="AG",E644="TOOL"),IFERROR(INDEX(Components!$G$4:$G$253,MATCH(F644,Components!$A$4:$A$253,0)),"")&lt;&gt;"",IFERROR(INDEX(Components!$G$4:$G$253,MATCH(F644,Components!$A$4:$A$253,0)),"")&lt;&gt;C644),"Component owned by another AIR-ID",IF(AND(M644="Confirmed",OR(IF(B644="UC",COUNTIFS('Use cases'!$A$4:$A$253,C644,'Use cases'!$I$4:$I$253,"Confirmed",'Use cases'!$J$4:$J$253,"OK — verify source"),IF(B644="CAP",COUNTIFS(Capabilities!$A$4:$A$253,C644,Capabilities!$J$4:$J$253,"Confirmed",Capabilities!$K$4:$K$253,"OK — verify source"),IF(B644="AIR",COUNTIFS('System map'!$A$4:$A$203,C644,'System map'!$B$4:$B$203,"&lt;&gt;",'System map'!$C$4:$C$203,"&lt;&gt;",'System map'!$D$4:$D$203,"&lt;&gt;"),COUNTIFS(Components!$A$4:$A$253,C644,Components!$B$4:$B$253,B644,Components!$K$4:$K$253,"Confirmed",Components!$L$4:$L$253,"OK — verify source"))))&lt;&gt;1,IF(E644="UC",COUNTIFS('Use cases'!$A$4:$A$253,F644,'Use cases'!$I$4:$I$253,"Confirmed",'Use cases'!$J$4:$J$253,"OK — verify source"),IF(E644="CAP",COUNTIFS(Capabilities!$A$4:$A$253,F644,Capabilities!$J$4:$J$253,"Confirmed",Capabilities!$K$4:$K$253,"OK — verify source"),IF(E644="AIR",COUNTIFS('System map'!$A$4:$A$203,F644,'System map'!$B$4:$B$203,"&lt;&gt;",'System map'!$C$4:$C$203,"&lt;&gt;",'System map'!$D$4:$D$203,"&lt;&gt;"),COUNTIFS(Components!$A$4:$A$253,F644,Components!$B$4:$B$253,E644,Components!$K$4:$K$253,"Confirmed",Components!$L$4:$L$253,"OK — verify source"))))&lt;&gt;1)),"Endpoint not source-reconciled",IF(AND(M644="Confirmed",OR(L644="",K644="",K644="Unknown",K644="Low")),"Confirmed link lacks verification","OK — verify source"))))))))))))))</f>
        <v/>
      </c>
    </row>
    <row r="645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8" t="n"/>
      <c r="M645" s="27" t="n"/>
      <c r="N645" s="27">
        <f>IF(COUNTA(A645:M645)=0,"",IF(OR(A645="",B645="",C645="",D645="",E645="",F645="",I645="",J645="",K645="",M645=""),"Required link detail missing",IF(COUNTIF($A$4:$A$1003,A645)&gt;1,"Duplicate Map Edge ID",IF(NOT(OR(AND(B645="UC",E645="CAP",D645="requires"),AND(B645="CAP",E645="AIR",D645="provided by"),AND(B645="AIR",OR(E645="MOD",E645="DATA",E645="IF",E645="AG",E645="TOOL"),D645="references"),AND(B645="AIR",E645="AIR",D645="depends on"))),"Invalid relationship",IF(AND(M645&lt;&gt;"Superseded",COUNTIFS($B$4:$B$1003,B645,$C$4:$C$1003,C645,$D$4:$D$1003,D645,$E$4:$E$1003,E645,$F$4:$F$1003,F645,$G$4:$G$1003,G645,$M$4:$M$1003,"&lt;&gt;Superseded")&gt;1),"Duplicate relationship",IF(OR(IF(B645="UC",COUNTIF('Use cases'!$A$4:$A$253,C645),IF(B645="CAP",COUNTIF(Capabilities!$A$4:$A$253,C645),IF(B645="AIR",COUNTIF('System map'!$A$4:$A$203,C645),COUNTIFS(Components!$A$4:$A$253,C645,Components!$B$4:$B$253,B645))))&lt;&gt;1,IF(E645="UC",COUNTIF('Use cases'!$A$4:$A$253,F645),IF(E645="CAP",COUNTIF(Capabilities!$A$4:$A$253,F645),IF(E645="AIR",COUNTIF('System map'!$A$4:$A$203,F645),COUNTIFS(Components!$A$4:$A$253,F645,Components!$B$4:$B$253,E645))))&lt;&gt;1),"Endpoint missing or duplicated",IF(AND(NOT(AND(B645="UC",E645="CAP")),OR(G645="",COUNTIF('System map'!$A$4:$A$203,G645)&lt;&gt;1)),"AIR context missing / unknown",IF(AND(B645="CAP",E645="AIR",G645&lt;&gt;F645),"AIR context mismatch",IF(AND(B645="AIR",G645&lt;&gt;C645),"AIR context mismatch",IF(AND(B645="AIR",E645="AIR",C645=F645),"Self-dependency",IF(AND(B645="AIR",E645="AIR",M645&lt;&gt;"Superseded",COUNTIFS($B$4:$B$1003,"AIR",$C$4:$C$1003,F645,$E$4:$E$1003,"AIR",$F$4:$F$1003,C645,$M$4:$M$1003,"&lt;&gt;Superseded")&gt;0),"Dependency cycle (A↔B) — review",IF(AND(B645="AIR",OR(E645="MOD",E645="DATA",E645="IF",E645="AG",E645="TOOL"),IFERROR(INDEX(Components!$G$4:$G$253,MATCH(F645,Components!$A$4:$A$253,0)),"")&lt;&gt;"",IFERROR(INDEX(Components!$G$4:$G$253,MATCH(F645,Components!$A$4:$A$253,0)),"")&lt;&gt;C645),"Component owned by another AIR-ID",IF(AND(M645="Confirmed",OR(IF(B645="UC",COUNTIFS('Use cases'!$A$4:$A$253,C645,'Use cases'!$I$4:$I$253,"Confirmed",'Use cases'!$J$4:$J$253,"OK — verify source"),IF(B645="CAP",COUNTIFS(Capabilities!$A$4:$A$253,C645,Capabilities!$J$4:$J$253,"Confirmed",Capabilities!$K$4:$K$253,"OK — verify source"),IF(B645="AIR",COUNTIFS('System map'!$A$4:$A$203,C645,'System map'!$B$4:$B$203,"&lt;&gt;",'System map'!$C$4:$C$203,"&lt;&gt;",'System map'!$D$4:$D$203,"&lt;&gt;"),COUNTIFS(Components!$A$4:$A$253,C645,Components!$B$4:$B$253,B645,Components!$K$4:$K$253,"Confirmed",Components!$L$4:$L$253,"OK — verify source"))))&lt;&gt;1,IF(E645="UC",COUNTIFS('Use cases'!$A$4:$A$253,F645,'Use cases'!$I$4:$I$253,"Confirmed",'Use cases'!$J$4:$J$253,"OK — verify source"),IF(E645="CAP",COUNTIFS(Capabilities!$A$4:$A$253,F645,Capabilities!$J$4:$J$253,"Confirmed",Capabilities!$K$4:$K$253,"OK — verify source"),IF(E645="AIR",COUNTIFS('System map'!$A$4:$A$203,F645,'System map'!$B$4:$B$203,"&lt;&gt;",'System map'!$C$4:$C$203,"&lt;&gt;",'System map'!$D$4:$D$203,"&lt;&gt;"),COUNTIFS(Components!$A$4:$A$253,F645,Components!$B$4:$B$253,E645,Components!$K$4:$K$253,"Confirmed",Components!$L$4:$L$253,"OK — verify source"))))&lt;&gt;1)),"Endpoint not source-reconciled",IF(AND(M645="Confirmed",OR(L645="",K645="",K645="Unknown",K645="Low")),"Confirmed link lacks verification","OK — verify source"))))))))))))))</f>
        <v/>
      </c>
    </row>
    <row r="646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6" t="n"/>
      <c r="M646" s="25" t="n"/>
      <c r="N646" s="25">
        <f>IF(COUNTA(A646:M646)=0,"",IF(OR(A646="",B646="",C646="",D646="",E646="",F646="",I646="",J646="",K646="",M646=""),"Required link detail missing",IF(COUNTIF($A$4:$A$1003,A646)&gt;1,"Duplicate Map Edge ID",IF(NOT(OR(AND(B646="UC",E646="CAP",D646="requires"),AND(B646="CAP",E646="AIR",D646="provided by"),AND(B646="AIR",OR(E646="MOD",E646="DATA",E646="IF",E646="AG",E646="TOOL"),D646="references"),AND(B646="AIR",E646="AIR",D646="depends on"))),"Invalid relationship",IF(AND(M646&lt;&gt;"Superseded",COUNTIFS($B$4:$B$1003,B646,$C$4:$C$1003,C646,$D$4:$D$1003,D646,$E$4:$E$1003,E646,$F$4:$F$1003,F646,$G$4:$G$1003,G646,$M$4:$M$1003,"&lt;&gt;Superseded")&gt;1),"Duplicate relationship",IF(OR(IF(B646="UC",COUNTIF('Use cases'!$A$4:$A$253,C646),IF(B646="CAP",COUNTIF(Capabilities!$A$4:$A$253,C646),IF(B646="AIR",COUNTIF('System map'!$A$4:$A$203,C646),COUNTIFS(Components!$A$4:$A$253,C646,Components!$B$4:$B$253,B646))))&lt;&gt;1,IF(E646="UC",COUNTIF('Use cases'!$A$4:$A$253,F646),IF(E646="CAP",COUNTIF(Capabilities!$A$4:$A$253,F646),IF(E646="AIR",COUNTIF('System map'!$A$4:$A$203,F646),COUNTIFS(Components!$A$4:$A$253,F646,Components!$B$4:$B$253,E646))))&lt;&gt;1),"Endpoint missing or duplicated",IF(AND(NOT(AND(B646="UC",E646="CAP")),OR(G646="",COUNTIF('System map'!$A$4:$A$203,G646)&lt;&gt;1)),"AIR context missing / unknown",IF(AND(B646="CAP",E646="AIR",G646&lt;&gt;F646),"AIR context mismatch",IF(AND(B646="AIR",G646&lt;&gt;C646),"AIR context mismatch",IF(AND(B646="AIR",E646="AIR",C646=F646),"Self-dependency",IF(AND(B646="AIR",E646="AIR",M646&lt;&gt;"Superseded",COUNTIFS($B$4:$B$1003,"AIR",$C$4:$C$1003,F646,$E$4:$E$1003,"AIR",$F$4:$F$1003,C646,$M$4:$M$1003,"&lt;&gt;Superseded")&gt;0),"Dependency cycle (A↔B) — review",IF(AND(B646="AIR",OR(E646="MOD",E646="DATA",E646="IF",E646="AG",E646="TOOL"),IFERROR(INDEX(Components!$G$4:$G$253,MATCH(F646,Components!$A$4:$A$253,0)),"")&lt;&gt;"",IFERROR(INDEX(Components!$G$4:$G$253,MATCH(F646,Components!$A$4:$A$253,0)),"")&lt;&gt;C646),"Component owned by another AIR-ID",IF(AND(M646="Confirmed",OR(IF(B646="UC",COUNTIFS('Use cases'!$A$4:$A$253,C646,'Use cases'!$I$4:$I$253,"Confirmed",'Use cases'!$J$4:$J$253,"OK — verify source"),IF(B646="CAP",COUNTIFS(Capabilities!$A$4:$A$253,C646,Capabilities!$J$4:$J$253,"Confirmed",Capabilities!$K$4:$K$253,"OK — verify source"),IF(B646="AIR",COUNTIFS('System map'!$A$4:$A$203,C646,'System map'!$B$4:$B$203,"&lt;&gt;",'System map'!$C$4:$C$203,"&lt;&gt;",'System map'!$D$4:$D$203,"&lt;&gt;"),COUNTIFS(Components!$A$4:$A$253,C646,Components!$B$4:$B$253,B646,Components!$K$4:$K$253,"Confirmed",Components!$L$4:$L$253,"OK — verify source"))))&lt;&gt;1,IF(E646="UC",COUNTIFS('Use cases'!$A$4:$A$253,F646,'Use cases'!$I$4:$I$253,"Confirmed",'Use cases'!$J$4:$J$253,"OK — verify source"),IF(E646="CAP",COUNTIFS(Capabilities!$A$4:$A$253,F646,Capabilities!$J$4:$J$253,"Confirmed",Capabilities!$K$4:$K$253,"OK — verify source"),IF(E646="AIR",COUNTIFS('System map'!$A$4:$A$203,F646,'System map'!$B$4:$B$203,"&lt;&gt;",'System map'!$C$4:$C$203,"&lt;&gt;",'System map'!$D$4:$D$203,"&lt;&gt;"),COUNTIFS(Components!$A$4:$A$253,F646,Components!$B$4:$B$253,E646,Components!$K$4:$K$253,"Confirmed",Components!$L$4:$L$253,"OK — verify source"))))&lt;&gt;1)),"Endpoint not source-reconciled",IF(AND(M646="Confirmed",OR(L646="",K646="",K646="Unknown",K646="Low")),"Confirmed link lacks verification","OK — verify source"))))))))))))))</f>
        <v/>
      </c>
    </row>
    <row r="647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8" t="n"/>
      <c r="M647" s="27" t="n"/>
      <c r="N647" s="27">
        <f>IF(COUNTA(A647:M647)=0,"",IF(OR(A647="",B647="",C647="",D647="",E647="",F647="",I647="",J647="",K647="",M647=""),"Required link detail missing",IF(COUNTIF($A$4:$A$1003,A647)&gt;1,"Duplicate Map Edge ID",IF(NOT(OR(AND(B647="UC",E647="CAP",D647="requires"),AND(B647="CAP",E647="AIR",D647="provided by"),AND(B647="AIR",OR(E647="MOD",E647="DATA",E647="IF",E647="AG",E647="TOOL"),D647="references"),AND(B647="AIR",E647="AIR",D647="depends on"))),"Invalid relationship",IF(AND(M647&lt;&gt;"Superseded",COUNTIFS($B$4:$B$1003,B647,$C$4:$C$1003,C647,$D$4:$D$1003,D647,$E$4:$E$1003,E647,$F$4:$F$1003,F647,$G$4:$G$1003,G647,$M$4:$M$1003,"&lt;&gt;Superseded")&gt;1),"Duplicate relationship",IF(OR(IF(B647="UC",COUNTIF('Use cases'!$A$4:$A$253,C647),IF(B647="CAP",COUNTIF(Capabilities!$A$4:$A$253,C647),IF(B647="AIR",COUNTIF('System map'!$A$4:$A$203,C647),COUNTIFS(Components!$A$4:$A$253,C647,Components!$B$4:$B$253,B647))))&lt;&gt;1,IF(E647="UC",COUNTIF('Use cases'!$A$4:$A$253,F647),IF(E647="CAP",COUNTIF(Capabilities!$A$4:$A$253,F647),IF(E647="AIR",COUNTIF('System map'!$A$4:$A$203,F647),COUNTIFS(Components!$A$4:$A$253,F647,Components!$B$4:$B$253,E647))))&lt;&gt;1),"Endpoint missing or duplicated",IF(AND(NOT(AND(B647="UC",E647="CAP")),OR(G647="",COUNTIF('System map'!$A$4:$A$203,G647)&lt;&gt;1)),"AIR context missing / unknown",IF(AND(B647="CAP",E647="AIR",G647&lt;&gt;F647),"AIR context mismatch",IF(AND(B647="AIR",G647&lt;&gt;C647),"AIR context mismatch",IF(AND(B647="AIR",E647="AIR",C647=F647),"Self-dependency",IF(AND(B647="AIR",E647="AIR",M647&lt;&gt;"Superseded",COUNTIFS($B$4:$B$1003,"AIR",$C$4:$C$1003,F647,$E$4:$E$1003,"AIR",$F$4:$F$1003,C647,$M$4:$M$1003,"&lt;&gt;Superseded")&gt;0),"Dependency cycle (A↔B) — review",IF(AND(B647="AIR",OR(E647="MOD",E647="DATA",E647="IF",E647="AG",E647="TOOL"),IFERROR(INDEX(Components!$G$4:$G$253,MATCH(F647,Components!$A$4:$A$253,0)),"")&lt;&gt;"",IFERROR(INDEX(Components!$G$4:$G$253,MATCH(F647,Components!$A$4:$A$253,0)),"")&lt;&gt;C647),"Component owned by another AIR-ID",IF(AND(M647="Confirmed",OR(IF(B647="UC",COUNTIFS('Use cases'!$A$4:$A$253,C647,'Use cases'!$I$4:$I$253,"Confirmed",'Use cases'!$J$4:$J$253,"OK — verify source"),IF(B647="CAP",COUNTIFS(Capabilities!$A$4:$A$253,C647,Capabilities!$J$4:$J$253,"Confirmed",Capabilities!$K$4:$K$253,"OK — verify source"),IF(B647="AIR",COUNTIFS('System map'!$A$4:$A$203,C647,'System map'!$B$4:$B$203,"&lt;&gt;",'System map'!$C$4:$C$203,"&lt;&gt;",'System map'!$D$4:$D$203,"&lt;&gt;"),COUNTIFS(Components!$A$4:$A$253,C647,Components!$B$4:$B$253,B647,Components!$K$4:$K$253,"Confirmed",Components!$L$4:$L$253,"OK — verify source"))))&lt;&gt;1,IF(E647="UC",COUNTIFS('Use cases'!$A$4:$A$253,F647,'Use cases'!$I$4:$I$253,"Confirmed",'Use cases'!$J$4:$J$253,"OK — verify source"),IF(E647="CAP",COUNTIFS(Capabilities!$A$4:$A$253,F647,Capabilities!$J$4:$J$253,"Confirmed",Capabilities!$K$4:$K$253,"OK — verify source"),IF(E647="AIR",COUNTIFS('System map'!$A$4:$A$203,F647,'System map'!$B$4:$B$203,"&lt;&gt;",'System map'!$C$4:$C$203,"&lt;&gt;",'System map'!$D$4:$D$203,"&lt;&gt;"),COUNTIFS(Components!$A$4:$A$253,F647,Components!$B$4:$B$253,E647,Components!$K$4:$K$253,"Confirmed",Components!$L$4:$L$253,"OK — verify source"))))&lt;&gt;1)),"Endpoint not source-reconciled",IF(AND(M647="Confirmed",OR(L647="",K647="",K647="Unknown",K647="Low")),"Confirmed link lacks verification","OK — verify source"))))))))))))))</f>
        <v/>
      </c>
    </row>
    <row r="648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6" t="n"/>
      <c r="M648" s="25" t="n"/>
      <c r="N648" s="25">
        <f>IF(COUNTA(A648:M648)=0,"",IF(OR(A648="",B648="",C648="",D648="",E648="",F648="",I648="",J648="",K648="",M648=""),"Required link detail missing",IF(COUNTIF($A$4:$A$1003,A648)&gt;1,"Duplicate Map Edge ID",IF(NOT(OR(AND(B648="UC",E648="CAP",D648="requires"),AND(B648="CAP",E648="AIR",D648="provided by"),AND(B648="AIR",OR(E648="MOD",E648="DATA",E648="IF",E648="AG",E648="TOOL"),D648="references"),AND(B648="AIR",E648="AIR",D648="depends on"))),"Invalid relationship",IF(AND(M648&lt;&gt;"Superseded",COUNTIFS($B$4:$B$1003,B648,$C$4:$C$1003,C648,$D$4:$D$1003,D648,$E$4:$E$1003,E648,$F$4:$F$1003,F648,$G$4:$G$1003,G648,$M$4:$M$1003,"&lt;&gt;Superseded")&gt;1),"Duplicate relationship",IF(OR(IF(B648="UC",COUNTIF('Use cases'!$A$4:$A$253,C648),IF(B648="CAP",COUNTIF(Capabilities!$A$4:$A$253,C648),IF(B648="AIR",COUNTIF('System map'!$A$4:$A$203,C648),COUNTIFS(Components!$A$4:$A$253,C648,Components!$B$4:$B$253,B648))))&lt;&gt;1,IF(E648="UC",COUNTIF('Use cases'!$A$4:$A$253,F648),IF(E648="CAP",COUNTIF(Capabilities!$A$4:$A$253,F648),IF(E648="AIR",COUNTIF('System map'!$A$4:$A$203,F648),COUNTIFS(Components!$A$4:$A$253,F648,Components!$B$4:$B$253,E648))))&lt;&gt;1),"Endpoint missing or duplicated",IF(AND(NOT(AND(B648="UC",E648="CAP")),OR(G648="",COUNTIF('System map'!$A$4:$A$203,G648)&lt;&gt;1)),"AIR context missing / unknown",IF(AND(B648="CAP",E648="AIR",G648&lt;&gt;F648),"AIR context mismatch",IF(AND(B648="AIR",G648&lt;&gt;C648),"AIR context mismatch",IF(AND(B648="AIR",E648="AIR",C648=F648),"Self-dependency",IF(AND(B648="AIR",E648="AIR",M648&lt;&gt;"Superseded",COUNTIFS($B$4:$B$1003,"AIR",$C$4:$C$1003,F648,$E$4:$E$1003,"AIR",$F$4:$F$1003,C648,$M$4:$M$1003,"&lt;&gt;Superseded")&gt;0),"Dependency cycle (A↔B) — review",IF(AND(B648="AIR",OR(E648="MOD",E648="DATA",E648="IF",E648="AG",E648="TOOL"),IFERROR(INDEX(Components!$G$4:$G$253,MATCH(F648,Components!$A$4:$A$253,0)),"")&lt;&gt;"",IFERROR(INDEX(Components!$G$4:$G$253,MATCH(F648,Components!$A$4:$A$253,0)),"")&lt;&gt;C648),"Component owned by another AIR-ID",IF(AND(M648="Confirmed",OR(IF(B648="UC",COUNTIFS('Use cases'!$A$4:$A$253,C648,'Use cases'!$I$4:$I$253,"Confirmed",'Use cases'!$J$4:$J$253,"OK — verify source"),IF(B648="CAP",COUNTIFS(Capabilities!$A$4:$A$253,C648,Capabilities!$J$4:$J$253,"Confirmed",Capabilities!$K$4:$K$253,"OK — verify source"),IF(B648="AIR",COUNTIFS('System map'!$A$4:$A$203,C648,'System map'!$B$4:$B$203,"&lt;&gt;",'System map'!$C$4:$C$203,"&lt;&gt;",'System map'!$D$4:$D$203,"&lt;&gt;"),COUNTIFS(Components!$A$4:$A$253,C648,Components!$B$4:$B$253,B648,Components!$K$4:$K$253,"Confirmed",Components!$L$4:$L$253,"OK — verify source"))))&lt;&gt;1,IF(E648="UC",COUNTIFS('Use cases'!$A$4:$A$253,F648,'Use cases'!$I$4:$I$253,"Confirmed",'Use cases'!$J$4:$J$253,"OK — verify source"),IF(E648="CAP",COUNTIFS(Capabilities!$A$4:$A$253,F648,Capabilities!$J$4:$J$253,"Confirmed",Capabilities!$K$4:$K$253,"OK — verify source"),IF(E648="AIR",COUNTIFS('System map'!$A$4:$A$203,F648,'System map'!$B$4:$B$203,"&lt;&gt;",'System map'!$C$4:$C$203,"&lt;&gt;",'System map'!$D$4:$D$203,"&lt;&gt;"),COUNTIFS(Components!$A$4:$A$253,F648,Components!$B$4:$B$253,E648,Components!$K$4:$K$253,"Confirmed",Components!$L$4:$L$253,"OK — verify source"))))&lt;&gt;1)),"Endpoint not source-reconciled",IF(AND(M648="Confirmed",OR(L648="",K648="",K648="Unknown",K648="Low")),"Confirmed link lacks verification","OK — verify source"))))))))))))))</f>
        <v/>
      </c>
    </row>
    <row r="649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8" t="n"/>
      <c r="M649" s="27" t="n"/>
      <c r="N649" s="27">
        <f>IF(COUNTA(A649:M649)=0,"",IF(OR(A649="",B649="",C649="",D649="",E649="",F649="",I649="",J649="",K649="",M649=""),"Required link detail missing",IF(COUNTIF($A$4:$A$1003,A649)&gt;1,"Duplicate Map Edge ID",IF(NOT(OR(AND(B649="UC",E649="CAP",D649="requires"),AND(B649="CAP",E649="AIR",D649="provided by"),AND(B649="AIR",OR(E649="MOD",E649="DATA",E649="IF",E649="AG",E649="TOOL"),D649="references"),AND(B649="AIR",E649="AIR",D649="depends on"))),"Invalid relationship",IF(AND(M649&lt;&gt;"Superseded",COUNTIFS($B$4:$B$1003,B649,$C$4:$C$1003,C649,$D$4:$D$1003,D649,$E$4:$E$1003,E649,$F$4:$F$1003,F649,$G$4:$G$1003,G649,$M$4:$M$1003,"&lt;&gt;Superseded")&gt;1),"Duplicate relationship",IF(OR(IF(B649="UC",COUNTIF('Use cases'!$A$4:$A$253,C649),IF(B649="CAP",COUNTIF(Capabilities!$A$4:$A$253,C649),IF(B649="AIR",COUNTIF('System map'!$A$4:$A$203,C649),COUNTIFS(Components!$A$4:$A$253,C649,Components!$B$4:$B$253,B649))))&lt;&gt;1,IF(E649="UC",COUNTIF('Use cases'!$A$4:$A$253,F649),IF(E649="CAP",COUNTIF(Capabilities!$A$4:$A$253,F649),IF(E649="AIR",COUNTIF('System map'!$A$4:$A$203,F649),COUNTIFS(Components!$A$4:$A$253,F649,Components!$B$4:$B$253,E649))))&lt;&gt;1),"Endpoint missing or duplicated",IF(AND(NOT(AND(B649="UC",E649="CAP")),OR(G649="",COUNTIF('System map'!$A$4:$A$203,G649)&lt;&gt;1)),"AIR context missing / unknown",IF(AND(B649="CAP",E649="AIR",G649&lt;&gt;F649),"AIR context mismatch",IF(AND(B649="AIR",G649&lt;&gt;C649),"AIR context mismatch",IF(AND(B649="AIR",E649="AIR",C649=F649),"Self-dependency",IF(AND(B649="AIR",E649="AIR",M649&lt;&gt;"Superseded",COUNTIFS($B$4:$B$1003,"AIR",$C$4:$C$1003,F649,$E$4:$E$1003,"AIR",$F$4:$F$1003,C649,$M$4:$M$1003,"&lt;&gt;Superseded")&gt;0),"Dependency cycle (A↔B) — review",IF(AND(B649="AIR",OR(E649="MOD",E649="DATA",E649="IF",E649="AG",E649="TOOL"),IFERROR(INDEX(Components!$G$4:$G$253,MATCH(F649,Components!$A$4:$A$253,0)),"")&lt;&gt;"",IFERROR(INDEX(Components!$G$4:$G$253,MATCH(F649,Components!$A$4:$A$253,0)),"")&lt;&gt;C649),"Component owned by another AIR-ID",IF(AND(M649="Confirmed",OR(IF(B649="UC",COUNTIFS('Use cases'!$A$4:$A$253,C649,'Use cases'!$I$4:$I$253,"Confirmed",'Use cases'!$J$4:$J$253,"OK — verify source"),IF(B649="CAP",COUNTIFS(Capabilities!$A$4:$A$253,C649,Capabilities!$J$4:$J$253,"Confirmed",Capabilities!$K$4:$K$253,"OK — verify source"),IF(B649="AIR",COUNTIFS('System map'!$A$4:$A$203,C649,'System map'!$B$4:$B$203,"&lt;&gt;",'System map'!$C$4:$C$203,"&lt;&gt;",'System map'!$D$4:$D$203,"&lt;&gt;"),COUNTIFS(Components!$A$4:$A$253,C649,Components!$B$4:$B$253,B649,Components!$K$4:$K$253,"Confirmed",Components!$L$4:$L$253,"OK — verify source"))))&lt;&gt;1,IF(E649="UC",COUNTIFS('Use cases'!$A$4:$A$253,F649,'Use cases'!$I$4:$I$253,"Confirmed",'Use cases'!$J$4:$J$253,"OK — verify source"),IF(E649="CAP",COUNTIFS(Capabilities!$A$4:$A$253,F649,Capabilities!$J$4:$J$253,"Confirmed",Capabilities!$K$4:$K$253,"OK — verify source"),IF(E649="AIR",COUNTIFS('System map'!$A$4:$A$203,F649,'System map'!$B$4:$B$203,"&lt;&gt;",'System map'!$C$4:$C$203,"&lt;&gt;",'System map'!$D$4:$D$203,"&lt;&gt;"),COUNTIFS(Components!$A$4:$A$253,F649,Components!$B$4:$B$253,E649,Components!$K$4:$K$253,"Confirmed",Components!$L$4:$L$253,"OK — verify source"))))&lt;&gt;1)),"Endpoint not source-reconciled",IF(AND(M649="Confirmed",OR(L649="",K649="",K649="Unknown",K649="Low")),"Confirmed link lacks verification","OK — verify source"))))))))))))))</f>
        <v/>
      </c>
    </row>
    <row r="650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6" t="n"/>
      <c r="M650" s="25" t="n"/>
      <c r="N650" s="25">
        <f>IF(COUNTA(A650:M650)=0,"",IF(OR(A650="",B650="",C650="",D650="",E650="",F650="",I650="",J650="",K650="",M650=""),"Required link detail missing",IF(COUNTIF($A$4:$A$1003,A650)&gt;1,"Duplicate Map Edge ID",IF(NOT(OR(AND(B650="UC",E650="CAP",D650="requires"),AND(B650="CAP",E650="AIR",D650="provided by"),AND(B650="AIR",OR(E650="MOD",E650="DATA",E650="IF",E650="AG",E650="TOOL"),D650="references"),AND(B650="AIR",E650="AIR",D650="depends on"))),"Invalid relationship",IF(AND(M650&lt;&gt;"Superseded",COUNTIFS($B$4:$B$1003,B650,$C$4:$C$1003,C650,$D$4:$D$1003,D650,$E$4:$E$1003,E650,$F$4:$F$1003,F650,$G$4:$G$1003,G650,$M$4:$M$1003,"&lt;&gt;Superseded")&gt;1),"Duplicate relationship",IF(OR(IF(B650="UC",COUNTIF('Use cases'!$A$4:$A$253,C650),IF(B650="CAP",COUNTIF(Capabilities!$A$4:$A$253,C650),IF(B650="AIR",COUNTIF('System map'!$A$4:$A$203,C650),COUNTIFS(Components!$A$4:$A$253,C650,Components!$B$4:$B$253,B650))))&lt;&gt;1,IF(E650="UC",COUNTIF('Use cases'!$A$4:$A$253,F650),IF(E650="CAP",COUNTIF(Capabilities!$A$4:$A$253,F650),IF(E650="AIR",COUNTIF('System map'!$A$4:$A$203,F650),COUNTIFS(Components!$A$4:$A$253,F650,Components!$B$4:$B$253,E650))))&lt;&gt;1),"Endpoint missing or duplicated",IF(AND(NOT(AND(B650="UC",E650="CAP")),OR(G650="",COUNTIF('System map'!$A$4:$A$203,G650)&lt;&gt;1)),"AIR context missing / unknown",IF(AND(B650="CAP",E650="AIR",G650&lt;&gt;F650),"AIR context mismatch",IF(AND(B650="AIR",G650&lt;&gt;C650),"AIR context mismatch",IF(AND(B650="AIR",E650="AIR",C650=F650),"Self-dependency",IF(AND(B650="AIR",E650="AIR",M650&lt;&gt;"Superseded",COUNTIFS($B$4:$B$1003,"AIR",$C$4:$C$1003,F650,$E$4:$E$1003,"AIR",$F$4:$F$1003,C650,$M$4:$M$1003,"&lt;&gt;Superseded")&gt;0),"Dependency cycle (A↔B) — review",IF(AND(B650="AIR",OR(E650="MOD",E650="DATA",E650="IF",E650="AG",E650="TOOL"),IFERROR(INDEX(Components!$G$4:$G$253,MATCH(F650,Components!$A$4:$A$253,0)),"")&lt;&gt;"",IFERROR(INDEX(Components!$G$4:$G$253,MATCH(F650,Components!$A$4:$A$253,0)),"")&lt;&gt;C650),"Component owned by another AIR-ID",IF(AND(M650="Confirmed",OR(IF(B650="UC",COUNTIFS('Use cases'!$A$4:$A$253,C650,'Use cases'!$I$4:$I$253,"Confirmed",'Use cases'!$J$4:$J$253,"OK — verify source"),IF(B650="CAP",COUNTIFS(Capabilities!$A$4:$A$253,C650,Capabilities!$J$4:$J$253,"Confirmed",Capabilities!$K$4:$K$253,"OK — verify source"),IF(B650="AIR",COUNTIFS('System map'!$A$4:$A$203,C650,'System map'!$B$4:$B$203,"&lt;&gt;",'System map'!$C$4:$C$203,"&lt;&gt;",'System map'!$D$4:$D$203,"&lt;&gt;"),COUNTIFS(Components!$A$4:$A$253,C650,Components!$B$4:$B$253,B650,Components!$K$4:$K$253,"Confirmed",Components!$L$4:$L$253,"OK — verify source"))))&lt;&gt;1,IF(E650="UC",COUNTIFS('Use cases'!$A$4:$A$253,F650,'Use cases'!$I$4:$I$253,"Confirmed",'Use cases'!$J$4:$J$253,"OK — verify source"),IF(E650="CAP",COUNTIFS(Capabilities!$A$4:$A$253,F650,Capabilities!$J$4:$J$253,"Confirmed",Capabilities!$K$4:$K$253,"OK — verify source"),IF(E650="AIR",COUNTIFS('System map'!$A$4:$A$203,F650,'System map'!$B$4:$B$203,"&lt;&gt;",'System map'!$C$4:$C$203,"&lt;&gt;",'System map'!$D$4:$D$203,"&lt;&gt;"),COUNTIFS(Components!$A$4:$A$253,F650,Components!$B$4:$B$253,E650,Components!$K$4:$K$253,"Confirmed",Components!$L$4:$L$253,"OK — verify source"))))&lt;&gt;1)),"Endpoint not source-reconciled",IF(AND(M650="Confirmed",OR(L650="",K650="",K650="Unknown",K650="Low")),"Confirmed link lacks verification","OK — verify source"))))))))))))))</f>
        <v/>
      </c>
    </row>
    <row r="651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8" t="n"/>
      <c r="M651" s="27" t="n"/>
      <c r="N651" s="27">
        <f>IF(COUNTA(A651:M651)=0,"",IF(OR(A651="",B651="",C651="",D651="",E651="",F651="",I651="",J651="",K651="",M651=""),"Required link detail missing",IF(COUNTIF($A$4:$A$1003,A651)&gt;1,"Duplicate Map Edge ID",IF(NOT(OR(AND(B651="UC",E651="CAP",D651="requires"),AND(B651="CAP",E651="AIR",D651="provided by"),AND(B651="AIR",OR(E651="MOD",E651="DATA",E651="IF",E651="AG",E651="TOOL"),D651="references"),AND(B651="AIR",E651="AIR",D651="depends on"))),"Invalid relationship",IF(AND(M651&lt;&gt;"Superseded",COUNTIFS($B$4:$B$1003,B651,$C$4:$C$1003,C651,$D$4:$D$1003,D651,$E$4:$E$1003,E651,$F$4:$F$1003,F651,$G$4:$G$1003,G651,$M$4:$M$1003,"&lt;&gt;Superseded")&gt;1),"Duplicate relationship",IF(OR(IF(B651="UC",COUNTIF('Use cases'!$A$4:$A$253,C651),IF(B651="CAP",COUNTIF(Capabilities!$A$4:$A$253,C651),IF(B651="AIR",COUNTIF('System map'!$A$4:$A$203,C651),COUNTIFS(Components!$A$4:$A$253,C651,Components!$B$4:$B$253,B651))))&lt;&gt;1,IF(E651="UC",COUNTIF('Use cases'!$A$4:$A$253,F651),IF(E651="CAP",COUNTIF(Capabilities!$A$4:$A$253,F651),IF(E651="AIR",COUNTIF('System map'!$A$4:$A$203,F651),COUNTIFS(Components!$A$4:$A$253,F651,Components!$B$4:$B$253,E651))))&lt;&gt;1),"Endpoint missing or duplicated",IF(AND(NOT(AND(B651="UC",E651="CAP")),OR(G651="",COUNTIF('System map'!$A$4:$A$203,G651)&lt;&gt;1)),"AIR context missing / unknown",IF(AND(B651="CAP",E651="AIR",G651&lt;&gt;F651),"AIR context mismatch",IF(AND(B651="AIR",G651&lt;&gt;C651),"AIR context mismatch",IF(AND(B651="AIR",E651="AIR",C651=F651),"Self-dependency",IF(AND(B651="AIR",E651="AIR",M651&lt;&gt;"Superseded",COUNTIFS($B$4:$B$1003,"AIR",$C$4:$C$1003,F651,$E$4:$E$1003,"AIR",$F$4:$F$1003,C651,$M$4:$M$1003,"&lt;&gt;Superseded")&gt;0),"Dependency cycle (A↔B) — review",IF(AND(B651="AIR",OR(E651="MOD",E651="DATA",E651="IF",E651="AG",E651="TOOL"),IFERROR(INDEX(Components!$G$4:$G$253,MATCH(F651,Components!$A$4:$A$253,0)),"")&lt;&gt;"",IFERROR(INDEX(Components!$G$4:$G$253,MATCH(F651,Components!$A$4:$A$253,0)),"")&lt;&gt;C651),"Component owned by another AIR-ID",IF(AND(M651="Confirmed",OR(IF(B651="UC",COUNTIFS('Use cases'!$A$4:$A$253,C651,'Use cases'!$I$4:$I$253,"Confirmed",'Use cases'!$J$4:$J$253,"OK — verify source"),IF(B651="CAP",COUNTIFS(Capabilities!$A$4:$A$253,C651,Capabilities!$J$4:$J$253,"Confirmed",Capabilities!$K$4:$K$253,"OK — verify source"),IF(B651="AIR",COUNTIFS('System map'!$A$4:$A$203,C651,'System map'!$B$4:$B$203,"&lt;&gt;",'System map'!$C$4:$C$203,"&lt;&gt;",'System map'!$D$4:$D$203,"&lt;&gt;"),COUNTIFS(Components!$A$4:$A$253,C651,Components!$B$4:$B$253,B651,Components!$K$4:$K$253,"Confirmed",Components!$L$4:$L$253,"OK — verify source"))))&lt;&gt;1,IF(E651="UC",COUNTIFS('Use cases'!$A$4:$A$253,F651,'Use cases'!$I$4:$I$253,"Confirmed",'Use cases'!$J$4:$J$253,"OK — verify source"),IF(E651="CAP",COUNTIFS(Capabilities!$A$4:$A$253,F651,Capabilities!$J$4:$J$253,"Confirmed",Capabilities!$K$4:$K$253,"OK — verify source"),IF(E651="AIR",COUNTIFS('System map'!$A$4:$A$203,F651,'System map'!$B$4:$B$203,"&lt;&gt;",'System map'!$C$4:$C$203,"&lt;&gt;",'System map'!$D$4:$D$203,"&lt;&gt;"),COUNTIFS(Components!$A$4:$A$253,F651,Components!$B$4:$B$253,E651,Components!$K$4:$K$253,"Confirmed",Components!$L$4:$L$253,"OK — verify source"))))&lt;&gt;1)),"Endpoint not source-reconciled",IF(AND(M651="Confirmed",OR(L651="",K651="",K651="Unknown",K651="Low")),"Confirmed link lacks verification","OK — verify source"))))))))))))))</f>
        <v/>
      </c>
    </row>
    <row r="652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6" t="n"/>
      <c r="M652" s="25" t="n"/>
      <c r="N652" s="25">
        <f>IF(COUNTA(A652:M652)=0,"",IF(OR(A652="",B652="",C652="",D652="",E652="",F652="",I652="",J652="",K652="",M652=""),"Required link detail missing",IF(COUNTIF($A$4:$A$1003,A652)&gt;1,"Duplicate Map Edge ID",IF(NOT(OR(AND(B652="UC",E652="CAP",D652="requires"),AND(B652="CAP",E652="AIR",D652="provided by"),AND(B652="AIR",OR(E652="MOD",E652="DATA",E652="IF",E652="AG",E652="TOOL"),D652="references"),AND(B652="AIR",E652="AIR",D652="depends on"))),"Invalid relationship",IF(AND(M652&lt;&gt;"Superseded",COUNTIFS($B$4:$B$1003,B652,$C$4:$C$1003,C652,$D$4:$D$1003,D652,$E$4:$E$1003,E652,$F$4:$F$1003,F652,$G$4:$G$1003,G652,$M$4:$M$1003,"&lt;&gt;Superseded")&gt;1),"Duplicate relationship",IF(OR(IF(B652="UC",COUNTIF('Use cases'!$A$4:$A$253,C652),IF(B652="CAP",COUNTIF(Capabilities!$A$4:$A$253,C652),IF(B652="AIR",COUNTIF('System map'!$A$4:$A$203,C652),COUNTIFS(Components!$A$4:$A$253,C652,Components!$B$4:$B$253,B652))))&lt;&gt;1,IF(E652="UC",COUNTIF('Use cases'!$A$4:$A$253,F652),IF(E652="CAP",COUNTIF(Capabilities!$A$4:$A$253,F652),IF(E652="AIR",COUNTIF('System map'!$A$4:$A$203,F652),COUNTIFS(Components!$A$4:$A$253,F652,Components!$B$4:$B$253,E652))))&lt;&gt;1),"Endpoint missing or duplicated",IF(AND(NOT(AND(B652="UC",E652="CAP")),OR(G652="",COUNTIF('System map'!$A$4:$A$203,G652)&lt;&gt;1)),"AIR context missing / unknown",IF(AND(B652="CAP",E652="AIR",G652&lt;&gt;F652),"AIR context mismatch",IF(AND(B652="AIR",G652&lt;&gt;C652),"AIR context mismatch",IF(AND(B652="AIR",E652="AIR",C652=F652),"Self-dependency",IF(AND(B652="AIR",E652="AIR",M652&lt;&gt;"Superseded",COUNTIFS($B$4:$B$1003,"AIR",$C$4:$C$1003,F652,$E$4:$E$1003,"AIR",$F$4:$F$1003,C652,$M$4:$M$1003,"&lt;&gt;Superseded")&gt;0),"Dependency cycle (A↔B) — review",IF(AND(B652="AIR",OR(E652="MOD",E652="DATA",E652="IF",E652="AG",E652="TOOL"),IFERROR(INDEX(Components!$G$4:$G$253,MATCH(F652,Components!$A$4:$A$253,0)),"")&lt;&gt;"",IFERROR(INDEX(Components!$G$4:$G$253,MATCH(F652,Components!$A$4:$A$253,0)),"")&lt;&gt;C652),"Component owned by another AIR-ID",IF(AND(M652="Confirmed",OR(IF(B652="UC",COUNTIFS('Use cases'!$A$4:$A$253,C652,'Use cases'!$I$4:$I$253,"Confirmed",'Use cases'!$J$4:$J$253,"OK — verify source"),IF(B652="CAP",COUNTIFS(Capabilities!$A$4:$A$253,C652,Capabilities!$J$4:$J$253,"Confirmed",Capabilities!$K$4:$K$253,"OK — verify source"),IF(B652="AIR",COUNTIFS('System map'!$A$4:$A$203,C652,'System map'!$B$4:$B$203,"&lt;&gt;",'System map'!$C$4:$C$203,"&lt;&gt;",'System map'!$D$4:$D$203,"&lt;&gt;"),COUNTIFS(Components!$A$4:$A$253,C652,Components!$B$4:$B$253,B652,Components!$K$4:$K$253,"Confirmed",Components!$L$4:$L$253,"OK — verify source"))))&lt;&gt;1,IF(E652="UC",COUNTIFS('Use cases'!$A$4:$A$253,F652,'Use cases'!$I$4:$I$253,"Confirmed",'Use cases'!$J$4:$J$253,"OK — verify source"),IF(E652="CAP",COUNTIFS(Capabilities!$A$4:$A$253,F652,Capabilities!$J$4:$J$253,"Confirmed",Capabilities!$K$4:$K$253,"OK — verify source"),IF(E652="AIR",COUNTIFS('System map'!$A$4:$A$203,F652,'System map'!$B$4:$B$203,"&lt;&gt;",'System map'!$C$4:$C$203,"&lt;&gt;",'System map'!$D$4:$D$203,"&lt;&gt;"),COUNTIFS(Components!$A$4:$A$253,F652,Components!$B$4:$B$253,E652,Components!$K$4:$K$253,"Confirmed",Components!$L$4:$L$253,"OK — verify source"))))&lt;&gt;1)),"Endpoint not source-reconciled",IF(AND(M652="Confirmed",OR(L652="",K652="",K652="Unknown",K652="Low")),"Confirmed link lacks verification","OK — verify source"))))))))))))))</f>
        <v/>
      </c>
    </row>
    <row r="653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8" t="n"/>
      <c r="M653" s="27" t="n"/>
      <c r="N653" s="27">
        <f>IF(COUNTA(A653:M653)=0,"",IF(OR(A653="",B653="",C653="",D653="",E653="",F653="",I653="",J653="",K653="",M653=""),"Required link detail missing",IF(COUNTIF($A$4:$A$1003,A653)&gt;1,"Duplicate Map Edge ID",IF(NOT(OR(AND(B653="UC",E653="CAP",D653="requires"),AND(B653="CAP",E653="AIR",D653="provided by"),AND(B653="AIR",OR(E653="MOD",E653="DATA",E653="IF",E653="AG",E653="TOOL"),D653="references"),AND(B653="AIR",E653="AIR",D653="depends on"))),"Invalid relationship",IF(AND(M653&lt;&gt;"Superseded",COUNTIFS($B$4:$B$1003,B653,$C$4:$C$1003,C653,$D$4:$D$1003,D653,$E$4:$E$1003,E653,$F$4:$F$1003,F653,$G$4:$G$1003,G653,$M$4:$M$1003,"&lt;&gt;Superseded")&gt;1),"Duplicate relationship",IF(OR(IF(B653="UC",COUNTIF('Use cases'!$A$4:$A$253,C653),IF(B653="CAP",COUNTIF(Capabilities!$A$4:$A$253,C653),IF(B653="AIR",COUNTIF('System map'!$A$4:$A$203,C653),COUNTIFS(Components!$A$4:$A$253,C653,Components!$B$4:$B$253,B653))))&lt;&gt;1,IF(E653="UC",COUNTIF('Use cases'!$A$4:$A$253,F653),IF(E653="CAP",COUNTIF(Capabilities!$A$4:$A$253,F653),IF(E653="AIR",COUNTIF('System map'!$A$4:$A$203,F653),COUNTIFS(Components!$A$4:$A$253,F653,Components!$B$4:$B$253,E653))))&lt;&gt;1),"Endpoint missing or duplicated",IF(AND(NOT(AND(B653="UC",E653="CAP")),OR(G653="",COUNTIF('System map'!$A$4:$A$203,G653)&lt;&gt;1)),"AIR context missing / unknown",IF(AND(B653="CAP",E653="AIR",G653&lt;&gt;F653),"AIR context mismatch",IF(AND(B653="AIR",G653&lt;&gt;C653),"AIR context mismatch",IF(AND(B653="AIR",E653="AIR",C653=F653),"Self-dependency",IF(AND(B653="AIR",E653="AIR",M653&lt;&gt;"Superseded",COUNTIFS($B$4:$B$1003,"AIR",$C$4:$C$1003,F653,$E$4:$E$1003,"AIR",$F$4:$F$1003,C653,$M$4:$M$1003,"&lt;&gt;Superseded")&gt;0),"Dependency cycle (A↔B) — review",IF(AND(B653="AIR",OR(E653="MOD",E653="DATA",E653="IF",E653="AG",E653="TOOL"),IFERROR(INDEX(Components!$G$4:$G$253,MATCH(F653,Components!$A$4:$A$253,0)),"")&lt;&gt;"",IFERROR(INDEX(Components!$G$4:$G$253,MATCH(F653,Components!$A$4:$A$253,0)),"")&lt;&gt;C653),"Component owned by another AIR-ID",IF(AND(M653="Confirmed",OR(IF(B653="UC",COUNTIFS('Use cases'!$A$4:$A$253,C653,'Use cases'!$I$4:$I$253,"Confirmed",'Use cases'!$J$4:$J$253,"OK — verify source"),IF(B653="CAP",COUNTIFS(Capabilities!$A$4:$A$253,C653,Capabilities!$J$4:$J$253,"Confirmed",Capabilities!$K$4:$K$253,"OK — verify source"),IF(B653="AIR",COUNTIFS('System map'!$A$4:$A$203,C653,'System map'!$B$4:$B$203,"&lt;&gt;",'System map'!$C$4:$C$203,"&lt;&gt;",'System map'!$D$4:$D$203,"&lt;&gt;"),COUNTIFS(Components!$A$4:$A$253,C653,Components!$B$4:$B$253,B653,Components!$K$4:$K$253,"Confirmed",Components!$L$4:$L$253,"OK — verify source"))))&lt;&gt;1,IF(E653="UC",COUNTIFS('Use cases'!$A$4:$A$253,F653,'Use cases'!$I$4:$I$253,"Confirmed",'Use cases'!$J$4:$J$253,"OK — verify source"),IF(E653="CAP",COUNTIFS(Capabilities!$A$4:$A$253,F653,Capabilities!$J$4:$J$253,"Confirmed",Capabilities!$K$4:$K$253,"OK — verify source"),IF(E653="AIR",COUNTIFS('System map'!$A$4:$A$203,F653,'System map'!$B$4:$B$203,"&lt;&gt;",'System map'!$C$4:$C$203,"&lt;&gt;",'System map'!$D$4:$D$203,"&lt;&gt;"),COUNTIFS(Components!$A$4:$A$253,F653,Components!$B$4:$B$253,E653,Components!$K$4:$K$253,"Confirmed",Components!$L$4:$L$253,"OK — verify source"))))&lt;&gt;1)),"Endpoint not source-reconciled",IF(AND(M653="Confirmed",OR(L653="",K653="",K653="Unknown",K653="Low")),"Confirmed link lacks verification","OK — verify source"))))))))))))))</f>
        <v/>
      </c>
    </row>
    <row r="65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6" t="n"/>
      <c r="M654" s="25" t="n"/>
      <c r="N654" s="25">
        <f>IF(COUNTA(A654:M654)=0,"",IF(OR(A654="",B654="",C654="",D654="",E654="",F654="",I654="",J654="",K654="",M654=""),"Required link detail missing",IF(COUNTIF($A$4:$A$1003,A654)&gt;1,"Duplicate Map Edge ID",IF(NOT(OR(AND(B654="UC",E654="CAP",D654="requires"),AND(B654="CAP",E654="AIR",D654="provided by"),AND(B654="AIR",OR(E654="MOD",E654="DATA",E654="IF",E654="AG",E654="TOOL"),D654="references"),AND(B654="AIR",E654="AIR",D654="depends on"))),"Invalid relationship",IF(AND(M654&lt;&gt;"Superseded",COUNTIFS($B$4:$B$1003,B654,$C$4:$C$1003,C654,$D$4:$D$1003,D654,$E$4:$E$1003,E654,$F$4:$F$1003,F654,$G$4:$G$1003,G654,$M$4:$M$1003,"&lt;&gt;Superseded")&gt;1),"Duplicate relationship",IF(OR(IF(B654="UC",COUNTIF('Use cases'!$A$4:$A$253,C654),IF(B654="CAP",COUNTIF(Capabilities!$A$4:$A$253,C654),IF(B654="AIR",COUNTIF('System map'!$A$4:$A$203,C654),COUNTIFS(Components!$A$4:$A$253,C654,Components!$B$4:$B$253,B654))))&lt;&gt;1,IF(E654="UC",COUNTIF('Use cases'!$A$4:$A$253,F654),IF(E654="CAP",COUNTIF(Capabilities!$A$4:$A$253,F654),IF(E654="AIR",COUNTIF('System map'!$A$4:$A$203,F654),COUNTIFS(Components!$A$4:$A$253,F654,Components!$B$4:$B$253,E654))))&lt;&gt;1),"Endpoint missing or duplicated",IF(AND(NOT(AND(B654="UC",E654="CAP")),OR(G654="",COUNTIF('System map'!$A$4:$A$203,G654)&lt;&gt;1)),"AIR context missing / unknown",IF(AND(B654="CAP",E654="AIR",G654&lt;&gt;F654),"AIR context mismatch",IF(AND(B654="AIR",G654&lt;&gt;C654),"AIR context mismatch",IF(AND(B654="AIR",E654="AIR",C654=F654),"Self-dependency",IF(AND(B654="AIR",E654="AIR",M654&lt;&gt;"Superseded",COUNTIFS($B$4:$B$1003,"AIR",$C$4:$C$1003,F654,$E$4:$E$1003,"AIR",$F$4:$F$1003,C654,$M$4:$M$1003,"&lt;&gt;Superseded")&gt;0),"Dependency cycle (A↔B) — review",IF(AND(B654="AIR",OR(E654="MOD",E654="DATA",E654="IF",E654="AG",E654="TOOL"),IFERROR(INDEX(Components!$G$4:$G$253,MATCH(F654,Components!$A$4:$A$253,0)),"")&lt;&gt;"",IFERROR(INDEX(Components!$G$4:$G$253,MATCH(F654,Components!$A$4:$A$253,0)),"")&lt;&gt;C654),"Component owned by another AIR-ID",IF(AND(M654="Confirmed",OR(IF(B654="UC",COUNTIFS('Use cases'!$A$4:$A$253,C654,'Use cases'!$I$4:$I$253,"Confirmed",'Use cases'!$J$4:$J$253,"OK — verify source"),IF(B654="CAP",COUNTIFS(Capabilities!$A$4:$A$253,C654,Capabilities!$J$4:$J$253,"Confirmed",Capabilities!$K$4:$K$253,"OK — verify source"),IF(B654="AIR",COUNTIFS('System map'!$A$4:$A$203,C654,'System map'!$B$4:$B$203,"&lt;&gt;",'System map'!$C$4:$C$203,"&lt;&gt;",'System map'!$D$4:$D$203,"&lt;&gt;"),COUNTIFS(Components!$A$4:$A$253,C654,Components!$B$4:$B$253,B654,Components!$K$4:$K$253,"Confirmed",Components!$L$4:$L$253,"OK — verify source"))))&lt;&gt;1,IF(E654="UC",COUNTIFS('Use cases'!$A$4:$A$253,F654,'Use cases'!$I$4:$I$253,"Confirmed",'Use cases'!$J$4:$J$253,"OK — verify source"),IF(E654="CAP",COUNTIFS(Capabilities!$A$4:$A$253,F654,Capabilities!$J$4:$J$253,"Confirmed",Capabilities!$K$4:$K$253,"OK — verify source"),IF(E654="AIR",COUNTIFS('System map'!$A$4:$A$203,F654,'System map'!$B$4:$B$203,"&lt;&gt;",'System map'!$C$4:$C$203,"&lt;&gt;",'System map'!$D$4:$D$203,"&lt;&gt;"),COUNTIFS(Components!$A$4:$A$253,F654,Components!$B$4:$B$253,E654,Components!$K$4:$K$253,"Confirmed",Components!$L$4:$L$253,"OK — verify source"))))&lt;&gt;1)),"Endpoint not source-reconciled",IF(AND(M654="Confirmed",OR(L654="",K654="",K654="Unknown",K654="Low")),"Confirmed link lacks verification","OK — verify source"))))))))))))))</f>
        <v/>
      </c>
    </row>
    <row r="655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8" t="n"/>
      <c r="M655" s="27" t="n"/>
      <c r="N655" s="27">
        <f>IF(COUNTA(A655:M655)=0,"",IF(OR(A655="",B655="",C655="",D655="",E655="",F655="",I655="",J655="",K655="",M655=""),"Required link detail missing",IF(COUNTIF($A$4:$A$1003,A655)&gt;1,"Duplicate Map Edge ID",IF(NOT(OR(AND(B655="UC",E655="CAP",D655="requires"),AND(B655="CAP",E655="AIR",D655="provided by"),AND(B655="AIR",OR(E655="MOD",E655="DATA",E655="IF",E655="AG",E655="TOOL"),D655="references"),AND(B655="AIR",E655="AIR",D655="depends on"))),"Invalid relationship",IF(AND(M655&lt;&gt;"Superseded",COUNTIFS($B$4:$B$1003,B655,$C$4:$C$1003,C655,$D$4:$D$1003,D655,$E$4:$E$1003,E655,$F$4:$F$1003,F655,$G$4:$G$1003,G655,$M$4:$M$1003,"&lt;&gt;Superseded")&gt;1),"Duplicate relationship",IF(OR(IF(B655="UC",COUNTIF('Use cases'!$A$4:$A$253,C655),IF(B655="CAP",COUNTIF(Capabilities!$A$4:$A$253,C655),IF(B655="AIR",COUNTIF('System map'!$A$4:$A$203,C655),COUNTIFS(Components!$A$4:$A$253,C655,Components!$B$4:$B$253,B655))))&lt;&gt;1,IF(E655="UC",COUNTIF('Use cases'!$A$4:$A$253,F655),IF(E655="CAP",COUNTIF(Capabilities!$A$4:$A$253,F655),IF(E655="AIR",COUNTIF('System map'!$A$4:$A$203,F655),COUNTIFS(Components!$A$4:$A$253,F655,Components!$B$4:$B$253,E655))))&lt;&gt;1),"Endpoint missing or duplicated",IF(AND(NOT(AND(B655="UC",E655="CAP")),OR(G655="",COUNTIF('System map'!$A$4:$A$203,G655)&lt;&gt;1)),"AIR context missing / unknown",IF(AND(B655="CAP",E655="AIR",G655&lt;&gt;F655),"AIR context mismatch",IF(AND(B655="AIR",G655&lt;&gt;C655),"AIR context mismatch",IF(AND(B655="AIR",E655="AIR",C655=F655),"Self-dependency",IF(AND(B655="AIR",E655="AIR",M655&lt;&gt;"Superseded",COUNTIFS($B$4:$B$1003,"AIR",$C$4:$C$1003,F655,$E$4:$E$1003,"AIR",$F$4:$F$1003,C655,$M$4:$M$1003,"&lt;&gt;Superseded")&gt;0),"Dependency cycle (A↔B) — review",IF(AND(B655="AIR",OR(E655="MOD",E655="DATA",E655="IF",E655="AG",E655="TOOL"),IFERROR(INDEX(Components!$G$4:$G$253,MATCH(F655,Components!$A$4:$A$253,0)),"")&lt;&gt;"",IFERROR(INDEX(Components!$G$4:$G$253,MATCH(F655,Components!$A$4:$A$253,0)),"")&lt;&gt;C655),"Component owned by another AIR-ID",IF(AND(M655="Confirmed",OR(IF(B655="UC",COUNTIFS('Use cases'!$A$4:$A$253,C655,'Use cases'!$I$4:$I$253,"Confirmed",'Use cases'!$J$4:$J$253,"OK — verify source"),IF(B655="CAP",COUNTIFS(Capabilities!$A$4:$A$253,C655,Capabilities!$J$4:$J$253,"Confirmed",Capabilities!$K$4:$K$253,"OK — verify source"),IF(B655="AIR",COUNTIFS('System map'!$A$4:$A$203,C655,'System map'!$B$4:$B$203,"&lt;&gt;",'System map'!$C$4:$C$203,"&lt;&gt;",'System map'!$D$4:$D$203,"&lt;&gt;"),COUNTIFS(Components!$A$4:$A$253,C655,Components!$B$4:$B$253,B655,Components!$K$4:$K$253,"Confirmed",Components!$L$4:$L$253,"OK — verify source"))))&lt;&gt;1,IF(E655="UC",COUNTIFS('Use cases'!$A$4:$A$253,F655,'Use cases'!$I$4:$I$253,"Confirmed",'Use cases'!$J$4:$J$253,"OK — verify source"),IF(E655="CAP",COUNTIFS(Capabilities!$A$4:$A$253,F655,Capabilities!$J$4:$J$253,"Confirmed",Capabilities!$K$4:$K$253,"OK — verify source"),IF(E655="AIR",COUNTIFS('System map'!$A$4:$A$203,F655,'System map'!$B$4:$B$203,"&lt;&gt;",'System map'!$C$4:$C$203,"&lt;&gt;",'System map'!$D$4:$D$203,"&lt;&gt;"),COUNTIFS(Components!$A$4:$A$253,F655,Components!$B$4:$B$253,E655,Components!$K$4:$K$253,"Confirmed",Components!$L$4:$L$253,"OK — verify source"))))&lt;&gt;1)),"Endpoint not source-reconciled",IF(AND(M655="Confirmed",OR(L655="",K655="",K655="Unknown",K655="Low")),"Confirmed link lacks verification","OK — verify source"))))))))))))))</f>
        <v/>
      </c>
    </row>
    <row r="656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6" t="n"/>
      <c r="M656" s="25" t="n"/>
      <c r="N656" s="25">
        <f>IF(COUNTA(A656:M656)=0,"",IF(OR(A656="",B656="",C656="",D656="",E656="",F656="",I656="",J656="",K656="",M656=""),"Required link detail missing",IF(COUNTIF($A$4:$A$1003,A656)&gt;1,"Duplicate Map Edge ID",IF(NOT(OR(AND(B656="UC",E656="CAP",D656="requires"),AND(B656="CAP",E656="AIR",D656="provided by"),AND(B656="AIR",OR(E656="MOD",E656="DATA",E656="IF",E656="AG",E656="TOOL"),D656="references"),AND(B656="AIR",E656="AIR",D656="depends on"))),"Invalid relationship",IF(AND(M656&lt;&gt;"Superseded",COUNTIFS($B$4:$B$1003,B656,$C$4:$C$1003,C656,$D$4:$D$1003,D656,$E$4:$E$1003,E656,$F$4:$F$1003,F656,$G$4:$G$1003,G656,$M$4:$M$1003,"&lt;&gt;Superseded")&gt;1),"Duplicate relationship",IF(OR(IF(B656="UC",COUNTIF('Use cases'!$A$4:$A$253,C656),IF(B656="CAP",COUNTIF(Capabilities!$A$4:$A$253,C656),IF(B656="AIR",COUNTIF('System map'!$A$4:$A$203,C656),COUNTIFS(Components!$A$4:$A$253,C656,Components!$B$4:$B$253,B656))))&lt;&gt;1,IF(E656="UC",COUNTIF('Use cases'!$A$4:$A$253,F656),IF(E656="CAP",COUNTIF(Capabilities!$A$4:$A$253,F656),IF(E656="AIR",COUNTIF('System map'!$A$4:$A$203,F656),COUNTIFS(Components!$A$4:$A$253,F656,Components!$B$4:$B$253,E656))))&lt;&gt;1),"Endpoint missing or duplicated",IF(AND(NOT(AND(B656="UC",E656="CAP")),OR(G656="",COUNTIF('System map'!$A$4:$A$203,G656)&lt;&gt;1)),"AIR context missing / unknown",IF(AND(B656="CAP",E656="AIR",G656&lt;&gt;F656),"AIR context mismatch",IF(AND(B656="AIR",G656&lt;&gt;C656),"AIR context mismatch",IF(AND(B656="AIR",E656="AIR",C656=F656),"Self-dependency",IF(AND(B656="AIR",E656="AIR",M656&lt;&gt;"Superseded",COUNTIFS($B$4:$B$1003,"AIR",$C$4:$C$1003,F656,$E$4:$E$1003,"AIR",$F$4:$F$1003,C656,$M$4:$M$1003,"&lt;&gt;Superseded")&gt;0),"Dependency cycle (A↔B) — review",IF(AND(B656="AIR",OR(E656="MOD",E656="DATA",E656="IF",E656="AG",E656="TOOL"),IFERROR(INDEX(Components!$G$4:$G$253,MATCH(F656,Components!$A$4:$A$253,0)),"")&lt;&gt;"",IFERROR(INDEX(Components!$G$4:$G$253,MATCH(F656,Components!$A$4:$A$253,0)),"")&lt;&gt;C656),"Component owned by another AIR-ID",IF(AND(M656="Confirmed",OR(IF(B656="UC",COUNTIFS('Use cases'!$A$4:$A$253,C656,'Use cases'!$I$4:$I$253,"Confirmed",'Use cases'!$J$4:$J$253,"OK — verify source"),IF(B656="CAP",COUNTIFS(Capabilities!$A$4:$A$253,C656,Capabilities!$J$4:$J$253,"Confirmed",Capabilities!$K$4:$K$253,"OK — verify source"),IF(B656="AIR",COUNTIFS('System map'!$A$4:$A$203,C656,'System map'!$B$4:$B$203,"&lt;&gt;",'System map'!$C$4:$C$203,"&lt;&gt;",'System map'!$D$4:$D$203,"&lt;&gt;"),COUNTIFS(Components!$A$4:$A$253,C656,Components!$B$4:$B$253,B656,Components!$K$4:$K$253,"Confirmed",Components!$L$4:$L$253,"OK — verify source"))))&lt;&gt;1,IF(E656="UC",COUNTIFS('Use cases'!$A$4:$A$253,F656,'Use cases'!$I$4:$I$253,"Confirmed",'Use cases'!$J$4:$J$253,"OK — verify source"),IF(E656="CAP",COUNTIFS(Capabilities!$A$4:$A$253,F656,Capabilities!$J$4:$J$253,"Confirmed",Capabilities!$K$4:$K$253,"OK — verify source"),IF(E656="AIR",COUNTIFS('System map'!$A$4:$A$203,F656,'System map'!$B$4:$B$203,"&lt;&gt;",'System map'!$C$4:$C$203,"&lt;&gt;",'System map'!$D$4:$D$203,"&lt;&gt;"),COUNTIFS(Components!$A$4:$A$253,F656,Components!$B$4:$B$253,E656,Components!$K$4:$K$253,"Confirmed",Components!$L$4:$L$253,"OK — verify source"))))&lt;&gt;1)),"Endpoint not source-reconciled",IF(AND(M656="Confirmed",OR(L656="",K656="",K656="Unknown",K656="Low")),"Confirmed link lacks verification","OK — verify source"))))))))))))))</f>
        <v/>
      </c>
    </row>
    <row r="657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8" t="n"/>
      <c r="M657" s="27" t="n"/>
      <c r="N657" s="27">
        <f>IF(COUNTA(A657:M657)=0,"",IF(OR(A657="",B657="",C657="",D657="",E657="",F657="",I657="",J657="",K657="",M657=""),"Required link detail missing",IF(COUNTIF($A$4:$A$1003,A657)&gt;1,"Duplicate Map Edge ID",IF(NOT(OR(AND(B657="UC",E657="CAP",D657="requires"),AND(B657="CAP",E657="AIR",D657="provided by"),AND(B657="AIR",OR(E657="MOD",E657="DATA",E657="IF",E657="AG",E657="TOOL"),D657="references"),AND(B657="AIR",E657="AIR",D657="depends on"))),"Invalid relationship",IF(AND(M657&lt;&gt;"Superseded",COUNTIFS($B$4:$B$1003,B657,$C$4:$C$1003,C657,$D$4:$D$1003,D657,$E$4:$E$1003,E657,$F$4:$F$1003,F657,$G$4:$G$1003,G657,$M$4:$M$1003,"&lt;&gt;Superseded")&gt;1),"Duplicate relationship",IF(OR(IF(B657="UC",COUNTIF('Use cases'!$A$4:$A$253,C657),IF(B657="CAP",COUNTIF(Capabilities!$A$4:$A$253,C657),IF(B657="AIR",COUNTIF('System map'!$A$4:$A$203,C657),COUNTIFS(Components!$A$4:$A$253,C657,Components!$B$4:$B$253,B657))))&lt;&gt;1,IF(E657="UC",COUNTIF('Use cases'!$A$4:$A$253,F657),IF(E657="CAP",COUNTIF(Capabilities!$A$4:$A$253,F657),IF(E657="AIR",COUNTIF('System map'!$A$4:$A$203,F657),COUNTIFS(Components!$A$4:$A$253,F657,Components!$B$4:$B$253,E657))))&lt;&gt;1),"Endpoint missing or duplicated",IF(AND(NOT(AND(B657="UC",E657="CAP")),OR(G657="",COUNTIF('System map'!$A$4:$A$203,G657)&lt;&gt;1)),"AIR context missing / unknown",IF(AND(B657="CAP",E657="AIR",G657&lt;&gt;F657),"AIR context mismatch",IF(AND(B657="AIR",G657&lt;&gt;C657),"AIR context mismatch",IF(AND(B657="AIR",E657="AIR",C657=F657),"Self-dependency",IF(AND(B657="AIR",E657="AIR",M657&lt;&gt;"Superseded",COUNTIFS($B$4:$B$1003,"AIR",$C$4:$C$1003,F657,$E$4:$E$1003,"AIR",$F$4:$F$1003,C657,$M$4:$M$1003,"&lt;&gt;Superseded")&gt;0),"Dependency cycle (A↔B) — review",IF(AND(B657="AIR",OR(E657="MOD",E657="DATA",E657="IF",E657="AG",E657="TOOL"),IFERROR(INDEX(Components!$G$4:$G$253,MATCH(F657,Components!$A$4:$A$253,0)),"")&lt;&gt;"",IFERROR(INDEX(Components!$G$4:$G$253,MATCH(F657,Components!$A$4:$A$253,0)),"")&lt;&gt;C657),"Component owned by another AIR-ID",IF(AND(M657="Confirmed",OR(IF(B657="UC",COUNTIFS('Use cases'!$A$4:$A$253,C657,'Use cases'!$I$4:$I$253,"Confirmed",'Use cases'!$J$4:$J$253,"OK — verify source"),IF(B657="CAP",COUNTIFS(Capabilities!$A$4:$A$253,C657,Capabilities!$J$4:$J$253,"Confirmed",Capabilities!$K$4:$K$253,"OK — verify source"),IF(B657="AIR",COUNTIFS('System map'!$A$4:$A$203,C657,'System map'!$B$4:$B$203,"&lt;&gt;",'System map'!$C$4:$C$203,"&lt;&gt;",'System map'!$D$4:$D$203,"&lt;&gt;"),COUNTIFS(Components!$A$4:$A$253,C657,Components!$B$4:$B$253,B657,Components!$K$4:$K$253,"Confirmed",Components!$L$4:$L$253,"OK — verify source"))))&lt;&gt;1,IF(E657="UC",COUNTIFS('Use cases'!$A$4:$A$253,F657,'Use cases'!$I$4:$I$253,"Confirmed",'Use cases'!$J$4:$J$253,"OK — verify source"),IF(E657="CAP",COUNTIFS(Capabilities!$A$4:$A$253,F657,Capabilities!$J$4:$J$253,"Confirmed",Capabilities!$K$4:$K$253,"OK — verify source"),IF(E657="AIR",COUNTIFS('System map'!$A$4:$A$203,F657,'System map'!$B$4:$B$203,"&lt;&gt;",'System map'!$C$4:$C$203,"&lt;&gt;",'System map'!$D$4:$D$203,"&lt;&gt;"),COUNTIFS(Components!$A$4:$A$253,F657,Components!$B$4:$B$253,E657,Components!$K$4:$K$253,"Confirmed",Components!$L$4:$L$253,"OK — verify source"))))&lt;&gt;1)),"Endpoint not source-reconciled",IF(AND(M657="Confirmed",OR(L657="",K657="",K657="Unknown",K657="Low")),"Confirmed link lacks verification","OK — verify source"))))))))))))))</f>
        <v/>
      </c>
    </row>
    <row r="658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6" t="n"/>
      <c r="M658" s="25" t="n"/>
      <c r="N658" s="25">
        <f>IF(COUNTA(A658:M658)=0,"",IF(OR(A658="",B658="",C658="",D658="",E658="",F658="",I658="",J658="",K658="",M658=""),"Required link detail missing",IF(COUNTIF($A$4:$A$1003,A658)&gt;1,"Duplicate Map Edge ID",IF(NOT(OR(AND(B658="UC",E658="CAP",D658="requires"),AND(B658="CAP",E658="AIR",D658="provided by"),AND(B658="AIR",OR(E658="MOD",E658="DATA",E658="IF",E658="AG",E658="TOOL"),D658="references"),AND(B658="AIR",E658="AIR",D658="depends on"))),"Invalid relationship",IF(AND(M658&lt;&gt;"Superseded",COUNTIFS($B$4:$B$1003,B658,$C$4:$C$1003,C658,$D$4:$D$1003,D658,$E$4:$E$1003,E658,$F$4:$F$1003,F658,$G$4:$G$1003,G658,$M$4:$M$1003,"&lt;&gt;Superseded")&gt;1),"Duplicate relationship",IF(OR(IF(B658="UC",COUNTIF('Use cases'!$A$4:$A$253,C658),IF(B658="CAP",COUNTIF(Capabilities!$A$4:$A$253,C658),IF(B658="AIR",COUNTIF('System map'!$A$4:$A$203,C658),COUNTIFS(Components!$A$4:$A$253,C658,Components!$B$4:$B$253,B658))))&lt;&gt;1,IF(E658="UC",COUNTIF('Use cases'!$A$4:$A$253,F658),IF(E658="CAP",COUNTIF(Capabilities!$A$4:$A$253,F658),IF(E658="AIR",COUNTIF('System map'!$A$4:$A$203,F658),COUNTIFS(Components!$A$4:$A$253,F658,Components!$B$4:$B$253,E658))))&lt;&gt;1),"Endpoint missing or duplicated",IF(AND(NOT(AND(B658="UC",E658="CAP")),OR(G658="",COUNTIF('System map'!$A$4:$A$203,G658)&lt;&gt;1)),"AIR context missing / unknown",IF(AND(B658="CAP",E658="AIR",G658&lt;&gt;F658),"AIR context mismatch",IF(AND(B658="AIR",G658&lt;&gt;C658),"AIR context mismatch",IF(AND(B658="AIR",E658="AIR",C658=F658),"Self-dependency",IF(AND(B658="AIR",E658="AIR",M658&lt;&gt;"Superseded",COUNTIFS($B$4:$B$1003,"AIR",$C$4:$C$1003,F658,$E$4:$E$1003,"AIR",$F$4:$F$1003,C658,$M$4:$M$1003,"&lt;&gt;Superseded")&gt;0),"Dependency cycle (A↔B) — review",IF(AND(B658="AIR",OR(E658="MOD",E658="DATA",E658="IF",E658="AG",E658="TOOL"),IFERROR(INDEX(Components!$G$4:$G$253,MATCH(F658,Components!$A$4:$A$253,0)),"")&lt;&gt;"",IFERROR(INDEX(Components!$G$4:$G$253,MATCH(F658,Components!$A$4:$A$253,0)),"")&lt;&gt;C658),"Component owned by another AIR-ID",IF(AND(M658="Confirmed",OR(IF(B658="UC",COUNTIFS('Use cases'!$A$4:$A$253,C658,'Use cases'!$I$4:$I$253,"Confirmed",'Use cases'!$J$4:$J$253,"OK — verify source"),IF(B658="CAP",COUNTIFS(Capabilities!$A$4:$A$253,C658,Capabilities!$J$4:$J$253,"Confirmed",Capabilities!$K$4:$K$253,"OK — verify source"),IF(B658="AIR",COUNTIFS('System map'!$A$4:$A$203,C658,'System map'!$B$4:$B$203,"&lt;&gt;",'System map'!$C$4:$C$203,"&lt;&gt;",'System map'!$D$4:$D$203,"&lt;&gt;"),COUNTIFS(Components!$A$4:$A$253,C658,Components!$B$4:$B$253,B658,Components!$K$4:$K$253,"Confirmed",Components!$L$4:$L$253,"OK — verify source"))))&lt;&gt;1,IF(E658="UC",COUNTIFS('Use cases'!$A$4:$A$253,F658,'Use cases'!$I$4:$I$253,"Confirmed",'Use cases'!$J$4:$J$253,"OK — verify source"),IF(E658="CAP",COUNTIFS(Capabilities!$A$4:$A$253,F658,Capabilities!$J$4:$J$253,"Confirmed",Capabilities!$K$4:$K$253,"OK — verify source"),IF(E658="AIR",COUNTIFS('System map'!$A$4:$A$203,F658,'System map'!$B$4:$B$203,"&lt;&gt;",'System map'!$C$4:$C$203,"&lt;&gt;",'System map'!$D$4:$D$203,"&lt;&gt;"),COUNTIFS(Components!$A$4:$A$253,F658,Components!$B$4:$B$253,E658,Components!$K$4:$K$253,"Confirmed",Components!$L$4:$L$253,"OK — verify source"))))&lt;&gt;1)),"Endpoint not source-reconciled",IF(AND(M658="Confirmed",OR(L658="",K658="",K658="Unknown",K658="Low")),"Confirmed link lacks verification","OK — verify source"))))))))))))))</f>
        <v/>
      </c>
    </row>
    <row r="659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8" t="n"/>
      <c r="M659" s="27" t="n"/>
      <c r="N659" s="27">
        <f>IF(COUNTA(A659:M659)=0,"",IF(OR(A659="",B659="",C659="",D659="",E659="",F659="",I659="",J659="",K659="",M659=""),"Required link detail missing",IF(COUNTIF($A$4:$A$1003,A659)&gt;1,"Duplicate Map Edge ID",IF(NOT(OR(AND(B659="UC",E659="CAP",D659="requires"),AND(B659="CAP",E659="AIR",D659="provided by"),AND(B659="AIR",OR(E659="MOD",E659="DATA",E659="IF",E659="AG",E659="TOOL"),D659="references"),AND(B659="AIR",E659="AIR",D659="depends on"))),"Invalid relationship",IF(AND(M659&lt;&gt;"Superseded",COUNTIFS($B$4:$B$1003,B659,$C$4:$C$1003,C659,$D$4:$D$1003,D659,$E$4:$E$1003,E659,$F$4:$F$1003,F659,$G$4:$G$1003,G659,$M$4:$M$1003,"&lt;&gt;Superseded")&gt;1),"Duplicate relationship",IF(OR(IF(B659="UC",COUNTIF('Use cases'!$A$4:$A$253,C659),IF(B659="CAP",COUNTIF(Capabilities!$A$4:$A$253,C659),IF(B659="AIR",COUNTIF('System map'!$A$4:$A$203,C659),COUNTIFS(Components!$A$4:$A$253,C659,Components!$B$4:$B$253,B659))))&lt;&gt;1,IF(E659="UC",COUNTIF('Use cases'!$A$4:$A$253,F659),IF(E659="CAP",COUNTIF(Capabilities!$A$4:$A$253,F659),IF(E659="AIR",COUNTIF('System map'!$A$4:$A$203,F659),COUNTIFS(Components!$A$4:$A$253,F659,Components!$B$4:$B$253,E659))))&lt;&gt;1),"Endpoint missing or duplicated",IF(AND(NOT(AND(B659="UC",E659="CAP")),OR(G659="",COUNTIF('System map'!$A$4:$A$203,G659)&lt;&gt;1)),"AIR context missing / unknown",IF(AND(B659="CAP",E659="AIR",G659&lt;&gt;F659),"AIR context mismatch",IF(AND(B659="AIR",G659&lt;&gt;C659),"AIR context mismatch",IF(AND(B659="AIR",E659="AIR",C659=F659),"Self-dependency",IF(AND(B659="AIR",E659="AIR",M659&lt;&gt;"Superseded",COUNTIFS($B$4:$B$1003,"AIR",$C$4:$C$1003,F659,$E$4:$E$1003,"AIR",$F$4:$F$1003,C659,$M$4:$M$1003,"&lt;&gt;Superseded")&gt;0),"Dependency cycle (A↔B) — review",IF(AND(B659="AIR",OR(E659="MOD",E659="DATA",E659="IF",E659="AG",E659="TOOL"),IFERROR(INDEX(Components!$G$4:$G$253,MATCH(F659,Components!$A$4:$A$253,0)),"")&lt;&gt;"",IFERROR(INDEX(Components!$G$4:$G$253,MATCH(F659,Components!$A$4:$A$253,0)),"")&lt;&gt;C659),"Component owned by another AIR-ID",IF(AND(M659="Confirmed",OR(IF(B659="UC",COUNTIFS('Use cases'!$A$4:$A$253,C659,'Use cases'!$I$4:$I$253,"Confirmed",'Use cases'!$J$4:$J$253,"OK — verify source"),IF(B659="CAP",COUNTIFS(Capabilities!$A$4:$A$253,C659,Capabilities!$J$4:$J$253,"Confirmed",Capabilities!$K$4:$K$253,"OK — verify source"),IF(B659="AIR",COUNTIFS('System map'!$A$4:$A$203,C659,'System map'!$B$4:$B$203,"&lt;&gt;",'System map'!$C$4:$C$203,"&lt;&gt;",'System map'!$D$4:$D$203,"&lt;&gt;"),COUNTIFS(Components!$A$4:$A$253,C659,Components!$B$4:$B$253,B659,Components!$K$4:$K$253,"Confirmed",Components!$L$4:$L$253,"OK — verify source"))))&lt;&gt;1,IF(E659="UC",COUNTIFS('Use cases'!$A$4:$A$253,F659,'Use cases'!$I$4:$I$253,"Confirmed",'Use cases'!$J$4:$J$253,"OK — verify source"),IF(E659="CAP",COUNTIFS(Capabilities!$A$4:$A$253,F659,Capabilities!$J$4:$J$253,"Confirmed",Capabilities!$K$4:$K$253,"OK — verify source"),IF(E659="AIR",COUNTIFS('System map'!$A$4:$A$203,F659,'System map'!$B$4:$B$203,"&lt;&gt;",'System map'!$C$4:$C$203,"&lt;&gt;",'System map'!$D$4:$D$203,"&lt;&gt;"),COUNTIFS(Components!$A$4:$A$253,F659,Components!$B$4:$B$253,E659,Components!$K$4:$K$253,"Confirmed",Components!$L$4:$L$253,"OK — verify source"))))&lt;&gt;1)),"Endpoint not source-reconciled",IF(AND(M659="Confirmed",OR(L659="",K659="",K659="Unknown",K659="Low")),"Confirmed link lacks verification","OK — verify source"))))))))))))))</f>
        <v/>
      </c>
    </row>
    <row r="660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6" t="n"/>
      <c r="M660" s="25" t="n"/>
      <c r="N660" s="25">
        <f>IF(COUNTA(A660:M660)=0,"",IF(OR(A660="",B660="",C660="",D660="",E660="",F660="",I660="",J660="",K660="",M660=""),"Required link detail missing",IF(COUNTIF($A$4:$A$1003,A660)&gt;1,"Duplicate Map Edge ID",IF(NOT(OR(AND(B660="UC",E660="CAP",D660="requires"),AND(B660="CAP",E660="AIR",D660="provided by"),AND(B660="AIR",OR(E660="MOD",E660="DATA",E660="IF",E660="AG",E660="TOOL"),D660="references"),AND(B660="AIR",E660="AIR",D660="depends on"))),"Invalid relationship",IF(AND(M660&lt;&gt;"Superseded",COUNTIFS($B$4:$B$1003,B660,$C$4:$C$1003,C660,$D$4:$D$1003,D660,$E$4:$E$1003,E660,$F$4:$F$1003,F660,$G$4:$G$1003,G660,$M$4:$M$1003,"&lt;&gt;Superseded")&gt;1),"Duplicate relationship",IF(OR(IF(B660="UC",COUNTIF('Use cases'!$A$4:$A$253,C660),IF(B660="CAP",COUNTIF(Capabilities!$A$4:$A$253,C660),IF(B660="AIR",COUNTIF('System map'!$A$4:$A$203,C660),COUNTIFS(Components!$A$4:$A$253,C660,Components!$B$4:$B$253,B660))))&lt;&gt;1,IF(E660="UC",COUNTIF('Use cases'!$A$4:$A$253,F660),IF(E660="CAP",COUNTIF(Capabilities!$A$4:$A$253,F660),IF(E660="AIR",COUNTIF('System map'!$A$4:$A$203,F660),COUNTIFS(Components!$A$4:$A$253,F660,Components!$B$4:$B$253,E660))))&lt;&gt;1),"Endpoint missing or duplicated",IF(AND(NOT(AND(B660="UC",E660="CAP")),OR(G660="",COUNTIF('System map'!$A$4:$A$203,G660)&lt;&gt;1)),"AIR context missing / unknown",IF(AND(B660="CAP",E660="AIR",G660&lt;&gt;F660),"AIR context mismatch",IF(AND(B660="AIR",G660&lt;&gt;C660),"AIR context mismatch",IF(AND(B660="AIR",E660="AIR",C660=F660),"Self-dependency",IF(AND(B660="AIR",E660="AIR",M660&lt;&gt;"Superseded",COUNTIFS($B$4:$B$1003,"AIR",$C$4:$C$1003,F660,$E$4:$E$1003,"AIR",$F$4:$F$1003,C660,$M$4:$M$1003,"&lt;&gt;Superseded")&gt;0),"Dependency cycle (A↔B) — review",IF(AND(B660="AIR",OR(E660="MOD",E660="DATA",E660="IF",E660="AG",E660="TOOL"),IFERROR(INDEX(Components!$G$4:$G$253,MATCH(F660,Components!$A$4:$A$253,0)),"")&lt;&gt;"",IFERROR(INDEX(Components!$G$4:$G$253,MATCH(F660,Components!$A$4:$A$253,0)),"")&lt;&gt;C660),"Component owned by another AIR-ID",IF(AND(M660="Confirmed",OR(IF(B660="UC",COUNTIFS('Use cases'!$A$4:$A$253,C660,'Use cases'!$I$4:$I$253,"Confirmed",'Use cases'!$J$4:$J$253,"OK — verify source"),IF(B660="CAP",COUNTIFS(Capabilities!$A$4:$A$253,C660,Capabilities!$J$4:$J$253,"Confirmed",Capabilities!$K$4:$K$253,"OK — verify source"),IF(B660="AIR",COUNTIFS('System map'!$A$4:$A$203,C660,'System map'!$B$4:$B$203,"&lt;&gt;",'System map'!$C$4:$C$203,"&lt;&gt;",'System map'!$D$4:$D$203,"&lt;&gt;"),COUNTIFS(Components!$A$4:$A$253,C660,Components!$B$4:$B$253,B660,Components!$K$4:$K$253,"Confirmed",Components!$L$4:$L$253,"OK — verify source"))))&lt;&gt;1,IF(E660="UC",COUNTIFS('Use cases'!$A$4:$A$253,F660,'Use cases'!$I$4:$I$253,"Confirmed",'Use cases'!$J$4:$J$253,"OK — verify source"),IF(E660="CAP",COUNTIFS(Capabilities!$A$4:$A$253,F660,Capabilities!$J$4:$J$253,"Confirmed",Capabilities!$K$4:$K$253,"OK — verify source"),IF(E660="AIR",COUNTIFS('System map'!$A$4:$A$203,F660,'System map'!$B$4:$B$203,"&lt;&gt;",'System map'!$C$4:$C$203,"&lt;&gt;",'System map'!$D$4:$D$203,"&lt;&gt;"),COUNTIFS(Components!$A$4:$A$253,F660,Components!$B$4:$B$253,E660,Components!$K$4:$K$253,"Confirmed",Components!$L$4:$L$253,"OK — verify source"))))&lt;&gt;1)),"Endpoint not source-reconciled",IF(AND(M660="Confirmed",OR(L660="",K660="",K660="Unknown",K660="Low")),"Confirmed link lacks verification","OK — verify source"))))))))))))))</f>
        <v/>
      </c>
    </row>
    <row r="661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8" t="n"/>
      <c r="M661" s="27" t="n"/>
      <c r="N661" s="27">
        <f>IF(COUNTA(A661:M661)=0,"",IF(OR(A661="",B661="",C661="",D661="",E661="",F661="",I661="",J661="",K661="",M661=""),"Required link detail missing",IF(COUNTIF($A$4:$A$1003,A661)&gt;1,"Duplicate Map Edge ID",IF(NOT(OR(AND(B661="UC",E661="CAP",D661="requires"),AND(B661="CAP",E661="AIR",D661="provided by"),AND(B661="AIR",OR(E661="MOD",E661="DATA",E661="IF",E661="AG",E661="TOOL"),D661="references"),AND(B661="AIR",E661="AIR",D661="depends on"))),"Invalid relationship",IF(AND(M661&lt;&gt;"Superseded",COUNTIFS($B$4:$B$1003,B661,$C$4:$C$1003,C661,$D$4:$D$1003,D661,$E$4:$E$1003,E661,$F$4:$F$1003,F661,$G$4:$G$1003,G661,$M$4:$M$1003,"&lt;&gt;Superseded")&gt;1),"Duplicate relationship",IF(OR(IF(B661="UC",COUNTIF('Use cases'!$A$4:$A$253,C661),IF(B661="CAP",COUNTIF(Capabilities!$A$4:$A$253,C661),IF(B661="AIR",COUNTIF('System map'!$A$4:$A$203,C661),COUNTIFS(Components!$A$4:$A$253,C661,Components!$B$4:$B$253,B661))))&lt;&gt;1,IF(E661="UC",COUNTIF('Use cases'!$A$4:$A$253,F661),IF(E661="CAP",COUNTIF(Capabilities!$A$4:$A$253,F661),IF(E661="AIR",COUNTIF('System map'!$A$4:$A$203,F661),COUNTIFS(Components!$A$4:$A$253,F661,Components!$B$4:$B$253,E661))))&lt;&gt;1),"Endpoint missing or duplicated",IF(AND(NOT(AND(B661="UC",E661="CAP")),OR(G661="",COUNTIF('System map'!$A$4:$A$203,G661)&lt;&gt;1)),"AIR context missing / unknown",IF(AND(B661="CAP",E661="AIR",G661&lt;&gt;F661),"AIR context mismatch",IF(AND(B661="AIR",G661&lt;&gt;C661),"AIR context mismatch",IF(AND(B661="AIR",E661="AIR",C661=F661),"Self-dependency",IF(AND(B661="AIR",E661="AIR",M661&lt;&gt;"Superseded",COUNTIFS($B$4:$B$1003,"AIR",$C$4:$C$1003,F661,$E$4:$E$1003,"AIR",$F$4:$F$1003,C661,$M$4:$M$1003,"&lt;&gt;Superseded")&gt;0),"Dependency cycle (A↔B) — review",IF(AND(B661="AIR",OR(E661="MOD",E661="DATA",E661="IF",E661="AG",E661="TOOL"),IFERROR(INDEX(Components!$G$4:$G$253,MATCH(F661,Components!$A$4:$A$253,0)),"")&lt;&gt;"",IFERROR(INDEX(Components!$G$4:$G$253,MATCH(F661,Components!$A$4:$A$253,0)),"")&lt;&gt;C661),"Component owned by another AIR-ID",IF(AND(M661="Confirmed",OR(IF(B661="UC",COUNTIFS('Use cases'!$A$4:$A$253,C661,'Use cases'!$I$4:$I$253,"Confirmed",'Use cases'!$J$4:$J$253,"OK — verify source"),IF(B661="CAP",COUNTIFS(Capabilities!$A$4:$A$253,C661,Capabilities!$J$4:$J$253,"Confirmed",Capabilities!$K$4:$K$253,"OK — verify source"),IF(B661="AIR",COUNTIFS('System map'!$A$4:$A$203,C661,'System map'!$B$4:$B$203,"&lt;&gt;",'System map'!$C$4:$C$203,"&lt;&gt;",'System map'!$D$4:$D$203,"&lt;&gt;"),COUNTIFS(Components!$A$4:$A$253,C661,Components!$B$4:$B$253,B661,Components!$K$4:$K$253,"Confirmed",Components!$L$4:$L$253,"OK — verify source"))))&lt;&gt;1,IF(E661="UC",COUNTIFS('Use cases'!$A$4:$A$253,F661,'Use cases'!$I$4:$I$253,"Confirmed",'Use cases'!$J$4:$J$253,"OK — verify source"),IF(E661="CAP",COUNTIFS(Capabilities!$A$4:$A$253,F661,Capabilities!$J$4:$J$253,"Confirmed",Capabilities!$K$4:$K$253,"OK — verify source"),IF(E661="AIR",COUNTIFS('System map'!$A$4:$A$203,F661,'System map'!$B$4:$B$203,"&lt;&gt;",'System map'!$C$4:$C$203,"&lt;&gt;",'System map'!$D$4:$D$203,"&lt;&gt;"),COUNTIFS(Components!$A$4:$A$253,F661,Components!$B$4:$B$253,E661,Components!$K$4:$K$253,"Confirmed",Components!$L$4:$L$253,"OK — verify source"))))&lt;&gt;1)),"Endpoint not source-reconciled",IF(AND(M661="Confirmed",OR(L661="",K661="",K661="Unknown",K661="Low")),"Confirmed link lacks verification","OK — verify source"))))))))))))))</f>
        <v/>
      </c>
    </row>
    <row r="662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6" t="n"/>
      <c r="M662" s="25" t="n"/>
      <c r="N662" s="25">
        <f>IF(COUNTA(A662:M662)=0,"",IF(OR(A662="",B662="",C662="",D662="",E662="",F662="",I662="",J662="",K662="",M662=""),"Required link detail missing",IF(COUNTIF($A$4:$A$1003,A662)&gt;1,"Duplicate Map Edge ID",IF(NOT(OR(AND(B662="UC",E662="CAP",D662="requires"),AND(B662="CAP",E662="AIR",D662="provided by"),AND(B662="AIR",OR(E662="MOD",E662="DATA",E662="IF",E662="AG",E662="TOOL"),D662="references"),AND(B662="AIR",E662="AIR",D662="depends on"))),"Invalid relationship",IF(AND(M662&lt;&gt;"Superseded",COUNTIFS($B$4:$B$1003,B662,$C$4:$C$1003,C662,$D$4:$D$1003,D662,$E$4:$E$1003,E662,$F$4:$F$1003,F662,$G$4:$G$1003,G662,$M$4:$M$1003,"&lt;&gt;Superseded")&gt;1),"Duplicate relationship",IF(OR(IF(B662="UC",COUNTIF('Use cases'!$A$4:$A$253,C662),IF(B662="CAP",COUNTIF(Capabilities!$A$4:$A$253,C662),IF(B662="AIR",COUNTIF('System map'!$A$4:$A$203,C662),COUNTIFS(Components!$A$4:$A$253,C662,Components!$B$4:$B$253,B662))))&lt;&gt;1,IF(E662="UC",COUNTIF('Use cases'!$A$4:$A$253,F662),IF(E662="CAP",COUNTIF(Capabilities!$A$4:$A$253,F662),IF(E662="AIR",COUNTIF('System map'!$A$4:$A$203,F662),COUNTIFS(Components!$A$4:$A$253,F662,Components!$B$4:$B$253,E662))))&lt;&gt;1),"Endpoint missing or duplicated",IF(AND(NOT(AND(B662="UC",E662="CAP")),OR(G662="",COUNTIF('System map'!$A$4:$A$203,G662)&lt;&gt;1)),"AIR context missing / unknown",IF(AND(B662="CAP",E662="AIR",G662&lt;&gt;F662),"AIR context mismatch",IF(AND(B662="AIR",G662&lt;&gt;C662),"AIR context mismatch",IF(AND(B662="AIR",E662="AIR",C662=F662),"Self-dependency",IF(AND(B662="AIR",E662="AIR",M662&lt;&gt;"Superseded",COUNTIFS($B$4:$B$1003,"AIR",$C$4:$C$1003,F662,$E$4:$E$1003,"AIR",$F$4:$F$1003,C662,$M$4:$M$1003,"&lt;&gt;Superseded")&gt;0),"Dependency cycle (A↔B) — review",IF(AND(B662="AIR",OR(E662="MOD",E662="DATA",E662="IF",E662="AG",E662="TOOL"),IFERROR(INDEX(Components!$G$4:$G$253,MATCH(F662,Components!$A$4:$A$253,0)),"")&lt;&gt;"",IFERROR(INDEX(Components!$G$4:$G$253,MATCH(F662,Components!$A$4:$A$253,0)),"")&lt;&gt;C662),"Component owned by another AIR-ID",IF(AND(M662="Confirmed",OR(IF(B662="UC",COUNTIFS('Use cases'!$A$4:$A$253,C662,'Use cases'!$I$4:$I$253,"Confirmed",'Use cases'!$J$4:$J$253,"OK — verify source"),IF(B662="CAP",COUNTIFS(Capabilities!$A$4:$A$253,C662,Capabilities!$J$4:$J$253,"Confirmed",Capabilities!$K$4:$K$253,"OK — verify source"),IF(B662="AIR",COUNTIFS('System map'!$A$4:$A$203,C662,'System map'!$B$4:$B$203,"&lt;&gt;",'System map'!$C$4:$C$203,"&lt;&gt;",'System map'!$D$4:$D$203,"&lt;&gt;"),COUNTIFS(Components!$A$4:$A$253,C662,Components!$B$4:$B$253,B662,Components!$K$4:$K$253,"Confirmed",Components!$L$4:$L$253,"OK — verify source"))))&lt;&gt;1,IF(E662="UC",COUNTIFS('Use cases'!$A$4:$A$253,F662,'Use cases'!$I$4:$I$253,"Confirmed",'Use cases'!$J$4:$J$253,"OK — verify source"),IF(E662="CAP",COUNTIFS(Capabilities!$A$4:$A$253,F662,Capabilities!$J$4:$J$253,"Confirmed",Capabilities!$K$4:$K$253,"OK — verify source"),IF(E662="AIR",COUNTIFS('System map'!$A$4:$A$203,F662,'System map'!$B$4:$B$203,"&lt;&gt;",'System map'!$C$4:$C$203,"&lt;&gt;",'System map'!$D$4:$D$203,"&lt;&gt;"),COUNTIFS(Components!$A$4:$A$253,F662,Components!$B$4:$B$253,E662,Components!$K$4:$K$253,"Confirmed",Components!$L$4:$L$253,"OK — verify source"))))&lt;&gt;1)),"Endpoint not source-reconciled",IF(AND(M662="Confirmed",OR(L662="",K662="",K662="Unknown",K662="Low")),"Confirmed link lacks verification","OK — verify source"))))))))))))))</f>
        <v/>
      </c>
    </row>
    <row r="663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8" t="n"/>
      <c r="M663" s="27" t="n"/>
      <c r="N663" s="27">
        <f>IF(COUNTA(A663:M663)=0,"",IF(OR(A663="",B663="",C663="",D663="",E663="",F663="",I663="",J663="",K663="",M663=""),"Required link detail missing",IF(COUNTIF($A$4:$A$1003,A663)&gt;1,"Duplicate Map Edge ID",IF(NOT(OR(AND(B663="UC",E663="CAP",D663="requires"),AND(B663="CAP",E663="AIR",D663="provided by"),AND(B663="AIR",OR(E663="MOD",E663="DATA",E663="IF",E663="AG",E663="TOOL"),D663="references"),AND(B663="AIR",E663="AIR",D663="depends on"))),"Invalid relationship",IF(AND(M663&lt;&gt;"Superseded",COUNTIFS($B$4:$B$1003,B663,$C$4:$C$1003,C663,$D$4:$D$1003,D663,$E$4:$E$1003,E663,$F$4:$F$1003,F663,$G$4:$G$1003,G663,$M$4:$M$1003,"&lt;&gt;Superseded")&gt;1),"Duplicate relationship",IF(OR(IF(B663="UC",COUNTIF('Use cases'!$A$4:$A$253,C663),IF(B663="CAP",COUNTIF(Capabilities!$A$4:$A$253,C663),IF(B663="AIR",COUNTIF('System map'!$A$4:$A$203,C663),COUNTIFS(Components!$A$4:$A$253,C663,Components!$B$4:$B$253,B663))))&lt;&gt;1,IF(E663="UC",COUNTIF('Use cases'!$A$4:$A$253,F663),IF(E663="CAP",COUNTIF(Capabilities!$A$4:$A$253,F663),IF(E663="AIR",COUNTIF('System map'!$A$4:$A$203,F663),COUNTIFS(Components!$A$4:$A$253,F663,Components!$B$4:$B$253,E663))))&lt;&gt;1),"Endpoint missing or duplicated",IF(AND(NOT(AND(B663="UC",E663="CAP")),OR(G663="",COUNTIF('System map'!$A$4:$A$203,G663)&lt;&gt;1)),"AIR context missing / unknown",IF(AND(B663="CAP",E663="AIR",G663&lt;&gt;F663),"AIR context mismatch",IF(AND(B663="AIR",G663&lt;&gt;C663),"AIR context mismatch",IF(AND(B663="AIR",E663="AIR",C663=F663),"Self-dependency",IF(AND(B663="AIR",E663="AIR",M663&lt;&gt;"Superseded",COUNTIFS($B$4:$B$1003,"AIR",$C$4:$C$1003,F663,$E$4:$E$1003,"AIR",$F$4:$F$1003,C663,$M$4:$M$1003,"&lt;&gt;Superseded")&gt;0),"Dependency cycle (A↔B) — review",IF(AND(B663="AIR",OR(E663="MOD",E663="DATA",E663="IF",E663="AG",E663="TOOL"),IFERROR(INDEX(Components!$G$4:$G$253,MATCH(F663,Components!$A$4:$A$253,0)),"")&lt;&gt;"",IFERROR(INDEX(Components!$G$4:$G$253,MATCH(F663,Components!$A$4:$A$253,0)),"")&lt;&gt;C663),"Component owned by another AIR-ID",IF(AND(M663="Confirmed",OR(IF(B663="UC",COUNTIFS('Use cases'!$A$4:$A$253,C663,'Use cases'!$I$4:$I$253,"Confirmed",'Use cases'!$J$4:$J$253,"OK — verify source"),IF(B663="CAP",COUNTIFS(Capabilities!$A$4:$A$253,C663,Capabilities!$J$4:$J$253,"Confirmed",Capabilities!$K$4:$K$253,"OK — verify source"),IF(B663="AIR",COUNTIFS('System map'!$A$4:$A$203,C663,'System map'!$B$4:$B$203,"&lt;&gt;",'System map'!$C$4:$C$203,"&lt;&gt;",'System map'!$D$4:$D$203,"&lt;&gt;"),COUNTIFS(Components!$A$4:$A$253,C663,Components!$B$4:$B$253,B663,Components!$K$4:$K$253,"Confirmed",Components!$L$4:$L$253,"OK — verify source"))))&lt;&gt;1,IF(E663="UC",COUNTIFS('Use cases'!$A$4:$A$253,F663,'Use cases'!$I$4:$I$253,"Confirmed",'Use cases'!$J$4:$J$253,"OK — verify source"),IF(E663="CAP",COUNTIFS(Capabilities!$A$4:$A$253,F663,Capabilities!$J$4:$J$253,"Confirmed",Capabilities!$K$4:$K$253,"OK — verify source"),IF(E663="AIR",COUNTIFS('System map'!$A$4:$A$203,F663,'System map'!$B$4:$B$203,"&lt;&gt;",'System map'!$C$4:$C$203,"&lt;&gt;",'System map'!$D$4:$D$203,"&lt;&gt;"),COUNTIFS(Components!$A$4:$A$253,F663,Components!$B$4:$B$253,E663,Components!$K$4:$K$253,"Confirmed",Components!$L$4:$L$253,"OK — verify source"))))&lt;&gt;1)),"Endpoint not source-reconciled",IF(AND(M663="Confirmed",OR(L663="",K663="",K663="Unknown",K663="Low")),"Confirmed link lacks verification","OK — verify source"))))))))))))))</f>
        <v/>
      </c>
    </row>
    <row r="6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6" t="n"/>
      <c r="M664" s="25" t="n"/>
      <c r="N664" s="25">
        <f>IF(COUNTA(A664:M664)=0,"",IF(OR(A664="",B664="",C664="",D664="",E664="",F664="",I664="",J664="",K664="",M664=""),"Required link detail missing",IF(COUNTIF($A$4:$A$1003,A664)&gt;1,"Duplicate Map Edge ID",IF(NOT(OR(AND(B664="UC",E664="CAP",D664="requires"),AND(B664="CAP",E664="AIR",D664="provided by"),AND(B664="AIR",OR(E664="MOD",E664="DATA",E664="IF",E664="AG",E664="TOOL"),D664="references"),AND(B664="AIR",E664="AIR",D664="depends on"))),"Invalid relationship",IF(AND(M664&lt;&gt;"Superseded",COUNTIFS($B$4:$B$1003,B664,$C$4:$C$1003,C664,$D$4:$D$1003,D664,$E$4:$E$1003,E664,$F$4:$F$1003,F664,$G$4:$G$1003,G664,$M$4:$M$1003,"&lt;&gt;Superseded")&gt;1),"Duplicate relationship",IF(OR(IF(B664="UC",COUNTIF('Use cases'!$A$4:$A$253,C664),IF(B664="CAP",COUNTIF(Capabilities!$A$4:$A$253,C664),IF(B664="AIR",COUNTIF('System map'!$A$4:$A$203,C664),COUNTIFS(Components!$A$4:$A$253,C664,Components!$B$4:$B$253,B664))))&lt;&gt;1,IF(E664="UC",COUNTIF('Use cases'!$A$4:$A$253,F664),IF(E664="CAP",COUNTIF(Capabilities!$A$4:$A$253,F664),IF(E664="AIR",COUNTIF('System map'!$A$4:$A$203,F664),COUNTIFS(Components!$A$4:$A$253,F664,Components!$B$4:$B$253,E664))))&lt;&gt;1),"Endpoint missing or duplicated",IF(AND(NOT(AND(B664="UC",E664="CAP")),OR(G664="",COUNTIF('System map'!$A$4:$A$203,G664)&lt;&gt;1)),"AIR context missing / unknown",IF(AND(B664="CAP",E664="AIR",G664&lt;&gt;F664),"AIR context mismatch",IF(AND(B664="AIR",G664&lt;&gt;C664),"AIR context mismatch",IF(AND(B664="AIR",E664="AIR",C664=F664),"Self-dependency",IF(AND(B664="AIR",E664="AIR",M664&lt;&gt;"Superseded",COUNTIFS($B$4:$B$1003,"AIR",$C$4:$C$1003,F664,$E$4:$E$1003,"AIR",$F$4:$F$1003,C664,$M$4:$M$1003,"&lt;&gt;Superseded")&gt;0),"Dependency cycle (A↔B) — review",IF(AND(B664="AIR",OR(E664="MOD",E664="DATA",E664="IF",E664="AG",E664="TOOL"),IFERROR(INDEX(Components!$G$4:$G$253,MATCH(F664,Components!$A$4:$A$253,0)),"")&lt;&gt;"",IFERROR(INDEX(Components!$G$4:$G$253,MATCH(F664,Components!$A$4:$A$253,0)),"")&lt;&gt;C664),"Component owned by another AIR-ID",IF(AND(M664="Confirmed",OR(IF(B664="UC",COUNTIFS('Use cases'!$A$4:$A$253,C664,'Use cases'!$I$4:$I$253,"Confirmed",'Use cases'!$J$4:$J$253,"OK — verify source"),IF(B664="CAP",COUNTIFS(Capabilities!$A$4:$A$253,C664,Capabilities!$J$4:$J$253,"Confirmed",Capabilities!$K$4:$K$253,"OK — verify source"),IF(B664="AIR",COUNTIFS('System map'!$A$4:$A$203,C664,'System map'!$B$4:$B$203,"&lt;&gt;",'System map'!$C$4:$C$203,"&lt;&gt;",'System map'!$D$4:$D$203,"&lt;&gt;"),COUNTIFS(Components!$A$4:$A$253,C664,Components!$B$4:$B$253,B664,Components!$K$4:$K$253,"Confirmed",Components!$L$4:$L$253,"OK — verify source"))))&lt;&gt;1,IF(E664="UC",COUNTIFS('Use cases'!$A$4:$A$253,F664,'Use cases'!$I$4:$I$253,"Confirmed",'Use cases'!$J$4:$J$253,"OK — verify source"),IF(E664="CAP",COUNTIFS(Capabilities!$A$4:$A$253,F664,Capabilities!$J$4:$J$253,"Confirmed",Capabilities!$K$4:$K$253,"OK — verify source"),IF(E664="AIR",COUNTIFS('System map'!$A$4:$A$203,F664,'System map'!$B$4:$B$203,"&lt;&gt;",'System map'!$C$4:$C$203,"&lt;&gt;",'System map'!$D$4:$D$203,"&lt;&gt;"),COUNTIFS(Components!$A$4:$A$253,F664,Components!$B$4:$B$253,E664,Components!$K$4:$K$253,"Confirmed",Components!$L$4:$L$253,"OK — verify source"))))&lt;&gt;1)),"Endpoint not source-reconciled",IF(AND(M664="Confirmed",OR(L664="",K664="",K664="Unknown",K664="Low")),"Confirmed link lacks verification","OK — verify source"))))))))))))))</f>
        <v/>
      </c>
    </row>
    <row r="665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8" t="n"/>
      <c r="M665" s="27" t="n"/>
      <c r="N665" s="27">
        <f>IF(COUNTA(A665:M665)=0,"",IF(OR(A665="",B665="",C665="",D665="",E665="",F665="",I665="",J665="",K665="",M665=""),"Required link detail missing",IF(COUNTIF($A$4:$A$1003,A665)&gt;1,"Duplicate Map Edge ID",IF(NOT(OR(AND(B665="UC",E665="CAP",D665="requires"),AND(B665="CAP",E665="AIR",D665="provided by"),AND(B665="AIR",OR(E665="MOD",E665="DATA",E665="IF",E665="AG",E665="TOOL"),D665="references"),AND(B665="AIR",E665="AIR",D665="depends on"))),"Invalid relationship",IF(AND(M665&lt;&gt;"Superseded",COUNTIFS($B$4:$B$1003,B665,$C$4:$C$1003,C665,$D$4:$D$1003,D665,$E$4:$E$1003,E665,$F$4:$F$1003,F665,$G$4:$G$1003,G665,$M$4:$M$1003,"&lt;&gt;Superseded")&gt;1),"Duplicate relationship",IF(OR(IF(B665="UC",COUNTIF('Use cases'!$A$4:$A$253,C665),IF(B665="CAP",COUNTIF(Capabilities!$A$4:$A$253,C665),IF(B665="AIR",COUNTIF('System map'!$A$4:$A$203,C665),COUNTIFS(Components!$A$4:$A$253,C665,Components!$B$4:$B$253,B665))))&lt;&gt;1,IF(E665="UC",COUNTIF('Use cases'!$A$4:$A$253,F665),IF(E665="CAP",COUNTIF(Capabilities!$A$4:$A$253,F665),IF(E665="AIR",COUNTIF('System map'!$A$4:$A$203,F665),COUNTIFS(Components!$A$4:$A$253,F665,Components!$B$4:$B$253,E665))))&lt;&gt;1),"Endpoint missing or duplicated",IF(AND(NOT(AND(B665="UC",E665="CAP")),OR(G665="",COUNTIF('System map'!$A$4:$A$203,G665)&lt;&gt;1)),"AIR context missing / unknown",IF(AND(B665="CAP",E665="AIR",G665&lt;&gt;F665),"AIR context mismatch",IF(AND(B665="AIR",G665&lt;&gt;C665),"AIR context mismatch",IF(AND(B665="AIR",E665="AIR",C665=F665),"Self-dependency",IF(AND(B665="AIR",E665="AIR",M665&lt;&gt;"Superseded",COUNTIFS($B$4:$B$1003,"AIR",$C$4:$C$1003,F665,$E$4:$E$1003,"AIR",$F$4:$F$1003,C665,$M$4:$M$1003,"&lt;&gt;Superseded")&gt;0),"Dependency cycle (A↔B) — review",IF(AND(B665="AIR",OR(E665="MOD",E665="DATA",E665="IF",E665="AG",E665="TOOL"),IFERROR(INDEX(Components!$G$4:$G$253,MATCH(F665,Components!$A$4:$A$253,0)),"")&lt;&gt;"",IFERROR(INDEX(Components!$G$4:$G$253,MATCH(F665,Components!$A$4:$A$253,0)),"")&lt;&gt;C665),"Component owned by another AIR-ID",IF(AND(M665="Confirmed",OR(IF(B665="UC",COUNTIFS('Use cases'!$A$4:$A$253,C665,'Use cases'!$I$4:$I$253,"Confirmed",'Use cases'!$J$4:$J$253,"OK — verify source"),IF(B665="CAP",COUNTIFS(Capabilities!$A$4:$A$253,C665,Capabilities!$J$4:$J$253,"Confirmed",Capabilities!$K$4:$K$253,"OK — verify source"),IF(B665="AIR",COUNTIFS('System map'!$A$4:$A$203,C665,'System map'!$B$4:$B$203,"&lt;&gt;",'System map'!$C$4:$C$203,"&lt;&gt;",'System map'!$D$4:$D$203,"&lt;&gt;"),COUNTIFS(Components!$A$4:$A$253,C665,Components!$B$4:$B$253,B665,Components!$K$4:$K$253,"Confirmed",Components!$L$4:$L$253,"OK — verify source"))))&lt;&gt;1,IF(E665="UC",COUNTIFS('Use cases'!$A$4:$A$253,F665,'Use cases'!$I$4:$I$253,"Confirmed",'Use cases'!$J$4:$J$253,"OK — verify source"),IF(E665="CAP",COUNTIFS(Capabilities!$A$4:$A$253,F665,Capabilities!$J$4:$J$253,"Confirmed",Capabilities!$K$4:$K$253,"OK — verify source"),IF(E665="AIR",COUNTIFS('System map'!$A$4:$A$203,F665,'System map'!$B$4:$B$203,"&lt;&gt;",'System map'!$C$4:$C$203,"&lt;&gt;",'System map'!$D$4:$D$203,"&lt;&gt;"),COUNTIFS(Components!$A$4:$A$253,F665,Components!$B$4:$B$253,E665,Components!$K$4:$K$253,"Confirmed",Components!$L$4:$L$253,"OK — verify source"))))&lt;&gt;1)),"Endpoint not source-reconciled",IF(AND(M665="Confirmed",OR(L665="",K665="",K665="Unknown",K665="Low")),"Confirmed link lacks verification","OK — verify source"))))))))))))))</f>
        <v/>
      </c>
    </row>
    <row r="666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6" t="n"/>
      <c r="M666" s="25" t="n"/>
      <c r="N666" s="25">
        <f>IF(COUNTA(A666:M666)=0,"",IF(OR(A666="",B666="",C666="",D666="",E666="",F666="",I666="",J666="",K666="",M666=""),"Required link detail missing",IF(COUNTIF($A$4:$A$1003,A666)&gt;1,"Duplicate Map Edge ID",IF(NOT(OR(AND(B666="UC",E666="CAP",D666="requires"),AND(B666="CAP",E666="AIR",D666="provided by"),AND(B666="AIR",OR(E666="MOD",E666="DATA",E666="IF",E666="AG",E666="TOOL"),D666="references"),AND(B666="AIR",E666="AIR",D666="depends on"))),"Invalid relationship",IF(AND(M666&lt;&gt;"Superseded",COUNTIFS($B$4:$B$1003,B666,$C$4:$C$1003,C666,$D$4:$D$1003,D666,$E$4:$E$1003,E666,$F$4:$F$1003,F666,$G$4:$G$1003,G666,$M$4:$M$1003,"&lt;&gt;Superseded")&gt;1),"Duplicate relationship",IF(OR(IF(B666="UC",COUNTIF('Use cases'!$A$4:$A$253,C666),IF(B666="CAP",COUNTIF(Capabilities!$A$4:$A$253,C666),IF(B666="AIR",COUNTIF('System map'!$A$4:$A$203,C666),COUNTIFS(Components!$A$4:$A$253,C666,Components!$B$4:$B$253,B666))))&lt;&gt;1,IF(E666="UC",COUNTIF('Use cases'!$A$4:$A$253,F666),IF(E666="CAP",COUNTIF(Capabilities!$A$4:$A$253,F666),IF(E666="AIR",COUNTIF('System map'!$A$4:$A$203,F666),COUNTIFS(Components!$A$4:$A$253,F666,Components!$B$4:$B$253,E666))))&lt;&gt;1),"Endpoint missing or duplicated",IF(AND(NOT(AND(B666="UC",E666="CAP")),OR(G666="",COUNTIF('System map'!$A$4:$A$203,G666)&lt;&gt;1)),"AIR context missing / unknown",IF(AND(B666="CAP",E666="AIR",G666&lt;&gt;F666),"AIR context mismatch",IF(AND(B666="AIR",G666&lt;&gt;C666),"AIR context mismatch",IF(AND(B666="AIR",E666="AIR",C666=F666),"Self-dependency",IF(AND(B666="AIR",E666="AIR",M666&lt;&gt;"Superseded",COUNTIFS($B$4:$B$1003,"AIR",$C$4:$C$1003,F666,$E$4:$E$1003,"AIR",$F$4:$F$1003,C666,$M$4:$M$1003,"&lt;&gt;Superseded")&gt;0),"Dependency cycle (A↔B) — review",IF(AND(B666="AIR",OR(E666="MOD",E666="DATA",E666="IF",E666="AG",E666="TOOL"),IFERROR(INDEX(Components!$G$4:$G$253,MATCH(F666,Components!$A$4:$A$253,0)),"")&lt;&gt;"",IFERROR(INDEX(Components!$G$4:$G$253,MATCH(F666,Components!$A$4:$A$253,0)),"")&lt;&gt;C666),"Component owned by another AIR-ID",IF(AND(M666="Confirmed",OR(IF(B666="UC",COUNTIFS('Use cases'!$A$4:$A$253,C666,'Use cases'!$I$4:$I$253,"Confirmed",'Use cases'!$J$4:$J$253,"OK — verify source"),IF(B666="CAP",COUNTIFS(Capabilities!$A$4:$A$253,C666,Capabilities!$J$4:$J$253,"Confirmed",Capabilities!$K$4:$K$253,"OK — verify source"),IF(B666="AIR",COUNTIFS('System map'!$A$4:$A$203,C666,'System map'!$B$4:$B$203,"&lt;&gt;",'System map'!$C$4:$C$203,"&lt;&gt;",'System map'!$D$4:$D$203,"&lt;&gt;"),COUNTIFS(Components!$A$4:$A$253,C666,Components!$B$4:$B$253,B666,Components!$K$4:$K$253,"Confirmed",Components!$L$4:$L$253,"OK — verify source"))))&lt;&gt;1,IF(E666="UC",COUNTIFS('Use cases'!$A$4:$A$253,F666,'Use cases'!$I$4:$I$253,"Confirmed",'Use cases'!$J$4:$J$253,"OK — verify source"),IF(E666="CAP",COUNTIFS(Capabilities!$A$4:$A$253,F666,Capabilities!$J$4:$J$253,"Confirmed",Capabilities!$K$4:$K$253,"OK — verify source"),IF(E666="AIR",COUNTIFS('System map'!$A$4:$A$203,F666,'System map'!$B$4:$B$203,"&lt;&gt;",'System map'!$C$4:$C$203,"&lt;&gt;",'System map'!$D$4:$D$203,"&lt;&gt;"),COUNTIFS(Components!$A$4:$A$253,F666,Components!$B$4:$B$253,E666,Components!$K$4:$K$253,"Confirmed",Components!$L$4:$L$253,"OK — verify source"))))&lt;&gt;1)),"Endpoint not source-reconciled",IF(AND(M666="Confirmed",OR(L666="",K666="",K666="Unknown",K666="Low")),"Confirmed link lacks verification","OK — verify source"))))))))))))))</f>
        <v/>
      </c>
    </row>
    <row r="667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8" t="n"/>
      <c r="M667" s="27" t="n"/>
      <c r="N667" s="27">
        <f>IF(COUNTA(A667:M667)=0,"",IF(OR(A667="",B667="",C667="",D667="",E667="",F667="",I667="",J667="",K667="",M667=""),"Required link detail missing",IF(COUNTIF($A$4:$A$1003,A667)&gt;1,"Duplicate Map Edge ID",IF(NOT(OR(AND(B667="UC",E667="CAP",D667="requires"),AND(B667="CAP",E667="AIR",D667="provided by"),AND(B667="AIR",OR(E667="MOD",E667="DATA",E667="IF",E667="AG",E667="TOOL"),D667="references"),AND(B667="AIR",E667="AIR",D667="depends on"))),"Invalid relationship",IF(AND(M667&lt;&gt;"Superseded",COUNTIFS($B$4:$B$1003,B667,$C$4:$C$1003,C667,$D$4:$D$1003,D667,$E$4:$E$1003,E667,$F$4:$F$1003,F667,$G$4:$G$1003,G667,$M$4:$M$1003,"&lt;&gt;Superseded")&gt;1),"Duplicate relationship",IF(OR(IF(B667="UC",COUNTIF('Use cases'!$A$4:$A$253,C667),IF(B667="CAP",COUNTIF(Capabilities!$A$4:$A$253,C667),IF(B667="AIR",COUNTIF('System map'!$A$4:$A$203,C667),COUNTIFS(Components!$A$4:$A$253,C667,Components!$B$4:$B$253,B667))))&lt;&gt;1,IF(E667="UC",COUNTIF('Use cases'!$A$4:$A$253,F667),IF(E667="CAP",COUNTIF(Capabilities!$A$4:$A$253,F667),IF(E667="AIR",COUNTIF('System map'!$A$4:$A$203,F667),COUNTIFS(Components!$A$4:$A$253,F667,Components!$B$4:$B$253,E667))))&lt;&gt;1),"Endpoint missing or duplicated",IF(AND(NOT(AND(B667="UC",E667="CAP")),OR(G667="",COUNTIF('System map'!$A$4:$A$203,G667)&lt;&gt;1)),"AIR context missing / unknown",IF(AND(B667="CAP",E667="AIR",G667&lt;&gt;F667),"AIR context mismatch",IF(AND(B667="AIR",G667&lt;&gt;C667),"AIR context mismatch",IF(AND(B667="AIR",E667="AIR",C667=F667),"Self-dependency",IF(AND(B667="AIR",E667="AIR",M667&lt;&gt;"Superseded",COUNTIFS($B$4:$B$1003,"AIR",$C$4:$C$1003,F667,$E$4:$E$1003,"AIR",$F$4:$F$1003,C667,$M$4:$M$1003,"&lt;&gt;Superseded")&gt;0),"Dependency cycle (A↔B) — review",IF(AND(B667="AIR",OR(E667="MOD",E667="DATA",E667="IF",E667="AG",E667="TOOL"),IFERROR(INDEX(Components!$G$4:$G$253,MATCH(F667,Components!$A$4:$A$253,0)),"")&lt;&gt;"",IFERROR(INDEX(Components!$G$4:$G$253,MATCH(F667,Components!$A$4:$A$253,0)),"")&lt;&gt;C667),"Component owned by another AIR-ID",IF(AND(M667="Confirmed",OR(IF(B667="UC",COUNTIFS('Use cases'!$A$4:$A$253,C667,'Use cases'!$I$4:$I$253,"Confirmed",'Use cases'!$J$4:$J$253,"OK — verify source"),IF(B667="CAP",COUNTIFS(Capabilities!$A$4:$A$253,C667,Capabilities!$J$4:$J$253,"Confirmed",Capabilities!$K$4:$K$253,"OK — verify source"),IF(B667="AIR",COUNTIFS('System map'!$A$4:$A$203,C667,'System map'!$B$4:$B$203,"&lt;&gt;",'System map'!$C$4:$C$203,"&lt;&gt;",'System map'!$D$4:$D$203,"&lt;&gt;"),COUNTIFS(Components!$A$4:$A$253,C667,Components!$B$4:$B$253,B667,Components!$K$4:$K$253,"Confirmed",Components!$L$4:$L$253,"OK — verify source"))))&lt;&gt;1,IF(E667="UC",COUNTIFS('Use cases'!$A$4:$A$253,F667,'Use cases'!$I$4:$I$253,"Confirmed",'Use cases'!$J$4:$J$253,"OK — verify source"),IF(E667="CAP",COUNTIFS(Capabilities!$A$4:$A$253,F667,Capabilities!$J$4:$J$253,"Confirmed",Capabilities!$K$4:$K$253,"OK — verify source"),IF(E667="AIR",COUNTIFS('System map'!$A$4:$A$203,F667,'System map'!$B$4:$B$203,"&lt;&gt;",'System map'!$C$4:$C$203,"&lt;&gt;",'System map'!$D$4:$D$203,"&lt;&gt;"),COUNTIFS(Components!$A$4:$A$253,F667,Components!$B$4:$B$253,E667,Components!$K$4:$K$253,"Confirmed",Components!$L$4:$L$253,"OK — verify source"))))&lt;&gt;1)),"Endpoint not source-reconciled",IF(AND(M667="Confirmed",OR(L667="",K667="",K667="Unknown",K667="Low")),"Confirmed link lacks verification","OK — verify source"))))))))))))))</f>
        <v/>
      </c>
    </row>
    <row r="668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6" t="n"/>
      <c r="M668" s="25" t="n"/>
      <c r="N668" s="25">
        <f>IF(COUNTA(A668:M668)=0,"",IF(OR(A668="",B668="",C668="",D668="",E668="",F668="",I668="",J668="",K668="",M668=""),"Required link detail missing",IF(COUNTIF($A$4:$A$1003,A668)&gt;1,"Duplicate Map Edge ID",IF(NOT(OR(AND(B668="UC",E668="CAP",D668="requires"),AND(B668="CAP",E668="AIR",D668="provided by"),AND(B668="AIR",OR(E668="MOD",E668="DATA",E668="IF",E668="AG",E668="TOOL"),D668="references"),AND(B668="AIR",E668="AIR",D668="depends on"))),"Invalid relationship",IF(AND(M668&lt;&gt;"Superseded",COUNTIFS($B$4:$B$1003,B668,$C$4:$C$1003,C668,$D$4:$D$1003,D668,$E$4:$E$1003,E668,$F$4:$F$1003,F668,$G$4:$G$1003,G668,$M$4:$M$1003,"&lt;&gt;Superseded")&gt;1),"Duplicate relationship",IF(OR(IF(B668="UC",COUNTIF('Use cases'!$A$4:$A$253,C668),IF(B668="CAP",COUNTIF(Capabilities!$A$4:$A$253,C668),IF(B668="AIR",COUNTIF('System map'!$A$4:$A$203,C668),COUNTIFS(Components!$A$4:$A$253,C668,Components!$B$4:$B$253,B668))))&lt;&gt;1,IF(E668="UC",COUNTIF('Use cases'!$A$4:$A$253,F668),IF(E668="CAP",COUNTIF(Capabilities!$A$4:$A$253,F668),IF(E668="AIR",COUNTIF('System map'!$A$4:$A$203,F668),COUNTIFS(Components!$A$4:$A$253,F668,Components!$B$4:$B$253,E668))))&lt;&gt;1),"Endpoint missing or duplicated",IF(AND(NOT(AND(B668="UC",E668="CAP")),OR(G668="",COUNTIF('System map'!$A$4:$A$203,G668)&lt;&gt;1)),"AIR context missing / unknown",IF(AND(B668="CAP",E668="AIR",G668&lt;&gt;F668),"AIR context mismatch",IF(AND(B668="AIR",G668&lt;&gt;C668),"AIR context mismatch",IF(AND(B668="AIR",E668="AIR",C668=F668),"Self-dependency",IF(AND(B668="AIR",E668="AIR",M668&lt;&gt;"Superseded",COUNTIFS($B$4:$B$1003,"AIR",$C$4:$C$1003,F668,$E$4:$E$1003,"AIR",$F$4:$F$1003,C668,$M$4:$M$1003,"&lt;&gt;Superseded")&gt;0),"Dependency cycle (A↔B) — review",IF(AND(B668="AIR",OR(E668="MOD",E668="DATA",E668="IF",E668="AG",E668="TOOL"),IFERROR(INDEX(Components!$G$4:$G$253,MATCH(F668,Components!$A$4:$A$253,0)),"")&lt;&gt;"",IFERROR(INDEX(Components!$G$4:$G$253,MATCH(F668,Components!$A$4:$A$253,0)),"")&lt;&gt;C668),"Component owned by another AIR-ID",IF(AND(M668="Confirmed",OR(IF(B668="UC",COUNTIFS('Use cases'!$A$4:$A$253,C668,'Use cases'!$I$4:$I$253,"Confirmed",'Use cases'!$J$4:$J$253,"OK — verify source"),IF(B668="CAP",COUNTIFS(Capabilities!$A$4:$A$253,C668,Capabilities!$J$4:$J$253,"Confirmed",Capabilities!$K$4:$K$253,"OK — verify source"),IF(B668="AIR",COUNTIFS('System map'!$A$4:$A$203,C668,'System map'!$B$4:$B$203,"&lt;&gt;",'System map'!$C$4:$C$203,"&lt;&gt;",'System map'!$D$4:$D$203,"&lt;&gt;"),COUNTIFS(Components!$A$4:$A$253,C668,Components!$B$4:$B$253,B668,Components!$K$4:$K$253,"Confirmed",Components!$L$4:$L$253,"OK — verify source"))))&lt;&gt;1,IF(E668="UC",COUNTIFS('Use cases'!$A$4:$A$253,F668,'Use cases'!$I$4:$I$253,"Confirmed",'Use cases'!$J$4:$J$253,"OK — verify source"),IF(E668="CAP",COUNTIFS(Capabilities!$A$4:$A$253,F668,Capabilities!$J$4:$J$253,"Confirmed",Capabilities!$K$4:$K$253,"OK — verify source"),IF(E668="AIR",COUNTIFS('System map'!$A$4:$A$203,F668,'System map'!$B$4:$B$203,"&lt;&gt;",'System map'!$C$4:$C$203,"&lt;&gt;",'System map'!$D$4:$D$203,"&lt;&gt;"),COUNTIFS(Components!$A$4:$A$253,F668,Components!$B$4:$B$253,E668,Components!$K$4:$K$253,"Confirmed",Components!$L$4:$L$253,"OK — verify source"))))&lt;&gt;1)),"Endpoint not source-reconciled",IF(AND(M668="Confirmed",OR(L668="",K668="",K668="Unknown",K668="Low")),"Confirmed link lacks verification","OK — verify source"))))))))))))))</f>
        <v/>
      </c>
    </row>
    <row r="669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8" t="n"/>
      <c r="M669" s="27" t="n"/>
      <c r="N669" s="27">
        <f>IF(COUNTA(A669:M669)=0,"",IF(OR(A669="",B669="",C669="",D669="",E669="",F669="",I669="",J669="",K669="",M669=""),"Required link detail missing",IF(COUNTIF($A$4:$A$1003,A669)&gt;1,"Duplicate Map Edge ID",IF(NOT(OR(AND(B669="UC",E669="CAP",D669="requires"),AND(B669="CAP",E669="AIR",D669="provided by"),AND(B669="AIR",OR(E669="MOD",E669="DATA",E669="IF",E669="AG",E669="TOOL"),D669="references"),AND(B669="AIR",E669="AIR",D669="depends on"))),"Invalid relationship",IF(AND(M669&lt;&gt;"Superseded",COUNTIFS($B$4:$B$1003,B669,$C$4:$C$1003,C669,$D$4:$D$1003,D669,$E$4:$E$1003,E669,$F$4:$F$1003,F669,$G$4:$G$1003,G669,$M$4:$M$1003,"&lt;&gt;Superseded")&gt;1),"Duplicate relationship",IF(OR(IF(B669="UC",COUNTIF('Use cases'!$A$4:$A$253,C669),IF(B669="CAP",COUNTIF(Capabilities!$A$4:$A$253,C669),IF(B669="AIR",COUNTIF('System map'!$A$4:$A$203,C669),COUNTIFS(Components!$A$4:$A$253,C669,Components!$B$4:$B$253,B669))))&lt;&gt;1,IF(E669="UC",COUNTIF('Use cases'!$A$4:$A$253,F669),IF(E669="CAP",COUNTIF(Capabilities!$A$4:$A$253,F669),IF(E669="AIR",COUNTIF('System map'!$A$4:$A$203,F669),COUNTIFS(Components!$A$4:$A$253,F669,Components!$B$4:$B$253,E669))))&lt;&gt;1),"Endpoint missing or duplicated",IF(AND(NOT(AND(B669="UC",E669="CAP")),OR(G669="",COUNTIF('System map'!$A$4:$A$203,G669)&lt;&gt;1)),"AIR context missing / unknown",IF(AND(B669="CAP",E669="AIR",G669&lt;&gt;F669),"AIR context mismatch",IF(AND(B669="AIR",G669&lt;&gt;C669),"AIR context mismatch",IF(AND(B669="AIR",E669="AIR",C669=F669),"Self-dependency",IF(AND(B669="AIR",E669="AIR",M669&lt;&gt;"Superseded",COUNTIFS($B$4:$B$1003,"AIR",$C$4:$C$1003,F669,$E$4:$E$1003,"AIR",$F$4:$F$1003,C669,$M$4:$M$1003,"&lt;&gt;Superseded")&gt;0),"Dependency cycle (A↔B) — review",IF(AND(B669="AIR",OR(E669="MOD",E669="DATA",E669="IF",E669="AG",E669="TOOL"),IFERROR(INDEX(Components!$G$4:$G$253,MATCH(F669,Components!$A$4:$A$253,0)),"")&lt;&gt;"",IFERROR(INDEX(Components!$G$4:$G$253,MATCH(F669,Components!$A$4:$A$253,0)),"")&lt;&gt;C669),"Component owned by another AIR-ID",IF(AND(M669="Confirmed",OR(IF(B669="UC",COUNTIFS('Use cases'!$A$4:$A$253,C669,'Use cases'!$I$4:$I$253,"Confirmed",'Use cases'!$J$4:$J$253,"OK — verify source"),IF(B669="CAP",COUNTIFS(Capabilities!$A$4:$A$253,C669,Capabilities!$J$4:$J$253,"Confirmed",Capabilities!$K$4:$K$253,"OK — verify source"),IF(B669="AIR",COUNTIFS('System map'!$A$4:$A$203,C669,'System map'!$B$4:$B$203,"&lt;&gt;",'System map'!$C$4:$C$203,"&lt;&gt;",'System map'!$D$4:$D$203,"&lt;&gt;"),COUNTIFS(Components!$A$4:$A$253,C669,Components!$B$4:$B$253,B669,Components!$K$4:$K$253,"Confirmed",Components!$L$4:$L$253,"OK — verify source"))))&lt;&gt;1,IF(E669="UC",COUNTIFS('Use cases'!$A$4:$A$253,F669,'Use cases'!$I$4:$I$253,"Confirmed",'Use cases'!$J$4:$J$253,"OK — verify source"),IF(E669="CAP",COUNTIFS(Capabilities!$A$4:$A$253,F669,Capabilities!$J$4:$J$253,"Confirmed",Capabilities!$K$4:$K$253,"OK — verify source"),IF(E669="AIR",COUNTIFS('System map'!$A$4:$A$203,F669,'System map'!$B$4:$B$203,"&lt;&gt;",'System map'!$C$4:$C$203,"&lt;&gt;",'System map'!$D$4:$D$203,"&lt;&gt;"),COUNTIFS(Components!$A$4:$A$253,F669,Components!$B$4:$B$253,E669,Components!$K$4:$K$253,"Confirmed",Components!$L$4:$L$253,"OK — verify source"))))&lt;&gt;1)),"Endpoint not source-reconciled",IF(AND(M669="Confirmed",OR(L669="",K669="",K669="Unknown",K669="Low")),"Confirmed link lacks verification","OK — verify source"))))))))))))))</f>
        <v/>
      </c>
    </row>
    <row r="670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6" t="n"/>
      <c r="M670" s="25" t="n"/>
      <c r="N670" s="25">
        <f>IF(COUNTA(A670:M670)=0,"",IF(OR(A670="",B670="",C670="",D670="",E670="",F670="",I670="",J670="",K670="",M670=""),"Required link detail missing",IF(COUNTIF($A$4:$A$1003,A670)&gt;1,"Duplicate Map Edge ID",IF(NOT(OR(AND(B670="UC",E670="CAP",D670="requires"),AND(B670="CAP",E670="AIR",D670="provided by"),AND(B670="AIR",OR(E670="MOD",E670="DATA",E670="IF",E670="AG",E670="TOOL"),D670="references"),AND(B670="AIR",E670="AIR",D670="depends on"))),"Invalid relationship",IF(AND(M670&lt;&gt;"Superseded",COUNTIFS($B$4:$B$1003,B670,$C$4:$C$1003,C670,$D$4:$D$1003,D670,$E$4:$E$1003,E670,$F$4:$F$1003,F670,$G$4:$G$1003,G670,$M$4:$M$1003,"&lt;&gt;Superseded")&gt;1),"Duplicate relationship",IF(OR(IF(B670="UC",COUNTIF('Use cases'!$A$4:$A$253,C670),IF(B670="CAP",COUNTIF(Capabilities!$A$4:$A$253,C670),IF(B670="AIR",COUNTIF('System map'!$A$4:$A$203,C670),COUNTIFS(Components!$A$4:$A$253,C670,Components!$B$4:$B$253,B670))))&lt;&gt;1,IF(E670="UC",COUNTIF('Use cases'!$A$4:$A$253,F670),IF(E670="CAP",COUNTIF(Capabilities!$A$4:$A$253,F670),IF(E670="AIR",COUNTIF('System map'!$A$4:$A$203,F670),COUNTIFS(Components!$A$4:$A$253,F670,Components!$B$4:$B$253,E670))))&lt;&gt;1),"Endpoint missing or duplicated",IF(AND(NOT(AND(B670="UC",E670="CAP")),OR(G670="",COUNTIF('System map'!$A$4:$A$203,G670)&lt;&gt;1)),"AIR context missing / unknown",IF(AND(B670="CAP",E670="AIR",G670&lt;&gt;F670),"AIR context mismatch",IF(AND(B670="AIR",G670&lt;&gt;C670),"AIR context mismatch",IF(AND(B670="AIR",E670="AIR",C670=F670),"Self-dependency",IF(AND(B670="AIR",E670="AIR",M670&lt;&gt;"Superseded",COUNTIFS($B$4:$B$1003,"AIR",$C$4:$C$1003,F670,$E$4:$E$1003,"AIR",$F$4:$F$1003,C670,$M$4:$M$1003,"&lt;&gt;Superseded")&gt;0),"Dependency cycle (A↔B) — review",IF(AND(B670="AIR",OR(E670="MOD",E670="DATA",E670="IF",E670="AG",E670="TOOL"),IFERROR(INDEX(Components!$G$4:$G$253,MATCH(F670,Components!$A$4:$A$253,0)),"")&lt;&gt;"",IFERROR(INDEX(Components!$G$4:$G$253,MATCH(F670,Components!$A$4:$A$253,0)),"")&lt;&gt;C670),"Component owned by another AIR-ID",IF(AND(M670="Confirmed",OR(IF(B670="UC",COUNTIFS('Use cases'!$A$4:$A$253,C670,'Use cases'!$I$4:$I$253,"Confirmed",'Use cases'!$J$4:$J$253,"OK — verify source"),IF(B670="CAP",COUNTIFS(Capabilities!$A$4:$A$253,C670,Capabilities!$J$4:$J$253,"Confirmed",Capabilities!$K$4:$K$253,"OK — verify source"),IF(B670="AIR",COUNTIFS('System map'!$A$4:$A$203,C670,'System map'!$B$4:$B$203,"&lt;&gt;",'System map'!$C$4:$C$203,"&lt;&gt;",'System map'!$D$4:$D$203,"&lt;&gt;"),COUNTIFS(Components!$A$4:$A$253,C670,Components!$B$4:$B$253,B670,Components!$K$4:$K$253,"Confirmed",Components!$L$4:$L$253,"OK — verify source"))))&lt;&gt;1,IF(E670="UC",COUNTIFS('Use cases'!$A$4:$A$253,F670,'Use cases'!$I$4:$I$253,"Confirmed",'Use cases'!$J$4:$J$253,"OK — verify source"),IF(E670="CAP",COUNTIFS(Capabilities!$A$4:$A$253,F670,Capabilities!$J$4:$J$253,"Confirmed",Capabilities!$K$4:$K$253,"OK — verify source"),IF(E670="AIR",COUNTIFS('System map'!$A$4:$A$203,F670,'System map'!$B$4:$B$203,"&lt;&gt;",'System map'!$C$4:$C$203,"&lt;&gt;",'System map'!$D$4:$D$203,"&lt;&gt;"),COUNTIFS(Components!$A$4:$A$253,F670,Components!$B$4:$B$253,E670,Components!$K$4:$K$253,"Confirmed",Components!$L$4:$L$253,"OK — verify source"))))&lt;&gt;1)),"Endpoint not source-reconciled",IF(AND(M670="Confirmed",OR(L670="",K670="",K670="Unknown",K670="Low")),"Confirmed link lacks verification","OK — verify source"))))))))))))))</f>
        <v/>
      </c>
    </row>
    <row r="671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8" t="n"/>
      <c r="M671" s="27" t="n"/>
      <c r="N671" s="27">
        <f>IF(COUNTA(A671:M671)=0,"",IF(OR(A671="",B671="",C671="",D671="",E671="",F671="",I671="",J671="",K671="",M671=""),"Required link detail missing",IF(COUNTIF($A$4:$A$1003,A671)&gt;1,"Duplicate Map Edge ID",IF(NOT(OR(AND(B671="UC",E671="CAP",D671="requires"),AND(B671="CAP",E671="AIR",D671="provided by"),AND(B671="AIR",OR(E671="MOD",E671="DATA",E671="IF",E671="AG",E671="TOOL"),D671="references"),AND(B671="AIR",E671="AIR",D671="depends on"))),"Invalid relationship",IF(AND(M671&lt;&gt;"Superseded",COUNTIFS($B$4:$B$1003,B671,$C$4:$C$1003,C671,$D$4:$D$1003,D671,$E$4:$E$1003,E671,$F$4:$F$1003,F671,$G$4:$G$1003,G671,$M$4:$M$1003,"&lt;&gt;Superseded")&gt;1),"Duplicate relationship",IF(OR(IF(B671="UC",COUNTIF('Use cases'!$A$4:$A$253,C671),IF(B671="CAP",COUNTIF(Capabilities!$A$4:$A$253,C671),IF(B671="AIR",COUNTIF('System map'!$A$4:$A$203,C671),COUNTIFS(Components!$A$4:$A$253,C671,Components!$B$4:$B$253,B671))))&lt;&gt;1,IF(E671="UC",COUNTIF('Use cases'!$A$4:$A$253,F671),IF(E671="CAP",COUNTIF(Capabilities!$A$4:$A$253,F671),IF(E671="AIR",COUNTIF('System map'!$A$4:$A$203,F671),COUNTIFS(Components!$A$4:$A$253,F671,Components!$B$4:$B$253,E671))))&lt;&gt;1),"Endpoint missing or duplicated",IF(AND(NOT(AND(B671="UC",E671="CAP")),OR(G671="",COUNTIF('System map'!$A$4:$A$203,G671)&lt;&gt;1)),"AIR context missing / unknown",IF(AND(B671="CAP",E671="AIR",G671&lt;&gt;F671),"AIR context mismatch",IF(AND(B671="AIR",G671&lt;&gt;C671),"AIR context mismatch",IF(AND(B671="AIR",E671="AIR",C671=F671),"Self-dependency",IF(AND(B671="AIR",E671="AIR",M671&lt;&gt;"Superseded",COUNTIFS($B$4:$B$1003,"AIR",$C$4:$C$1003,F671,$E$4:$E$1003,"AIR",$F$4:$F$1003,C671,$M$4:$M$1003,"&lt;&gt;Superseded")&gt;0),"Dependency cycle (A↔B) — review",IF(AND(B671="AIR",OR(E671="MOD",E671="DATA",E671="IF",E671="AG",E671="TOOL"),IFERROR(INDEX(Components!$G$4:$G$253,MATCH(F671,Components!$A$4:$A$253,0)),"")&lt;&gt;"",IFERROR(INDEX(Components!$G$4:$G$253,MATCH(F671,Components!$A$4:$A$253,0)),"")&lt;&gt;C671),"Component owned by another AIR-ID",IF(AND(M671="Confirmed",OR(IF(B671="UC",COUNTIFS('Use cases'!$A$4:$A$253,C671,'Use cases'!$I$4:$I$253,"Confirmed",'Use cases'!$J$4:$J$253,"OK — verify source"),IF(B671="CAP",COUNTIFS(Capabilities!$A$4:$A$253,C671,Capabilities!$J$4:$J$253,"Confirmed",Capabilities!$K$4:$K$253,"OK — verify source"),IF(B671="AIR",COUNTIFS('System map'!$A$4:$A$203,C671,'System map'!$B$4:$B$203,"&lt;&gt;",'System map'!$C$4:$C$203,"&lt;&gt;",'System map'!$D$4:$D$203,"&lt;&gt;"),COUNTIFS(Components!$A$4:$A$253,C671,Components!$B$4:$B$253,B671,Components!$K$4:$K$253,"Confirmed",Components!$L$4:$L$253,"OK — verify source"))))&lt;&gt;1,IF(E671="UC",COUNTIFS('Use cases'!$A$4:$A$253,F671,'Use cases'!$I$4:$I$253,"Confirmed",'Use cases'!$J$4:$J$253,"OK — verify source"),IF(E671="CAP",COUNTIFS(Capabilities!$A$4:$A$253,F671,Capabilities!$J$4:$J$253,"Confirmed",Capabilities!$K$4:$K$253,"OK — verify source"),IF(E671="AIR",COUNTIFS('System map'!$A$4:$A$203,F671,'System map'!$B$4:$B$203,"&lt;&gt;",'System map'!$C$4:$C$203,"&lt;&gt;",'System map'!$D$4:$D$203,"&lt;&gt;"),COUNTIFS(Components!$A$4:$A$253,F671,Components!$B$4:$B$253,E671,Components!$K$4:$K$253,"Confirmed",Components!$L$4:$L$253,"OK — verify source"))))&lt;&gt;1)),"Endpoint not source-reconciled",IF(AND(M671="Confirmed",OR(L671="",K671="",K671="Unknown",K671="Low")),"Confirmed link lacks verification","OK — verify source"))))))))))))))</f>
        <v/>
      </c>
    </row>
    <row r="672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6" t="n"/>
      <c r="M672" s="25" t="n"/>
      <c r="N672" s="25">
        <f>IF(COUNTA(A672:M672)=0,"",IF(OR(A672="",B672="",C672="",D672="",E672="",F672="",I672="",J672="",K672="",M672=""),"Required link detail missing",IF(COUNTIF($A$4:$A$1003,A672)&gt;1,"Duplicate Map Edge ID",IF(NOT(OR(AND(B672="UC",E672="CAP",D672="requires"),AND(B672="CAP",E672="AIR",D672="provided by"),AND(B672="AIR",OR(E672="MOD",E672="DATA",E672="IF",E672="AG",E672="TOOL"),D672="references"),AND(B672="AIR",E672="AIR",D672="depends on"))),"Invalid relationship",IF(AND(M672&lt;&gt;"Superseded",COUNTIFS($B$4:$B$1003,B672,$C$4:$C$1003,C672,$D$4:$D$1003,D672,$E$4:$E$1003,E672,$F$4:$F$1003,F672,$G$4:$G$1003,G672,$M$4:$M$1003,"&lt;&gt;Superseded")&gt;1),"Duplicate relationship",IF(OR(IF(B672="UC",COUNTIF('Use cases'!$A$4:$A$253,C672),IF(B672="CAP",COUNTIF(Capabilities!$A$4:$A$253,C672),IF(B672="AIR",COUNTIF('System map'!$A$4:$A$203,C672),COUNTIFS(Components!$A$4:$A$253,C672,Components!$B$4:$B$253,B672))))&lt;&gt;1,IF(E672="UC",COUNTIF('Use cases'!$A$4:$A$253,F672),IF(E672="CAP",COUNTIF(Capabilities!$A$4:$A$253,F672),IF(E672="AIR",COUNTIF('System map'!$A$4:$A$203,F672),COUNTIFS(Components!$A$4:$A$253,F672,Components!$B$4:$B$253,E672))))&lt;&gt;1),"Endpoint missing or duplicated",IF(AND(NOT(AND(B672="UC",E672="CAP")),OR(G672="",COUNTIF('System map'!$A$4:$A$203,G672)&lt;&gt;1)),"AIR context missing / unknown",IF(AND(B672="CAP",E672="AIR",G672&lt;&gt;F672),"AIR context mismatch",IF(AND(B672="AIR",G672&lt;&gt;C672),"AIR context mismatch",IF(AND(B672="AIR",E672="AIR",C672=F672),"Self-dependency",IF(AND(B672="AIR",E672="AIR",M672&lt;&gt;"Superseded",COUNTIFS($B$4:$B$1003,"AIR",$C$4:$C$1003,F672,$E$4:$E$1003,"AIR",$F$4:$F$1003,C672,$M$4:$M$1003,"&lt;&gt;Superseded")&gt;0),"Dependency cycle (A↔B) — review",IF(AND(B672="AIR",OR(E672="MOD",E672="DATA",E672="IF",E672="AG",E672="TOOL"),IFERROR(INDEX(Components!$G$4:$G$253,MATCH(F672,Components!$A$4:$A$253,0)),"")&lt;&gt;"",IFERROR(INDEX(Components!$G$4:$G$253,MATCH(F672,Components!$A$4:$A$253,0)),"")&lt;&gt;C672),"Component owned by another AIR-ID",IF(AND(M672="Confirmed",OR(IF(B672="UC",COUNTIFS('Use cases'!$A$4:$A$253,C672,'Use cases'!$I$4:$I$253,"Confirmed",'Use cases'!$J$4:$J$253,"OK — verify source"),IF(B672="CAP",COUNTIFS(Capabilities!$A$4:$A$253,C672,Capabilities!$J$4:$J$253,"Confirmed",Capabilities!$K$4:$K$253,"OK — verify source"),IF(B672="AIR",COUNTIFS('System map'!$A$4:$A$203,C672,'System map'!$B$4:$B$203,"&lt;&gt;",'System map'!$C$4:$C$203,"&lt;&gt;",'System map'!$D$4:$D$203,"&lt;&gt;"),COUNTIFS(Components!$A$4:$A$253,C672,Components!$B$4:$B$253,B672,Components!$K$4:$K$253,"Confirmed",Components!$L$4:$L$253,"OK — verify source"))))&lt;&gt;1,IF(E672="UC",COUNTIFS('Use cases'!$A$4:$A$253,F672,'Use cases'!$I$4:$I$253,"Confirmed",'Use cases'!$J$4:$J$253,"OK — verify source"),IF(E672="CAP",COUNTIFS(Capabilities!$A$4:$A$253,F672,Capabilities!$J$4:$J$253,"Confirmed",Capabilities!$K$4:$K$253,"OK — verify source"),IF(E672="AIR",COUNTIFS('System map'!$A$4:$A$203,F672,'System map'!$B$4:$B$203,"&lt;&gt;",'System map'!$C$4:$C$203,"&lt;&gt;",'System map'!$D$4:$D$203,"&lt;&gt;"),COUNTIFS(Components!$A$4:$A$253,F672,Components!$B$4:$B$253,E672,Components!$K$4:$K$253,"Confirmed",Components!$L$4:$L$253,"OK — verify source"))))&lt;&gt;1)),"Endpoint not source-reconciled",IF(AND(M672="Confirmed",OR(L672="",K672="",K672="Unknown",K672="Low")),"Confirmed link lacks verification","OK — verify source"))))))))))))))</f>
        <v/>
      </c>
    </row>
    <row r="673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8" t="n"/>
      <c r="M673" s="27" t="n"/>
      <c r="N673" s="27">
        <f>IF(COUNTA(A673:M673)=0,"",IF(OR(A673="",B673="",C673="",D673="",E673="",F673="",I673="",J673="",K673="",M673=""),"Required link detail missing",IF(COUNTIF($A$4:$A$1003,A673)&gt;1,"Duplicate Map Edge ID",IF(NOT(OR(AND(B673="UC",E673="CAP",D673="requires"),AND(B673="CAP",E673="AIR",D673="provided by"),AND(B673="AIR",OR(E673="MOD",E673="DATA",E673="IF",E673="AG",E673="TOOL"),D673="references"),AND(B673="AIR",E673="AIR",D673="depends on"))),"Invalid relationship",IF(AND(M673&lt;&gt;"Superseded",COUNTIFS($B$4:$B$1003,B673,$C$4:$C$1003,C673,$D$4:$D$1003,D673,$E$4:$E$1003,E673,$F$4:$F$1003,F673,$G$4:$G$1003,G673,$M$4:$M$1003,"&lt;&gt;Superseded")&gt;1),"Duplicate relationship",IF(OR(IF(B673="UC",COUNTIF('Use cases'!$A$4:$A$253,C673),IF(B673="CAP",COUNTIF(Capabilities!$A$4:$A$253,C673),IF(B673="AIR",COUNTIF('System map'!$A$4:$A$203,C673),COUNTIFS(Components!$A$4:$A$253,C673,Components!$B$4:$B$253,B673))))&lt;&gt;1,IF(E673="UC",COUNTIF('Use cases'!$A$4:$A$253,F673),IF(E673="CAP",COUNTIF(Capabilities!$A$4:$A$253,F673),IF(E673="AIR",COUNTIF('System map'!$A$4:$A$203,F673),COUNTIFS(Components!$A$4:$A$253,F673,Components!$B$4:$B$253,E673))))&lt;&gt;1),"Endpoint missing or duplicated",IF(AND(NOT(AND(B673="UC",E673="CAP")),OR(G673="",COUNTIF('System map'!$A$4:$A$203,G673)&lt;&gt;1)),"AIR context missing / unknown",IF(AND(B673="CAP",E673="AIR",G673&lt;&gt;F673),"AIR context mismatch",IF(AND(B673="AIR",G673&lt;&gt;C673),"AIR context mismatch",IF(AND(B673="AIR",E673="AIR",C673=F673),"Self-dependency",IF(AND(B673="AIR",E673="AIR",M673&lt;&gt;"Superseded",COUNTIFS($B$4:$B$1003,"AIR",$C$4:$C$1003,F673,$E$4:$E$1003,"AIR",$F$4:$F$1003,C673,$M$4:$M$1003,"&lt;&gt;Superseded")&gt;0),"Dependency cycle (A↔B) — review",IF(AND(B673="AIR",OR(E673="MOD",E673="DATA",E673="IF",E673="AG",E673="TOOL"),IFERROR(INDEX(Components!$G$4:$G$253,MATCH(F673,Components!$A$4:$A$253,0)),"")&lt;&gt;"",IFERROR(INDEX(Components!$G$4:$G$253,MATCH(F673,Components!$A$4:$A$253,0)),"")&lt;&gt;C673),"Component owned by another AIR-ID",IF(AND(M673="Confirmed",OR(IF(B673="UC",COUNTIFS('Use cases'!$A$4:$A$253,C673,'Use cases'!$I$4:$I$253,"Confirmed",'Use cases'!$J$4:$J$253,"OK — verify source"),IF(B673="CAP",COUNTIFS(Capabilities!$A$4:$A$253,C673,Capabilities!$J$4:$J$253,"Confirmed",Capabilities!$K$4:$K$253,"OK — verify source"),IF(B673="AIR",COUNTIFS('System map'!$A$4:$A$203,C673,'System map'!$B$4:$B$203,"&lt;&gt;",'System map'!$C$4:$C$203,"&lt;&gt;",'System map'!$D$4:$D$203,"&lt;&gt;"),COUNTIFS(Components!$A$4:$A$253,C673,Components!$B$4:$B$253,B673,Components!$K$4:$K$253,"Confirmed",Components!$L$4:$L$253,"OK — verify source"))))&lt;&gt;1,IF(E673="UC",COUNTIFS('Use cases'!$A$4:$A$253,F673,'Use cases'!$I$4:$I$253,"Confirmed",'Use cases'!$J$4:$J$253,"OK — verify source"),IF(E673="CAP",COUNTIFS(Capabilities!$A$4:$A$253,F673,Capabilities!$J$4:$J$253,"Confirmed",Capabilities!$K$4:$K$253,"OK — verify source"),IF(E673="AIR",COUNTIFS('System map'!$A$4:$A$203,F673,'System map'!$B$4:$B$203,"&lt;&gt;",'System map'!$C$4:$C$203,"&lt;&gt;",'System map'!$D$4:$D$203,"&lt;&gt;"),COUNTIFS(Components!$A$4:$A$253,F673,Components!$B$4:$B$253,E673,Components!$K$4:$K$253,"Confirmed",Components!$L$4:$L$253,"OK — verify source"))))&lt;&gt;1)),"Endpoint not source-reconciled",IF(AND(M673="Confirmed",OR(L673="",K673="",K673="Unknown",K673="Low")),"Confirmed link lacks verification","OK — verify source"))))))))))))))</f>
        <v/>
      </c>
    </row>
    <row r="67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6" t="n"/>
      <c r="M674" s="25" t="n"/>
      <c r="N674" s="25">
        <f>IF(COUNTA(A674:M674)=0,"",IF(OR(A674="",B674="",C674="",D674="",E674="",F674="",I674="",J674="",K674="",M674=""),"Required link detail missing",IF(COUNTIF($A$4:$A$1003,A674)&gt;1,"Duplicate Map Edge ID",IF(NOT(OR(AND(B674="UC",E674="CAP",D674="requires"),AND(B674="CAP",E674="AIR",D674="provided by"),AND(B674="AIR",OR(E674="MOD",E674="DATA",E674="IF",E674="AG",E674="TOOL"),D674="references"),AND(B674="AIR",E674="AIR",D674="depends on"))),"Invalid relationship",IF(AND(M674&lt;&gt;"Superseded",COUNTIFS($B$4:$B$1003,B674,$C$4:$C$1003,C674,$D$4:$D$1003,D674,$E$4:$E$1003,E674,$F$4:$F$1003,F674,$G$4:$G$1003,G674,$M$4:$M$1003,"&lt;&gt;Superseded")&gt;1),"Duplicate relationship",IF(OR(IF(B674="UC",COUNTIF('Use cases'!$A$4:$A$253,C674),IF(B674="CAP",COUNTIF(Capabilities!$A$4:$A$253,C674),IF(B674="AIR",COUNTIF('System map'!$A$4:$A$203,C674),COUNTIFS(Components!$A$4:$A$253,C674,Components!$B$4:$B$253,B674))))&lt;&gt;1,IF(E674="UC",COUNTIF('Use cases'!$A$4:$A$253,F674),IF(E674="CAP",COUNTIF(Capabilities!$A$4:$A$253,F674),IF(E674="AIR",COUNTIF('System map'!$A$4:$A$203,F674),COUNTIFS(Components!$A$4:$A$253,F674,Components!$B$4:$B$253,E674))))&lt;&gt;1),"Endpoint missing or duplicated",IF(AND(NOT(AND(B674="UC",E674="CAP")),OR(G674="",COUNTIF('System map'!$A$4:$A$203,G674)&lt;&gt;1)),"AIR context missing / unknown",IF(AND(B674="CAP",E674="AIR",G674&lt;&gt;F674),"AIR context mismatch",IF(AND(B674="AIR",G674&lt;&gt;C674),"AIR context mismatch",IF(AND(B674="AIR",E674="AIR",C674=F674),"Self-dependency",IF(AND(B674="AIR",E674="AIR",M674&lt;&gt;"Superseded",COUNTIFS($B$4:$B$1003,"AIR",$C$4:$C$1003,F674,$E$4:$E$1003,"AIR",$F$4:$F$1003,C674,$M$4:$M$1003,"&lt;&gt;Superseded")&gt;0),"Dependency cycle (A↔B) — review",IF(AND(B674="AIR",OR(E674="MOD",E674="DATA",E674="IF",E674="AG",E674="TOOL"),IFERROR(INDEX(Components!$G$4:$G$253,MATCH(F674,Components!$A$4:$A$253,0)),"")&lt;&gt;"",IFERROR(INDEX(Components!$G$4:$G$253,MATCH(F674,Components!$A$4:$A$253,0)),"")&lt;&gt;C674),"Component owned by another AIR-ID",IF(AND(M674="Confirmed",OR(IF(B674="UC",COUNTIFS('Use cases'!$A$4:$A$253,C674,'Use cases'!$I$4:$I$253,"Confirmed",'Use cases'!$J$4:$J$253,"OK — verify source"),IF(B674="CAP",COUNTIFS(Capabilities!$A$4:$A$253,C674,Capabilities!$J$4:$J$253,"Confirmed",Capabilities!$K$4:$K$253,"OK — verify source"),IF(B674="AIR",COUNTIFS('System map'!$A$4:$A$203,C674,'System map'!$B$4:$B$203,"&lt;&gt;",'System map'!$C$4:$C$203,"&lt;&gt;",'System map'!$D$4:$D$203,"&lt;&gt;"),COUNTIFS(Components!$A$4:$A$253,C674,Components!$B$4:$B$253,B674,Components!$K$4:$K$253,"Confirmed",Components!$L$4:$L$253,"OK — verify source"))))&lt;&gt;1,IF(E674="UC",COUNTIFS('Use cases'!$A$4:$A$253,F674,'Use cases'!$I$4:$I$253,"Confirmed",'Use cases'!$J$4:$J$253,"OK — verify source"),IF(E674="CAP",COUNTIFS(Capabilities!$A$4:$A$253,F674,Capabilities!$J$4:$J$253,"Confirmed",Capabilities!$K$4:$K$253,"OK — verify source"),IF(E674="AIR",COUNTIFS('System map'!$A$4:$A$203,F674,'System map'!$B$4:$B$203,"&lt;&gt;",'System map'!$C$4:$C$203,"&lt;&gt;",'System map'!$D$4:$D$203,"&lt;&gt;"),COUNTIFS(Components!$A$4:$A$253,F674,Components!$B$4:$B$253,E674,Components!$K$4:$K$253,"Confirmed",Components!$L$4:$L$253,"OK — verify source"))))&lt;&gt;1)),"Endpoint not source-reconciled",IF(AND(M674="Confirmed",OR(L674="",K674="",K674="Unknown",K674="Low")),"Confirmed link lacks verification","OK — verify source"))))))))))))))</f>
        <v/>
      </c>
    </row>
    <row r="675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8" t="n"/>
      <c r="M675" s="27" t="n"/>
      <c r="N675" s="27">
        <f>IF(COUNTA(A675:M675)=0,"",IF(OR(A675="",B675="",C675="",D675="",E675="",F675="",I675="",J675="",K675="",M675=""),"Required link detail missing",IF(COUNTIF($A$4:$A$1003,A675)&gt;1,"Duplicate Map Edge ID",IF(NOT(OR(AND(B675="UC",E675="CAP",D675="requires"),AND(B675="CAP",E675="AIR",D675="provided by"),AND(B675="AIR",OR(E675="MOD",E675="DATA",E675="IF",E675="AG",E675="TOOL"),D675="references"),AND(B675="AIR",E675="AIR",D675="depends on"))),"Invalid relationship",IF(AND(M675&lt;&gt;"Superseded",COUNTIFS($B$4:$B$1003,B675,$C$4:$C$1003,C675,$D$4:$D$1003,D675,$E$4:$E$1003,E675,$F$4:$F$1003,F675,$G$4:$G$1003,G675,$M$4:$M$1003,"&lt;&gt;Superseded")&gt;1),"Duplicate relationship",IF(OR(IF(B675="UC",COUNTIF('Use cases'!$A$4:$A$253,C675),IF(B675="CAP",COUNTIF(Capabilities!$A$4:$A$253,C675),IF(B675="AIR",COUNTIF('System map'!$A$4:$A$203,C675),COUNTIFS(Components!$A$4:$A$253,C675,Components!$B$4:$B$253,B675))))&lt;&gt;1,IF(E675="UC",COUNTIF('Use cases'!$A$4:$A$253,F675),IF(E675="CAP",COUNTIF(Capabilities!$A$4:$A$253,F675),IF(E675="AIR",COUNTIF('System map'!$A$4:$A$203,F675),COUNTIFS(Components!$A$4:$A$253,F675,Components!$B$4:$B$253,E675))))&lt;&gt;1),"Endpoint missing or duplicated",IF(AND(NOT(AND(B675="UC",E675="CAP")),OR(G675="",COUNTIF('System map'!$A$4:$A$203,G675)&lt;&gt;1)),"AIR context missing / unknown",IF(AND(B675="CAP",E675="AIR",G675&lt;&gt;F675),"AIR context mismatch",IF(AND(B675="AIR",G675&lt;&gt;C675),"AIR context mismatch",IF(AND(B675="AIR",E675="AIR",C675=F675),"Self-dependency",IF(AND(B675="AIR",E675="AIR",M675&lt;&gt;"Superseded",COUNTIFS($B$4:$B$1003,"AIR",$C$4:$C$1003,F675,$E$4:$E$1003,"AIR",$F$4:$F$1003,C675,$M$4:$M$1003,"&lt;&gt;Superseded")&gt;0),"Dependency cycle (A↔B) — review",IF(AND(B675="AIR",OR(E675="MOD",E675="DATA",E675="IF",E675="AG",E675="TOOL"),IFERROR(INDEX(Components!$G$4:$G$253,MATCH(F675,Components!$A$4:$A$253,0)),"")&lt;&gt;"",IFERROR(INDEX(Components!$G$4:$G$253,MATCH(F675,Components!$A$4:$A$253,0)),"")&lt;&gt;C675),"Component owned by another AIR-ID",IF(AND(M675="Confirmed",OR(IF(B675="UC",COUNTIFS('Use cases'!$A$4:$A$253,C675,'Use cases'!$I$4:$I$253,"Confirmed",'Use cases'!$J$4:$J$253,"OK — verify source"),IF(B675="CAP",COUNTIFS(Capabilities!$A$4:$A$253,C675,Capabilities!$J$4:$J$253,"Confirmed",Capabilities!$K$4:$K$253,"OK — verify source"),IF(B675="AIR",COUNTIFS('System map'!$A$4:$A$203,C675,'System map'!$B$4:$B$203,"&lt;&gt;",'System map'!$C$4:$C$203,"&lt;&gt;",'System map'!$D$4:$D$203,"&lt;&gt;"),COUNTIFS(Components!$A$4:$A$253,C675,Components!$B$4:$B$253,B675,Components!$K$4:$K$253,"Confirmed",Components!$L$4:$L$253,"OK — verify source"))))&lt;&gt;1,IF(E675="UC",COUNTIFS('Use cases'!$A$4:$A$253,F675,'Use cases'!$I$4:$I$253,"Confirmed",'Use cases'!$J$4:$J$253,"OK — verify source"),IF(E675="CAP",COUNTIFS(Capabilities!$A$4:$A$253,F675,Capabilities!$J$4:$J$253,"Confirmed",Capabilities!$K$4:$K$253,"OK — verify source"),IF(E675="AIR",COUNTIFS('System map'!$A$4:$A$203,F675,'System map'!$B$4:$B$203,"&lt;&gt;",'System map'!$C$4:$C$203,"&lt;&gt;",'System map'!$D$4:$D$203,"&lt;&gt;"),COUNTIFS(Components!$A$4:$A$253,F675,Components!$B$4:$B$253,E675,Components!$K$4:$K$253,"Confirmed",Components!$L$4:$L$253,"OK — verify source"))))&lt;&gt;1)),"Endpoint not source-reconciled",IF(AND(M675="Confirmed",OR(L675="",K675="",K675="Unknown",K675="Low")),"Confirmed link lacks verification","OK — verify source"))))))))))))))</f>
        <v/>
      </c>
    </row>
    <row r="676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6" t="n"/>
      <c r="M676" s="25" t="n"/>
      <c r="N676" s="25">
        <f>IF(COUNTA(A676:M676)=0,"",IF(OR(A676="",B676="",C676="",D676="",E676="",F676="",I676="",J676="",K676="",M676=""),"Required link detail missing",IF(COUNTIF($A$4:$A$1003,A676)&gt;1,"Duplicate Map Edge ID",IF(NOT(OR(AND(B676="UC",E676="CAP",D676="requires"),AND(B676="CAP",E676="AIR",D676="provided by"),AND(B676="AIR",OR(E676="MOD",E676="DATA",E676="IF",E676="AG",E676="TOOL"),D676="references"),AND(B676="AIR",E676="AIR",D676="depends on"))),"Invalid relationship",IF(AND(M676&lt;&gt;"Superseded",COUNTIFS($B$4:$B$1003,B676,$C$4:$C$1003,C676,$D$4:$D$1003,D676,$E$4:$E$1003,E676,$F$4:$F$1003,F676,$G$4:$G$1003,G676,$M$4:$M$1003,"&lt;&gt;Superseded")&gt;1),"Duplicate relationship",IF(OR(IF(B676="UC",COUNTIF('Use cases'!$A$4:$A$253,C676),IF(B676="CAP",COUNTIF(Capabilities!$A$4:$A$253,C676),IF(B676="AIR",COUNTIF('System map'!$A$4:$A$203,C676),COUNTIFS(Components!$A$4:$A$253,C676,Components!$B$4:$B$253,B676))))&lt;&gt;1,IF(E676="UC",COUNTIF('Use cases'!$A$4:$A$253,F676),IF(E676="CAP",COUNTIF(Capabilities!$A$4:$A$253,F676),IF(E676="AIR",COUNTIF('System map'!$A$4:$A$203,F676),COUNTIFS(Components!$A$4:$A$253,F676,Components!$B$4:$B$253,E676))))&lt;&gt;1),"Endpoint missing or duplicated",IF(AND(NOT(AND(B676="UC",E676="CAP")),OR(G676="",COUNTIF('System map'!$A$4:$A$203,G676)&lt;&gt;1)),"AIR context missing / unknown",IF(AND(B676="CAP",E676="AIR",G676&lt;&gt;F676),"AIR context mismatch",IF(AND(B676="AIR",G676&lt;&gt;C676),"AIR context mismatch",IF(AND(B676="AIR",E676="AIR",C676=F676),"Self-dependency",IF(AND(B676="AIR",E676="AIR",M676&lt;&gt;"Superseded",COUNTIFS($B$4:$B$1003,"AIR",$C$4:$C$1003,F676,$E$4:$E$1003,"AIR",$F$4:$F$1003,C676,$M$4:$M$1003,"&lt;&gt;Superseded")&gt;0),"Dependency cycle (A↔B) — review",IF(AND(B676="AIR",OR(E676="MOD",E676="DATA",E676="IF",E676="AG",E676="TOOL"),IFERROR(INDEX(Components!$G$4:$G$253,MATCH(F676,Components!$A$4:$A$253,0)),"")&lt;&gt;"",IFERROR(INDEX(Components!$G$4:$G$253,MATCH(F676,Components!$A$4:$A$253,0)),"")&lt;&gt;C676),"Component owned by another AIR-ID",IF(AND(M676="Confirmed",OR(IF(B676="UC",COUNTIFS('Use cases'!$A$4:$A$253,C676,'Use cases'!$I$4:$I$253,"Confirmed",'Use cases'!$J$4:$J$253,"OK — verify source"),IF(B676="CAP",COUNTIFS(Capabilities!$A$4:$A$253,C676,Capabilities!$J$4:$J$253,"Confirmed",Capabilities!$K$4:$K$253,"OK — verify source"),IF(B676="AIR",COUNTIFS('System map'!$A$4:$A$203,C676,'System map'!$B$4:$B$203,"&lt;&gt;",'System map'!$C$4:$C$203,"&lt;&gt;",'System map'!$D$4:$D$203,"&lt;&gt;"),COUNTIFS(Components!$A$4:$A$253,C676,Components!$B$4:$B$253,B676,Components!$K$4:$K$253,"Confirmed",Components!$L$4:$L$253,"OK — verify source"))))&lt;&gt;1,IF(E676="UC",COUNTIFS('Use cases'!$A$4:$A$253,F676,'Use cases'!$I$4:$I$253,"Confirmed",'Use cases'!$J$4:$J$253,"OK — verify source"),IF(E676="CAP",COUNTIFS(Capabilities!$A$4:$A$253,F676,Capabilities!$J$4:$J$253,"Confirmed",Capabilities!$K$4:$K$253,"OK — verify source"),IF(E676="AIR",COUNTIFS('System map'!$A$4:$A$203,F676,'System map'!$B$4:$B$203,"&lt;&gt;",'System map'!$C$4:$C$203,"&lt;&gt;",'System map'!$D$4:$D$203,"&lt;&gt;"),COUNTIFS(Components!$A$4:$A$253,F676,Components!$B$4:$B$253,E676,Components!$K$4:$K$253,"Confirmed",Components!$L$4:$L$253,"OK — verify source"))))&lt;&gt;1)),"Endpoint not source-reconciled",IF(AND(M676="Confirmed",OR(L676="",K676="",K676="Unknown",K676="Low")),"Confirmed link lacks verification","OK — verify source"))))))))))))))</f>
        <v/>
      </c>
    </row>
    <row r="677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8" t="n"/>
      <c r="M677" s="27" t="n"/>
      <c r="N677" s="27">
        <f>IF(COUNTA(A677:M677)=0,"",IF(OR(A677="",B677="",C677="",D677="",E677="",F677="",I677="",J677="",K677="",M677=""),"Required link detail missing",IF(COUNTIF($A$4:$A$1003,A677)&gt;1,"Duplicate Map Edge ID",IF(NOT(OR(AND(B677="UC",E677="CAP",D677="requires"),AND(B677="CAP",E677="AIR",D677="provided by"),AND(B677="AIR",OR(E677="MOD",E677="DATA",E677="IF",E677="AG",E677="TOOL"),D677="references"),AND(B677="AIR",E677="AIR",D677="depends on"))),"Invalid relationship",IF(AND(M677&lt;&gt;"Superseded",COUNTIFS($B$4:$B$1003,B677,$C$4:$C$1003,C677,$D$4:$D$1003,D677,$E$4:$E$1003,E677,$F$4:$F$1003,F677,$G$4:$G$1003,G677,$M$4:$M$1003,"&lt;&gt;Superseded")&gt;1),"Duplicate relationship",IF(OR(IF(B677="UC",COUNTIF('Use cases'!$A$4:$A$253,C677),IF(B677="CAP",COUNTIF(Capabilities!$A$4:$A$253,C677),IF(B677="AIR",COUNTIF('System map'!$A$4:$A$203,C677),COUNTIFS(Components!$A$4:$A$253,C677,Components!$B$4:$B$253,B677))))&lt;&gt;1,IF(E677="UC",COUNTIF('Use cases'!$A$4:$A$253,F677),IF(E677="CAP",COUNTIF(Capabilities!$A$4:$A$253,F677),IF(E677="AIR",COUNTIF('System map'!$A$4:$A$203,F677),COUNTIFS(Components!$A$4:$A$253,F677,Components!$B$4:$B$253,E677))))&lt;&gt;1),"Endpoint missing or duplicated",IF(AND(NOT(AND(B677="UC",E677="CAP")),OR(G677="",COUNTIF('System map'!$A$4:$A$203,G677)&lt;&gt;1)),"AIR context missing / unknown",IF(AND(B677="CAP",E677="AIR",G677&lt;&gt;F677),"AIR context mismatch",IF(AND(B677="AIR",G677&lt;&gt;C677),"AIR context mismatch",IF(AND(B677="AIR",E677="AIR",C677=F677),"Self-dependency",IF(AND(B677="AIR",E677="AIR",M677&lt;&gt;"Superseded",COUNTIFS($B$4:$B$1003,"AIR",$C$4:$C$1003,F677,$E$4:$E$1003,"AIR",$F$4:$F$1003,C677,$M$4:$M$1003,"&lt;&gt;Superseded")&gt;0),"Dependency cycle (A↔B) — review",IF(AND(B677="AIR",OR(E677="MOD",E677="DATA",E677="IF",E677="AG",E677="TOOL"),IFERROR(INDEX(Components!$G$4:$G$253,MATCH(F677,Components!$A$4:$A$253,0)),"")&lt;&gt;"",IFERROR(INDEX(Components!$G$4:$G$253,MATCH(F677,Components!$A$4:$A$253,0)),"")&lt;&gt;C677),"Component owned by another AIR-ID",IF(AND(M677="Confirmed",OR(IF(B677="UC",COUNTIFS('Use cases'!$A$4:$A$253,C677,'Use cases'!$I$4:$I$253,"Confirmed",'Use cases'!$J$4:$J$253,"OK — verify source"),IF(B677="CAP",COUNTIFS(Capabilities!$A$4:$A$253,C677,Capabilities!$J$4:$J$253,"Confirmed",Capabilities!$K$4:$K$253,"OK — verify source"),IF(B677="AIR",COUNTIFS('System map'!$A$4:$A$203,C677,'System map'!$B$4:$B$203,"&lt;&gt;",'System map'!$C$4:$C$203,"&lt;&gt;",'System map'!$D$4:$D$203,"&lt;&gt;"),COUNTIFS(Components!$A$4:$A$253,C677,Components!$B$4:$B$253,B677,Components!$K$4:$K$253,"Confirmed",Components!$L$4:$L$253,"OK — verify source"))))&lt;&gt;1,IF(E677="UC",COUNTIFS('Use cases'!$A$4:$A$253,F677,'Use cases'!$I$4:$I$253,"Confirmed",'Use cases'!$J$4:$J$253,"OK — verify source"),IF(E677="CAP",COUNTIFS(Capabilities!$A$4:$A$253,F677,Capabilities!$J$4:$J$253,"Confirmed",Capabilities!$K$4:$K$253,"OK — verify source"),IF(E677="AIR",COUNTIFS('System map'!$A$4:$A$203,F677,'System map'!$B$4:$B$203,"&lt;&gt;",'System map'!$C$4:$C$203,"&lt;&gt;",'System map'!$D$4:$D$203,"&lt;&gt;"),COUNTIFS(Components!$A$4:$A$253,F677,Components!$B$4:$B$253,E677,Components!$K$4:$K$253,"Confirmed",Components!$L$4:$L$253,"OK — verify source"))))&lt;&gt;1)),"Endpoint not source-reconciled",IF(AND(M677="Confirmed",OR(L677="",K677="",K677="Unknown",K677="Low")),"Confirmed link lacks verification","OK — verify source"))))))))))))))</f>
        <v/>
      </c>
    </row>
    <row r="678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6" t="n"/>
      <c r="M678" s="25" t="n"/>
      <c r="N678" s="25">
        <f>IF(COUNTA(A678:M678)=0,"",IF(OR(A678="",B678="",C678="",D678="",E678="",F678="",I678="",J678="",K678="",M678=""),"Required link detail missing",IF(COUNTIF($A$4:$A$1003,A678)&gt;1,"Duplicate Map Edge ID",IF(NOT(OR(AND(B678="UC",E678="CAP",D678="requires"),AND(B678="CAP",E678="AIR",D678="provided by"),AND(B678="AIR",OR(E678="MOD",E678="DATA",E678="IF",E678="AG",E678="TOOL"),D678="references"),AND(B678="AIR",E678="AIR",D678="depends on"))),"Invalid relationship",IF(AND(M678&lt;&gt;"Superseded",COUNTIFS($B$4:$B$1003,B678,$C$4:$C$1003,C678,$D$4:$D$1003,D678,$E$4:$E$1003,E678,$F$4:$F$1003,F678,$G$4:$G$1003,G678,$M$4:$M$1003,"&lt;&gt;Superseded")&gt;1),"Duplicate relationship",IF(OR(IF(B678="UC",COUNTIF('Use cases'!$A$4:$A$253,C678),IF(B678="CAP",COUNTIF(Capabilities!$A$4:$A$253,C678),IF(B678="AIR",COUNTIF('System map'!$A$4:$A$203,C678),COUNTIFS(Components!$A$4:$A$253,C678,Components!$B$4:$B$253,B678))))&lt;&gt;1,IF(E678="UC",COUNTIF('Use cases'!$A$4:$A$253,F678),IF(E678="CAP",COUNTIF(Capabilities!$A$4:$A$253,F678),IF(E678="AIR",COUNTIF('System map'!$A$4:$A$203,F678),COUNTIFS(Components!$A$4:$A$253,F678,Components!$B$4:$B$253,E678))))&lt;&gt;1),"Endpoint missing or duplicated",IF(AND(NOT(AND(B678="UC",E678="CAP")),OR(G678="",COUNTIF('System map'!$A$4:$A$203,G678)&lt;&gt;1)),"AIR context missing / unknown",IF(AND(B678="CAP",E678="AIR",G678&lt;&gt;F678),"AIR context mismatch",IF(AND(B678="AIR",G678&lt;&gt;C678),"AIR context mismatch",IF(AND(B678="AIR",E678="AIR",C678=F678),"Self-dependency",IF(AND(B678="AIR",E678="AIR",M678&lt;&gt;"Superseded",COUNTIFS($B$4:$B$1003,"AIR",$C$4:$C$1003,F678,$E$4:$E$1003,"AIR",$F$4:$F$1003,C678,$M$4:$M$1003,"&lt;&gt;Superseded")&gt;0),"Dependency cycle (A↔B) — review",IF(AND(B678="AIR",OR(E678="MOD",E678="DATA",E678="IF",E678="AG",E678="TOOL"),IFERROR(INDEX(Components!$G$4:$G$253,MATCH(F678,Components!$A$4:$A$253,0)),"")&lt;&gt;"",IFERROR(INDEX(Components!$G$4:$G$253,MATCH(F678,Components!$A$4:$A$253,0)),"")&lt;&gt;C678),"Component owned by another AIR-ID",IF(AND(M678="Confirmed",OR(IF(B678="UC",COUNTIFS('Use cases'!$A$4:$A$253,C678,'Use cases'!$I$4:$I$253,"Confirmed",'Use cases'!$J$4:$J$253,"OK — verify source"),IF(B678="CAP",COUNTIFS(Capabilities!$A$4:$A$253,C678,Capabilities!$J$4:$J$253,"Confirmed",Capabilities!$K$4:$K$253,"OK — verify source"),IF(B678="AIR",COUNTIFS('System map'!$A$4:$A$203,C678,'System map'!$B$4:$B$203,"&lt;&gt;",'System map'!$C$4:$C$203,"&lt;&gt;",'System map'!$D$4:$D$203,"&lt;&gt;"),COUNTIFS(Components!$A$4:$A$253,C678,Components!$B$4:$B$253,B678,Components!$K$4:$K$253,"Confirmed",Components!$L$4:$L$253,"OK — verify source"))))&lt;&gt;1,IF(E678="UC",COUNTIFS('Use cases'!$A$4:$A$253,F678,'Use cases'!$I$4:$I$253,"Confirmed",'Use cases'!$J$4:$J$253,"OK — verify source"),IF(E678="CAP",COUNTIFS(Capabilities!$A$4:$A$253,F678,Capabilities!$J$4:$J$253,"Confirmed",Capabilities!$K$4:$K$253,"OK — verify source"),IF(E678="AIR",COUNTIFS('System map'!$A$4:$A$203,F678,'System map'!$B$4:$B$203,"&lt;&gt;",'System map'!$C$4:$C$203,"&lt;&gt;",'System map'!$D$4:$D$203,"&lt;&gt;"),COUNTIFS(Components!$A$4:$A$253,F678,Components!$B$4:$B$253,E678,Components!$K$4:$K$253,"Confirmed",Components!$L$4:$L$253,"OK — verify source"))))&lt;&gt;1)),"Endpoint not source-reconciled",IF(AND(M678="Confirmed",OR(L678="",K678="",K678="Unknown",K678="Low")),"Confirmed link lacks verification","OK — verify source"))))))))))))))</f>
        <v/>
      </c>
    </row>
    <row r="679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8" t="n"/>
      <c r="M679" s="27" t="n"/>
      <c r="N679" s="27">
        <f>IF(COUNTA(A679:M679)=0,"",IF(OR(A679="",B679="",C679="",D679="",E679="",F679="",I679="",J679="",K679="",M679=""),"Required link detail missing",IF(COUNTIF($A$4:$A$1003,A679)&gt;1,"Duplicate Map Edge ID",IF(NOT(OR(AND(B679="UC",E679="CAP",D679="requires"),AND(B679="CAP",E679="AIR",D679="provided by"),AND(B679="AIR",OR(E679="MOD",E679="DATA",E679="IF",E679="AG",E679="TOOL"),D679="references"),AND(B679="AIR",E679="AIR",D679="depends on"))),"Invalid relationship",IF(AND(M679&lt;&gt;"Superseded",COUNTIFS($B$4:$B$1003,B679,$C$4:$C$1003,C679,$D$4:$D$1003,D679,$E$4:$E$1003,E679,$F$4:$F$1003,F679,$G$4:$G$1003,G679,$M$4:$M$1003,"&lt;&gt;Superseded")&gt;1),"Duplicate relationship",IF(OR(IF(B679="UC",COUNTIF('Use cases'!$A$4:$A$253,C679),IF(B679="CAP",COUNTIF(Capabilities!$A$4:$A$253,C679),IF(B679="AIR",COUNTIF('System map'!$A$4:$A$203,C679),COUNTIFS(Components!$A$4:$A$253,C679,Components!$B$4:$B$253,B679))))&lt;&gt;1,IF(E679="UC",COUNTIF('Use cases'!$A$4:$A$253,F679),IF(E679="CAP",COUNTIF(Capabilities!$A$4:$A$253,F679),IF(E679="AIR",COUNTIF('System map'!$A$4:$A$203,F679),COUNTIFS(Components!$A$4:$A$253,F679,Components!$B$4:$B$253,E679))))&lt;&gt;1),"Endpoint missing or duplicated",IF(AND(NOT(AND(B679="UC",E679="CAP")),OR(G679="",COUNTIF('System map'!$A$4:$A$203,G679)&lt;&gt;1)),"AIR context missing / unknown",IF(AND(B679="CAP",E679="AIR",G679&lt;&gt;F679),"AIR context mismatch",IF(AND(B679="AIR",G679&lt;&gt;C679),"AIR context mismatch",IF(AND(B679="AIR",E679="AIR",C679=F679),"Self-dependency",IF(AND(B679="AIR",E679="AIR",M679&lt;&gt;"Superseded",COUNTIFS($B$4:$B$1003,"AIR",$C$4:$C$1003,F679,$E$4:$E$1003,"AIR",$F$4:$F$1003,C679,$M$4:$M$1003,"&lt;&gt;Superseded")&gt;0),"Dependency cycle (A↔B) — review",IF(AND(B679="AIR",OR(E679="MOD",E679="DATA",E679="IF",E679="AG",E679="TOOL"),IFERROR(INDEX(Components!$G$4:$G$253,MATCH(F679,Components!$A$4:$A$253,0)),"")&lt;&gt;"",IFERROR(INDEX(Components!$G$4:$G$253,MATCH(F679,Components!$A$4:$A$253,0)),"")&lt;&gt;C679),"Component owned by another AIR-ID",IF(AND(M679="Confirmed",OR(IF(B679="UC",COUNTIFS('Use cases'!$A$4:$A$253,C679,'Use cases'!$I$4:$I$253,"Confirmed",'Use cases'!$J$4:$J$253,"OK — verify source"),IF(B679="CAP",COUNTIFS(Capabilities!$A$4:$A$253,C679,Capabilities!$J$4:$J$253,"Confirmed",Capabilities!$K$4:$K$253,"OK — verify source"),IF(B679="AIR",COUNTIFS('System map'!$A$4:$A$203,C679,'System map'!$B$4:$B$203,"&lt;&gt;",'System map'!$C$4:$C$203,"&lt;&gt;",'System map'!$D$4:$D$203,"&lt;&gt;"),COUNTIFS(Components!$A$4:$A$253,C679,Components!$B$4:$B$253,B679,Components!$K$4:$K$253,"Confirmed",Components!$L$4:$L$253,"OK — verify source"))))&lt;&gt;1,IF(E679="UC",COUNTIFS('Use cases'!$A$4:$A$253,F679,'Use cases'!$I$4:$I$253,"Confirmed",'Use cases'!$J$4:$J$253,"OK — verify source"),IF(E679="CAP",COUNTIFS(Capabilities!$A$4:$A$253,F679,Capabilities!$J$4:$J$253,"Confirmed",Capabilities!$K$4:$K$253,"OK — verify source"),IF(E679="AIR",COUNTIFS('System map'!$A$4:$A$203,F679,'System map'!$B$4:$B$203,"&lt;&gt;",'System map'!$C$4:$C$203,"&lt;&gt;",'System map'!$D$4:$D$203,"&lt;&gt;"),COUNTIFS(Components!$A$4:$A$253,F679,Components!$B$4:$B$253,E679,Components!$K$4:$K$253,"Confirmed",Components!$L$4:$L$253,"OK — verify source"))))&lt;&gt;1)),"Endpoint not source-reconciled",IF(AND(M679="Confirmed",OR(L679="",K679="",K679="Unknown",K679="Low")),"Confirmed link lacks verification","OK — verify source"))))))))))))))</f>
        <v/>
      </c>
    </row>
    <row r="680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6" t="n"/>
      <c r="M680" s="25" t="n"/>
      <c r="N680" s="25">
        <f>IF(COUNTA(A680:M680)=0,"",IF(OR(A680="",B680="",C680="",D680="",E680="",F680="",I680="",J680="",K680="",M680=""),"Required link detail missing",IF(COUNTIF($A$4:$A$1003,A680)&gt;1,"Duplicate Map Edge ID",IF(NOT(OR(AND(B680="UC",E680="CAP",D680="requires"),AND(B680="CAP",E680="AIR",D680="provided by"),AND(B680="AIR",OR(E680="MOD",E680="DATA",E680="IF",E680="AG",E680="TOOL"),D680="references"),AND(B680="AIR",E680="AIR",D680="depends on"))),"Invalid relationship",IF(AND(M680&lt;&gt;"Superseded",COUNTIFS($B$4:$B$1003,B680,$C$4:$C$1003,C680,$D$4:$D$1003,D680,$E$4:$E$1003,E680,$F$4:$F$1003,F680,$G$4:$G$1003,G680,$M$4:$M$1003,"&lt;&gt;Superseded")&gt;1),"Duplicate relationship",IF(OR(IF(B680="UC",COUNTIF('Use cases'!$A$4:$A$253,C680),IF(B680="CAP",COUNTIF(Capabilities!$A$4:$A$253,C680),IF(B680="AIR",COUNTIF('System map'!$A$4:$A$203,C680),COUNTIFS(Components!$A$4:$A$253,C680,Components!$B$4:$B$253,B680))))&lt;&gt;1,IF(E680="UC",COUNTIF('Use cases'!$A$4:$A$253,F680),IF(E680="CAP",COUNTIF(Capabilities!$A$4:$A$253,F680),IF(E680="AIR",COUNTIF('System map'!$A$4:$A$203,F680),COUNTIFS(Components!$A$4:$A$253,F680,Components!$B$4:$B$253,E680))))&lt;&gt;1),"Endpoint missing or duplicated",IF(AND(NOT(AND(B680="UC",E680="CAP")),OR(G680="",COUNTIF('System map'!$A$4:$A$203,G680)&lt;&gt;1)),"AIR context missing / unknown",IF(AND(B680="CAP",E680="AIR",G680&lt;&gt;F680),"AIR context mismatch",IF(AND(B680="AIR",G680&lt;&gt;C680),"AIR context mismatch",IF(AND(B680="AIR",E680="AIR",C680=F680),"Self-dependency",IF(AND(B680="AIR",E680="AIR",M680&lt;&gt;"Superseded",COUNTIFS($B$4:$B$1003,"AIR",$C$4:$C$1003,F680,$E$4:$E$1003,"AIR",$F$4:$F$1003,C680,$M$4:$M$1003,"&lt;&gt;Superseded")&gt;0),"Dependency cycle (A↔B) — review",IF(AND(B680="AIR",OR(E680="MOD",E680="DATA",E680="IF",E680="AG",E680="TOOL"),IFERROR(INDEX(Components!$G$4:$G$253,MATCH(F680,Components!$A$4:$A$253,0)),"")&lt;&gt;"",IFERROR(INDEX(Components!$G$4:$G$253,MATCH(F680,Components!$A$4:$A$253,0)),"")&lt;&gt;C680),"Component owned by another AIR-ID",IF(AND(M680="Confirmed",OR(IF(B680="UC",COUNTIFS('Use cases'!$A$4:$A$253,C680,'Use cases'!$I$4:$I$253,"Confirmed",'Use cases'!$J$4:$J$253,"OK — verify source"),IF(B680="CAP",COUNTIFS(Capabilities!$A$4:$A$253,C680,Capabilities!$J$4:$J$253,"Confirmed",Capabilities!$K$4:$K$253,"OK — verify source"),IF(B680="AIR",COUNTIFS('System map'!$A$4:$A$203,C680,'System map'!$B$4:$B$203,"&lt;&gt;",'System map'!$C$4:$C$203,"&lt;&gt;",'System map'!$D$4:$D$203,"&lt;&gt;"),COUNTIFS(Components!$A$4:$A$253,C680,Components!$B$4:$B$253,B680,Components!$K$4:$K$253,"Confirmed",Components!$L$4:$L$253,"OK — verify source"))))&lt;&gt;1,IF(E680="UC",COUNTIFS('Use cases'!$A$4:$A$253,F680,'Use cases'!$I$4:$I$253,"Confirmed",'Use cases'!$J$4:$J$253,"OK — verify source"),IF(E680="CAP",COUNTIFS(Capabilities!$A$4:$A$253,F680,Capabilities!$J$4:$J$253,"Confirmed",Capabilities!$K$4:$K$253,"OK — verify source"),IF(E680="AIR",COUNTIFS('System map'!$A$4:$A$203,F680,'System map'!$B$4:$B$203,"&lt;&gt;",'System map'!$C$4:$C$203,"&lt;&gt;",'System map'!$D$4:$D$203,"&lt;&gt;"),COUNTIFS(Components!$A$4:$A$253,F680,Components!$B$4:$B$253,E680,Components!$K$4:$K$253,"Confirmed",Components!$L$4:$L$253,"OK — verify source"))))&lt;&gt;1)),"Endpoint not source-reconciled",IF(AND(M680="Confirmed",OR(L680="",K680="",K680="Unknown",K680="Low")),"Confirmed link lacks verification","OK — verify source"))))))))))))))</f>
        <v/>
      </c>
    </row>
    <row r="681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8" t="n"/>
      <c r="M681" s="27" t="n"/>
      <c r="N681" s="27">
        <f>IF(COUNTA(A681:M681)=0,"",IF(OR(A681="",B681="",C681="",D681="",E681="",F681="",I681="",J681="",K681="",M681=""),"Required link detail missing",IF(COUNTIF($A$4:$A$1003,A681)&gt;1,"Duplicate Map Edge ID",IF(NOT(OR(AND(B681="UC",E681="CAP",D681="requires"),AND(B681="CAP",E681="AIR",D681="provided by"),AND(B681="AIR",OR(E681="MOD",E681="DATA",E681="IF",E681="AG",E681="TOOL"),D681="references"),AND(B681="AIR",E681="AIR",D681="depends on"))),"Invalid relationship",IF(AND(M681&lt;&gt;"Superseded",COUNTIFS($B$4:$B$1003,B681,$C$4:$C$1003,C681,$D$4:$D$1003,D681,$E$4:$E$1003,E681,$F$4:$F$1003,F681,$G$4:$G$1003,G681,$M$4:$M$1003,"&lt;&gt;Superseded")&gt;1),"Duplicate relationship",IF(OR(IF(B681="UC",COUNTIF('Use cases'!$A$4:$A$253,C681),IF(B681="CAP",COUNTIF(Capabilities!$A$4:$A$253,C681),IF(B681="AIR",COUNTIF('System map'!$A$4:$A$203,C681),COUNTIFS(Components!$A$4:$A$253,C681,Components!$B$4:$B$253,B681))))&lt;&gt;1,IF(E681="UC",COUNTIF('Use cases'!$A$4:$A$253,F681),IF(E681="CAP",COUNTIF(Capabilities!$A$4:$A$253,F681),IF(E681="AIR",COUNTIF('System map'!$A$4:$A$203,F681),COUNTIFS(Components!$A$4:$A$253,F681,Components!$B$4:$B$253,E681))))&lt;&gt;1),"Endpoint missing or duplicated",IF(AND(NOT(AND(B681="UC",E681="CAP")),OR(G681="",COUNTIF('System map'!$A$4:$A$203,G681)&lt;&gt;1)),"AIR context missing / unknown",IF(AND(B681="CAP",E681="AIR",G681&lt;&gt;F681),"AIR context mismatch",IF(AND(B681="AIR",G681&lt;&gt;C681),"AIR context mismatch",IF(AND(B681="AIR",E681="AIR",C681=F681),"Self-dependency",IF(AND(B681="AIR",E681="AIR",M681&lt;&gt;"Superseded",COUNTIFS($B$4:$B$1003,"AIR",$C$4:$C$1003,F681,$E$4:$E$1003,"AIR",$F$4:$F$1003,C681,$M$4:$M$1003,"&lt;&gt;Superseded")&gt;0),"Dependency cycle (A↔B) — review",IF(AND(B681="AIR",OR(E681="MOD",E681="DATA",E681="IF",E681="AG",E681="TOOL"),IFERROR(INDEX(Components!$G$4:$G$253,MATCH(F681,Components!$A$4:$A$253,0)),"")&lt;&gt;"",IFERROR(INDEX(Components!$G$4:$G$253,MATCH(F681,Components!$A$4:$A$253,0)),"")&lt;&gt;C681),"Component owned by another AIR-ID",IF(AND(M681="Confirmed",OR(IF(B681="UC",COUNTIFS('Use cases'!$A$4:$A$253,C681,'Use cases'!$I$4:$I$253,"Confirmed",'Use cases'!$J$4:$J$253,"OK — verify source"),IF(B681="CAP",COUNTIFS(Capabilities!$A$4:$A$253,C681,Capabilities!$J$4:$J$253,"Confirmed",Capabilities!$K$4:$K$253,"OK — verify source"),IF(B681="AIR",COUNTIFS('System map'!$A$4:$A$203,C681,'System map'!$B$4:$B$203,"&lt;&gt;",'System map'!$C$4:$C$203,"&lt;&gt;",'System map'!$D$4:$D$203,"&lt;&gt;"),COUNTIFS(Components!$A$4:$A$253,C681,Components!$B$4:$B$253,B681,Components!$K$4:$K$253,"Confirmed",Components!$L$4:$L$253,"OK — verify source"))))&lt;&gt;1,IF(E681="UC",COUNTIFS('Use cases'!$A$4:$A$253,F681,'Use cases'!$I$4:$I$253,"Confirmed",'Use cases'!$J$4:$J$253,"OK — verify source"),IF(E681="CAP",COUNTIFS(Capabilities!$A$4:$A$253,F681,Capabilities!$J$4:$J$253,"Confirmed",Capabilities!$K$4:$K$253,"OK — verify source"),IF(E681="AIR",COUNTIFS('System map'!$A$4:$A$203,F681,'System map'!$B$4:$B$203,"&lt;&gt;",'System map'!$C$4:$C$203,"&lt;&gt;",'System map'!$D$4:$D$203,"&lt;&gt;"),COUNTIFS(Components!$A$4:$A$253,F681,Components!$B$4:$B$253,E681,Components!$K$4:$K$253,"Confirmed",Components!$L$4:$L$253,"OK — verify source"))))&lt;&gt;1)),"Endpoint not source-reconciled",IF(AND(M681="Confirmed",OR(L681="",K681="",K681="Unknown",K681="Low")),"Confirmed link lacks verification","OK — verify source"))))))))))))))</f>
        <v/>
      </c>
    </row>
    <row r="682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6" t="n"/>
      <c r="M682" s="25" t="n"/>
      <c r="N682" s="25">
        <f>IF(COUNTA(A682:M682)=0,"",IF(OR(A682="",B682="",C682="",D682="",E682="",F682="",I682="",J682="",K682="",M682=""),"Required link detail missing",IF(COUNTIF($A$4:$A$1003,A682)&gt;1,"Duplicate Map Edge ID",IF(NOT(OR(AND(B682="UC",E682="CAP",D682="requires"),AND(B682="CAP",E682="AIR",D682="provided by"),AND(B682="AIR",OR(E682="MOD",E682="DATA",E682="IF",E682="AG",E682="TOOL"),D682="references"),AND(B682="AIR",E682="AIR",D682="depends on"))),"Invalid relationship",IF(AND(M682&lt;&gt;"Superseded",COUNTIFS($B$4:$B$1003,B682,$C$4:$C$1003,C682,$D$4:$D$1003,D682,$E$4:$E$1003,E682,$F$4:$F$1003,F682,$G$4:$G$1003,G682,$M$4:$M$1003,"&lt;&gt;Superseded")&gt;1),"Duplicate relationship",IF(OR(IF(B682="UC",COUNTIF('Use cases'!$A$4:$A$253,C682),IF(B682="CAP",COUNTIF(Capabilities!$A$4:$A$253,C682),IF(B682="AIR",COUNTIF('System map'!$A$4:$A$203,C682),COUNTIFS(Components!$A$4:$A$253,C682,Components!$B$4:$B$253,B682))))&lt;&gt;1,IF(E682="UC",COUNTIF('Use cases'!$A$4:$A$253,F682),IF(E682="CAP",COUNTIF(Capabilities!$A$4:$A$253,F682),IF(E682="AIR",COUNTIF('System map'!$A$4:$A$203,F682),COUNTIFS(Components!$A$4:$A$253,F682,Components!$B$4:$B$253,E682))))&lt;&gt;1),"Endpoint missing or duplicated",IF(AND(NOT(AND(B682="UC",E682="CAP")),OR(G682="",COUNTIF('System map'!$A$4:$A$203,G682)&lt;&gt;1)),"AIR context missing / unknown",IF(AND(B682="CAP",E682="AIR",G682&lt;&gt;F682),"AIR context mismatch",IF(AND(B682="AIR",G682&lt;&gt;C682),"AIR context mismatch",IF(AND(B682="AIR",E682="AIR",C682=F682),"Self-dependency",IF(AND(B682="AIR",E682="AIR",M682&lt;&gt;"Superseded",COUNTIFS($B$4:$B$1003,"AIR",$C$4:$C$1003,F682,$E$4:$E$1003,"AIR",$F$4:$F$1003,C682,$M$4:$M$1003,"&lt;&gt;Superseded")&gt;0),"Dependency cycle (A↔B) — review",IF(AND(B682="AIR",OR(E682="MOD",E682="DATA",E682="IF",E682="AG",E682="TOOL"),IFERROR(INDEX(Components!$G$4:$G$253,MATCH(F682,Components!$A$4:$A$253,0)),"")&lt;&gt;"",IFERROR(INDEX(Components!$G$4:$G$253,MATCH(F682,Components!$A$4:$A$253,0)),"")&lt;&gt;C682),"Component owned by another AIR-ID",IF(AND(M682="Confirmed",OR(IF(B682="UC",COUNTIFS('Use cases'!$A$4:$A$253,C682,'Use cases'!$I$4:$I$253,"Confirmed",'Use cases'!$J$4:$J$253,"OK — verify source"),IF(B682="CAP",COUNTIFS(Capabilities!$A$4:$A$253,C682,Capabilities!$J$4:$J$253,"Confirmed",Capabilities!$K$4:$K$253,"OK — verify source"),IF(B682="AIR",COUNTIFS('System map'!$A$4:$A$203,C682,'System map'!$B$4:$B$203,"&lt;&gt;",'System map'!$C$4:$C$203,"&lt;&gt;",'System map'!$D$4:$D$203,"&lt;&gt;"),COUNTIFS(Components!$A$4:$A$253,C682,Components!$B$4:$B$253,B682,Components!$K$4:$K$253,"Confirmed",Components!$L$4:$L$253,"OK — verify source"))))&lt;&gt;1,IF(E682="UC",COUNTIFS('Use cases'!$A$4:$A$253,F682,'Use cases'!$I$4:$I$253,"Confirmed",'Use cases'!$J$4:$J$253,"OK — verify source"),IF(E682="CAP",COUNTIFS(Capabilities!$A$4:$A$253,F682,Capabilities!$J$4:$J$253,"Confirmed",Capabilities!$K$4:$K$253,"OK — verify source"),IF(E682="AIR",COUNTIFS('System map'!$A$4:$A$203,F682,'System map'!$B$4:$B$203,"&lt;&gt;",'System map'!$C$4:$C$203,"&lt;&gt;",'System map'!$D$4:$D$203,"&lt;&gt;"),COUNTIFS(Components!$A$4:$A$253,F682,Components!$B$4:$B$253,E682,Components!$K$4:$K$253,"Confirmed",Components!$L$4:$L$253,"OK — verify source"))))&lt;&gt;1)),"Endpoint not source-reconciled",IF(AND(M682="Confirmed",OR(L682="",K682="",K682="Unknown",K682="Low")),"Confirmed link lacks verification","OK — verify source"))))))))))))))</f>
        <v/>
      </c>
    </row>
    <row r="683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8" t="n"/>
      <c r="M683" s="27" t="n"/>
      <c r="N683" s="27">
        <f>IF(COUNTA(A683:M683)=0,"",IF(OR(A683="",B683="",C683="",D683="",E683="",F683="",I683="",J683="",K683="",M683=""),"Required link detail missing",IF(COUNTIF($A$4:$A$1003,A683)&gt;1,"Duplicate Map Edge ID",IF(NOT(OR(AND(B683="UC",E683="CAP",D683="requires"),AND(B683="CAP",E683="AIR",D683="provided by"),AND(B683="AIR",OR(E683="MOD",E683="DATA",E683="IF",E683="AG",E683="TOOL"),D683="references"),AND(B683="AIR",E683="AIR",D683="depends on"))),"Invalid relationship",IF(AND(M683&lt;&gt;"Superseded",COUNTIFS($B$4:$B$1003,B683,$C$4:$C$1003,C683,$D$4:$D$1003,D683,$E$4:$E$1003,E683,$F$4:$F$1003,F683,$G$4:$G$1003,G683,$M$4:$M$1003,"&lt;&gt;Superseded")&gt;1),"Duplicate relationship",IF(OR(IF(B683="UC",COUNTIF('Use cases'!$A$4:$A$253,C683),IF(B683="CAP",COUNTIF(Capabilities!$A$4:$A$253,C683),IF(B683="AIR",COUNTIF('System map'!$A$4:$A$203,C683),COUNTIFS(Components!$A$4:$A$253,C683,Components!$B$4:$B$253,B683))))&lt;&gt;1,IF(E683="UC",COUNTIF('Use cases'!$A$4:$A$253,F683),IF(E683="CAP",COUNTIF(Capabilities!$A$4:$A$253,F683),IF(E683="AIR",COUNTIF('System map'!$A$4:$A$203,F683),COUNTIFS(Components!$A$4:$A$253,F683,Components!$B$4:$B$253,E683))))&lt;&gt;1),"Endpoint missing or duplicated",IF(AND(NOT(AND(B683="UC",E683="CAP")),OR(G683="",COUNTIF('System map'!$A$4:$A$203,G683)&lt;&gt;1)),"AIR context missing / unknown",IF(AND(B683="CAP",E683="AIR",G683&lt;&gt;F683),"AIR context mismatch",IF(AND(B683="AIR",G683&lt;&gt;C683),"AIR context mismatch",IF(AND(B683="AIR",E683="AIR",C683=F683),"Self-dependency",IF(AND(B683="AIR",E683="AIR",M683&lt;&gt;"Superseded",COUNTIFS($B$4:$B$1003,"AIR",$C$4:$C$1003,F683,$E$4:$E$1003,"AIR",$F$4:$F$1003,C683,$M$4:$M$1003,"&lt;&gt;Superseded")&gt;0),"Dependency cycle (A↔B) — review",IF(AND(B683="AIR",OR(E683="MOD",E683="DATA",E683="IF",E683="AG",E683="TOOL"),IFERROR(INDEX(Components!$G$4:$G$253,MATCH(F683,Components!$A$4:$A$253,0)),"")&lt;&gt;"",IFERROR(INDEX(Components!$G$4:$G$253,MATCH(F683,Components!$A$4:$A$253,0)),"")&lt;&gt;C683),"Component owned by another AIR-ID",IF(AND(M683="Confirmed",OR(IF(B683="UC",COUNTIFS('Use cases'!$A$4:$A$253,C683,'Use cases'!$I$4:$I$253,"Confirmed",'Use cases'!$J$4:$J$253,"OK — verify source"),IF(B683="CAP",COUNTIFS(Capabilities!$A$4:$A$253,C683,Capabilities!$J$4:$J$253,"Confirmed",Capabilities!$K$4:$K$253,"OK — verify source"),IF(B683="AIR",COUNTIFS('System map'!$A$4:$A$203,C683,'System map'!$B$4:$B$203,"&lt;&gt;",'System map'!$C$4:$C$203,"&lt;&gt;",'System map'!$D$4:$D$203,"&lt;&gt;"),COUNTIFS(Components!$A$4:$A$253,C683,Components!$B$4:$B$253,B683,Components!$K$4:$K$253,"Confirmed",Components!$L$4:$L$253,"OK — verify source"))))&lt;&gt;1,IF(E683="UC",COUNTIFS('Use cases'!$A$4:$A$253,F683,'Use cases'!$I$4:$I$253,"Confirmed",'Use cases'!$J$4:$J$253,"OK — verify source"),IF(E683="CAP",COUNTIFS(Capabilities!$A$4:$A$253,F683,Capabilities!$J$4:$J$253,"Confirmed",Capabilities!$K$4:$K$253,"OK — verify source"),IF(E683="AIR",COUNTIFS('System map'!$A$4:$A$203,F683,'System map'!$B$4:$B$203,"&lt;&gt;",'System map'!$C$4:$C$203,"&lt;&gt;",'System map'!$D$4:$D$203,"&lt;&gt;"),COUNTIFS(Components!$A$4:$A$253,F683,Components!$B$4:$B$253,E683,Components!$K$4:$K$253,"Confirmed",Components!$L$4:$L$253,"OK — verify source"))))&lt;&gt;1)),"Endpoint not source-reconciled",IF(AND(M683="Confirmed",OR(L683="",K683="",K683="Unknown",K683="Low")),"Confirmed link lacks verification","OK — verify source"))))))))))))))</f>
        <v/>
      </c>
    </row>
    <row r="68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6" t="n"/>
      <c r="M684" s="25" t="n"/>
      <c r="N684" s="25">
        <f>IF(COUNTA(A684:M684)=0,"",IF(OR(A684="",B684="",C684="",D684="",E684="",F684="",I684="",J684="",K684="",M684=""),"Required link detail missing",IF(COUNTIF($A$4:$A$1003,A684)&gt;1,"Duplicate Map Edge ID",IF(NOT(OR(AND(B684="UC",E684="CAP",D684="requires"),AND(B684="CAP",E684="AIR",D684="provided by"),AND(B684="AIR",OR(E684="MOD",E684="DATA",E684="IF",E684="AG",E684="TOOL"),D684="references"),AND(B684="AIR",E684="AIR",D684="depends on"))),"Invalid relationship",IF(AND(M684&lt;&gt;"Superseded",COUNTIFS($B$4:$B$1003,B684,$C$4:$C$1003,C684,$D$4:$D$1003,D684,$E$4:$E$1003,E684,$F$4:$F$1003,F684,$G$4:$G$1003,G684,$M$4:$M$1003,"&lt;&gt;Superseded")&gt;1),"Duplicate relationship",IF(OR(IF(B684="UC",COUNTIF('Use cases'!$A$4:$A$253,C684),IF(B684="CAP",COUNTIF(Capabilities!$A$4:$A$253,C684),IF(B684="AIR",COUNTIF('System map'!$A$4:$A$203,C684),COUNTIFS(Components!$A$4:$A$253,C684,Components!$B$4:$B$253,B684))))&lt;&gt;1,IF(E684="UC",COUNTIF('Use cases'!$A$4:$A$253,F684),IF(E684="CAP",COUNTIF(Capabilities!$A$4:$A$253,F684),IF(E684="AIR",COUNTIF('System map'!$A$4:$A$203,F684),COUNTIFS(Components!$A$4:$A$253,F684,Components!$B$4:$B$253,E684))))&lt;&gt;1),"Endpoint missing or duplicated",IF(AND(NOT(AND(B684="UC",E684="CAP")),OR(G684="",COUNTIF('System map'!$A$4:$A$203,G684)&lt;&gt;1)),"AIR context missing / unknown",IF(AND(B684="CAP",E684="AIR",G684&lt;&gt;F684),"AIR context mismatch",IF(AND(B684="AIR",G684&lt;&gt;C684),"AIR context mismatch",IF(AND(B684="AIR",E684="AIR",C684=F684),"Self-dependency",IF(AND(B684="AIR",E684="AIR",M684&lt;&gt;"Superseded",COUNTIFS($B$4:$B$1003,"AIR",$C$4:$C$1003,F684,$E$4:$E$1003,"AIR",$F$4:$F$1003,C684,$M$4:$M$1003,"&lt;&gt;Superseded")&gt;0),"Dependency cycle (A↔B) — review",IF(AND(B684="AIR",OR(E684="MOD",E684="DATA",E684="IF",E684="AG",E684="TOOL"),IFERROR(INDEX(Components!$G$4:$G$253,MATCH(F684,Components!$A$4:$A$253,0)),"")&lt;&gt;"",IFERROR(INDEX(Components!$G$4:$G$253,MATCH(F684,Components!$A$4:$A$253,0)),"")&lt;&gt;C684),"Component owned by another AIR-ID",IF(AND(M684="Confirmed",OR(IF(B684="UC",COUNTIFS('Use cases'!$A$4:$A$253,C684,'Use cases'!$I$4:$I$253,"Confirmed",'Use cases'!$J$4:$J$253,"OK — verify source"),IF(B684="CAP",COUNTIFS(Capabilities!$A$4:$A$253,C684,Capabilities!$J$4:$J$253,"Confirmed",Capabilities!$K$4:$K$253,"OK — verify source"),IF(B684="AIR",COUNTIFS('System map'!$A$4:$A$203,C684,'System map'!$B$4:$B$203,"&lt;&gt;",'System map'!$C$4:$C$203,"&lt;&gt;",'System map'!$D$4:$D$203,"&lt;&gt;"),COUNTIFS(Components!$A$4:$A$253,C684,Components!$B$4:$B$253,B684,Components!$K$4:$K$253,"Confirmed",Components!$L$4:$L$253,"OK — verify source"))))&lt;&gt;1,IF(E684="UC",COUNTIFS('Use cases'!$A$4:$A$253,F684,'Use cases'!$I$4:$I$253,"Confirmed",'Use cases'!$J$4:$J$253,"OK — verify source"),IF(E684="CAP",COUNTIFS(Capabilities!$A$4:$A$253,F684,Capabilities!$J$4:$J$253,"Confirmed",Capabilities!$K$4:$K$253,"OK — verify source"),IF(E684="AIR",COUNTIFS('System map'!$A$4:$A$203,F684,'System map'!$B$4:$B$203,"&lt;&gt;",'System map'!$C$4:$C$203,"&lt;&gt;",'System map'!$D$4:$D$203,"&lt;&gt;"),COUNTIFS(Components!$A$4:$A$253,F684,Components!$B$4:$B$253,E684,Components!$K$4:$K$253,"Confirmed",Components!$L$4:$L$253,"OK — verify source"))))&lt;&gt;1)),"Endpoint not source-reconciled",IF(AND(M684="Confirmed",OR(L684="",K684="",K684="Unknown",K684="Low")),"Confirmed link lacks verification","OK — verify source"))))))))))))))</f>
        <v/>
      </c>
    </row>
    <row r="685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8" t="n"/>
      <c r="M685" s="27" t="n"/>
      <c r="N685" s="27">
        <f>IF(COUNTA(A685:M685)=0,"",IF(OR(A685="",B685="",C685="",D685="",E685="",F685="",I685="",J685="",K685="",M685=""),"Required link detail missing",IF(COUNTIF($A$4:$A$1003,A685)&gt;1,"Duplicate Map Edge ID",IF(NOT(OR(AND(B685="UC",E685="CAP",D685="requires"),AND(B685="CAP",E685="AIR",D685="provided by"),AND(B685="AIR",OR(E685="MOD",E685="DATA",E685="IF",E685="AG",E685="TOOL"),D685="references"),AND(B685="AIR",E685="AIR",D685="depends on"))),"Invalid relationship",IF(AND(M685&lt;&gt;"Superseded",COUNTIFS($B$4:$B$1003,B685,$C$4:$C$1003,C685,$D$4:$D$1003,D685,$E$4:$E$1003,E685,$F$4:$F$1003,F685,$G$4:$G$1003,G685,$M$4:$M$1003,"&lt;&gt;Superseded")&gt;1),"Duplicate relationship",IF(OR(IF(B685="UC",COUNTIF('Use cases'!$A$4:$A$253,C685),IF(B685="CAP",COUNTIF(Capabilities!$A$4:$A$253,C685),IF(B685="AIR",COUNTIF('System map'!$A$4:$A$203,C685),COUNTIFS(Components!$A$4:$A$253,C685,Components!$B$4:$B$253,B685))))&lt;&gt;1,IF(E685="UC",COUNTIF('Use cases'!$A$4:$A$253,F685),IF(E685="CAP",COUNTIF(Capabilities!$A$4:$A$253,F685),IF(E685="AIR",COUNTIF('System map'!$A$4:$A$203,F685),COUNTIFS(Components!$A$4:$A$253,F685,Components!$B$4:$B$253,E685))))&lt;&gt;1),"Endpoint missing or duplicated",IF(AND(NOT(AND(B685="UC",E685="CAP")),OR(G685="",COUNTIF('System map'!$A$4:$A$203,G685)&lt;&gt;1)),"AIR context missing / unknown",IF(AND(B685="CAP",E685="AIR",G685&lt;&gt;F685),"AIR context mismatch",IF(AND(B685="AIR",G685&lt;&gt;C685),"AIR context mismatch",IF(AND(B685="AIR",E685="AIR",C685=F685),"Self-dependency",IF(AND(B685="AIR",E685="AIR",M685&lt;&gt;"Superseded",COUNTIFS($B$4:$B$1003,"AIR",$C$4:$C$1003,F685,$E$4:$E$1003,"AIR",$F$4:$F$1003,C685,$M$4:$M$1003,"&lt;&gt;Superseded")&gt;0),"Dependency cycle (A↔B) — review",IF(AND(B685="AIR",OR(E685="MOD",E685="DATA",E685="IF",E685="AG",E685="TOOL"),IFERROR(INDEX(Components!$G$4:$G$253,MATCH(F685,Components!$A$4:$A$253,0)),"")&lt;&gt;"",IFERROR(INDEX(Components!$G$4:$G$253,MATCH(F685,Components!$A$4:$A$253,0)),"")&lt;&gt;C685),"Component owned by another AIR-ID",IF(AND(M685="Confirmed",OR(IF(B685="UC",COUNTIFS('Use cases'!$A$4:$A$253,C685,'Use cases'!$I$4:$I$253,"Confirmed",'Use cases'!$J$4:$J$253,"OK — verify source"),IF(B685="CAP",COUNTIFS(Capabilities!$A$4:$A$253,C685,Capabilities!$J$4:$J$253,"Confirmed",Capabilities!$K$4:$K$253,"OK — verify source"),IF(B685="AIR",COUNTIFS('System map'!$A$4:$A$203,C685,'System map'!$B$4:$B$203,"&lt;&gt;",'System map'!$C$4:$C$203,"&lt;&gt;",'System map'!$D$4:$D$203,"&lt;&gt;"),COUNTIFS(Components!$A$4:$A$253,C685,Components!$B$4:$B$253,B685,Components!$K$4:$K$253,"Confirmed",Components!$L$4:$L$253,"OK — verify source"))))&lt;&gt;1,IF(E685="UC",COUNTIFS('Use cases'!$A$4:$A$253,F685,'Use cases'!$I$4:$I$253,"Confirmed",'Use cases'!$J$4:$J$253,"OK — verify source"),IF(E685="CAP",COUNTIFS(Capabilities!$A$4:$A$253,F685,Capabilities!$J$4:$J$253,"Confirmed",Capabilities!$K$4:$K$253,"OK — verify source"),IF(E685="AIR",COUNTIFS('System map'!$A$4:$A$203,F685,'System map'!$B$4:$B$203,"&lt;&gt;",'System map'!$C$4:$C$203,"&lt;&gt;",'System map'!$D$4:$D$203,"&lt;&gt;"),COUNTIFS(Components!$A$4:$A$253,F685,Components!$B$4:$B$253,E685,Components!$K$4:$K$253,"Confirmed",Components!$L$4:$L$253,"OK — verify source"))))&lt;&gt;1)),"Endpoint not source-reconciled",IF(AND(M685="Confirmed",OR(L685="",K685="",K685="Unknown",K685="Low")),"Confirmed link lacks verification","OK — verify source"))))))))))))))</f>
        <v/>
      </c>
    </row>
    <row r="686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6" t="n"/>
      <c r="M686" s="25" t="n"/>
      <c r="N686" s="25">
        <f>IF(COUNTA(A686:M686)=0,"",IF(OR(A686="",B686="",C686="",D686="",E686="",F686="",I686="",J686="",K686="",M686=""),"Required link detail missing",IF(COUNTIF($A$4:$A$1003,A686)&gt;1,"Duplicate Map Edge ID",IF(NOT(OR(AND(B686="UC",E686="CAP",D686="requires"),AND(B686="CAP",E686="AIR",D686="provided by"),AND(B686="AIR",OR(E686="MOD",E686="DATA",E686="IF",E686="AG",E686="TOOL"),D686="references"),AND(B686="AIR",E686="AIR",D686="depends on"))),"Invalid relationship",IF(AND(M686&lt;&gt;"Superseded",COUNTIFS($B$4:$B$1003,B686,$C$4:$C$1003,C686,$D$4:$D$1003,D686,$E$4:$E$1003,E686,$F$4:$F$1003,F686,$G$4:$G$1003,G686,$M$4:$M$1003,"&lt;&gt;Superseded")&gt;1),"Duplicate relationship",IF(OR(IF(B686="UC",COUNTIF('Use cases'!$A$4:$A$253,C686),IF(B686="CAP",COUNTIF(Capabilities!$A$4:$A$253,C686),IF(B686="AIR",COUNTIF('System map'!$A$4:$A$203,C686),COUNTIFS(Components!$A$4:$A$253,C686,Components!$B$4:$B$253,B686))))&lt;&gt;1,IF(E686="UC",COUNTIF('Use cases'!$A$4:$A$253,F686),IF(E686="CAP",COUNTIF(Capabilities!$A$4:$A$253,F686),IF(E686="AIR",COUNTIF('System map'!$A$4:$A$203,F686),COUNTIFS(Components!$A$4:$A$253,F686,Components!$B$4:$B$253,E686))))&lt;&gt;1),"Endpoint missing or duplicated",IF(AND(NOT(AND(B686="UC",E686="CAP")),OR(G686="",COUNTIF('System map'!$A$4:$A$203,G686)&lt;&gt;1)),"AIR context missing / unknown",IF(AND(B686="CAP",E686="AIR",G686&lt;&gt;F686),"AIR context mismatch",IF(AND(B686="AIR",G686&lt;&gt;C686),"AIR context mismatch",IF(AND(B686="AIR",E686="AIR",C686=F686),"Self-dependency",IF(AND(B686="AIR",E686="AIR",M686&lt;&gt;"Superseded",COUNTIFS($B$4:$B$1003,"AIR",$C$4:$C$1003,F686,$E$4:$E$1003,"AIR",$F$4:$F$1003,C686,$M$4:$M$1003,"&lt;&gt;Superseded")&gt;0),"Dependency cycle (A↔B) — review",IF(AND(B686="AIR",OR(E686="MOD",E686="DATA",E686="IF",E686="AG",E686="TOOL"),IFERROR(INDEX(Components!$G$4:$G$253,MATCH(F686,Components!$A$4:$A$253,0)),"")&lt;&gt;"",IFERROR(INDEX(Components!$G$4:$G$253,MATCH(F686,Components!$A$4:$A$253,0)),"")&lt;&gt;C686),"Component owned by another AIR-ID",IF(AND(M686="Confirmed",OR(IF(B686="UC",COUNTIFS('Use cases'!$A$4:$A$253,C686,'Use cases'!$I$4:$I$253,"Confirmed",'Use cases'!$J$4:$J$253,"OK — verify source"),IF(B686="CAP",COUNTIFS(Capabilities!$A$4:$A$253,C686,Capabilities!$J$4:$J$253,"Confirmed",Capabilities!$K$4:$K$253,"OK — verify source"),IF(B686="AIR",COUNTIFS('System map'!$A$4:$A$203,C686,'System map'!$B$4:$B$203,"&lt;&gt;",'System map'!$C$4:$C$203,"&lt;&gt;",'System map'!$D$4:$D$203,"&lt;&gt;"),COUNTIFS(Components!$A$4:$A$253,C686,Components!$B$4:$B$253,B686,Components!$K$4:$K$253,"Confirmed",Components!$L$4:$L$253,"OK — verify source"))))&lt;&gt;1,IF(E686="UC",COUNTIFS('Use cases'!$A$4:$A$253,F686,'Use cases'!$I$4:$I$253,"Confirmed",'Use cases'!$J$4:$J$253,"OK — verify source"),IF(E686="CAP",COUNTIFS(Capabilities!$A$4:$A$253,F686,Capabilities!$J$4:$J$253,"Confirmed",Capabilities!$K$4:$K$253,"OK — verify source"),IF(E686="AIR",COUNTIFS('System map'!$A$4:$A$203,F686,'System map'!$B$4:$B$203,"&lt;&gt;",'System map'!$C$4:$C$203,"&lt;&gt;",'System map'!$D$4:$D$203,"&lt;&gt;"),COUNTIFS(Components!$A$4:$A$253,F686,Components!$B$4:$B$253,E686,Components!$K$4:$K$253,"Confirmed",Components!$L$4:$L$253,"OK — verify source"))))&lt;&gt;1)),"Endpoint not source-reconciled",IF(AND(M686="Confirmed",OR(L686="",K686="",K686="Unknown",K686="Low")),"Confirmed link lacks verification","OK — verify source"))))))))))))))</f>
        <v/>
      </c>
    </row>
    <row r="687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8" t="n"/>
      <c r="M687" s="27" t="n"/>
      <c r="N687" s="27">
        <f>IF(COUNTA(A687:M687)=0,"",IF(OR(A687="",B687="",C687="",D687="",E687="",F687="",I687="",J687="",K687="",M687=""),"Required link detail missing",IF(COUNTIF($A$4:$A$1003,A687)&gt;1,"Duplicate Map Edge ID",IF(NOT(OR(AND(B687="UC",E687="CAP",D687="requires"),AND(B687="CAP",E687="AIR",D687="provided by"),AND(B687="AIR",OR(E687="MOD",E687="DATA",E687="IF",E687="AG",E687="TOOL"),D687="references"),AND(B687="AIR",E687="AIR",D687="depends on"))),"Invalid relationship",IF(AND(M687&lt;&gt;"Superseded",COUNTIFS($B$4:$B$1003,B687,$C$4:$C$1003,C687,$D$4:$D$1003,D687,$E$4:$E$1003,E687,$F$4:$F$1003,F687,$G$4:$G$1003,G687,$M$4:$M$1003,"&lt;&gt;Superseded")&gt;1),"Duplicate relationship",IF(OR(IF(B687="UC",COUNTIF('Use cases'!$A$4:$A$253,C687),IF(B687="CAP",COUNTIF(Capabilities!$A$4:$A$253,C687),IF(B687="AIR",COUNTIF('System map'!$A$4:$A$203,C687),COUNTIFS(Components!$A$4:$A$253,C687,Components!$B$4:$B$253,B687))))&lt;&gt;1,IF(E687="UC",COUNTIF('Use cases'!$A$4:$A$253,F687),IF(E687="CAP",COUNTIF(Capabilities!$A$4:$A$253,F687),IF(E687="AIR",COUNTIF('System map'!$A$4:$A$203,F687),COUNTIFS(Components!$A$4:$A$253,F687,Components!$B$4:$B$253,E687))))&lt;&gt;1),"Endpoint missing or duplicated",IF(AND(NOT(AND(B687="UC",E687="CAP")),OR(G687="",COUNTIF('System map'!$A$4:$A$203,G687)&lt;&gt;1)),"AIR context missing / unknown",IF(AND(B687="CAP",E687="AIR",G687&lt;&gt;F687),"AIR context mismatch",IF(AND(B687="AIR",G687&lt;&gt;C687),"AIR context mismatch",IF(AND(B687="AIR",E687="AIR",C687=F687),"Self-dependency",IF(AND(B687="AIR",E687="AIR",M687&lt;&gt;"Superseded",COUNTIFS($B$4:$B$1003,"AIR",$C$4:$C$1003,F687,$E$4:$E$1003,"AIR",$F$4:$F$1003,C687,$M$4:$M$1003,"&lt;&gt;Superseded")&gt;0),"Dependency cycle (A↔B) — review",IF(AND(B687="AIR",OR(E687="MOD",E687="DATA",E687="IF",E687="AG",E687="TOOL"),IFERROR(INDEX(Components!$G$4:$G$253,MATCH(F687,Components!$A$4:$A$253,0)),"")&lt;&gt;"",IFERROR(INDEX(Components!$G$4:$G$253,MATCH(F687,Components!$A$4:$A$253,0)),"")&lt;&gt;C687),"Component owned by another AIR-ID",IF(AND(M687="Confirmed",OR(IF(B687="UC",COUNTIFS('Use cases'!$A$4:$A$253,C687,'Use cases'!$I$4:$I$253,"Confirmed",'Use cases'!$J$4:$J$253,"OK — verify source"),IF(B687="CAP",COUNTIFS(Capabilities!$A$4:$A$253,C687,Capabilities!$J$4:$J$253,"Confirmed",Capabilities!$K$4:$K$253,"OK — verify source"),IF(B687="AIR",COUNTIFS('System map'!$A$4:$A$203,C687,'System map'!$B$4:$B$203,"&lt;&gt;",'System map'!$C$4:$C$203,"&lt;&gt;",'System map'!$D$4:$D$203,"&lt;&gt;"),COUNTIFS(Components!$A$4:$A$253,C687,Components!$B$4:$B$253,B687,Components!$K$4:$K$253,"Confirmed",Components!$L$4:$L$253,"OK — verify source"))))&lt;&gt;1,IF(E687="UC",COUNTIFS('Use cases'!$A$4:$A$253,F687,'Use cases'!$I$4:$I$253,"Confirmed",'Use cases'!$J$4:$J$253,"OK — verify source"),IF(E687="CAP",COUNTIFS(Capabilities!$A$4:$A$253,F687,Capabilities!$J$4:$J$253,"Confirmed",Capabilities!$K$4:$K$253,"OK — verify source"),IF(E687="AIR",COUNTIFS('System map'!$A$4:$A$203,F687,'System map'!$B$4:$B$203,"&lt;&gt;",'System map'!$C$4:$C$203,"&lt;&gt;",'System map'!$D$4:$D$203,"&lt;&gt;"),COUNTIFS(Components!$A$4:$A$253,F687,Components!$B$4:$B$253,E687,Components!$K$4:$K$253,"Confirmed",Components!$L$4:$L$253,"OK — verify source"))))&lt;&gt;1)),"Endpoint not source-reconciled",IF(AND(M687="Confirmed",OR(L687="",K687="",K687="Unknown",K687="Low")),"Confirmed link lacks verification","OK — verify source"))))))))))))))</f>
        <v/>
      </c>
    </row>
    <row r="688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6" t="n"/>
      <c r="M688" s="25" t="n"/>
      <c r="N688" s="25">
        <f>IF(COUNTA(A688:M688)=0,"",IF(OR(A688="",B688="",C688="",D688="",E688="",F688="",I688="",J688="",K688="",M688=""),"Required link detail missing",IF(COUNTIF($A$4:$A$1003,A688)&gt;1,"Duplicate Map Edge ID",IF(NOT(OR(AND(B688="UC",E688="CAP",D688="requires"),AND(B688="CAP",E688="AIR",D688="provided by"),AND(B688="AIR",OR(E688="MOD",E688="DATA",E688="IF",E688="AG",E688="TOOL"),D688="references"),AND(B688="AIR",E688="AIR",D688="depends on"))),"Invalid relationship",IF(AND(M688&lt;&gt;"Superseded",COUNTIFS($B$4:$B$1003,B688,$C$4:$C$1003,C688,$D$4:$D$1003,D688,$E$4:$E$1003,E688,$F$4:$F$1003,F688,$G$4:$G$1003,G688,$M$4:$M$1003,"&lt;&gt;Superseded")&gt;1),"Duplicate relationship",IF(OR(IF(B688="UC",COUNTIF('Use cases'!$A$4:$A$253,C688),IF(B688="CAP",COUNTIF(Capabilities!$A$4:$A$253,C688),IF(B688="AIR",COUNTIF('System map'!$A$4:$A$203,C688),COUNTIFS(Components!$A$4:$A$253,C688,Components!$B$4:$B$253,B688))))&lt;&gt;1,IF(E688="UC",COUNTIF('Use cases'!$A$4:$A$253,F688),IF(E688="CAP",COUNTIF(Capabilities!$A$4:$A$253,F688),IF(E688="AIR",COUNTIF('System map'!$A$4:$A$203,F688),COUNTIFS(Components!$A$4:$A$253,F688,Components!$B$4:$B$253,E688))))&lt;&gt;1),"Endpoint missing or duplicated",IF(AND(NOT(AND(B688="UC",E688="CAP")),OR(G688="",COUNTIF('System map'!$A$4:$A$203,G688)&lt;&gt;1)),"AIR context missing / unknown",IF(AND(B688="CAP",E688="AIR",G688&lt;&gt;F688),"AIR context mismatch",IF(AND(B688="AIR",G688&lt;&gt;C688),"AIR context mismatch",IF(AND(B688="AIR",E688="AIR",C688=F688),"Self-dependency",IF(AND(B688="AIR",E688="AIR",M688&lt;&gt;"Superseded",COUNTIFS($B$4:$B$1003,"AIR",$C$4:$C$1003,F688,$E$4:$E$1003,"AIR",$F$4:$F$1003,C688,$M$4:$M$1003,"&lt;&gt;Superseded")&gt;0),"Dependency cycle (A↔B) — review",IF(AND(B688="AIR",OR(E688="MOD",E688="DATA",E688="IF",E688="AG",E688="TOOL"),IFERROR(INDEX(Components!$G$4:$G$253,MATCH(F688,Components!$A$4:$A$253,0)),"")&lt;&gt;"",IFERROR(INDEX(Components!$G$4:$G$253,MATCH(F688,Components!$A$4:$A$253,0)),"")&lt;&gt;C688),"Component owned by another AIR-ID",IF(AND(M688="Confirmed",OR(IF(B688="UC",COUNTIFS('Use cases'!$A$4:$A$253,C688,'Use cases'!$I$4:$I$253,"Confirmed",'Use cases'!$J$4:$J$253,"OK — verify source"),IF(B688="CAP",COUNTIFS(Capabilities!$A$4:$A$253,C688,Capabilities!$J$4:$J$253,"Confirmed",Capabilities!$K$4:$K$253,"OK — verify source"),IF(B688="AIR",COUNTIFS('System map'!$A$4:$A$203,C688,'System map'!$B$4:$B$203,"&lt;&gt;",'System map'!$C$4:$C$203,"&lt;&gt;",'System map'!$D$4:$D$203,"&lt;&gt;"),COUNTIFS(Components!$A$4:$A$253,C688,Components!$B$4:$B$253,B688,Components!$K$4:$K$253,"Confirmed",Components!$L$4:$L$253,"OK — verify source"))))&lt;&gt;1,IF(E688="UC",COUNTIFS('Use cases'!$A$4:$A$253,F688,'Use cases'!$I$4:$I$253,"Confirmed",'Use cases'!$J$4:$J$253,"OK — verify source"),IF(E688="CAP",COUNTIFS(Capabilities!$A$4:$A$253,F688,Capabilities!$J$4:$J$253,"Confirmed",Capabilities!$K$4:$K$253,"OK — verify source"),IF(E688="AIR",COUNTIFS('System map'!$A$4:$A$203,F688,'System map'!$B$4:$B$203,"&lt;&gt;",'System map'!$C$4:$C$203,"&lt;&gt;",'System map'!$D$4:$D$203,"&lt;&gt;"),COUNTIFS(Components!$A$4:$A$253,F688,Components!$B$4:$B$253,E688,Components!$K$4:$K$253,"Confirmed",Components!$L$4:$L$253,"OK — verify source"))))&lt;&gt;1)),"Endpoint not source-reconciled",IF(AND(M688="Confirmed",OR(L688="",K688="",K688="Unknown",K688="Low")),"Confirmed link lacks verification","OK — verify source"))))))))))))))</f>
        <v/>
      </c>
    </row>
    <row r="689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8" t="n"/>
      <c r="M689" s="27" t="n"/>
      <c r="N689" s="27">
        <f>IF(COUNTA(A689:M689)=0,"",IF(OR(A689="",B689="",C689="",D689="",E689="",F689="",I689="",J689="",K689="",M689=""),"Required link detail missing",IF(COUNTIF($A$4:$A$1003,A689)&gt;1,"Duplicate Map Edge ID",IF(NOT(OR(AND(B689="UC",E689="CAP",D689="requires"),AND(B689="CAP",E689="AIR",D689="provided by"),AND(B689="AIR",OR(E689="MOD",E689="DATA",E689="IF",E689="AG",E689="TOOL"),D689="references"),AND(B689="AIR",E689="AIR",D689="depends on"))),"Invalid relationship",IF(AND(M689&lt;&gt;"Superseded",COUNTIFS($B$4:$B$1003,B689,$C$4:$C$1003,C689,$D$4:$D$1003,D689,$E$4:$E$1003,E689,$F$4:$F$1003,F689,$G$4:$G$1003,G689,$M$4:$M$1003,"&lt;&gt;Superseded")&gt;1),"Duplicate relationship",IF(OR(IF(B689="UC",COUNTIF('Use cases'!$A$4:$A$253,C689),IF(B689="CAP",COUNTIF(Capabilities!$A$4:$A$253,C689),IF(B689="AIR",COUNTIF('System map'!$A$4:$A$203,C689),COUNTIFS(Components!$A$4:$A$253,C689,Components!$B$4:$B$253,B689))))&lt;&gt;1,IF(E689="UC",COUNTIF('Use cases'!$A$4:$A$253,F689),IF(E689="CAP",COUNTIF(Capabilities!$A$4:$A$253,F689),IF(E689="AIR",COUNTIF('System map'!$A$4:$A$203,F689),COUNTIFS(Components!$A$4:$A$253,F689,Components!$B$4:$B$253,E689))))&lt;&gt;1),"Endpoint missing or duplicated",IF(AND(NOT(AND(B689="UC",E689="CAP")),OR(G689="",COUNTIF('System map'!$A$4:$A$203,G689)&lt;&gt;1)),"AIR context missing / unknown",IF(AND(B689="CAP",E689="AIR",G689&lt;&gt;F689),"AIR context mismatch",IF(AND(B689="AIR",G689&lt;&gt;C689),"AIR context mismatch",IF(AND(B689="AIR",E689="AIR",C689=F689),"Self-dependency",IF(AND(B689="AIR",E689="AIR",M689&lt;&gt;"Superseded",COUNTIFS($B$4:$B$1003,"AIR",$C$4:$C$1003,F689,$E$4:$E$1003,"AIR",$F$4:$F$1003,C689,$M$4:$M$1003,"&lt;&gt;Superseded")&gt;0),"Dependency cycle (A↔B) — review",IF(AND(B689="AIR",OR(E689="MOD",E689="DATA",E689="IF",E689="AG",E689="TOOL"),IFERROR(INDEX(Components!$G$4:$G$253,MATCH(F689,Components!$A$4:$A$253,0)),"")&lt;&gt;"",IFERROR(INDEX(Components!$G$4:$G$253,MATCH(F689,Components!$A$4:$A$253,0)),"")&lt;&gt;C689),"Component owned by another AIR-ID",IF(AND(M689="Confirmed",OR(IF(B689="UC",COUNTIFS('Use cases'!$A$4:$A$253,C689,'Use cases'!$I$4:$I$253,"Confirmed",'Use cases'!$J$4:$J$253,"OK — verify source"),IF(B689="CAP",COUNTIFS(Capabilities!$A$4:$A$253,C689,Capabilities!$J$4:$J$253,"Confirmed",Capabilities!$K$4:$K$253,"OK — verify source"),IF(B689="AIR",COUNTIFS('System map'!$A$4:$A$203,C689,'System map'!$B$4:$B$203,"&lt;&gt;",'System map'!$C$4:$C$203,"&lt;&gt;",'System map'!$D$4:$D$203,"&lt;&gt;"),COUNTIFS(Components!$A$4:$A$253,C689,Components!$B$4:$B$253,B689,Components!$K$4:$K$253,"Confirmed",Components!$L$4:$L$253,"OK — verify source"))))&lt;&gt;1,IF(E689="UC",COUNTIFS('Use cases'!$A$4:$A$253,F689,'Use cases'!$I$4:$I$253,"Confirmed",'Use cases'!$J$4:$J$253,"OK — verify source"),IF(E689="CAP",COUNTIFS(Capabilities!$A$4:$A$253,F689,Capabilities!$J$4:$J$253,"Confirmed",Capabilities!$K$4:$K$253,"OK — verify source"),IF(E689="AIR",COUNTIFS('System map'!$A$4:$A$203,F689,'System map'!$B$4:$B$203,"&lt;&gt;",'System map'!$C$4:$C$203,"&lt;&gt;",'System map'!$D$4:$D$203,"&lt;&gt;"),COUNTIFS(Components!$A$4:$A$253,F689,Components!$B$4:$B$253,E689,Components!$K$4:$K$253,"Confirmed",Components!$L$4:$L$253,"OK — verify source"))))&lt;&gt;1)),"Endpoint not source-reconciled",IF(AND(M689="Confirmed",OR(L689="",K689="",K689="Unknown",K689="Low")),"Confirmed link lacks verification","OK — verify source"))))))))))))))</f>
        <v/>
      </c>
    </row>
    <row r="690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6" t="n"/>
      <c r="M690" s="25" t="n"/>
      <c r="N690" s="25">
        <f>IF(COUNTA(A690:M690)=0,"",IF(OR(A690="",B690="",C690="",D690="",E690="",F690="",I690="",J690="",K690="",M690=""),"Required link detail missing",IF(COUNTIF($A$4:$A$1003,A690)&gt;1,"Duplicate Map Edge ID",IF(NOT(OR(AND(B690="UC",E690="CAP",D690="requires"),AND(B690="CAP",E690="AIR",D690="provided by"),AND(B690="AIR",OR(E690="MOD",E690="DATA",E690="IF",E690="AG",E690="TOOL"),D690="references"),AND(B690="AIR",E690="AIR",D690="depends on"))),"Invalid relationship",IF(AND(M690&lt;&gt;"Superseded",COUNTIFS($B$4:$B$1003,B690,$C$4:$C$1003,C690,$D$4:$D$1003,D690,$E$4:$E$1003,E690,$F$4:$F$1003,F690,$G$4:$G$1003,G690,$M$4:$M$1003,"&lt;&gt;Superseded")&gt;1),"Duplicate relationship",IF(OR(IF(B690="UC",COUNTIF('Use cases'!$A$4:$A$253,C690),IF(B690="CAP",COUNTIF(Capabilities!$A$4:$A$253,C690),IF(B690="AIR",COUNTIF('System map'!$A$4:$A$203,C690),COUNTIFS(Components!$A$4:$A$253,C690,Components!$B$4:$B$253,B690))))&lt;&gt;1,IF(E690="UC",COUNTIF('Use cases'!$A$4:$A$253,F690),IF(E690="CAP",COUNTIF(Capabilities!$A$4:$A$253,F690),IF(E690="AIR",COUNTIF('System map'!$A$4:$A$203,F690),COUNTIFS(Components!$A$4:$A$253,F690,Components!$B$4:$B$253,E690))))&lt;&gt;1),"Endpoint missing or duplicated",IF(AND(NOT(AND(B690="UC",E690="CAP")),OR(G690="",COUNTIF('System map'!$A$4:$A$203,G690)&lt;&gt;1)),"AIR context missing / unknown",IF(AND(B690="CAP",E690="AIR",G690&lt;&gt;F690),"AIR context mismatch",IF(AND(B690="AIR",G690&lt;&gt;C690),"AIR context mismatch",IF(AND(B690="AIR",E690="AIR",C690=F690),"Self-dependency",IF(AND(B690="AIR",E690="AIR",M690&lt;&gt;"Superseded",COUNTIFS($B$4:$B$1003,"AIR",$C$4:$C$1003,F690,$E$4:$E$1003,"AIR",$F$4:$F$1003,C690,$M$4:$M$1003,"&lt;&gt;Superseded")&gt;0),"Dependency cycle (A↔B) — review",IF(AND(B690="AIR",OR(E690="MOD",E690="DATA",E690="IF",E690="AG",E690="TOOL"),IFERROR(INDEX(Components!$G$4:$G$253,MATCH(F690,Components!$A$4:$A$253,0)),"")&lt;&gt;"",IFERROR(INDEX(Components!$G$4:$G$253,MATCH(F690,Components!$A$4:$A$253,0)),"")&lt;&gt;C690),"Component owned by another AIR-ID",IF(AND(M690="Confirmed",OR(IF(B690="UC",COUNTIFS('Use cases'!$A$4:$A$253,C690,'Use cases'!$I$4:$I$253,"Confirmed",'Use cases'!$J$4:$J$253,"OK — verify source"),IF(B690="CAP",COUNTIFS(Capabilities!$A$4:$A$253,C690,Capabilities!$J$4:$J$253,"Confirmed",Capabilities!$K$4:$K$253,"OK — verify source"),IF(B690="AIR",COUNTIFS('System map'!$A$4:$A$203,C690,'System map'!$B$4:$B$203,"&lt;&gt;",'System map'!$C$4:$C$203,"&lt;&gt;",'System map'!$D$4:$D$203,"&lt;&gt;"),COUNTIFS(Components!$A$4:$A$253,C690,Components!$B$4:$B$253,B690,Components!$K$4:$K$253,"Confirmed",Components!$L$4:$L$253,"OK — verify source"))))&lt;&gt;1,IF(E690="UC",COUNTIFS('Use cases'!$A$4:$A$253,F690,'Use cases'!$I$4:$I$253,"Confirmed",'Use cases'!$J$4:$J$253,"OK — verify source"),IF(E690="CAP",COUNTIFS(Capabilities!$A$4:$A$253,F690,Capabilities!$J$4:$J$253,"Confirmed",Capabilities!$K$4:$K$253,"OK — verify source"),IF(E690="AIR",COUNTIFS('System map'!$A$4:$A$203,F690,'System map'!$B$4:$B$203,"&lt;&gt;",'System map'!$C$4:$C$203,"&lt;&gt;",'System map'!$D$4:$D$203,"&lt;&gt;"),COUNTIFS(Components!$A$4:$A$253,F690,Components!$B$4:$B$253,E690,Components!$K$4:$K$253,"Confirmed",Components!$L$4:$L$253,"OK — verify source"))))&lt;&gt;1)),"Endpoint not source-reconciled",IF(AND(M690="Confirmed",OR(L690="",K690="",K690="Unknown",K690="Low")),"Confirmed link lacks verification","OK — verify source"))))))))))))))</f>
        <v/>
      </c>
    </row>
    <row r="691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8" t="n"/>
      <c r="M691" s="27" t="n"/>
      <c r="N691" s="27">
        <f>IF(COUNTA(A691:M691)=0,"",IF(OR(A691="",B691="",C691="",D691="",E691="",F691="",I691="",J691="",K691="",M691=""),"Required link detail missing",IF(COUNTIF($A$4:$A$1003,A691)&gt;1,"Duplicate Map Edge ID",IF(NOT(OR(AND(B691="UC",E691="CAP",D691="requires"),AND(B691="CAP",E691="AIR",D691="provided by"),AND(B691="AIR",OR(E691="MOD",E691="DATA",E691="IF",E691="AG",E691="TOOL"),D691="references"),AND(B691="AIR",E691="AIR",D691="depends on"))),"Invalid relationship",IF(AND(M691&lt;&gt;"Superseded",COUNTIFS($B$4:$B$1003,B691,$C$4:$C$1003,C691,$D$4:$D$1003,D691,$E$4:$E$1003,E691,$F$4:$F$1003,F691,$G$4:$G$1003,G691,$M$4:$M$1003,"&lt;&gt;Superseded")&gt;1),"Duplicate relationship",IF(OR(IF(B691="UC",COUNTIF('Use cases'!$A$4:$A$253,C691),IF(B691="CAP",COUNTIF(Capabilities!$A$4:$A$253,C691),IF(B691="AIR",COUNTIF('System map'!$A$4:$A$203,C691),COUNTIFS(Components!$A$4:$A$253,C691,Components!$B$4:$B$253,B691))))&lt;&gt;1,IF(E691="UC",COUNTIF('Use cases'!$A$4:$A$253,F691),IF(E691="CAP",COUNTIF(Capabilities!$A$4:$A$253,F691),IF(E691="AIR",COUNTIF('System map'!$A$4:$A$203,F691),COUNTIFS(Components!$A$4:$A$253,F691,Components!$B$4:$B$253,E691))))&lt;&gt;1),"Endpoint missing or duplicated",IF(AND(NOT(AND(B691="UC",E691="CAP")),OR(G691="",COUNTIF('System map'!$A$4:$A$203,G691)&lt;&gt;1)),"AIR context missing / unknown",IF(AND(B691="CAP",E691="AIR",G691&lt;&gt;F691),"AIR context mismatch",IF(AND(B691="AIR",G691&lt;&gt;C691),"AIR context mismatch",IF(AND(B691="AIR",E691="AIR",C691=F691),"Self-dependency",IF(AND(B691="AIR",E691="AIR",M691&lt;&gt;"Superseded",COUNTIFS($B$4:$B$1003,"AIR",$C$4:$C$1003,F691,$E$4:$E$1003,"AIR",$F$4:$F$1003,C691,$M$4:$M$1003,"&lt;&gt;Superseded")&gt;0),"Dependency cycle (A↔B) — review",IF(AND(B691="AIR",OR(E691="MOD",E691="DATA",E691="IF",E691="AG",E691="TOOL"),IFERROR(INDEX(Components!$G$4:$G$253,MATCH(F691,Components!$A$4:$A$253,0)),"")&lt;&gt;"",IFERROR(INDEX(Components!$G$4:$G$253,MATCH(F691,Components!$A$4:$A$253,0)),"")&lt;&gt;C691),"Component owned by another AIR-ID",IF(AND(M691="Confirmed",OR(IF(B691="UC",COUNTIFS('Use cases'!$A$4:$A$253,C691,'Use cases'!$I$4:$I$253,"Confirmed",'Use cases'!$J$4:$J$253,"OK — verify source"),IF(B691="CAP",COUNTIFS(Capabilities!$A$4:$A$253,C691,Capabilities!$J$4:$J$253,"Confirmed",Capabilities!$K$4:$K$253,"OK — verify source"),IF(B691="AIR",COUNTIFS('System map'!$A$4:$A$203,C691,'System map'!$B$4:$B$203,"&lt;&gt;",'System map'!$C$4:$C$203,"&lt;&gt;",'System map'!$D$4:$D$203,"&lt;&gt;"),COUNTIFS(Components!$A$4:$A$253,C691,Components!$B$4:$B$253,B691,Components!$K$4:$K$253,"Confirmed",Components!$L$4:$L$253,"OK — verify source"))))&lt;&gt;1,IF(E691="UC",COUNTIFS('Use cases'!$A$4:$A$253,F691,'Use cases'!$I$4:$I$253,"Confirmed",'Use cases'!$J$4:$J$253,"OK — verify source"),IF(E691="CAP",COUNTIFS(Capabilities!$A$4:$A$253,F691,Capabilities!$J$4:$J$253,"Confirmed",Capabilities!$K$4:$K$253,"OK — verify source"),IF(E691="AIR",COUNTIFS('System map'!$A$4:$A$203,F691,'System map'!$B$4:$B$203,"&lt;&gt;",'System map'!$C$4:$C$203,"&lt;&gt;",'System map'!$D$4:$D$203,"&lt;&gt;"),COUNTIFS(Components!$A$4:$A$253,F691,Components!$B$4:$B$253,E691,Components!$K$4:$K$253,"Confirmed",Components!$L$4:$L$253,"OK — verify source"))))&lt;&gt;1)),"Endpoint not source-reconciled",IF(AND(M691="Confirmed",OR(L691="",K691="",K691="Unknown",K691="Low")),"Confirmed link lacks verification","OK — verify source"))))))))))))))</f>
        <v/>
      </c>
    </row>
    <row r="692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6" t="n"/>
      <c r="M692" s="25" t="n"/>
      <c r="N692" s="25">
        <f>IF(COUNTA(A692:M692)=0,"",IF(OR(A692="",B692="",C692="",D692="",E692="",F692="",I692="",J692="",K692="",M692=""),"Required link detail missing",IF(COUNTIF($A$4:$A$1003,A692)&gt;1,"Duplicate Map Edge ID",IF(NOT(OR(AND(B692="UC",E692="CAP",D692="requires"),AND(B692="CAP",E692="AIR",D692="provided by"),AND(B692="AIR",OR(E692="MOD",E692="DATA",E692="IF",E692="AG",E692="TOOL"),D692="references"),AND(B692="AIR",E692="AIR",D692="depends on"))),"Invalid relationship",IF(AND(M692&lt;&gt;"Superseded",COUNTIFS($B$4:$B$1003,B692,$C$4:$C$1003,C692,$D$4:$D$1003,D692,$E$4:$E$1003,E692,$F$4:$F$1003,F692,$G$4:$G$1003,G692,$M$4:$M$1003,"&lt;&gt;Superseded")&gt;1),"Duplicate relationship",IF(OR(IF(B692="UC",COUNTIF('Use cases'!$A$4:$A$253,C692),IF(B692="CAP",COUNTIF(Capabilities!$A$4:$A$253,C692),IF(B692="AIR",COUNTIF('System map'!$A$4:$A$203,C692),COUNTIFS(Components!$A$4:$A$253,C692,Components!$B$4:$B$253,B692))))&lt;&gt;1,IF(E692="UC",COUNTIF('Use cases'!$A$4:$A$253,F692),IF(E692="CAP",COUNTIF(Capabilities!$A$4:$A$253,F692),IF(E692="AIR",COUNTIF('System map'!$A$4:$A$203,F692),COUNTIFS(Components!$A$4:$A$253,F692,Components!$B$4:$B$253,E692))))&lt;&gt;1),"Endpoint missing or duplicated",IF(AND(NOT(AND(B692="UC",E692="CAP")),OR(G692="",COUNTIF('System map'!$A$4:$A$203,G692)&lt;&gt;1)),"AIR context missing / unknown",IF(AND(B692="CAP",E692="AIR",G692&lt;&gt;F692),"AIR context mismatch",IF(AND(B692="AIR",G692&lt;&gt;C692),"AIR context mismatch",IF(AND(B692="AIR",E692="AIR",C692=F692),"Self-dependency",IF(AND(B692="AIR",E692="AIR",M692&lt;&gt;"Superseded",COUNTIFS($B$4:$B$1003,"AIR",$C$4:$C$1003,F692,$E$4:$E$1003,"AIR",$F$4:$F$1003,C692,$M$4:$M$1003,"&lt;&gt;Superseded")&gt;0),"Dependency cycle (A↔B) — review",IF(AND(B692="AIR",OR(E692="MOD",E692="DATA",E692="IF",E692="AG",E692="TOOL"),IFERROR(INDEX(Components!$G$4:$G$253,MATCH(F692,Components!$A$4:$A$253,0)),"")&lt;&gt;"",IFERROR(INDEX(Components!$G$4:$G$253,MATCH(F692,Components!$A$4:$A$253,0)),"")&lt;&gt;C692),"Component owned by another AIR-ID",IF(AND(M692="Confirmed",OR(IF(B692="UC",COUNTIFS('Use cases'!$A$4:$A$253,C692,'Use cases'!$I$4:$I$253,"Confirmed",'Use cases'!$J$4:$J$253,"OK — verify source"),IF(B692="CAP",COUNTIFS(Capabilities!$A$4:$A$253,C692,Capabilities!$J$4:$J$253,"Confirmed",Capabilities!$K$4:$K$253,"OK — verify source"),IF(B692="AIR",COUNTIFS('System map'!$A$4:$A$203,C692,'System map'!$B$4:$B$203,"&lt;&gt;",'System map'!$C$4:$C$203,"&lt;&gt;",'System map'!$D$4:$D$203,"&lt;&gt;"),COUNTIFS(Components!$A$4:$A$253,C692,Components!$B$4:$B$253,B692,Components!$K$4:$K$253,"Confirmed",Components!$L$4:$L$253,"OK — verify source"))))&lt;&gt;1,IF(E692="UC",COUNTIFS('Use cases'!$A$4:$A$253,F692,'Use cases'!$I$4:$I$253,"Confirmed",'Use cases'!$J$4:$J$253,"OK — verify source"),IF(E692="CAP",COUNTIFS(Capabilities!$A$4:$A$253,F692,Capabilities!$J$4:$J$253,"Confirmed",Capabilities!$K$4:$K$253,"OK — verify source"),IF(E692="AIR",COUNTIFS('System map'!$A$4:$A$203,F692,'System map'!$B$4:$B$203,"&lt;&gt;",'System map'!$C$4:$C$203,"&lt;&gt;",'System map'!$D$4:$D$203,"&lt;&gt;"),COUNTIFS(Components!$A$4:$A$253,F692,Components!$B$4:$B$253,E692,Components!$K$4:$K$253,"Confirmed",Components!$L$4:$L$253,"OK — verify source"))))&lt;&gt;1)),"Endpoint not source-reconciled",IF(AND(M692="Confirmed",OR(L692="",K692="",K692="Unknown",K692="Low")),"Confirmed link lacks verification","OK — verify source"))))))))))))))</f>
        <v/>
      </c>
    </row>
    <row r="693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8" t="n"/>
      <c r="M693" s="27" t="n"/>
      <c r="N693" s="27">
        <f>IF(COUNTA(A693:M693)=0,"",IF(OR(A693="",B693="",C693="",D693="",E693="",F693="",I693="",J693="",K693="",M693=""),"Required link detail missing",IF(COUNTIF($A$4:$A$1003,A693)&gt;1,"Duplicate Map Edge ID",IF(NOT(OR(AND(B693="UC",E693="CAP",D693="requires"),AND(B693="CAP",E693="AIR",D693="provided by"),AND(B693="AIR",OR(E693="MOD",E693="DATA",E693="IF",E693="AG",E693="TOOL"),D693="references"),AND(B693="AIR",E693="AIR",D693="depends on"))),"Invalid relationship",IF(AND(M693&lt;&gt;"Superseded",COUNTIFS($B$4:$B$1003,B693,$C$4:$C$1003,C693,$D$4:$D$1003,D693,$E$4:$E$1003,E693,$F$4:$F$1003,F693,$G$4:$G$1003,G693,$M$4:$M$1003,"&lt;&gt;Superseded")&gt;1),"Duplicate relationship",IF(OR(IF(B693="UC",COUNTIF('Use cases'!$A$4:$A$253,C693),IF(B693="CAP",COUNTIF(Capabilities!$A$4:$A$253,C693),IF(B693="AIR",COUNTIF('System map'!$A$4:$A$203,C693),COUNTIFS(Components!$A$4:$A$253,C693,Components!$B$4:$B$253,B693))))&lt;&gt;1,IF(E693="UC",COUNTIF('Use cases'!$A$4:$A$253,F693),IF(E693="CAP",COUNTIF(Capabilities!$A$4:$A$253,F693),IF(E693="AIR",COUNTIF('System map'!$A$4:$A$203,F693),COUNTIFS(Components!$A$4:$A$253,F693,Components!$B$4:$B$253,E693))))&lt;&gt;1),"Endpoint missing or duplicated",IF(AND(NOT(AND(B693="UC",E693="CAP")),OR(G693="",COUNTIF('System map'!$A$4:$A$203,G693)&lt;&gt;1)),"AIR context missing / unknown",IF(AND(B693="CAP",E693="AIR",G693&lt;&gt;F693),"AIR context mismatch",IF(AND(B693="AIR",G693&lt;&gt;C693),"AIR context mismatch",IF(AND(B693="AIR",E693="AIR",C693=F693),"Self-dependency",IF(AND(B693="AIR",E693="AIR",M693&lt;&gt;"Superseded",COUNTIFS($B$4:$B$1003,"AIR",$C$4:$C$1003,F693,$E$4:$E$1003,"AIR",$F$4:$F$1003,C693,$M$4:$M$1003,"&lt;&gt;Superseded")&gt;0),"Dependency cycle (A↔B) — review",IF(AND(B693="AIR",OR(E693="MOD",E693="DATA",E693="IF",E693="AG",E693="TOOL"),IFERROR(INDEX(Components!$G$4:$G$253,MATCH(F693,Components!$A$4:$A$253,0)),"")&lt;&gt;"",IFERROR(INDEX(Components!$G$4:$G$253,MATCH(F693,Components!$A$4:$A$253,0)),"")&lt;&gt;C693),"Component owned by another AIR-ID",IF(AND(M693="Confirmed",OR(IF(B693="UC",COUNTIFS('Use cases'!$A$4:$A$253,C693,'Use cases'!$I$4:$I$253,"Confirmed",'Use cases'!$J$4:$J$253,"OK — verify source"),IF(B693="CAP",COUNTIFS(Capabilities!$A$4:$A$253,C693,Capabilities!$J$4:$J$253,"Confirmed",Capabilities!$K$4:$K$253,"OK — verify source"),IF(B693="AIR",COUNTIFS('System map'!$A$4:$A$203,C693,'System map'!$B$4:$B$203,"&lt;&gt;",'System map'!$C$4:$C$203,"&lt;&gt;",'System map'!$D$4:$D$203,"&lt;&gt;"),COUNTIFS(Components!$A$4:$A$253,C693,Components!$B$4:$B$253,B693,Components!$K$4:$K$253,"Confirmed",Components!$L$4:$L$253,"OK — verify source"))))&lt;&gt;1,IF(E693="UC",COUNTIFS('Use cases'!$A$4:$A$253,F693,'Use cases'!$I$4:$I$253,"Confirmed",'Use cases'!$J$4:$J$253,"OK — verify source"),IF(E693="CAP",COUNTIFS(Capabilities!$A$4:$A$253,F693,Capabilities!$J$4:$J$253,"Confirmed",Capabilities!$K$4:$K$253,"OK — verify source"),IF(E693="AIR",COUNTIFS('System map'!$A$4:$A$203,F693,'System map'!$B$4:$B$203,"&lt;&gt;",'System map'!$C$4:$C$203,"&lt;&gt;",'System map'!$D$4:$D$203,"&lt;&gt;"),COUNTIFS(Components!$A$4:$A$253,F693,Components!$B$4:$B$253,E693,Components!$K$4:$K$253,"Confirmed",Components!$L$4:$L$253,"OK — verify source"))))&lt;&gt;1)),"Endpoint not source-reconciled",IF(AND(M693="Confirmed",OR(L693="",K693="",K693="Unknown",K693="Low")),"Confirmed link lacks verification","OK — verify source"))))))))))))))</f>
        <v/>
      </c>
    </row>
    <row r="69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6" t="n"/>
      <c r="M694" s="25" t="n"/>
      <c r="N694" s="25">
        <f>IF(COUNTA(A694:M694)=0,"",IF(OR(A694="",B694="",C694="",D694="",E694="",F694="",I694="",J694="",K694="",M694=""),"Required link detail missing",IF(COUNTIF($A$4:$A$1003,A694)&gt;1,"Duplicate Map Edge ID",IF(NOT(OR(AND(B694="UC",E694="CAP",D694="requires"),AND(B694="CAP",E694="AIR",D694="provided by"),AND(B694="AIR",OR(E694="MOD",E694="DATA",E694="IF",E694="AG",E694="TOOL"),D694="references"),AND(B694="AIR",E694="AIR",D694="depends on"))),"Invalid relationship",IF(AND(M694&lt;&gt;"Superseded",COUNTIFS($B$4:$B$1003,B694,$C$4:$C$1003,C694,$D$4:$D$1003,D694,$E$4:$E$1003,E694,$F$4:$F$1003,F694,$G$4:$G$1003,G694,$M$4:$M$1003,"&lt;&gt;Superseded")&gt;1),"Duplicate relationship",IF(OR(IF(B694="UC",COUNTIF('Use cases'!$A$4:$A$253,C694),IF(B694="CAP",COUNTIF(Capabilities!$A$4:$A$253,C694),IF(B694="AIR",COUNTIF('System map'!$A$4:$A$203,C694),COUNTIFS(Components!$A$4:$A$253,C694,Components!$B$4:$B$253,B694))))&lt;&gt;1,IF(E694="UC",COUNTIF('Use cases'!$A$4:$A$253,F694),IF(E694="CAP",COUNTIF(Capabilities!$A$4:$A$253,F694),IF(E694="AIR",COUNTIF('System map'!$A$4:$A$203,F694),COUNTIFS(Components!$A$4:$A$253,F694,Components!$B$4:$B$253,E694))))&lt;&gt;1),"Endpoint missing or duplicated",IF(AND(NOT(AND(B694="UC",E694="CAP")),OR(G694="",COUNTIF('System map'!$A$4:$A$203,G694)&lt;&gt;1)),"AIR context missing / unknown",IF(AND(B694="CAP",E694="AIR",G694&lt;&gt;F694),"AIR context mismatch",IF(AND(B694="AIR",G694&lt;&gt;C694),"AIR context mismatch",IF(AND(B694="AIR",E694="AIR",C694=F694),"Self-dependency",IF(AND(B694="AIR",E694="AIR",M694&lt;&gt;"Superseded",COUNTIFS($B$4:$B$1003,"AIR",$C$4:$C$1003,F694,$E$4:$E$1003,"AIR",$F$4:$F$1003,C694,$M$4:$M$1003,"&lt;&gt;Superseded")&gt;0),"Dependency cycle (A↔B) — review",IF(AND(B694="AIR",OR(E694="MOD",E694="DATA",E694="IF",E694="AG",E694="TOOL"),IFERROR(INDEX(Components!$G$4:$G$253,MATCH(F694,Components!$A$4:$A$253,0)),"")&lt;&gt;"",IFERROR(INDEX(Components!$G$4:$G$253,MATCH(F694,Components!$A$4:$A$253,0)),"")&lt;&gt;C694),"Component owned by another AIR-ID",IF(AND(M694="Confirmed",OR(IF(B694="UC",COUNTIFS('Use cases'!$A$4:$A$253,C694,'Use cases'!$I$4:$I$253,"Confirmed",'Use cases'!$J$4:$J$253,"OK — verify source"),IF(B694="CAP",COUNTIFS(Capabilities!$A$4:$A$253,C694,Capabilities!$J$4:$J$253,"Confirmed",Capabilities!$K$4:$K$253,"OK — verify source"),IF(B694="AIR",COUNTIFS('System map'!$A$4:$A$203,C694,'System map'!$B$4:$B$203,"&lt;&gt;",'System map'!$C$4:$C$203,"&lt;&gt;",'System map'!$D$4:$D$203,"&lt;&gt;"),COUNTIFS(Components!$A$4:$A$253,C694,Components!$B$4:$B$253,B694,Components!$K$4:$K$253,"Confirmed",Components!$L$4:$L$253,"OK — verify source"))))&lt;&gt;1,IF(E694="UC",COUNTIFS('Use cases'!$A$4:$A$253,F694,'Use cases'!$I$4:$I$253,"Confirmed",'Use cases'!$J$4:$J$253,"OK — verify source"),IF(E694="CAP",COUNTIFS(Capabilities!$A$4:$A$253,F694,Capabilities!$J$4:$J$253,"Confirmed",Capabilities!$K$4:$K$253,"OK — verify source"),IF(E694="AIR",COUNTIFS('System map'!$A$4:$A$203,F694,'System map'!$B$4:$B$203,"&lt;&gt;",'System map'!$C$4:$C$203,"&lt;&gt;",'System map'!$D$4:$D$203,"&lt;&gt;"),COUNTIFS(Components!$A$4:$A$253,F694,Components!$B$4:$B$253,E694,Components!$K$4:$K$253,"Confirmed",Components!$L$4:$L$253,"OK — verify source"))))&lt;&gt;1)),"Endpoint not source-reconciled",IF(AND(M694="Confirmed",OR(L694="",K694="",K694="Unknown",K694="Low")),"Confirmed link lacks verification","OK — verify source"))))))))))))))</f>
        <v/>
      </c>
    </row>
    <row r="695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8" t="n"/>
      <c r="M695" s="27" t="n"/>
      <c r="N695" s="27">
        <f>IF(COUNTA(A695:M695)=0,"",IF(OR(A695="",B695="",C695="",D695="",E695="",F695="",I695="",J695="",K695="",M695=""),"Required link detail missing",IF(COUNTIF($A$4:$A$1003,A695)&gt;1,"Duplicate Map Edge ID",IF(NOT(OR(AND(B695="UC",E695="CAP",D695="requires"),AND(B695="CAP",E695="AIR",D695="provided by"),AND(B695="AIR",OR(E695="MOD",E695="DATA",E695="IF",E695="AG",E695="TOOL"),D695="references"),AND(B695="AIR",E695="AIR",D695="depends on"))),"Invalid relationship",IF(AND(M695&lt;&gt;"Superseded",COUNTIFS($B$4:$B$1003,B695,$C$4:$C$1003,C695,$D$4:$D$1003,D695,$E$4:$E$1003,E695,$F$4:$F$1003,F695,$G$4:$G$1003,G695,$M$4:$M$1003,"&lt;&gt;Superseded")&gt;1),"Duplicate relationship",IF(OR(IF(B695="UC",COUNTIF('Use cases'!$A$4:$A$253,C695),IF(B695="CAP",COUNTIF(Capabilities!$A$4:$A$253,C695),IF(B695="AIR",COUNTIF('System map'!$A$4:$A$203,C695),COUNTIFS(Components!$A$4:$A$253,C695,Components!$B$4:$B$253,B695))))&lt;&gt;1,IF(E695="UC",COUNTIF('Use cases'!$A$4:$A$253,F695),IF(E695="CAP",COUNTIF(Capabilities!$A$4:$A$253,F695),IF(E695="AIR",COUNTIF('System map'!$A$4:$A$203,F695),COUNTIFS(Components!$A$4:$A$253,F695,Components!$B$4:$B$253,E695))))&lt;&gt;1),"Endpoint missing or duplicated",IF(AND(NOT(AND(B695="UC",E695="CAP")),OR(G695="",COUNTIF('System map'!$A$4:$A$203,G695)&lt;&gt;1)),"AIR context missing / unknown",IF(AND(B695="CAP",E695="AIR",G695&lt;&gt;F695),"AIR context mismatch",IF(AND(B695="AIR",G695&lt;&gt;C695),"AIR context mismatch",IF(AND(B695="AIR",E695="AIR",C695=F695),"Self-dependency",IF(AND(B695="AIR",E695="AIR",M695&lt;&gt;"Superseded",COUNTIFS($B$4:$B$1003,"AIR",$C$4:$C$1003,F695,$E$4:$E$1003,"AIR",$F$4:$F$1003,C695,$M$4:$M$1003,"&lt;&gt;Superseded")&gt;0),"Dependency cycle (A↔B) — review",IF(AND(B695="AIR",OR(E695="MOD",E695="DATA",E695="IF",E695="AG",E695="TOOL"),IFERROR(INDEX(Components!$G$4:$G$253,MATCH(F695,Components!$A$4:$A$253,0)),"")&lt;&gt;"",IFERROR(INDEX(Components!$G$4:$G$253,MATCH(F695,Components!$A$4:$A$253,0)),"")&lt;&gt;C695),"Component owned by another AIR-ID",IF(AND(M695="Confirmed",OR(IF(B695="UC",COUNTIFS('Use cases'!$A$4:$A$253,C695,'Use cases'!$I$4:$I$253,"Confirmed",'Use cases'!$J$4:$J$253,"OK — verify source"),IF(B695="CAP",COUNTIFS(Capabilities!$A$4:$A$253,C695,Capabilities!$J$4:$J$253,"Confirmed",Capabilities!$K$4:$K$253,"OK — verify source"),IF(B695="AIR",COUNTIFS('System map'!$A$4:$A$203,C695,'System map'!$B$4:$B$203,"&lt;&gt;",'System map'!$C$4:$C$203,"&lt;&gt;",'System map'!$D$4:$D$203,"&lt;&gt;"),COUNTIFS(Components!$A$4:$A$253,C695,Components!$B$4:$B$253,B695,Components!$K$4:$K$253,"Confirmed",Components!$L$4:$L$253,"OK — verify source"))))&lt;&gt;1,IF(E695="UC",COUNTIFS('Use cases'!$A$4:$A$253,F695,'Use cases'!$I$4:$I$253,"Confirmed",'Use cases'!$J$4:$J$253,"OK — verify source"),IF(E695="CAP",COUNTIFS(Capabilities!$A$4:$A$253,F695,Capabilities!$J$4:$J$253,"Confirmed",Capabilities!$K$4:$K$253,"OK — verify source"),IF(E695="AIR",COUNTIFS('System map'!$A$4:$A$203,F695,'System map'!$B$4:$B$203,"&lt;&gt;",'System map'!$C$4:$C$203,"&lt;&gt;",'System map'!$D$4:$D$203,"&lt;&gt;"),COUNTIFS(Components!$A$4:$A$253,F695,Components!$B$4:$B$253,E695,Components!$K$4:$K$253,"Confirmed",Components!$L$4:$L$253,"OK — verify source"))))&lt;&gt;1)),"Endpoint not source-reconciled",IF(AND(M695="Confirmed",OR(L695="",K695="",K695="Unknown",K695="Low")),"Confirmed link lacks verification","OK — verify source"))))))))))))))</f>
        <v/>
      </c>
    </row>
    <row r="696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6" t="n"/>
      <c r="M696" s="25" t="n"/>
      <c r="N696" s="25">
        <f>IF(COUNTA(A696:M696)=0,"",IF(OR(A696="",B696="",C696="",D696="",E696="",F696="",I696="",J696="",K696="",M696=""),"Required link detail missing",IF(COUNTIF($A$4:$A$1003,A696)&gt;1,"Duplicate Map Edge ID",IF(NOT(OR(AND(B696="UC",E696="CAP",D696="requires"),AND(B696="CAP",E696="AIR",D696="provided by"),AND(B696="AIR",OR(E696="MOD",E696="DATA",E696="IF",E696="AG",E696="TOOL"),D696="references"),AND(B696="AIR",E696="AIR",D696="depends on"))),"Invalid relationship",IF(AND(M696&lt;&gt;"Superseded",COUNTIFS($B$4:$B$1003,B696,$C$4:$C$1003,C696,$D$4:$D$1003,D696,$E$4:$E$1003,E696,$F$4:$F$1003,F696,$G$4:$G$1003,G696,$M$4:$M$1003,"&lt;&gt;Superseded")&gt;1),"Duplicate relationship",IF(OR(IF(B696="UC",COUNTIF('Use cases'!$A$4:$A$253,C696),IF(B696="CAP",COUNTIF(Capabilities!$A$4:$A$253,C696),IF(B696="AIR",COUNTIF('System map'!$A$4:$A$203,C696),COUNTIFS(Components!$A$4:$A$253,C696,Components!$B$4:$B$253,B696))))&lt;&gt;1,IF(E696="UC",COUNTIF('Use cases'!$A$4:$A$253,F696),IF(E696="CAP",COUNTIF(Capabilities!$A$4:$A$253,F696),IF(E696="AIR",COUNTIF('System map'!$A$4:$A$203,F696),COUNTIFS(Components!$A$4:$A$253,F696,Components!$B$4:$B$253,E696))))&lt;&gt;1),"Endpoint missing or duplicated",IF(AND(NOT(AND(B696="UC",E696="CAP")),OR(G696="",COUNTIF('System map'!$A$4:$A$203,G696)&lt;&gt;1)),"AIR context missing / unknown",IF(AND(B696="CAP",E696="AIR",G696&lt;&gt;F696),"AIR context mismatch",IF(AND(B696="AIR",G696&lt;&gt;C696),"AIR context mismatch",IF(AND(B696="AIR",E696="AIR",C696=F696),"Self-dependency",IF(AND(B696="AIR",E696="AIR",M696&lt;&gt;"Superseded",COUNTIFS($B$4:$B$1003,"AIR",$C$4:$C$1003,F696,$E$4:$E$1003,"AIR",$F$4:$F$1003,C696,$M$4:$M$1003,"&lt;&gt;Superseded")&gt;0),"Dependency cycle (A↔B) — review",IF(AND(B696="AIR",OR(E696="MOD",E696="DATA",E696="IF",E696="AG",E696="TOOL"),IFERROR(INDEX(Components!$G$4:$G$253,MATCH(F696,Components!$A$4:$A$253,0)),"")&lt;&gt;"",IFERROR(INDEX(Components!$G$4:$G$253,MATCH(F696,Components!$A$4:$A$253,0)),"")&lt;&gt;C696),"Component owned by another AIR-ID",IF(AND(M696="Confirmed",OR(IF(B696="UC",COUNTIFS('Use cases'!$A$4:$A$253,C696,'Use cases'!$I$4:$I$253,"Confirmed",'Use cases'!$J$4:$J$253,"OK — verify source"),IF(B696="CAP",COUNTIFS(Capabilities!$A$4:$A$253,C696,Capabilities!$J$4:$J$253,"Confirmed",Capabilities!$K$4:$K$253,"OK — verify source"),IF(B696="AIR",COUNTIFS('System map'!$A$4:$A$203,C696,'System map'!$B$4:$B$203,"&lt;&gt;",'System map'!$C$4:$C$203,"&lt;&gt;",'System map'!$D$4:$D$203,"&lt;&gt;"),COUNTIFS(Components!$A$4:$A$253,C696,Components!$B$4:$B$253,B696,Components!$K$4:$K$253,"Confirmed",Components!$L$4:$L$253,"OK — verify source"))))&lt;&gt;1,IF(E696="UC",COUNTIFS('Use cases'!$A$4:$A$253,F696,'Use cases'!$I$4:$I$253,"Confirmed",'Use cases'!$J$4:$J$253,"OK — verify source"),IF(E696="CAP",COUNTIFS(Capabilities!$A$4:$A$253,F696,Capabilities!$J$4:$J$253,"Confirmed",Capabilities!$K$4:$K$253,"OK — verify source"),IF(E696="AIR",COUNTIFS('System map'!$A$4:$A$203,F696,'System map'!$B$4:$B$203,"&lt;&gt;",'System map'!$C$4:$C$203,"&lt;&gt;",'System map'!$D$4:$D$203,"&lt;&gt;"),COUNTIFS(Components!$A$4:$A$253,F696,Components!$B$4:$B$253,E696,Components!$K$4:$K$253,"Confirmed",Components!$L$4:$L$253,"OK — verify source"))))&lt;&gt;1)),"Endpoint not source-reconciled",IF(AND(M696="Confirmed",OR(L696="",K696="",K696="Unknown",K696="Low")),"Confirmed link lacks verification","OK — verify source"))))))))))))))</f>
        <v/>
      </c>
    </row>
    <row r="697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8" t="n"/>
      <c r="M697" s="27" t="n"/>
      <c r="N697" s="27">
        <f>IF(COUNTA(A697:M697)=0,"",IF(OR(A697="",B697="",C697="",D697="",E697="",F697="",I697="",J697="",K697="",M697=""),"Required link detail missing",IF(COUNTIF($A$4:$A$1003,A697)&gt;1,"Duplicate Map Edge ID",IF(NOT(OR(AND(B697="UC",E697="CAP",D697="requires"),AND(B697="CAP",E697="AIR",D697="provided by"),AND(B697="AIR",OR(E697="MOD",E697="DATA",E697="IF",E697="AG",E697="TOOL"),D697="references"),AND(B697="AIR",E697="AIR",D697="depends on"))),"Invalid relationship",IF(AND(M697&lt;&gt;"Superseded",COUNTIFS($B$4:$B$1003,B697,$C$4:$C$1003,C697,$D$4:$D$1003,D697,$E$4:$E$1003,E697,$F$4:$F$1003,F697,$G$4:$G$1003,G697,$M$4:$M$1003,"&lt;&gt;Superseded")&gt;1),"Duplicate relationship",IF(OR(IF(B697="UC",COUNTIF('Use cases'!$A$4:$A$253,C697),IF(B697="CAP",COUNTIF(Capabilities!$A$4:$A$253,C697),IF(B697="AIR",COUNTIF('System map'!$A$4:$A$203,C697),COUNTIFS(Components!$A$4:$A$253,C697,Components!$B$4:$B$253,B697))))&lt;&gt;1,IF(E697="UC",COUNTIF('Use cases'!$A$4:$A$253,F697),IF(E697="CAP",COUNTIF(Capabilities!$A$4:$A$253,F697),IF(E697="AIR",COUNTIF('System map'!$A$4:$A$203,F697),COUNTIFS(Components!$A$4:$A$253,F697,Components!$B$4:$B$253,E697))))&lt;&gt;1),"Endpoint missing or duplicated",IF(AND(NOT(AND(B697="UC",E697="CAP")),OR(G697="",COUNTIF('System map'!$A$4:$A$203,G697)&lt;&gt;1)),"AIR context missing / unknown",IF(AND(B697="CAP",E697="AIR",G697&lt;&gt;F697),"AIR context mismatch",IF(AND(B697="AIR",G697&lt;&gt;C697),"AIR context mismatch",IF(AND(B697="AIR",E697="AIR",C697=F697),"Self-dependency",IF(AND(B697="AIR",E697="AIR",M697&lt;&gt;"Superseded",COUNTIFS($B$4:$B$1003,"AIR",$C$4:$C$1003,F697,$E$4:$E$1003,"AIR",$F$4:$F$1003,C697,$M$4:$M$1003,"&lt;&gt;Superseded")&gt;0),"Dependency cycle (A↔B) — review",IF(AND(B697="AIR",OR(E697="MOD",E697="DATA",E697="IF",E697="AG",E697="TOOL"),IFERROR(INDEX(Components!$G$4:$G$253,MATCH(F697,Components!$A$4:$A$253,0)),"")&lt;&gt;"",IFERROR(INDEX(Components!$G$4:$G$253,MATCH(F697,Components!$A$4:$A$253,0)),"")&lt;&gt;C697),"Component owned by another AIR-ID",IF(AND(M697="Confirmed",OR(IF(B697="UC",COUNTIFS('Use cases'!$A$4:$A$253,C697,'Use cases'!$I$4:$I$253,"Confirmed",'Use cases'!$J$4:$J$253,"OK — verify source"),IF(B697="CAP",COUNTIFS(Capabilities!$A$4:$A$253,C697,Capabilities!$J$4:$J$253,"Confirmed",Capabilities!$K$4:$K$253,"OK — verify source"),IF(B697="AIR",COUNTIFS('System map'!$A$4:$A$203,C697,'System map'!$B$4:$B$203,"&lt;&gt;",'System map'!$C$4:$C$203,"&lt;&gt;",'System map'!$D$4:$D$203,"&lt;&gt;"),COUNTIFS(Components!$A$4:$A$253,C697,Components!$B$4:$B$253,B697,Components!$K$4:$K$253,"Confirmed",Components!$L$4:$L$253,"OK — verify source"))))&lt;&gt;1,IF(E697="UC",COUNTIFS('Use cases'!$A$4:$A$253,F697,'Use cases'!$I$4:$I$253,"Confirmed",'Use cases'!$J$4:$J$253,"OK — verify source"),IF(E697="CAP",COUNTIFS(Capabilities!$A$4:$A$253,F697,Capabilities!$J$4:$J$253,"Confirmed",Capabilities!$K$4:$K$253,"OK — verify source"),IF(E697="AIR",COUNTIFS('System map'!$A$4:$A$203,F697,'System map'!$B$4:$B$203,"&lt;&gt;",'System map'!$C$4:$C$203,"&lt;&gt;",'System map'!$D$4:$D$203,"&lt;&gt;"),COUNTIFS(Components!$A$4:$A$253,F697,Components!$B$4:$B$253,E697,Components!$K$4:$K$253,"Confirmed",Components!$L$4:$L$253,"OK — verify source"))))&lt;&gt;1)),"Endpoint not source-reconciled",IF(AND(M697="Confirmed",OR(L697="",K697="",K697="Unknown",K697="Low")),"Confirmed link lacks verification","OK — verify source"))))))))))))))</f>
        <v/>
      </c>
    </row>
    <row r="698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6" t="n"/>
      <c r="M698" s="25" t="n"/>
      <c r="N698" s="25">
        <f>IF(COUNTA(A698:M698)=0,"",IF(OR(A698="",B698="",C698="",D698="",E698="",F698="",I698="",J698="",K698="",M698=""),"Required link detail missing",IF(COUNTIF($A$4:$A$1003,A698)&gt;1,"Duplicate Map Edge ID",IF(NOT(OR(AND(B698="UC",E698="CAP",D698="requires"),AND(B698="CAP",E698="AIR",D698="provided by"),AND(B698="AIR",OR(E698="MOD",E698="DATA",E698="IF",E698="AG",E698="TOOL"),D698="references"),AND(B698="AIR",E698="AIR",D698="depends on"))),"Invalid relationship",IF(AND(M698&lt;&gt;"Superseded",COUNTIFS($B$4:$B$1003,B698,$C$4:$C$1003,C698,$D$4:$D$1003,D698,$E$4:$E$1003,E698,$F$4:$F$1003,F698,$G$4:$G$1003,G698,$M$4:$M$1003,"&lt;&gt;Superseded")&gt;1),"Duplicate relationship",IF(OR(IF(B698="UC",COUNTIF('Use cases'!$A$4:$A$253,C698),IF(B698="CAP",COUNTIF(Capabilities!$A$4:$A$253,C698),IF(B698="AIR",COUNTIF('System map'!$A$4:$A$203,C698),COUNTIFS(Components!$A$4:$A$253,C698,Components!$B$4:$B$253,B698))))&lt;&gt;1,IF(E698="UC",COUNTIF('Use cases'!$A$4:$A$253,F698),IF(E698="CAP",COUNTIF(Capabilities!$A$4:$A$253,F698),IF(E698="AIR",COUNTIF('System map'!$A$4:$A$203,F698),COUNTIFS(Components!$A$4:$A$253,F698,Components!$B$4:$B$253,E698))))&lt;&gt;1),"Endpoint missing or duplicated",IF(AND(NOT(AND(B698="UC",E698="CAP")),OR(G698="",COUNTIF('System map'!$A$4:$A$203,G698)&lt;&gt;1)),"AIR context missing / unknown",IF(AND(B698="CAP",E698="AIR",G698&lt;&gt;F698),"AIR context mismatch",IF(AND(B698="AIR",G698&lt;&gt;C698),"AIR context mismatch",IF(AND(B698="AIR",E698="AIR",C698=F698),"Self-dependency",IF(AND(B698="AIR",E698="AIR",M698&lt;&gt;"Superseded",COUNTIFS($B$4:$B$1003,"AIR",$C$4:$C$1003,F698,$E$4:$E$1003,"AIR",$F$4:$F$1003,C698,$M$4:$M$1003,"&lt;&gt;Superseded")&gt;0),"Dependency cycle (A↔B) — review",IF(AND(B698="AIR",OR(E698="MOD",E698="DATA",E698="IF",E698="AG",E698="TOOL"),IFERROR(INDEX(Components!$G$4:$G$253,MATCH(F698,Components!$A$4:$A$253,0)),"")&lt;&gt;"",IFERROR(INDEX(Components!$G$4:$G$253,MATCH(F698,Components!$A$4:$A$253,0)),"")&lt;&gt;C698),"Component owned by another AIR-ID",IF(AND(M698="Confirmed",OR(IF(B698="UC",COUNTIFS('Use cases'!$A$4:$A$253,C698,'Use cases'!$I$4:$I$253,"Confirmed",'Use cases'!$J$4:$J$253,"OK — verify source"),IF(B698="CAP",COUNTIFS(Capabilities!$A$4:$A$253,C698,Capabilities!$J$4:$J$253,"Confirmed",Capabilities!$K$4:$K$253,"OK — verify source"),IF(B698="AIR",COUNTIFS('System map'!$A$4:$A$203,C698,'System map'!$B$4:$B$203,"&lt;&gt;",'System map'!$C$4:$C$203,"&lt;&gt;",'System map'!$D$4:$D$203,"&lt;&gt;"),COUNTIFS(Components!$A$4:$A$253,C698,Components!$B$4:$B$253,B698,Components!$K$4:$K$253,"Confirmed",Components!$L$4:$L$253,"OK — verify source"))))&lt;&gt;1,IF(E698="UC",COUNTIFS('Use cases'!$A$4:$A$253,F698,'Use cases'!$I$4:$I$253,"Confirmed",'Use cases'!$J$4:$J$253,"OK — verify source"),IF(E698="CAP",COUNTIFS(Capabilities!$A$4:$A$253,F698,Capabilities!$J$4:$J$253,"Confirmed",Capabilities!$K$4:$K$253,"OK — verify source"),IF(E698="AIR",COUNTIFS('System map'!$A$4:$A$203,F698,'System map'!$B$4:$B$203,"&lt;&gt;",'System map'!$C$4:$C$203,"&lt;&gt;",'System map'!$D$4:$D$203,"&lt;&gt;"),COUNTIFS(Components!$A$4:$A$253,F698,Components!$B$4:$B$253,E698,Components!$K$4:$K$253,"Confirmed",Components!$L$4:$L$253,"OK — verify source"))))&lt;&gt;1)),"Endpoint not source-reconciled",IF(AND(M698="Confirmed",OR(L698="",K698="",K698="Unknown",K698="Low")),"Confirmed link lacks verification","OK — verify source"))))))))))))))</f>
        <v/>
      </c>
    </row>
    <row r="699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8" t="n"/>
      <c r="M699" s="27" t="n"/>
      <c r="N699" s="27">
        <f>IF(COUNTA(A699:M699)=0,"",IF(OR(A699="",B699="",C699="",D699="",E699="",F699="",I699="",J699="",K699="",M699=""),"Required link detail missing",IF(COUNTIF($A$4:$A$1003,A699)&gt;1,"Duplicate Map Edge ID",IF(NOT(OR(AND(B699="UC",E699="CAP",D699="requires"),AND(B699="CAP",E699="AIR",D699="provided by"),AND(B699="AIR",OR(E699="MOD",E699="DATA",E699="IF",E699="AG",E699="TOOL"),D699="references"),AND(B699="AIR",E699="AIR",D699="depends on"))),"Invalid relationship",IF(AND(M699&lt;&gt;"Superseded",COUNTIFS($B$4:$B$1003,B699,$C$4:$C$1003,C699,$D$4:$D$1003,D699,$E$4:$E$1003,E699,$F$4:$F$1003,F699,$G$4:$G$1003,G699,$M$4:$M$1003,"&lt;&gt;Superseded")&gt;1),"Duplicate relationship",IF(OR(IF(B699="UC",COUNTIF('Use cases'!$A$4:$A$253,C699),IF(B699="CAP",COUNTIF(Capabilities!$A$4:$A$253,C699),IF(B699="AIR",COUNTIF('System map'!$A$4:$A$203,C699),COUNTIFS(Components!$A$4:$A$253,C699,Components!$B$4:$B$253,B699))))&lt;&gt;1,IF(E699="UC",COUNTIF('Use cases'!$A$4:$A$253,F699),IF(E699="CAP",COUNTIF(Capabilities!$A$4:$A$253,F699),IF(E699="AIR",COUNTIF('System map'!$A$4:$A$203,F699),COUNTIFS(Components!$A$4:$A$253,F699,Components!$B$4:$B$253,E699))))&lt;&gt;1),"Endpoint missing or duplicated",IF(AND(NOT(AND(B699="UC",E699="CAP")),OR(G699="",COUNTIF('System map'!$A$4:$A$203,G699)&lt;&gt;1)),"AIR context missing / unknown",IF(AND(B699="CAP",E699="AIR",G699&lt;&gt;F699),"AIR context mismatch",IF(AND(B699="AIR",G699&lt;&gt;C699),"AIR context mismatch",IF(AND(B699="AIR",E699="AIR",C699=F699),"Self-dependency",IF(AND(B699="AIR",E699="AIR",M699&lt;&gt;"Superseded",COUNTIFS($B$4:$B$1003,"AIR",$C$4:$C$1003,F699,$E$4:$E$1003,"AIR",$F$4:$F$1003,C699,$M$4:$M$1003,"&lt;&gt;Superseded")&gt;0),"Dependency cycle (A↔B) — review",IF(AND(B699="AIR",OR(E699="MOD",E699="DATA",E699="IF",E699="AG",E699="TOOL"),IFERROR(INDEX(Components!$G$4:$G$253,MATCH(F699,Components!$A$4:$A$253,0)),"")&lt;&gt;"",IFERROR(INDEX(Components!$G$4:$G$253,MATCH(F699,Components!$A$4:$A$253,0)),"")&lt;&gt;C699),"Component owned by another AIR-ID",IF(AND(M699="Confirmed",OR(IF(B699="UC",COUNTIFS('Use cases'!$A$4:$A$253,C699,'Use cases'!$I$4:$I$253,"Confirmed",'Use cases'!$J$4:$J$253,"OK — verify source"),IF(B699="CAP",COUNTIFS(Capabilities!$A$4:$A$253,C699,Capabilities!$J$4:$J$253,"Confirmed",Capabilities!$K$4:$K$253,"OK — verify source"),IF(B699="AIR",COUNTIFS('System map'!$A$4:$A$203,C699,'System map'!$B$4:$B$203,"&lt;&gt;",'System map'!$C$4:$C$203,"&lt;&gt;",'System map'!$D$4:$D$203,"&lt;&gt;"),COUNTIFS(Components!$A$4:$A$253,C699,Components!$B$4:$B$253,B699,Components!$K$4:$K$253,"Confirmed",Components!$L$4:$L$253,"OK — verify source"))))&lt;&gt;1,IF(E699="UC",COUNTIFS('Use cases'!$A$4:$A$253,F699,'Use cases'!$I$4:$I$253,"Confirmed",'Use cases'!$J$4:$J$253,"OK — verify source"),IF(E699="CAP",COUNTIFS(Capabilities!$A$4:$A$253,F699,Capabilities!$J$4:$J$253,"Confirmed",Capabilities!$K$4:$K$253,"OK — verify source"),IF(E699="AIR",COUNTIFS('System map'!$A$4:$A$203,F699,'System map'!$B$4:$B$203,"&lt;&gt;",'System map'!$C$4:$C$203,"&lt;&gt;",'System map'!$D$4:$D$203,"&lt;&gt;"),COUNTIFS(Components!$A$4:$A$253,F699,Components!$B$4:$B$253,E699,Components!$K$4:$K$253,"Confirmed",Components!$L$4:$L$253,"OK — verify source"))))&lt;&gt;1)),"Endpoint not source-reconciled",IF(AND(M699="Confirmed",OR(L699="",K699="",K699="Unknown",K699="Low")),"Confirmed link lacks verification","OK — verify source"))))))))))))))</f>
        <v/>
      </c>
    </row>
    <row r="700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6" t="n"/>
      <c r="M700" s="25" t="n"/>
      <c r="N700" s="25">
        <f>IF(COUNTA(A700:M700)=0,"",IF(OR(A700="",B700="",C700="",D700="",E700="",F700="",I700="",J700="",K700="",M700=""),"Required link detail missing",IF(COUNTIF($A$4:$A$1003,A700)&gt;1,"Duplicate Map Edge ID",IF(NOT(OR(AND(B700="UC",E700="CAP",D700="requires"),AND(B700="CAP",E700="AIR",D700="provided by"),AND(B700="AIR",OR(E700="MOD",E700="DATA",E700="IF",E700="AG",E700="TOOL"),D700="references"),AND(B700="AIR",E700="AIR",D700="depends on"))),"Invalid relationship",IF(AND(M700&lt;&gt;"Superseded",COUNTIFS($B$4:$B$1003,B700,$C$4:$C$1003,C700,$D$4:$D$1003,D700,$E$4:$E$1003,E700,$F$4:$F$1003,F700,$G$4:$G$1003,G700,$M$4:$M$1003,"&lt;&gt;Superseded")&gt;1),"Duplicate relationship",IF(OR(IF(B700="UC",COUNTIF('Use cases'!$A$4:$A$253,C700),IF(B700="CAP",COUNTIF(Capabilities!$A$4:$A$253,C700),IF(B700="AIR",COUNTIF('System map'!$A$4:$A$203,C700),COUNTIFS(Components!$A$4:$A$253,C700,Components!$B$4:$B$253,B700))))&lt;&gt;1,IF(E700="UC",COUNTIF('Use cases'!$A$4:$A$253,F700),IF(E700="CAP",COUNTIF(Capabilities!$A$4:$A$253,F700),IF(E700="AIR",COUNTIF('System map'!$A$4:$A$203,F700),COUNTIFS(Components!$A$4:$A$253,F700,Components!$B$4:$B$253,E700))))&lt;&gt;1),"Endpoint missing or duplicated",IF(AND(NOT(AND(B700="UC",E700="CAP")),OR(G700="",COUNTIF('System map'!$A$4:$A$203,G700)&lt;&gt;1)),"AIR context missing / unknown",IF(AND(B700="CAP",E700="AIR",G700&lt;&gt;F700),"AIR context mismatch",IF(AND(B700="AIR",G700&lt;&gt;C700),"AIR context mismatch",IF(AND(B700="AIR",E700="AIR",C700=F700),"Self-dependency",IF(AND(B700="AIR",E700="AIR",M700&lt;&gt;"Superseded",COUNTIFS($B$4:$B$1003,"AIR",$C$4:$C$1003,F700,$E$4:$E$1003,"AIR",$F$4:$F$1003,C700,$M$4:$M$1003,"&lt;&gt;Superseded")&gt;0),"Dependency cycle (A↔B) — review",IF(AND(B700="AIR",OR(E700="MOD",E700="DATA",E700="IF",E700="AG",E700="TOOL"),IFERROR(INDEX(Components!$G$4:$G$253,MATCH(F700,Components!$A$4:$A$253,0)),"")&lt;&gt;"",IFERROR(INDEX(Components!$G$4:$G$253,MATCH(F700,Components!$A$4:$A$253,0)),"")&lt;&gt;C700),"Component owned by another AIR-ID",IF(AND(M700="Confirmed",OR(IF(B700="UC",COUNTIFS('Use cases'!$A$4:$A$253,C700,'Use cases'!$I$4:$I$253,"Confirmed",'Use cases'!$J$4:$J$253,"OK — verify source"),IF(B700="CAP",COUNTIFS(Capabilities!$A$4:$A$253,C700,Capabilities!$J$4:$J$253,"Confirmed",Capabilities!$K$4:$K$253,"OK — verify source"),IF(B700="AIR",COUNTIFS('System map'!$A$4:$A$203,C700,'System map'!$B$4:$B$203,"&lt;&gt;",'System map'!$C$4:$C$203,"&lt;&gt;",'System map'!$D$4:$D$203,"&lt;&gt;"),COUNTIFS(Components!$A$4:$A$253,C700,Components!$B$4:$B$253,B700,Components!$K$4:$K$253,"Confirmed",Components!$L$4:$L$253,"OK — verify source"))))&lt;&gt;1,IF(E700="UC",COUNTIFS('Use cases'!$A$4:$A$253,F700,'Use cases'!$I$4:$I$253,"Confirmed",'Use cases'!$J$4:$J$253,"OK — verify source"),IF(E700="CAP",COUNTIFS(Capabilities!$A$4:$A$253,F700,Capabilities!$J$4:$J$253,"Confirmed",Capabilities!$K$4:$K$253,"OK — verify source"),IF(E700="AIR",COUNTIFS('System map'!$A$4:$A$203,F700,'System map'!$B$4:$B$203,"&lt;&gt;",'System map'!$C$4:$C$203,"&lt;&gt;",'System map'!$D$4:$D$203,"&lt;&gt;"),COUNTIFS(Components!$A$4:$A$253,F700,Components!$B$4:$B$253,E700,Components!$K$4:$K$253,"Confirmed",Components!$L$4:$L$253,"OK — verify source"))))&lt;&gt;1)),"Endpoint not source-reconciled",IF(AND(M700="Confirmed",OR(L700="",K700="",K700="Unknown",K700="Low")),"Confirmed link lacks verification","OK — verify source"))))))))))))))</f>
        <v/>
      </c>
    </row>
    <row r="701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8" t="n"/>
      <c r="M701" s="27" t="n"/>
      <c r="N701" s="27">
        <f>IF(COUNTA(A701:M701)=0,"",IF(OR(A701="",B701="",C701="",D701="",E701="",F701="",I701="",J701="",K701="",M701=""),"Required link detail missing",IF(COUNTIF($A$4:$A$1003,A701)&gt;1,"Duplicate Map Edge ID",IF(NOT(OR(AND(B701="UC",E701="CAP",D701="requires"),AND(B701="CAP",E701="AIR",D701="provided by"),AND(B701="AIR",OR(E701="MOD",E701="DATA",E701="IF",E701="AG",E701="TOOL"),D701="references"),AND(B701="AIR",E701="AIR",D701="depends on"))),"Invalid relationship",IF(AND(M701&lt;&gt;"Superseded",COUNTIFS($B$4:$B$1003,B701,$C$4:$C$1003,C701,$D$4:$D$1003,D701,$E$4:$E$1003,E701,$F$4:$F$1003,F701,$G$4:$G$1003,G701,$M$4:$M$1003,"&lt;&gt;Superseded")&gt;1),"Duplicate relationship",IF(OR(IF(B701="UC",COUNTIF('Use cases'!$A$4:$A$253,C701),IF(B701="CAP",COUNTIF(Capabilities!$A$4:$A$253,C701),IF(B701="AIR",COUNTIF('System map'!$A$4:$A$203,C701),COUNTIFS(Components!$A$4:$A$253,C701,Components!$B$4:$B$253,B701))))&lt;&gt;1,IF(E701="UC",COUNTIF('Use cases'!$A$4:$A$253,F701),IF(E701="CAP",COUNTIF(Capabilities!$A$4:$A$253,F701),IF(E701="AIR",COUNTIF('System map'!$A$4:$A$203,F701),COUNTIFS(Components!$A$4:$A$253,F701,Components!$B$4:$B$253,E701))))&lt;&gt;1),"Endpoint missing or duplicated",IF(AND(NOT(AND(B701="UC",E701="CAP")),OR(G701="",COUNTIF('System map'!$A$4:$A$203,G701)&lt;&gt;1)),"AIR context missing / unknown",IF(AND(B701="CAP",E701="AIR",G701&lt;&gt;F701),"AIR context mismatch",IF(AND(B701="AIR",G701&lt;&gt;C701),"AIR context mismatch",IF(AND(B701="AIR",E701="AIR",C701=F701),"Self-dependency",IF(AND(B701="AIR",E701="AIR",M701&lt;&gt;"Superseded",COUNTIFS($B$4:$B$1003,"AIR",$C$4:$C$1003,F701,$E$4:$E$1003,"AIR",$F$4:$F$1003,C701,$M$4:$M$1003,"&lt;&gt;Superseded")&gt;0),"Dependency cycle (A↔B) — review",IF(AND(B701="AIR",OR(E701="MOD",E701="DATA",E701="IF",E701="AG",E701="TOOL"),IFERROR(INDEX(Components!$G$4:$G$253,MATCH(F701,Components!$A$4:$A$253,0)),"")&lt;&gt;"",IFERROR(INDEX(Components!$G$4:$G$253,MATCH(F701,Components!$A$4:$A$253,0)),"")&lt;&gt;C701),"Component owned by another AIR-ID",IF(AND(M701="Confirmed",OR(IF(B701="UC",COUNTIFS('Use cases'!$A$4:$A$253,C701,'Use cases'!$I$4:$I$253,"Confirmed",'Use cases'!$J$4:$J$253,"OK — verify source"),IF(B701="CAP",COUNTIFS(Capabilities!$A$4:$A$253,C701,Capabilities!$J$4:$J$253,"Confirmed",Capabilities!$K$4:$K$253,"OK — verify source"),IF(B701="AIR",COUNTIFS('System map'!$A$4:$A$203,C701,'System map'!$B$4:$B$203,"&lt;&gt;",'System map'!$C$4:$C$203,"&lt;&gt;",'System map'!$D$4:$D$203,"&lt;&gt;"),COUNTIFS(Components!$A$4:$A$253,C701,Components!$B$4:$B$253,B701,Components!$K$4:$K$253,"Confirmed",Components!$L$4:$L$253,"OK — verify source"))))&lt;&gt;1,IF(E701="UC",COUNTIFS('Use cases'!$A$4:$A$253,F701,'Use cases'!$I$4:$I$253,"Confirmed",'Use cases'!$J$4:$J$253,"OK — verify source"),IF(E701="CAP",COUNTIFS(Capabilities!$A$4:$A$253,F701,Capabilities!$J$4:$J$253,"Confirmed",Capabilities!$K$4:$K$253,"OK — verify source"),IF(E701="AIR",COUNTIFS('System map'!$A$4:$A$203,F701,'System map'!$B$4:$B$203,"&lt;&gt;",'System map'!$C$4:$C$203,"&lt;&gt;",'System map'!$D$4:$D$203,"&lt;&gt;"),COUNTIFS(Components!$A$4:$A$253,F701,Components!$B$4:$B$253,E701,Components!$K$4:$K$253,"Confirmed",Components!$L$4:$L$253,"OK — verify source"))))&lt;&gt;1)),"Endpoint not source-reconciled",IF(AND(M701="Confirmed",OR(L701="",K701="",K701="Unknown",K701="Low")),"Confirmed link lacks verification","OK — verify source"))))))))))))))</f>
        <v/>
      </c>
    </row>
    <row r="702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6" t="n"/>
      <c r="M702" s="25" t="n"/>
      <c r="N702" s="25">
        <f>IF(COUNTA(A702:M702)=0,"",IF(OR(A702="",B702="",C702="",D702="",E702="",F702="",I702="",J702="",K702="",M702=""),"Required link detail missing",IF(COUNTIF($A$4:$A$1003,A702)&gt;1,"Duplicate Map Edge ID",IF(NOT(OR(AND(B702="UC",E702="CAP",D702="requires"),AND(B702="CAP",E702="AIR",D702="provided by"),AND(B702="AIR",OR(E702="MOD",E702="DATA",E702="IF",E702="AG",E702="TOOL"),D702="references"),AND(B702="AIR",E702="AIR",D702="depends on"))),"Invalid relationship",IF(AND(M702&lt;&gt;"Superseded",COUNTIFS($B$4:$B$1003,B702,$C$4:$C$1003,C702,$D$4:$D$1003,D702,$E$4:$E$1003,E702,$F$4:$F$1003,F702,$G$4:$G$1003,G702,$M$4:$M$1003,"&lt;&gt;Superseded")&gt;1),"Duplicate relationship",IF(OR(IF(B702="UC",COUNTIF('Use cases'!$A$4:$A$253,C702),IF(B702="CAP",COUNTIF(Capabilities!$A$4:$A$253,C702),IF(B702="AIR",COUNTIF('System map'!$A$4:$A$203,C702),COUNTIFS(Components!$A$4:$A$253,C702,Components!$B$4:$B$253,B702))))&lt;&gt;1,IF(E702="UC",COUNTIF('Use cases'!$A$4:$A$253,F702),IF(E702="CAP",COUNTIF(Capabilities!$A$4:$A$253,F702),IF(E702="AIR",COUNTIF('System map'!$A$4:$A$203,F702),COUNTIFS(Components!$A$4:$A$253,F702,Components!$B$4:$B$253,E702))))&lt;&gt;1),"Endpoint missing or duplicated",IF(AND(NOT(AND(B702="UC",E702="CAP")),OR(G702="",COUNTIF('System map'!$A$4:$A$203,G702)&lt;&gt;1)),"AIR context missing / unknown",IF(AND(B702="CAP",E702="AIR",G702&lt;&gt;F702),"AIR context mismatch",IF(AND(B702="AIR",G702&lt;&gt;C702),"AIR context mismatch",IF(AND(B702="AIR",E702="AIR",C702=F702),"Self-dependency",IF(AND(B702="AIR",E702="AIR",M702&lt;&gt;"Superseded",COUNTIFS($B$4:$B$1003,"AIR",$C$4:$C$1003,F702,$E$4:$E$1003,"AIR",$F$4:$F$1003,C702,$M$4:$M$1003,"&lt;&gt;Superseded")&gt;0),"Dependency cycle (A↔B) — review",IF(AND(B702="AIR",OR(E702="MOD",E702="DATA",E702="IF",E702="AG",E702="TOOL"),IFERROR(INDEX(Components!$G$4:$G$253,MATCH(F702,Components!$A$4:$A$253,0)),"")&lt;&gt;"",IFERROR(INDEX(Components!$G$4:$G$253,MATCH(F702,Components!$A$4:$A$253,0)),"")&lt;&gt;C702),"Component owned by another AIR-ID",IF(AND(M702="Confirmed",OR(IF(B702="UC",COUNTIFS('Use cases'!$A$4:$A$253,C702,'Use cases'!$I$4:$I$253,"Confirmed",'Use cases'!$J$4:$J$253,"OK — verify source"),IF(B702="CAP",COUNTIFS(Capabilities!$A$4:$A$253,C702,Capabilities!$J$4:$J$253,"Confirmed",Capabilities!$K$4:$K$253,"OK — verify source"),IF(B702="AIR",COUNTIFS('System map'!$A$4:$A$203,C702,'System map'!$B$4:$B$203,"&lt;&gt;",'System map'!$C$4:$C$203,"&lt;&gt;",'System map'!$D$4:$D$203,"&lt;&gt;"),COUNTIFS(Components!$A$4:$A$253,C702,Components!$B$4:$B$253,B702,Components!$K$4:$K$253,"Confirmed",Components!$L$4:$L$253,"OK — verify source"))))&lt;&gt;1,IF(E702="UC",COUNTIFS('Use cases'!$A$4:$A$253,F702,'Use cases'!$I$4:$I$253,"Confirmed",'Use cases'!$J$4:$J$253,"OK — verify source"),IF(E702="CAP",COUNTIFS(Capabilities!$A$4:$A$253,F702,Capabilities!$J$4:$J$253,"Confirmed",Capabilities!$K$4:$K$253,"OK — verify source"),IF(E702="AIR",COUNTIFS('System map'!$A$4:$A$203,F702,'System map'!$B$4:$B$203,"&lt;&gt;",'System map'!$C$4:$C$203,"&lt;&gt;",'System map'!$D$4:$D$203,"&lt;&gt;"),COUNTIFS(Components!$A$4:$A$253,F702,Components!$B$4:$B$253,E702,Components!$K$4:$K$253,"Confirmed",Components!$L$4:$L$253,"OK — verify source"))))&lt;&gt;1)),"Endpoint not source-reconciled",IF(AND(M702="Confirmed",OR(L702="",K702="",K702="Unknown",K702="Low")),"Confirmed link lacks verification","OK — verify source"))))))))))))))</f>
        <v/>
      </c>
    </row>
    <row r="703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8" t="n"/>
      <c r="M703" s="27" t="n"/>
      <c r="N703" s="27">
        <f>IF(COUNTA(A703:M703)=0,"",IF(OR(A703="",B703="",C703="",D703="",E703="",F703="",I703="",J703="",K703="",M703=""),"Required link detail missing",IF(COUNTIF($A$4:$A$1003,A703)&gt;1,"Duplicate Map Edge ID",IF(NOT(OR(AND(B703="UC",E703="CAP",D703="requires"),AND(B703="CAP",E703="AIR",D703="provided by"),AND(B703="AIR",OR(E703="MOD",E703="DATA",E703="IF",E703="AG",E703="TOOL"),D703="references"),AND(B703="AIR",E703="AIR",D703="depends on"))),"Invalid relationship",IF(AND(M703&lt;&gt;"Superseded",COUNTIFS($B$4:$B$1003,B703,$C$4:$C$1003,C703,$D$4:$D$1003,D703,$E$4:$E$1003,E703,$F$4:$F$1003,F703,$G$4:$G$1003,G703,$M$4:$M$1003,"&lt;&gt;Superseded")&gt;1),"Duplicate relationship",IF(OR(IF(B703="UC",COUNTIF('Use cases'!$A$4:$A$253,C703),IF(B703="CAP",COUNTIF(Capabilities!$A$4:$A$253,C703),IF(B703="AIR",COUNTIF('System map'!$A$4:$A$203,C703),COUNTIFS(Components!$A$4:$A$253,C703,Components!$B$4:$B$253,B703))))&lt;&gt;1,IF(E703="UC",COUNTIF('Use cases'!$A$4:$A$253,F703),IF(E703="CAP",COUNTIF(Capabilities!$A$4:$A$253,F703),IF(E703="AIR",COUNTIF('System map'!$A$4:$A$203,F703),COUNTIFS(Components!$A$4:$A$253,F703,Components!$B$4:$B$253,E703))))&lt;&gt;1),"Endpoint missing or duplicated",IF(AND(NOT(AND(B703="UC",E703="CAP")),OR(G703="",COUNTIF('System map'!$A$4:$A$203,G703)&lt;&gt;1)),"AIR context missing / unknown",IF(AND(B703="CAP",E703="AIR",G703&lt;&gt;F703),"AIR context mismatch",IF(AND(B703="AIR",G703&lt;&gt;C703),"AIR context mismatch",IF(AND(B703="AIR",E703="AIR",C703=F703),"Self-dependency",IF(AND(B703="AIR",E703="AIR",M703&lt;&gt;"Superseded",COUNTIFS($B$4:$B$1003,"AIR",$C$4:$C$1003,F703,$E$4:$E$1003,"AIR",$F$4:$F$1003,C703,$M$4:$M$1003,"&lt;&gt;Superseded")&gt;0),"Dependency cycle (A↔B) — review",IF(AND(B703="AIR",OR(E703="MOD",E703="DATA",E703="IF",E703="AG",E703="TOOL"),IFERROR(INDEX(Components!$G$4:$G$253,MATCH(F703,Components!$A$4:$A$253,0)),"")&lt;&gt;"",IFERROR(INDEX(Components!$G$4:$G$253,MATCH(F703,Components!$A$4:$A$253,0)),"")&lt;&gt;C703),"Component owned by another AIR-ID",IF(AND(M703="Confirmed",OR(IF(B703="UC",COUNTIFS('Use cases'!$A$4:$A$253,C703,'Use cases'!$I$4:$I$253,"Confirmed",'Use cases'!$J$4:$J$253,"OK — verify source"),IF(B703="CAP",COUNTIFS(Capabilities!$A$4:$A$253,C703,Capabilities!$J$4:$J$253,"Confirmed",Capabilities!$K$4:$K$253,"OK — verify source"),IF(B703="AIR",COUNTIFS('System map'!$A$4:$A$203,C703,'System map'!$B$4:$B$203,"&lt;&gt;",'System map'!$C$4:$C$203,"&lt;&gt;",'System map'!$D$4:$D$203,"&lt;&gt;"),COUNTIFS(Components!$A$4:$A$253,C703,Components!$B$4:$B$253,B703,Components!$K$4:$K$253,"Confirmed",Components!$L$4:$L$253,"OK — verify source"))))&lt;&gt;1,IF(E703="UC",COUNTIFS('Use cases'!$A$4:$A$253,F703,'Use cases'!$I$4:$I$253,"Confirmed",'Use cases'!$J$4:$J$253,"OK — verify source"),IF(E703="CAP",COUNTIFS(Capabilities!$A$4:$A$253,F703,Capabilities!$J$4:$J$253,"Confirmed",Capabilities!$K$4:$K$253,"OK — verify source"),IF(E703="AIR",COUNTIFS('System map'!$A$4:$A$203,F703,'System map'!$B$4:$B$203,"&lt;&gt;",'System map'!$C$4:$C$203,"&lt;&gt;",'System map'!$D$4:$D$203,"&lt;&gt;"),COUNTIFS(Components!$A$4:$A$253,F703,Components!$B$4:$B$253,E703,Components!$K$4:$K$253,"Confirmed",Components!$L$4:$L$253,"OK — verify source"))))&lt;&gt;1)),"Endpoint not source-reconciled",IF(AND(M703="Confirmed",OR(L703="",K703="",K703="Unknown",K703="Low")),"Confirmed link lacks verification","OK — verify source"))))))))))))))</f>
        <v/>
      </c>
    </row>
    <row r="70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6" t="n"/>
      <c r="M704" s="25" t="n"/>
      <c r="N704" s="25">
        <f>IF(COUNTA(A704:M704)=0,"",IF(OR(A704="",B704="",C704="",D704="",E704="",F704="",I704="",J704="",K704="",M704=""),"Required link detail missing",IF(COUNTIF($A$4:$A$1003,A704)&gt;1,"Duplicate Map Edge ID",IF(NOT(OR(AND(B704="UC",E704="CAP",D704="requires"),AND(B704="CAP",E704="AIR",D704="provided by"),AND(B704="AIR",OR(E704="MOD",E704="DATA",E704="IF",E704="AG",E704="TOOL"),D704="references"),AND(B704="AIR",E704="AIR",D704="depends on"))),"Invalid relationship",IF(AND(M704&lt;&gt;"Superseded",COUNTIFS($B$4:$B$1003,B704,$C$4:$C$1003,C704,$D$4:$D$1003,D704,$E$4:$E$1003,E704,$F$4:$F$1003,F704,$G$4:$G$1003,G704,$M$4:$M$1003,"&lt;&gt;Superseded")&gt;1),"Duplicate relationship",IF(OR(IF(B704="UC",COUNTIF('Use cases'!$A$4:$A$253,C704),IF(B704="CAP",COUNTIF(Capabilities!$A$4:$A$253,C704),IF(B704="AIR",COUNTIF('System map'!$A$4:$A$203,C704),COUNTIFS(Components!$A$4:$A$253,C704,Components!$B$4:$B$253,B704))))&lt;&gt;1,IF(E704="UC",COUNTIF('Use cases'!$A$4:$A$253,F704),IF(E704="CAP",COUNTIF(Capabilities!$A$4:$A$253,F704),IF(E704="AIR",COUNTIF('System map'!$A$4:$A$203,F704),COUNTIFS(Components!$A$4:$A$253,F704,Components!$B$4:$B$253,E704))))&lt;&gt;1),"Endpoint missing or duplicated",IF(AND(NOT(AND(B704="UC",E704="CAP")),OR(G704="",COUNTIF('System map'!$A$4:$A$203,G704)&lt;&gt;1)),"AIR context missing / unknown",IF(AND(B704="CAP",E704="AIR",G704&lt;&gt;F704),"AIR context mismatch",IF(AND(B704="AIR",G704&lt;&gt;C704),"AIR context mismatch",IF(AND(B704="AIR",E704="AIR",C704=F704),"Self-dependency",IF(AND(B704="AIR",E704="AIR",M704&lt;&gt;"Superseded",COUNTIFS($B$4:$B$1003,"AIR",$C$4:$C$1003,F704,$E$4:$E$1003,"AIR",$F$4:$F$1003,C704,$M$4:$M$1003,"&lt;&gt;Superseded")&gt;0),"Dependency cycle (A↔B) — review",IF(AND(B704="AIR",OR(E704="MOD",E704="DATA",E704="IF",E704="AG",E704="TOOL"),IFERROR(INDEX(Components!$G$4:$G$253,MATCH(F704,Components!$A$4:$A$253,0)),"")&lt;&gt;"",IFERROR(INDEX(Components!$G$4:$G$253,MATCH(F704,Components!$A$4:$A$253,0)),"")&lt;&gt;C704),"Component owned by another AIR-ID",IF(AND(M704="Confirmed",OR(IF(B704="UC",COUNTIFS('Use cases'!$A$4:$A$253,C704,'Use cases'!$I$4:$I$253,"Confirmed",'Use cases'!$J$4:$J$253,"OK — verify source"),IF(B704="CAP",COUNTIFS(Capabilities!$A$4:$A$253,C704,Capabilities!$J$4:$J$253,"Confirmed",Capabilities!$K$4:$K$253,"OK — verify source"),IF(B704="AIR",COUNTIFS('System map'!$A$4:$A$203,C704,'System map'!$B$4:$B$203,"&lt;&gt;",'System map'!$C$4:$C$203,"&lt;&gt;",'System map'!$D$4:$D$203,"&lt;&gt;"),COUNTIFS(Components!$A$4:$A$253,C704,Components!$B$4:$B$253,B704,Components!$K$4:$K$253,"Confirmed",Components!$L$4:$L$253,"OK — verify source"))))&lt;&gt;1,IF(E704="UC",COUNTIFS('Use cases'!$A$4:$A$253,F704,'Use cases'!$I$4:$I$253,"Confirmed",'Use cases'!$J$4:$J$253,"OK — verify source"),IF(E704="CAP",COUNTIFS(Capabilities!$A$4:$A$253,F704,Capabilities!$J$4:$J$253,"Confirmed",Capabilities!$K$4:$K$253,"OK — verify source"),IF(E704="AIR",COUNTIFS('System map'!$A$4:$A$203,F704,'System map'!$B$4:$B$203,"&lt;&gt;",'System map'!$C$4:$C$203,"&lt;&gt;",'System map'!$D$4:$D$203,"&lt;&gt;"),COUNTIFS(Components!$A$4:$A$253,F704,Components!$B$4:$B$253,E704,Components!$K$4:$K$253,"Confirmed",Components!$L$4:$L$253,"OK — verify source"))))&lt;&gt;1)),"Endpoint not source-reconciled",IF(AND(M704="Confirmed",OR(L704="",K704="",K704="Unknown",K704="Low")),"Confirmed link lacks verification","OK — verify source"))))))))))))))</f>
        <v/>
      </c>
    </row>
    <row r="705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8" t="n"/>
      <c r="M705" s="27" t="n"/>
      <c r="N705" s="27">
        <f>IF(COUNTA(A705:M705)=0,"",IF(OR(A705="",B705="",C705="",D705="",E705="",F705="",I705="",J705="",K705="",M705=""),"Required link detail missing",IF(COUNTIF($A$4:$A$1003,A705)&gt;1,"Duplicate Map Edge ID",IF(NOT(OR(AND(B705="UC",E705="CAP",D705="requires"),AND(B705="CAP",E705="AIR",D705="provided by"),AND(B705="AIR",OR(E705="MOD",E705="DATA",E705="IF",E705="AG",E705="TOOL"),D705="references"),AND(B705="AIR",E705="AIR",D705="depends on"))),"Invalid relationship",IF(AND(M705&lt;&gt;"Superseded",COUNTIFS($B$4:$B$1003,B705,$C$4:$C$1003,C705,$D$4:$D$1003,D705,$E$4:$E$1003,E705,$F$4:$F$1003,F705,$G$4:$G$1003,G705,$M$4:$M$1003,"&lt;&gt;Superseded")&gt;1),"Duplicate relationship",IF(OR(IF(B705="UC",COUNTIF('Use cases'!$A$4:$A$253,C705),IF(B705="CAP",COUNTIF(Capabilities!$A$4:$A$253,C705),IF(B705="AIR",COUNTIF('System map'!$A$4:$A$203,C705),COUNTIFS(Components!$A$4:$A$253,C705,Components!$B$4:$B$253,B705))))&lt;&gt;1,IF(E705="UC",COUNTIF('Use cases'!$A$4:$A$253,F705),IF(E705="CAP",COUNTIF(Capabilities!$A$4:$A$253,F705),IF(E705="AIR",COUNTIF('System map'!$A$4:$A$203,F705),COUNTIFS(Components!$A$4:$A$253,F705,Components!$B$4:$B$253,E705))))&lt;&gt;1),"Endpoint missing or duplicated",IF(AND(NOT(AND(B705="UC",E705="CAP")),OR(G705="",COUNTIF('System map'!$A$4:$A$203,G705)&lt;&gt;1)),"AIR context missing / unknown",IF(AND(B705="CAP",E705="AIR",G705&lt;&gt;F705),"AIR context mismatch",IF(AND(B705="AIR",G705&lt;&gt;C705),"AIR context mismatch",IF(AND(B705="AIR",E705="AIR",C705=F705),"Self-dependency",IF(AND(B705="AIR",E705="AIR",M705&lt;&gt;"Superseded",COUNTIFS($B$4:$B$1003,"AIR",$C$4:$C$1003,F705,$E$4:$E$1003,"AIR",$F$4:$F$1003,C705,$M$4:$M$1003,"&lt;&gt;Superseded")&gt;0),"Dependency cycle (A↔B) — review",IF(AND(B705="AIR",OR(E705="MOD",E705="DATA",E705="IF",E705="AG",E705="TOOL"),IFERROR(INDEX(Components!$G$4:$G$253,MATCH(F705,Components!$A$4:$A$253,0)),"")&lt;&gt;"",IFERROR(INDEX(Components!$G$4:$G$253,MATCH(F705,Components!$A$4:$A$253,0)),"")&lt;&gt;C705),"Component owned by another AIR-ID",IF(AND(M705="Confirmed",OR(IF(B705="UC",COUNTIFS('Use cases'!$A$4:$A$253,C705,'Use cases'!$I$4:$I$253,"Confirmed",'Use cases'!$J$4:$J$253,"OK — verify source"),IF(B705="CAP",COUNTIFS(Capabilities!$A$4:$A$253,C705,Capabilities!$J$4:$J$253,"Confirmed",Capabilities!$K$4:$K$253,"OK — verify source"),IF(B705="AIR",COUNTIFS('System map'!$A$4:$A$203,C705,'System map'!$B$4:$B$203,"&lt;&gt;",'System map'!$C$4:$C$203,"&lt;&gt;",'System map'!$D$4:$D$203,"&lt;&gt;"),COUNTIFS(Components!$A$4:$A$253,C705,Components!$B$4:$B$253,B705,Components!$K$4:$K$253,"Confirmed",Components!$L$4:$L$253,"OK — verify source"))))&lt;&gt;1,IF(E705="UC",COUNTIFS('Use cases'!$A$4:$A$253,F705,'Use cases'!$I$4:$I$253,"Confirmed",'Use cases'!$J$4:$J$253,"OK — verify source"),IF(E705="CAP",COUNTIFS(Capabilities!$A$4:$A$253,F705,Capabilities!$J$4:$J$253,"Confirmed",Capabilities!$K$4:$K$253,"OK — verify source"),IF(E705="AIR",COUNTIFS('System map'!$A$4:$A$203,F705,'System map'!$B$4:$B$203,"&lt;&gt;",'System map'!$C$4:$C$203,"&lt;&gt;",'System map'!$D$4:$D$203,"&lt;&gt;"),COUNTIFS(Components!$A$4:$A$253,F705,Components!$B$4:$B$253,E705,Components!$K$4:$K$253,"Confirmed",Components!$L$4:$L$253,"OK — verify source"))))&lt;&gt;1)),"Endpoint not source-reconciled",IF(AND(M705="Confirmed",OR(L705="",K705="",K705="Unknown",K705="Low")),"Confirmed link lacks verification","OK — verify source"))))))))))))))</f>
        <v/>
      </c>
    </row>
    <row r="706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6" t="n"/>
      <c r="M706" s="25" t="n"/>
      <c r="N706" s="25">
        <f>IF(COUNTA(A706:M706)=0,"",IF(OR(A706="",B706="",C706="",D706="",E706="",F706="",I706="",J706="",K706="",M706=""),"Required link detail missing",IF(COUNTIF($A$4:$A$1003,A706)&gt;1,"Duplicate Map Edge ID",IF(NOT(OR(AND(B706="UC",E706="CAP",D706="requires"),AND(B706="CAP",E706="AIR",D706="provided by"),AND(B706="AIR",OR(E706="MOD",E706="DATA",E706="IF",E706="AG",E706="TOOL"),D706="references"),AND(B706="AIR",E706="AIR",D706="depends on"))),"Invalid relationship",IF(AND(M706&lt;&gt;"Superseded",COUNTIFS($B$4:$B$1003,B706,$C$4:$C$1003,C706,$D$4:$D$1003,D706,$E$4:$E$1003,E706,$F$4:$F$1003,F706,$G$4:$G$1003,G706,$M$4:$M$1003,"&lt;&gt;Superseded")&gt;1),"Duplicate relationship",IF(OR(IF(B706="UC",COUNTIF('Use cases'!$A$4:$A$253,C706),IF(B706="CAP",COUNTIF(Capabilities!$A$4:$A$253,C706),IF(B706="AIR",COUNTIF('System map'!$A$4:$A$203,C706),COUNTIFS(Components!$A$4:$A$253,C706,Components!$B$4:$B$253,B706))))&lt;&gt;1,IF(E706="UC",COUNTIF('Use cases'!$A$4:$A$253,F706),IF(E706="CAP",COUNTIF(Capabilities!$A$4:$A$253,F706),IF(E706="AIR",COUNTIF('System map'!$A$4:$A$203,F706),COUNTIFS(Components!$A$4:$A$253,F706,Components!$B$4:$B$253,E706))))&lt;&gt;1),"Endpoint missing or duplicated",IF(AND(NOT(AND(B706="UC",E706="CAP")),OR(G706="",COUNTIF('System map'!$A$4:$A$203,G706)&lt;&gt;1)),"AIR context missing / unknown",IF(AND(B706="CAP",E706="AIR",G706&lt;&gt;F706),"AIR context mismatch",IF(AND(B706="AIR",G706&lt;&gt;C706),"AIR context mismatch",IF(AND(B706="AIR",E706="AIR",C706=F706),"Self-dependency",IF(AND(B706="AIR",E706="AIR",M706&lt;&gt;"Superseded",COUNTIFS($B$4:$B$1003,"AIR",$C$4:$C$1003,F706,$E$4:$E$1003,"AIR",$F$4:$F$1003,C706,$M$4:$M$1003,"&lt;&gt;Superseded")&gt;0),"Dependency cycle (A↔B) — review",IF(AND(B706="AIR",OR(E706="MOD",E706="DATA",E706="IF",E706="AG",E706="TOOL"),IFERROR(INDEX(Components!$G$4:$G$253,MATCH(F706,Components!$A$4:$A$253,0)),"")&lt;&gt;"",IFERROR(INDEX(Components!$G$4:$G$253,MATCH(F706,Components!$A$4:$A$253,0)),"")&lt;&gt;C706),"Component owned by another AIR-ID",IF(AND(M706="Confirmed",OR(IF(B706="UC",COUNTIFS('Use cases'!$A$4:$A$253,C706,'Use cases'!$I$4:$I$253,"Confirmed",'Use cases'!$J$4:$J$253,"OK — verify source"),IF(B706="CAP",COUNTIFS(Capabilities!$A$4:$A$253,C706,Capabilities!$J$4:$J$253,"Confirmed",Capabilities!$K$4:$K$253,"OK — verify source"),IF(B706="AIR",COUNTIFS('System map'!$A$4:$A$203,C706,'System map'!$B$4:$B$203,"&lt;&gt;",'System map'!$C$4:$C$203,"&lt;&gt;",'System map'!$D$4:$D$203,"&lt;&gt;"),COUNTIFS(Components!$A$4:$A$253,C706,Components!$B$4:$B$253,B706,Components!$K$4:$K$253,"Confirmed",Components!$L$4:$L$253,"OK — verify source"))))&lt;&gt;1,IF(E706="UC",COUNTIFS('Use cases'!$A$4:$A$253,F706,'Use cases'!$I$4:$I$253,"Confirmed",'Use cases'!$J$4:$J$253,"OK — verify source"),IF(E706="CAP",COUNTIFS(Capabilities!$A$4:$A$253,F706,Capabilities!$J$4:$J$253,"Confirmed",Capabilities!$K$4:$K$253,"OK — verify source"),IF(E706="AIR",COUNTIFS('System map'!$A$4:$A$203,F706,'System map'!$B$4:$B$203,"&lt;&gt;",'System map'!$C$4:$C$203,"&lt;&gt;",'System map'!$D$4:$D$203,"&lt;&gt;"),COUNTIFS(Components!$A$4:$A$253,F706,Components!$B$4:$B$253,E706,Components!$K$4:$K$253,"Confirmed",Components!$L$4:$L$253,"OK — verify source"))))&lt;&gt;1)),"Endpoint not source-reconciled",IF(AND(M706="Confirmed",OR(L706="",K706="",K706="Unknown",K706="Low")),"Confirmed link lacks verification","OK — verify source"))))))))))))))</f>
        <v/>
      </c>
    </row>
    <row r="707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8" t="n"/>
      <c r="M707" s="27" t="n"/>
      <c r="N707" s="27">
        <f>IF(COUNTA(A707:M707)=0,"",IF(OR(A707="",B707="",C707="",D707="",E707="",F707="",I707="",J707="",K707="",M707=""),"Required link detail missing",IF(COUNTIF($A$4:$A$1003,A707)&gt;1,"Duplicate Map Edge ID",IF(NOT(OR(AND(B707="UC",E707="CAP",D707="requires"),AND(B707="CAP",E707="AIR",D707="provided by"),AND(B707="AIR",OR(E707="MOD",E707="DATA",E707="IF",E707="AG",E707="TOOL"),D707="references"),AND(B707="AIR",E707="AIR",D707="depends on"))),"Invalid relationship",IF(AND(M707&lt;&gt;"Superseded",COUNTIFS($B$4:$B$1003,B707,$C$4:$C$1003,C707,$D$4:$D$1003,D707,$E$4:$E$1003,E707,$F$4:$F$1003,F707,$G$4:$G$1003,G707,$M$4:$M$1003,"&lt;&gt;Superseded")&gt;1),"Duplicate relationship",IF(OR(IF(B707="UC",COUNTIF('Use cases'!$A$4:$A$253,C707),IF(B707="CAP",COUNTIF(Capabilities!$A$4:$A$253,C707),IF(B707="AIR",COUNTIF('System map'!$A$4:$A$203,C707),COUNTIFS(Components!$A$4:$A$253,C707,Components!$B$4:$B$253,B707))))&lt;&gt;1,IF(E707="UC",COUNTIF('Use cases'!$A$4:$A$253,F707),IF(E707="CAP",COUNTIF(Capabilities!$A$4:$A$253,F707),IF(E707="AIR",COUNTIF('System map'!$A$4:$A$203,F707),COUNTIFS(Components!$A$4:$A$253,F707,Components!$B$4:$B$253,E707))))&lt;&gt;1),"Endpoint missing or duplicated",IF(AND(NOT(AND(B707="UC",E707="CAP")),OR(G707="",COUNTIF('System map'!$A$4:$A$203,G707)&lt;&gt;1)),"AIR context missing / unknown",IF(AND(B707="CAP",E707="AIR",G707&lt;&gt;F707),"AIR context mismatch",IF(AND(B707="AIR",G707&lt;&gt;C707),"AIR context mismatch",IF(AND(B707="AIR",E707="AIR",C707=F707),"Self-dependency",IF(AND(B707="AIR",E707="AIR",M707&lt;&gt;"Superseded",COUNTIFS($B$4:$B$1003,"AIR",$C$4:$C$1003,F707,$E$4:$E$1003,"AIR",$F$4:$F$1003,C707,$M$4:$M$1003,"&lt;&gt;Superseded")&gt;0),"Dependency cycle (A↔B) — review",IF(AND(B707="AIR",OR(E707="MOD",E707="DATA",E707="IF",E707="AG",E707="TOOL"),IFERROR(INDEX(Components!$G$4:$G$253,MATCH(F707,Components!$A$4:$A$253,0)),"")&lt;&gt;"",IFERROR(INDEX(Components!$G$4:$G$253,MATCH(F707,Components!$A$4:$A$253,0)),"")&lt;&gt;C707),"Component owned by another AIR-ID",IF(AND(M707="Confirmed",OR(IF(B707="UC",COUNTIFS('Use cases'!$A$4:$A$253,C707,'Use cases'!$I$4:$I$253,"Confirmed",'Use cases'!$J$4:$J$253,"OK — verify source"),IF(B707="CAP",COUNTIFS(Capabilities!$A$4:$A$253,C707,Capabilities!$J$4:$J$253,"Confirmed",Capabilities!$K$4:$K$253,"OK — verify source"),IF(B707="AIR",COUNTIFS('System map'!$A$4:$A$203,C707,'System map'!$B$4:$B$203,"&lt;&gt;",'System map'!$C$4:$C$203,"&lt;&gt;",'System map'!$D$4:$D$203,"&lt;&gt;"),COUNTIFS(Components!$A$4:$A$253,C707,Components!$B$4:$B$253,B707,Components!$K$4:$K$253,"Confirmed",Components!$L$4:$L$253,"OK — verify source"))))&lt;&gt;1,IF(E707="UC",COUNTIFS('Use cases'!$A$4:$A$253,F707,'Use cases'!$I$4:$I$253,"Confirmed",'Use cases'!$J$4:$J$253,"OK — verify source"),IF(E707="CAP",COUNTIFS(Capabilities!$A$4:$A$253,F707,Capabilities!$J$4:$J$253,"Confirmed",Capabilities!$K$4:$K$253,"OK — verify source"),IF(E707="AIR",COUNTIFS('System map'!$A$4:$A$203,F707,'System map'!$B$4:$B$203,"&lt;&gt;",'System map'!$C$4:$C$203,"&lt;&gt;",'System map'!$D$4:$D$203,"&lt;&gt;"),COUNTIFS(Components!$A$4:$A$253,F707,Components!$B$4:$B$253,E707,Components!$K$4:$K$253,"Confirmed",Components!$L$4:$L$253,"OK — verify source"))))&lt;&gt;1)),"Endpoint not source-reconciled",IF(AND(M707="Confirmed",OR(L707="",K707="",K707="Unknown",K707="Low")),"Confirmed link lacks verification","OK — verify source"))))))))))))))</f>
        <v/>
      </c>
    </row>
    <row r="708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6" t="n"/>
      <c r="M708" s="25" t="n"/>
      <c r="N708" s="25">
        <f>IF(COUNTA(A708:M708)=0,"",IF(OR(A708="",B708="",C708="",D708="",E708="",F708="",I708="",J708="",K708="",M708=""),"Required link detail missing",IF(COUNTIF($A$4:$A$1003,A708)&gt;1,"Duplicate Map Edge ID",IF(NOT(OR(AND(B708="UC",E708="CAP",D708="requires"),AND(B708="CAP",E708="AIR",D708="provided by"),AND(B708="AIR",OR(E708="MOD",E708="DATA",E708="IF",E708="AG",E708="TOOL"),D708="references"),AND(B708="AIR",E708="AIR",D708="depends on"))),"Invalid relationship",IF(AND(M708&lt;&gt;"Superseded",COUNTIFS($B$4:$B$1003,B708,$C$4:$C$1003,C708,$D$4:$D$1003,D708,$E$4:$E$1003,E708,$F$4:$F$1003,F708,$G$4:$G$1003,G708,$M$4:$M$1003,"&lt;&gt;Superseded")&gt;1),"Duplicate relationship",IF(OR(IF(B708="UC",COUNTIF('Use cases'!$A$4:$A$253,C708),IF(B708="CAP",COUNTIF(Capabilities!$A$4:$A$253,C708),IF(B708="AIR",COUNTIF('System map'!$A$4:$A$203,C708),COUNTIFS(Components!$A$4:$A$253,C708,Components!$B$4:$B$253,B708))))&lt;&gt;1,IF(E708="UC",COUNTIF('Use cases'!$A$4:$A$253,F708),IF(E708="CAP",COUNTIF(Capabilities!$A$4:$A$253,F708),IF(E708="AIR",COUNTIF('System map'!$A$4:$A$203,F708),COUNTIFS(Components!$A$4:$A$253,F708,Components!$B$4:$B$253,E708))))&lt;&gt;1),"Endpoint missing or duplicated",IF(AND(NOT(AND(B708="UC",E708="CAP")),OR(G708="",COUNTIF('System map'!$A$4:$A$203,G708)&lt;&gt;1)),"AIR context missing / unknown",IF(AND(B708="CAP",E708="AIR",G708&lt;&gt;F708),"AIR context mismatch",IF(AND(B708="AIR",G708&lt;&gt;C708),"AIR context mismatch",IF(AND(B708="AIR",E708="AIR",C708=F708),"Self-dependency",IF(AND(B708="AIR",E708="AIR",M708&lt;&gt;"Superseded",COUNTIFS($B$4:$B$1003,"AIR",$C$4:$C$1003,F708,$E$4:$E$1003,"AIR",$F$4:$F$1003,C708,$M$4:$M$1003,"&lt;&gt;Superseded")&gt;0),"Dependency cycle (A↔B) — review",IF(AND(B708="AIR",OR(E708="MOD",E708="DATA",E708="IF",E708="AG",E708="TOOL"),IFERROR(INDEX(Components!$G$4:$G$253,MATCH(F708,Components!$A$4:$A$253,0)),"")&lt;&gt;"",IFERROR(INDEX(Components!$G$4:$G$253,MATCH(F708,Components!$A$4:$A$253,0)),"")&lt;&gt;C708),"Component owned by another AIR-ID",IF(AND(M708="Confirmed",OR(IF(B708="UC",COUNTIFS('Use cases'!$A$4:$A$253,C708,'Use cases'!$I$4:$I$253,"Confirmed",'Use cases'!$J$4:$J$253,"OK — verify source"),IF(B708="CAP",COUNTIFS(Capabilities!$A$4:$A$253,C708,Capabilities!$J$4:$J$253,"Confirmed",Capabilities!$K$4:$K$253,"OK — verify source"),IF(B708="AIR",COUNTIFS('System map'!$A$4:$A$203,C708,'System map'!$B$4:$B$203,"&lt;&gt;",'System map'!$C$4:$C$203,"&lt;&gt;",'System map'!$D$4:$D$203,"&lt;&gt;"),COUNTIFS(Components!$A$4:$A$253,C708,Components!$B$4:$B$253,B708,Components!$K$4:$K$253,"Confirmed",Components!$L$4:$L$253,"OK — verify source"))))&lt;&gt;1,IF(E708="UC",COUNTIFS('Use cases'!$A$4:$A$253,F708,'Use cases'!$I$4:$I$253,"Confirmed",'Use cases'!$J$4:$J$253,"OK — verify source"),IF(E708="CAP",COUNTIFS(Capabilities!$A$4:$A$253,F708,Capabilities!$J$4:$J$253,"Confirmed",Capabilities!$K$4:$K$253,"OK — verify source"),IF(E708="AIR",COUNTIFS('System map'!$A$4:$A$203,F708,'System map'!$B$4:$B$203,"&lt;&gt;",'System map'!$C$4:$C$203,"&lt;&gt;",'System map'!$D$4:$D$203,"&lt;&gt;"),COUNTIFS(Components!$A$4:$A$253,F708,Components!$B$4:$B$253,E708,Components!$K$4:$K$253,"Confirmed",Components!$L$4:$L$253,"OK — verify source"))))&lt;&gt;1)),"Endpoint not source-reconciled",IF(AND(M708="Confirmed",OR(L708="",K708="",K708="Unknown",K708="Low")),"Confirmed link lacks verification","OK — verify source"))))))))))))))</f>
        <v/>
      </c>
    </row>
    <row r="709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8" t="n"/>
      <c r="M709" s="27" t="n"/>
      <c r="N709" s="27">
        <f>IF(COUNTA(A709:M709)=0,"",IF(OR(A709="",B709="",C709="",D709="",E709="",F709="",I709="",J709="",K709="",M709=""),"Required link detail missing",IF(COUNTIF($A$4:$A$1003,A709)&gt;1,"Duplicate Map Edge ID",IF(NOT(OR(AND(B709="UC",E709="CAP",D709="requires"),AND(B709="CAP",E709="AIR",D709="provided by"),AND(B709="AIR",OR(E709="MOD",E709="DATA",E709="IF",E709="AG",E709="TOOL"),D709="references"),AND(B709="AIR",E709="AIR",D709="depends on"))),"Invalid relationship",IF(AND(M709&lt;&gt;"Superseded",COUNTIFS($B$4:$B$1003,B709,$C$4:$C$1003,C709,$D$4:$D$1003,D709,$E$4:$E$1003,E709,$F$4:$F$1003,F709,$G$4:$G$1003,G709,$M$4:$M$1003,"&lt;&gt;Superseded")&gt;1),"Duplicate relationship",IF(OR(IF(B709="UC",COUNTIF('Use cases'!$A$4:$A$253,C709),IF(B709="CAP",COUNTIF(Capabilities!$A$4:$A$253,C709),IF(B709="AIR",COUNTIF('System map'!$A$4:$A$203,C709),COUNTIFS(Components!$A$4:$A$253,C709,Components!$B$4:$B$253,B709))))&lt;&gt;1,IF(E709="UC",COUNTIF('Use cases'!$A$4:$A$253,F709),IF(E709="CAP",COUNTIF(Capabilities!$A$4:$A$253,F709),IF(E709="AIR",COUNTIF('System map'!$A$4:$A$203,F709),COUNTIFS(Components!$A$4:$A$253,F709,Components!$B$4:$B$253,E709))))&lt;&gt;1),"Endpoint missing or duplicated",IF(AND(NOT(AND(B709="UC",E709="CAP")),OR(G709="",COUNTIF('System map'!$A$4:$A$203,G709)&lt;&gt;1)),"AIR context missing / unknown",IF(AND(B709="CAP",E709="AIR",G709&lt;&gt;F709),"AIR context mismatch",IF(AND(B709="AIR",G709&lt;&gt;C709),"AIR context mismatch",IF(AND(B709="AIR",E709="AIR",C709=F709),"Self-dependency",IF(AND(B709="AIR",E709="AIR",M709&lt;&gt;"Superseded",COUNTIFS($B$4:$B$1003,"AIR",$C$4:$C$1003,F709,$E$4:$E$1003,"AIR",$F$4:$F$1003,C709,$M$4:$M$1003,"&lt;&gt;Superseded")&gt;0),"Dependency cycle (A↔B) — review",IF(AND(B709="AIR",OR(E709="MOD",E709="DATA",E709="IF",E709="AG",E709="TOOL"),IFERROR(INDEX(Components!$G$4:$G$253,MATCH(F709,Components!$A$4:$A$253,0)),"")&lt;&gt;"",IFERROR(INDEX(Components!$G$4:$G$253,MATCH(F709,Components!$A$4:$A$253,0)),"")&lt;&gt;C709),"Component owned by another AIR-ID",IF(AND(M709="Confirmed",OR(IF(B709="UC",COUNTIFS('Use cases'!$A$4:$A$253,C709,'Use cases'!$I$4:$I$253,"Confirmed",'Use cases'!$J$4:$J$253,"OK — verify source"),IF(B709="CAP",COUNTIFS(Capabilities!$A$4:$A$253,C709,Capabilities!$J$4:$J$253,"Confirmed",Capabilities!$K$4:$K$253,"OK — verify source"),IF(B709="AIR",COUNTIFS('System map'!$A$4:$A$203,C709,'System map'!$B$4:$B$203,"&lt;&gt;",'System map'!$C$4:$C$203,"&lt;&gt;",'System map'!$D$4:$D$203,"&lt;&gt;"),COUNTIFS(Components!$A$4:$A$253,C709,Components!$B$4:$B$253,B709,Components!$K$4:$K$253,"Confirmed",Components!$L$4:$L$253,"OK — verify source"))))&lt;&gt;1,IF(E709="UC",COUNTIFS('Use cases'!$A$4:$A$253,F709,'Use cases'!$I$4:$I$253,"Confirmed",'Use cases'!$J$4:$J$253,"OK — verify source"),IF(E709="CAP",COUNTIFS(Capabilities!$A$4:$A$253,F709,Capabilities!$J$4:$J$253,"Confirmed",Capabilities!$K$4:$K$253,"OK — verify source"),IF(E709="AIR",COUNTIFS('System map'!$A$4:$A$203,F709,'System map'!$B$4:$B$203,"&lt;&gt;",'System map'!$C$4:$C$203,"&lt;&gt;",'System map'!$D$4:$D$203,"&lt;&gt;"),COUNTIFS(Components!$A$4:$A$253,F709,Components!$B$4:$B$253,E709,Components!$K$4:$K$253,"Confirmed",Components!$L$4:$L$253,"OK — verify source"))))&lt;&gt;1)),"Endpoint not source-reconciled",IF(AND(M709="Confirmed",OR(L709="",K709="",K709="Unknown",K709="Low")),"Confirmed link lacks verification","OK — verify source"))))))))))))))</f>
        <v/>
      </c>
    </row>
    <row r="710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6" t="n"/>
      <c r="M710" s="25" t="n"/>
      <c r="N710" s="25">
        <f>IF(COUNTA(A710:M710)=0,"",IF(OR(A710="",B710="",C710="",D710="",E710="",F710="",I710="",J710="",K710="",M710=""),"Required link detail missing",IF(COUNTIF($A$4:$A$1003,A710)&gt;1,"Duplicate Map Edge ID",IF(NOT(OR(AND(B710="UC",E710="CAP",D710="requires"),AND(B710="CAP",E710="AIR",D710="provided by"),AND(B710="AIR",OR(E710="MOD",E710="DATA",E710="IF",E710="AG",E710="TOOL"),D710="references"),AND(B710="AIR",E710="AIR",D710="depends on"))),"Invalid relationship",IF(AND(M710&lt;&gt;"Superseded",COUNTIFS($B$4:$B$1003,B710,$C$4:$C$1003,C710,$D$4:$D$1003,D710,$E$4:$E$1003,E710,$F$4:$F$1003,F710,$G$4:$G$1003,G710,$M$4:$M$1003,"&lt;&gt;Superseded")&gt;1),"Duplicate relationship",IF(OR(IF(B710="UC",COUNTIF('Use cases'!$A$4:$A$253,C710),IF(B710="CAP",COUNTIF(Capabilities!$A$4:$A$253,C710),IF(B710="AIR",COUNTIF('System map'!$A$4:$A$203,C710),COUNTIFS(Components!$A$4:$A$253,C710,Components!$B$4:$B$253,B710))))&lt;&gt;1,IF(E710="UC",COUNTIF('Use cases'!$A$4:$A$253,F710),IF(E710="CAP",COUNTIF(Capabilities!$A$4:$A$253,F710),IF(E710="AIR",COUNTIF('System map'!$A$4:$A$203,F710),COUNTIFS(Components!$A$4:$A$253,F710,Components!$B$4:$B$253,E710))))&lt;&gt;1),"Endpoint missing or duplicated",IF(AND(NOT(AND(B710="UC",E710="CAP")),OR(G710="",COUNTIF('System map'!$A$4:$A$203,G710)&lt;&gt;1)),"AIR context missing / unknown",IF(AND(B710="CAP",E710="AIR",G710&lt;&gt;F710),"AIR context mismatch",IF(AND(B710="AIR",G710&lt;&gt;C710),"AIR context mismatch",IF(AND(B710="AIR",E710="AIR",C710=F710),"Self-dependency",IF(AND(B710="AIR",E710="AIR",M710&lt;&gt;"Superseded",COUNTIFS($B$4:$B$1003,"AIR",$C$4:$C$1003,F710,$E$4:$E$1003,"AIR",$F$4:$F$1003,C710,$M$4:$M$1003,"&lt;&gt;Superseded")&gt;0),"Dependency cycle (A↔B) — review",IF(AND(B710="AIR",OR(E710="MOD",E710="DATA",E710="IF",E710="AG",E710="TOOL"),IFERROR(INDEX(Components!$G$4:$G$253,MATCH(F710,Components!$A$4:$A$253,0)),"")&lt;&gt;"",IFERROR(INDEX(Components!$G$4:$G$253,MATCH(F710,Components!$A$4:$A$253,0)),"")&lt;&gt;C710),"Component owned by another AIR-ID",IF(AND(M710="Confirmed",OR(IF(B710="UC",COUNTIFS('Use cases'!$A$4:$A$253,C710,'Use cases'!$I$4:$I$253,"Confirmed",'Use cases'!$J$4:$J$253,"OK — verify source"),IF(B710="CAP",COUNTIFS(Capabilities!$A$4:$A$253,C710,Capabilities!$J$4:$J$253,"Confirmed",Capabilities!$K$4:$K$253,"OK — verify source"),IF(B710="AIR",COUNTIFS('System map'!$A$4:$A$203,C710,'System map'!$B$4:$B$203,"&lt;&gt;",'System map'!$C$4:$C$203,"&lt;&gt;",'System map'!$D$4:$D$203,"&lt;&gt;"),COUNTIFS(Components!$A$4:$A$253,C710,Components!$B$4:$B$253,B710,Components!$K$4:$K$253,"Confirmed",Components!$L$4:$L$253,"OK — verify source"))))&lt;&gt;1,IF(E710="UC",COUNTIFS('Use cases'!$A$4:$A$253,F710,'Use cases'!$I$4:$I$253,"Confirmed",'Use cases'!$J$4:$J$253,"OK — verify source"),IF(E710="CAP",COUNTIFS(Capabilities!$A$4:$A$253,F710,Capabilities!$J$4:$J$253,"Confirmed",Capabilities!$K$4:$K$253,"OK — verify source"),IF(E710="AIR",COUNTIFS('System map'!$A$4:$A$203,F710,'System map'!$B$4:$B$203,"&lt;&gt;",'System map'!$C$4:$C$203,"&lt;&gt;",'System map'!$D$4:$D$203,"&lt;&gt;"),COUNTIFS(Components!$A$4:$A$253,F710,Components!$B$4:$B$253,E710,Components!$K$4:$K$253,"Confirmed",Components!$L$4:$L$253,"OK — verify source"))))&lt;&gt;1)),"Endpoint not source-reconciled",IF(AND(M710="Confirmed",OR(L710="",K710="",K710="Unknown",K710="Low")),"Confirmed link lacks verification","OK — verify source"))))))))))))))</f>
        <v/>
      </c>
    </row>
    <row r="711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8" t="n"/>
      <c r="M711" s="27" t="n"/>
      <c r="N711" s="27">
        <f>IF(COUNTA(A711:M711)=0,"",IF(OR(A711="",B711="",C711="",D711="",E711="",F711="",I711="",J711="",K711="",M711=""),"Required link detail missing",IF(COUNTIF($A$4:$A$1003,A711)&gt;1,"Duplicate Map Edge ID",IF(NOT(OR(AND(B711="UC",E711="CAP",D711="requires"),AND(B711="CAP",E711="AIR",D711="provided by"),AND(B711="AIR",OR(E711="MOD",E711="DATA",E711="IF",E711="AG",E711="TOOL"),D711="references"),AND(B711="AIR",E711="AIR",D711="depends on"))),"Invalid relationship",IF(AND(M711&lt;&gt;"Superseded",COUNTIFS($B$4:$B$1003,B711,$C$4:$C$1003,C711,$D$4:$D$1003,D711,$E$4:$E$1003,E711,$F$4:$F$1003,F711,$G$4:$G$1003,G711,$M$4:$M$1003,"&lt;&gt;Superseded")&gt;1),"Duplicate relationship",IF(OR(IF(B711="UC",COUNTIF('Use cases'!$A$4:$A$253,C711),IF(B711="CAP",COUNTIF(Capabilities!$A$4:$A$253,C711),IF(B711="AIR",COUNTIF('System map'!$A$4:$A$203,C711),COUNTIFS(Components!$A$4:$A$253,C711,Components!$B$4:$B$253,B711))))&lt;&gt;1,IF(E711="UC",COUNTIF('Use cases'!$A$4:$A$253,F711),IF(E711="CAP",COUNTIF(Capabilities!$A$4:$A$253,F711),IF(E711="AIR",COUNTIF('System map'!$A$4:$A$203,F711),COUNTIFS(Components!$A$4:$A$253,F711,Components!$B$4:$B$253,E711))))&lt;&gt;1),"Endpoint missing or duplicated",IF(AND(NOT(AND(B711="UC",E711="CAP")),OR(G711="",COUNTIF('System map'!$A$4:$A$203,G711)&lt;&gt;1)),"AIR context missing / unknown",IF(AND(B711="CAP",E711="AIR",G711&lt;&gt;F711),"AIR context mismatch",IF(AND(B711="AIR",G711&lt;&gt;C711),"AIR context mismatch",IF(AND(B711="AIR",E711="AIR",C711=F711),"Self-dependency",IF(AND(B711="AIR",E711="AIR",M711&lt;&gt;"Superseded",COUNTIFS($B$4:$B$1003,"AIR",$C$4:$C$1003,F711,$E$4:$E$1003,"AIR",$F$4:$F$1003,C711,$M$4:$M$1003,"&lt;&gt;Superseded")&gt;0),"Dependency cycle (A↔B) — review",IF(AND(B711="AIR",OR(E711="MOD",E711="DATA",E711="IF",E711="AG",E711="TOOL"),IFERROR(INDEX(Components!$G$4:$G$253,MATCH(F711,Components!$A$4:$A$253,0)),"")&lt;&gt;"",IFERROR(INDEX(Components!$G$4:$G$253,MATCH(F711,Components!$A$4:$A$253,0)),"")&lt;&gt;C711),"Component owned by another AIR-ID",IF(AND(M711="Confirmed",OR(IF(B711="UC",COUNTIFS('Use cases'!$A$4:$A$253,C711,'Use cases'!$I$4:$I$253,"Confirmed",'Use cases'!$J$4:$J$253,"OK — verify source"),IF(B711="CAP",COUNTIFS(Capabilities!$A$4:$A$253,C711,Capabilities!$J$4:$J$253,"Confirmed",Capabilities!$K$4:$K$253,"OK — verify source"),IF(B711="AIR",COUNTIFS('System map'!$A$4:$A$203,C711,'System map'!$B$4:$B$203,"&lt;&gt;",'System map'!$C$4:$C$203,"&lt;&gt;",'System map'!$D$4:$D$203,"&lt;&gt;"),COUNTIFS(Components!$A$4:$A$253,C711,Components!$B$4:$B$253,B711,Components!$K$4:$K$253,"Confirmed",Components!$L$4:$L$253,"OK — verify source"))))&lt;&gt;1,IF(E711="UC",COUNTIFS('Use cases'!$A$4:$A$253,F711,'Use cases'!$I$4:$I$253,"Confirmed",'Use cases'!$J$4:$J$253,"OK — verify source"),IF(E711="CAP",COUNTIFS(Capabilities!$A$4:$A$253,F711,Capabilities!$J$4:$J$253,"Confirmed",Capabilities!$K$4:$K$253,"OK — verify source"),IF(E711="AIR",COUNTIFS('System map'!$A$4:$A$203,F711,'System map'!$B$4:$B$203,"&lt;&gt;",'System map'!$C$4:$C$203,"&lt;&gt;",'System map'!$D$4:$D$203,"&lt;&gt;"),COUNTIFS(Components!$A$4:$A$253,F711,Components!$B$4:$B$253,E711,Components!$K$4:$K$253,"Confirmed",Components!$L$4:$L$253,"OK — verify source"))))&lt;&gt;1)),"Endpoint not source-reconciled",IF(AND(M711="Confirmed",OR(L711="",K711="",K711="Unknown",K711="Low")),"Confirmed link lacks verification","OK — verify source"))))))))))))))</f>
        <v/>
      </c>
    </row>
    <row r="712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6" t="n"/>
      <c r="M712" s="25" t="n"/>
      <c r="N712" s="25">
        <f>IF(COUNTA(A712:M712)=0,"",IF(OR(A712="",B712="",C712="",D712="",E712="",F712="",I712="",J712="",K712="",M712=""),"Required link detail missing",IF(COUNTIF($A$4:$A$1003,A712)&gt;1,"Duplicate Map Edge ID",IF(NOT(OR(AND(B712="UC",E712="CAP",D712="requires"),AND(B712="CAP",E712="AIR",D712="provided by"),AND(B712="AIR",OR(E712="MOD",E712="DATA",E712="IF",E712="AG",E712="TOOL"),D712="references"),AND(B712="AIR",E712="AIR",D712="depends on"))),"Invalid relationship",IF(AND(M712&lt;&gt;"Superseded",COUNTIFS($B$4:$B$1003,B712,$C$4:$C$1003,C712,$D$4:$D$1003,D712,$E$4:$E$1003,E712,$F$4:$F$1003,F712,$G$4:$G$1003,G712,$M$4:$M$1003,"&lt;&gt;Superseded")&gt;1),"Duplicate relationship",IF(OR(IF(B712="UC",COUNTIF('Use cases'!$A$4:$A$253,C712),IF(B712="CAP",COUNTIF(Capabilities!$A$4:$A$253,C712),IF(B712="AIR",COUNTIF('System map'!$A$4:$A$203,C712),COUNTIFS(Components!$A$4:$A$253,C712,Components!$B$4:$B$253,B712))))&lt;&gt;1,IF(E712="UC",COUNTIF('Use cases'!$A$4:$A$253,F712),IF(E712="CAP",COUNTIF(Capabilities!$A$4:$A$253,F712),IF(E712="AIR",COUNTIF('System map'!$A$4:$A$203,F712),COUNTIFS(Components!$A$4:$A$253,F712,Components!$B$4:$B$253,E712))))&lt;&gt;1),"Endpoint missing or duplicated",IF(AND(NOT(AND(B712="UC",E712="CAP")),OR(G712="",COUNTIF('System map'!$A$4:$A$203,G712)&lt;&gt;1)),"AIR context missing / unknown",IF(AND(B712="CAP",E712="AIR",G712&lt;&gt;F712),"AIR context mismatch",IF(AND(B712="AIR",G712&lt;&gt;C712),"AIR context mismatch",IF(AND(B712="AIR",E712="AIR",C712=F712),"Self-dependency",IF(AND(B712="AIR",E712="AIR",M712&lt;&gt;"Superseded",COUNTIFS($B$4:$B$1003,"AIR",$C$4:$C$1003,F712,$E$4:$E$1003,"AIR",$F$4:$F$1003,C712,$M$4:$M$1003,"&lt;&gt;Superseded")&gt;0),"Dependency cycle (A↔B) — review",IF(AND(B712="AIR",OR(E712="MOD",E712="DATA",E712="IF",E712="AG",E712="TOOL"),IFERROR(INDEX(Components!$G$4:$G$253,MATCH(F712,Components!$A$4:$A$253,0)),"")&lt;&gt;"",IFERROR(INDEX(Components!$G$4:$G$253,MATCH(F712,Components!$A$4:$A$253,0)),"")&lt;&gt;C712),"Component owned by another AIR-ID",IF(AND(M712="Confirmed",OR(IF(B712="UC",COUNTIFS('Use cases'!$A$4:$A$253,C712,'Use cases'!$I$4:$I$253,"Confirmed",'Use cases'!$J$4:$J$253,"OK — verify source"),IF(B712="CAP",COUNTIFS(Capabilities!$A$4:$A$253,C712,Capabilities!$J$4:$J$253,"Confirmed",Capabilities!$K$4:$K$253,"OK — verify source"),IF(B712="AIR",COUNTIFS('System map'!$A$4:$A$203,C712,'System map'!$B$4:$B$203,"&lt;&gt;",'System map'!$C$4:$C$203,"&lt;&gt;",'System map'!$D$4:$D$203,"&lt;&gt;"),COUNTIFS(Components!$A$4:$A$253,C712,Components!$B$4:$B$253,B712,Components!$K$4:$K$253,"Confirmed",Components!$L$4:$L$253,"OK — verify source"))))&lt;&gt;1,IF(E712="UC",COUNTIFS('Use cases'!$A$4:$A$253,F712,'Use cases'!$I$4:$I$253,"Confirmed",'Use cases'!$J$4:$J$253,"OK — verify source"),IF(E712="CAP",COUNTIFS(Capabilities!$A$4:$A$253,F712,Capabilities!$J$4:$J$253,"Confirmed",Capabilities!$K$4:$K$253,"OK — verify source"),IF(E712="AIR",COUNTIFS('System map'!$A$4:$A$203,F712,'System map'!$B$4:$B$203,"&lt;&gt;",'System map'!$C$4:$C$203,"&lt;&gt;",'System map'!$D$4:$D$203,"&lt;&gt;"),COUNTIFS(Components!$A$4:$A$253,F712,Components!$B$4:$B$253,E712,Components!$K$4:$K$253,"Confirmed",Components!$L$4:$L$253,"OK — verify source"))))&lt;&gt;1)),"Endpoint not source-reconciled",IF(AND(M712="Confirmed",OR(L712="",K712="",K712="Unknown",K712="Low")),"Confirmed link lacks verification","OK — verify source"))))))))))))))</f>
        <v/>
      </c>
    </row>
    <row r="713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8" t="n"/>
      <c r="M713" s="27" t="n"/>
      <c r="N713" s="27">
        <f>IF(COUNTA(A713:M713)=0,"",IF(OR(A713="",B713="",C713="",D713="",E713="",F713="",I713="",J713="",K713="",M713=""),"Required link detail missing",IF(COUNTIF($A$4:$A$1003,A713)&gt;1,"Duplicate Map Edge ID",IF(NOT(OR(AND(B713="UC",E713="CAP",D713="requires"),AND(B713="CAP",E713="AIR",D713="provided by"),AND(B713="AIR",OR(E713="MOD",E713="DATA",E713="IF",E713="AG",E713="TOOL"),D713="references"),AND(B713="AIR",E713="AIR",D713="depends on"))),"Invalid relationship",IF(AND(M713&lt;&gt;"Superseded",COUNTIFS($B$4:$B$1003,B713,$C$4:$C$1003,C713,$D$4:$D$1003,D713,$E$4:$E$1003,E713,$F$4:$F$1003,F713,$G$4:$G$1003,G713,$M$4:$M$1003,"&lt;&gt;Superseded")&gt;1),"Duplicate relationship",IF(OR(IF(B713="UC",COUNTIF('Use cases'!$A$4:$A$253,C713),IF(B713="CAP",COUNTIF(Capabilities!$A$4:$A$253,C713),IF(B713="AIR",COUNTIF('System map'!$A$4:$A$203,C713),COUNTIFS(Components!$A$4:$A$253,C713,Components!$B$4:$B$253,B713))))&lt;&gt;1,IF(E713="UC",COUNTIF('Use cases'!$A$4:$A$253,F713),IF(E713="CAP",COUNTIF(Capabilities!$A$4:$A$253,F713),IF(E713="AIR",COUNTIF('System map'!$A$4:$A$203,F713),COUNTIFS(Components!$A$4:$A$253,F713,Components!$B$4:$B$253,E713))))&lt;&gt;1),"Endpoint missing or duplicated",IF(AND(NOT(AND(B713="UC",E713="CAP")),OR(G713="",COUNTIF('System map'!$A$4:$A$203,G713)&lt;&gt;1)),"AIR context missing / unknown",IF(AND(B713="CAP",E713="AIR",G713&lt;&gt;F713),"AIR context mismatch",IF(AND(B713="AIR",G713&lt;&gt;C713),"AIR context mismatch",IF(AND(B713="AIR",E713="AIR",C713=F713),"Self-dependency",IF(AND(B713="AIR",E713="AIR",M713&lt;&gt;"Superseded",COUNTIFS($B$4:$B$1003,"AIR",$C$4:$C$1003,F713,$E$4:$E$1003,"AIR",$F$4:$F$1003,C713,$M$4:$M$1003,"&lt;&gt;Superseded")&gt;0),"Dependency cycle (A↔B) — review",IF(AND(B713="AIR",OR(E713="MOD",E713="DATA",E713="IF",E713="AG",E713="TOOL"),IFERROR(INDEX(Components!$G$4:$G$253,MATCH(F713,Components!$A$4:$A$253,0)),"")&lt;&gt;"",IFERROR(INDEX(Components!$G$4:$G$253,MATCH(F713,Components!$A$4:$A$253,0)),"")&lt;&gt;C713),"Component owned by another AIR-ID",IF(AND(M713="Confirmed",OR(IF(B713="UC",COUNTIFS('Use cases'!$A$4:$A$253,C713,'Use cases'!$I$4:$I$253,"Confirmed",'Use cases'!$J$4:$J$253,"OK — verify source"),IF(B713="CAP",COUNTIFS(Capabilities!$A$4:$A$253,C713,Capabilities!$J$4:$J$253,"Confirmed",Capabilities!$K$4:$K$253,"OK — verify source"),IF(B713="AIR",COUNTIFS('System map'!$A$4:$A$203,C713,'System map'!$B$4:$B$203,"&lt;&gt;",'System map'!$C$4:$C$203,"&lt;&gt;",'System map'!$D$4:$D$203,"&lt;&gt;"),COUNTIFS(Components!$A$4:$A$253,C713,Components!$B$4:$B$253,B713,Components!$K$4:$K$253,"Confirmed",Components!$L$4:$L$253,"OK — verify source"))))&lt;&gt;1,IF(E713="UC",COUNTIFS('Use cases'!$A$4:$A$253,F713,'Use cases'!$I$4:$I$253,"Confirmed",'Use cases'!$J$4:$J$253,"OK — verify source"),IF(E713="CAP",COUNTIFS(Capabilities!$A$4:$A$253,F713,Capabilities!$J$4:$J$253,"Confirmed",Capabilities!$K$4:$K$253,"OK — verify source"),IF(E713="AIR",COUNTIFS('System map'!$A$4:$A$203,F713,'System map'!$B$4:$B$203,"&lt;&gt;",'System map'!$C$4:$C$203,"&lt;&gt;",'System map'!$D$4:$D$203,"&lt;&gt;"),COUNTIFS(Components!$A$4:$A$253,F713,Components!$B$4:$B$253,E713,Components!$K$4:$K$253,"Confirmed",Components!$L$4:$L$253,"OK — verify source"))))&lt;&gt;1)),"Endpoint not source-reconciled",IF(AND(M713="Confirmed",OR(L713="",K713="",K713="Unknown",K713="Low")),"Confirmed link lacks verification","OK — verify source"))))))))))))))</f>
        <v/>
      </c>
    </row>
    <row r="71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6" t="n"/>
      <c r="M714" s="25" t="n"/>
      <c r="N714" s="25">
        <f>IF(COUNTA(A714:M714)=0,"",IF(OR(A714="",B714="",C714="",D714="",E714="",F714="",I714="",J714="",K714="",M714=""),"Required link detail missing",IF(COUNTIF($A$4:$A$1003,A714)&gt;1,"Duplicate Map Edge ID",IF(NOT(OR(AND(B714="UC",E714="CAP",D714="requires"),AND(B714="CAP",E714="AIR",D714="provided by"),AND(B714="AIR",OR(E714="MOD",E714="DATA",E714="IF",E714="AG",E714="TOOL"),D714="references"),AND(B714="AIR",E714="AIR",D714="depends on"))),"Invalid relationship",IF(AND(M714&lt;&gt;"Superseded",COUNTIFS($B$4:$B$1003,B714,$C$4:$C$1003,C714,$D$4:$D$1003,D714,$E$4:$E$1003,E714,$F$4:$F$1003,F714,$G$4:$G$1003,G714,$M$4:$M$1003,"&lt;&gt;Superseded")&gt;1),"Duplicate relationship",IF(OR(IF(B714="UC",COUNTIF('Use cases'!$A$4:$A$253,C714),IF(B714="CAP",COUNTIF(Capabilities!$A$4:$A$253,C714),IF(B714="AIR",COUNTIF('System map'!$A$4:$A$203,C714),COUNTIFS(Components!$A$4:$A$253,C714,Components!$B$4:$B$253,B714))))&lt;&gt;1,IF(E714="UC",COUNTIF('Use cases'!$A$4:$A$253,F714),IF(E714="CAP",COUNTIF(Capabilities!$A$4:$A$253,F714),IF(E714="AIR",COUNTIF('System map'!$A$4:$A$203,F714),COUNTIFS(Components!$A$4:$A$253,F714,Components!$B$4:$B$253,E714))))&lt;&gt;1),"Endpoint missing or duplicated",IF(AND(NOT(AND(B714="UC",E714="CAP")),OR(G714="",COUNTIF('System map'!$A$4:$A$203,G714)&lt;&gt;1)),"AIR context missing / unknown",IF(AND(B714="CAP",E714="AIR",G714&lt;&gt;F714),"AIR context mismatch",IF(AND(B714="AIR",G714&lt;&gt;C714),"AIR context mismatch",IF(AND(B714="AIR",E714="AIR",C714=F714),"Self-dependency",IF(AND(B714="AIR",E714="AIR",M714&lt;&gt;"Superseded",COUNTIFS($B$4:$B$1003,"AIR",$C$4:$C$1003,F714,$E$4:$E$1003,"AIR",$F$4:$F$1003,C714,$M$4:$M$1003,"&lt;&gt;Superseded")&gt;0),"Dependency cycle (A↔B) — review",IF(AND(B714="AIR",OR(E714="MOD",E714="DATA",E714="IF",E714="AG",E714="TOOL"),IFERROR(INDEX(Components!$G$4:$G$253,MATCH(F714,Components!$A$4:$A$253,0)),"")&lt;&gt;"",IFERROR(INDEX(Components!$G$4:$G$253,MATCH(F714,Components!$A$4:$A$253,0)),"")&lt;&gt;C714),"Component owned by another AIR-ID",IF(AND(M714="Confirmed",OR(IF(B714="UC",COUNTIFS('Use cases'!$A$4:$A$253,C714,'Use cases'!$I$4:$I$253,"Confirmed",'Use cases'!$J$4:$J$253,"OK — verify source"),IF(B714="CAP",COUNTIFS(Capabilities!$A$4:$A$253,C714,Capabilities!$J$4:$J$253,"Confirmed",Capabilities!$K$4:$K$253,"OK — verify source"),IF(B714="AIR",COUNTIFS('System map'!$A$4:$A$203,C714,'System map'!$B$4:$B$203,"&lt;&gt;",'System map'!$C$4:$C$203,"&lt;&gt;",'System map'!$D$4:$D$203,"&lt;&gt;"),COUNTIFS(Components!$A$4:$A$253,C714,Components!$B$4:$B$253,B714,Components!$K$4:$K$253,"Confirmed",Components!$L$4:$L$253,"OK — verify source"))))&lt;&gt;1,IF(E714="UC",COUNTIFS('Use cases'!$A$4:$A$253,F714,'Use cases'!$I$4:$I$253,"Confirmed",'Use cases'!$J$4:$J$253,"OK — verify source"),IF(E714="CAP",COUNTIFS(Capabilities!$A$4:$A$253,F714,Capabilities!$J$4:$J$253,"Confirmed",Capabilities!$K$4:$K$253,"OK — verify source"),IF(E714="AIR",COUNTIFS('System map'!$A$4:$A$203,F714,'System map'!$B$4:$B$203,"&lt;&gt;",'System map'!$C$4:$C$203,"&lt;&gt;",'System map'!$D$4:$D$203,"&lt;&gt;"),COUNTIFS(Components!$A$4:$A$253,F714,Components!$B$4:$B$253,E714,Components!$K$4:$K$253,"Confirmed",Components!$L$4:$L$253,"OK — verify source"))))&lt;&gt;1)),"Endpoint not source-reconciled",IF(AND(M714="Confirmed",OR(L714="",K714="",K714="Unknown",K714="Low")),"Confirmed link lacks verification","OK — verify source"))))))))))))))</f>
        <v/>
      </c>
    </row>
    <row r="715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8" t="n"/>
      <c r="M715" s="27" t="n"/>
      <c r="N715" s="27">
        <f>IF(COUNTA(A715:M715)=0,"",IF(OR(A715="",B715="",C715="",D715="",E715="",F715="",I715="",J715="",K715="",M715=""),"Required link detail missing",IF(COUNTIF($A$4:$A$1003,A715)&gt;1,"Duplicate Map Edge ID",IF(NOT(OR(AND(B715="UC",E715="CAP",D715="requires"),AND(B715="CAP",E715="AIR",D715="provided by"),AND(B715="AIR",OR(E715="MOD",E715="DATA",E715="IF",E715="AG",E715="TOOL"),D715="references"),AND(B715="AIR",E715="AIR",D715="depends on"))),"Invalid relationship",IF(AND(M715&lt;&gt;"Superseded",COUNTIFS($B$4:$B$1003,B715,$C$4:$C$1003,C715,$D$4:$D$1003,D715,$E$4:$E$1003,E715,$F$4:$F$1003,F715,$G$4:$G$1003,G715,$M$4:$M$1003,"&lt;&gt;Superseded")&gt;1),"Duplicate relationship",IF(OR(IF(B715="UC",COUNTIF('Use cases'!$A$4:$A$253,C715),IF(B715="CAP",COUNTIF(Capabilities!$A$4:$A$253,C715),IF(B715="AIR",COUNTIF('System map'!$A$4:$A$203,C715),COUNTIFS(Components!$A$4:$A$253,C715,Components!$B$4:$B$253,B715))))&lt;&gt;1,IF(E715="UC",COUNTIF('Use cases'!$A$4:$A$253,F715),IF(E715="CAP",COUNTIF(Capabilities!$A$4:$A$253,F715),IF(E715="AIR",COUNTIF('System map'!$A$4:$A$203,F715),COUNTIFS(Components!$A$4:$A$253,F715,Components!$B$4:$B$253,E715))))&lt;&gt;1),"Endpoint missing or duplicated",IF(AND(NOT(AND(B715="UC",E715="CAP")),OR(G715="",COUNTIF('System map'!$A$4:$A$203,G715)&lt;&gt;1)),"AIR context missing / unknown",IF(AND(B715="CAP",E715="AIR",G715&lt;&gt;F715),"AIR context mismatch",IF(AND(B715="AIR",G715&lt;&gt;C715),"AIR context mismatch",IF(AND(B715="AIR",E715="AIR",C715=F715),"Self-dependency",IF(AND(B715="AIR",E715="AIR",M715&lt;&gt;"Superseded",COUNTIFS($B$4:$B$1003,"AIR",$C$4:$C$1003,F715,$E$4:$E$1003,"AIR",$F$4:$F$1003,C715,$M$4:$M$1003,"&lt;&gt;Superseded")&gt;0),"Dependency cycle (A↔B) — review",IF(AND(B715="AIR",OR(E715="MOD",E715="DATA",E715="IF",E715="AG",E715="TOOL"),IFERROR(INDEX(Components!$G$4:$G$253,MATCH(F715,Components!$A$4:$A$253,0)),"")&lt;&gt;"",IFERROR(INDEX(Components!$G$4:$G$253,MATCH(F715,Components!$A$4:$A$253,0)),"")&lt;&gt;C715),"Component owned by another AIR-ID",IF(AND(M715="Confirmed",OR(IF(B715="UC",COUNTIFS('Use cases'!$A$4:$A$253,C715,'Use cases'!$I$4:$I$253,"Confirmed",'Use cases'!$J$4:$J$253,"OK — verify source"),IF(B715="CAP",COUNTIFS(Capabilities!$A$4:$A$253,C715,Capabilities!$J$4:$J$253,"Confirmed",Capabilities!$K$4:$K$253,"OK — verify source"),IF(B715="AIR",COUNTIFS('System map'!$A$4:$A$203,C715,'System map'!$B$4:$B$203,"&lt;&gt;",'System map'!$C$4:$C$203,"&lt;&gt;",'System map'!$D$4:$D$203,"&lt;&gt;"),COUNTIFS(Components!$A$4:$A$253,C715,Components!$B$4:$B$253,B715,Components!$K$4:$K$253,"Confirmed",Components!$L$4:$L$253,"OK — verify source"))))&lt;&gt;1,IF(E715="UC",COUNTIFS('Use cases'!$A$4:$A$253,F715,'Use cases'!$I$4:$I$253,"Confirmed",'Use cases'!$J$4:$J$253,"OK — verify source"),IF(E715="CAP",COUNTIFS(Capabilities!$A$4:$A$253,F715,Capabilities!$J$4:$J$253,"Confirmed",Capabilities!$K$4:$K$253,"OK — verify source"),IF(E715="AIR",COUNTIFS('System map'!$A$4:$A$203,F715,'System map'!$B$4:$B$203,"&lt;&gt;",'System map'!$C$4:$C$203,"&lt;&gt;",'System map'!$D$4:$D$203,"&lt;&gt;"),COUNTIFS(Components!$A$4:$A$253,F715,Components!$B$4:$B$253,E715,Components!$K$4:$K$253,"Confirmed",Components!$L$4:$L$253,"OK — verify source"))))&lt;&gt;1)),"Endpoint not source-reconciled",IF(AND(M715="Confirmed",OR(L715="",K715="",K715="Unknown",K715="Low")),"Confirmed link lacks verification","OK — verify source"))))))))))))))</f>
        <v/>
      </c>
    </row>
    <row r="716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6" t="n"/>
      <c r="M716" s="25" t="n"/>
      <c r="N716" s="25">
        <f>IF(COUNTA(A716:M716)=0,"",IF(OR(A716="",B716="",C716="",D716="",E716="",F716="",I716="",J716="",K716="",M716=""),"Required link detail missing",IF(COUNTIF($A$4:$A$1003,A716)&gt;1,"Duplicate Map Edge ID",IF(NOT(OR(AND(B716="UC",E716="CAP",D716="requires"),AND(B716="CAP",E716="AIR",D716="provided by"),AND(B716="AIR",OR(E716="MOD",E716="DATA",E716="IF",E716="AG",E716="TOOL"),D716="references"),AND(B716="AIR",E716="AIR",D716="depends on"))),"Invalid relationship",IF(AND(M716&lt;&gt;"Superseded",COUNTIFS($B$4:$B$1003,B716,$C$4:$C$1003,C716,$D$4:$D$1003,D716,$E$4:$E$1003,E716,$F$4:$F$1003,F716,$G$4:$G$1003,G716,$M$4:$M$1003,"&lt;&gt;Superseded")&gt;1),"Duplicate relationship",IF(OR(IF(B716="UC",COUNTIF('Use cases'!$A$4:$A$253,C716),IF(B716="CAP",COUNTIF(Capabilities!$A$4:$A$253,C716),IF(B716="AIR",COUNTIF('System map'!$A$4:$A$203,C716),COUNTIFS(Components!$A$4:$A$253,C716,Components!$B$4:$B$253,B716))))&lt;&gt;1,IF(E716="UC",COUNTIF('Use cases'!$A$4:$A$253,F716),IF(E716="CAP",COUNTIF(Capabilities!$A$4:$A$253,F716),IF(E716="AIR",COUNTIF('System map'!$A$4:$A$203,F716),COUNTIFS(Components!$A$4:$A$253,F716,Components!$B$4:$B$253,E716))))&lt;&gt;1),"Endpoint missing or duplicated",IF(AND(NOT(AND(B716="UC",E716="CAP")),OR(G716="",COUNTIF('System map'!$A$4:$A$203,G716)&lt;&gt;1)),"AIR context missing / unknown",IF(AND(B716="CAP",E716="AIR",G716&lt;&gt;F716),"AIR context mismatch",IF(AND(B716="AIR",G716&lt;&gt;C716),"AIR context mismatch",IF(AND(B716="AIR",E716="AIR",C716=F716),"Self-dependency",IF(AND(B716="AIR",E716="AIR",M716&lt;&gt;"Superseded",COUNTIFS($B$4:$B$1003,"AIR",$C$4:$C$1003,F716,$E$4:$E$1003,"AIR",$F$4:$F$1003,C716,$M$4:$M$1003,"&lt;&gt;Superseded")&gt;0),"Dependency cycle (A↔B) — review",IF(AND(B716="AIR",OR(E716="MOD",E716="DATA",E716="IF",E716="AG",E716="TOOL"),IFERROR(INDEX(Components!$G$4:$G$253,MATCH(F716,Components!$A$4:$A$253,0)),"")&lt;&gt;"",IFERROR(INDEX(Components!$G$4:$G$253,MATCH(F716,Components!$A$4:$A$253,0)),"")&lt;&gt;C716),"Component owned by another AIR-ID",IF(AND(M716="Confirmed",OR(IF(B716="UC",COUNTIFS('Use cases'!$A$4:$A$253,C716,'Use cases'!$I$4:$I$253,"Confirmed",'Use cases'!$J$4:$J$253,"OK — verify source"),IF(B716="CAP",COUNTIFS(Capabilities!$A$4:$A$253,C716,Capabilities!$J$4:$J$253,"Confirmed",Capabilities!$K$4:$K$253,"OK — verify source"),IF(B716="AIR",COUNTIFS('System map'!$A$4:$A$203,C716,'System map'!$B$4:$B$203,"&lt;&gt;",'System map'!$C$4:$C$203,"&lt;&gt;",'System map'!$D$4:$D$203,"&lt;&gt;"),COUNTIFS(Components!$A$4:$A$253,C716,Components!$B$4:$B$253,B716,Components!$K$4:$K$253,"Confirmed",Components!$L$4:$L$253,"OK — verify source"))))&lt;&gt;1,IF(E716="UC",COUNTIFS('Use cases'!$A$4:$A$253,F716,'Use cases'!$I$4:$I$253,"Confirmed",'Use cases'!$J$4:$J$253,"OK — verify source"),IF(E716="CAP",COUNTIFS(Capabilities!$A$4:$A$253,F716,Capabilities!$J$4:$J$253,"Confirmed",Capabilities!$K$4:$K$253,"OK — verify source"),IF(E716="AIR",COUNTIFS('System map'!$A$4:$A$203,F716,'System map'!$B$4:$B$203,"&lt;&gt;",'System map'!$C$4:$C$203,"&lt;&gt;",'System map'!$D$4:$D$203,"&lt;&gt;"),COUNTIFS(Components!$A$4:$A$253,F716,Components!$B$4:$B$253,E716,Components!$K$4:$K$253,"Confirmed",Components!$L$4:$L$253,"OK — verify source"))))&lt;&gt;1)),"Endpoint not source-reconciled",IF(AND(M716="Confirmed",OR(L716="",K716="",K716="Unknown",K716="Low")),"Confirmed link lacks verification","OK — verify source"))))))))))))))</f>
        <v/>
      </c>
    </row>
    <row r="717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8" t="n"/>
      <c r="M717" s="27" t="n"/>
      <c r="N717" s="27">
        <f>IF(COUNTA(A717:M717)=0,"",IF(OR(A717="",B717="",C717="",D717="",E717="",F717="",I717="",J717="",K717="",M717=""),"Required link detail missing",IF(COUNTIF($A$4:$A$1003,A717)&gt;1,"Duplicate Map Edge ID",IF(NOT(OR(AND(B717="UC",E717="CAP",D717="requires"),AND(B717="CAP",E717="AIR",D717="provided by"),AND(B717="AIR",OR(E717="MOD",E717="DATA",E717="IF",E717="AG",E717="TOOL"),D717="references"),AND(B717="AIR",E717="AIR",D717="depends on"))),"Invalid relationship",IF(AND(M717&lt;&gt;"Superseded",COUNTIFS($B$4:$B$1003,B717,$C$4:$C$1003,C717,$D$4:$D$1003,D717,$E$4:$E$1003,E717,$F$4:$F$1003,F717,$G$4:$G$1003,G717,$M$4:$M$1003,"&lt;&gt;Superseded")&gt;1),"Duplicate relationship",IF(OR(IF(B717="UC",COUNTIF('Use cases'!$A$4:$A$253,C717),IF(B717="CAP",COUNTIF(Capabilities!$A$4:$A$253,C717),IF(B717="AIR",COUNTIF('System map'!$A$4:$A$203,C717),COUNTIFS(Components!$A$4:$A$253,C717,Components!$B$4:$B$253,B717))))&lt;&gt;1,IF(E717="UC",COUNTIF('Use cases'!$A$4:$A$253,F717),IF(E717="CAP",COUNTIF(Capabilities!$A$4:$A$253,F717),IF(E717="AIR",COUNTIF('System map'!$A$4:$A$203,F717),COUNTIFS(Components!$A$4:$A$253,F717,Components!$B$4:$B$253,E717))))&lt;&gt;1),"Endpoint missing or duplicated",IF(AND(NOT(AND(B717="UC",E717="CAP")),OR(G717="",COUNTIF('System map'!$A$4:$A$203,G717)&lt;&gt;1)),"AIR context missing / unknown",IF(AND(B717="CAP",E717="AIR",G717&lt;&gt;F717),"AIR context mismatch",IF(AND(B717="AIR",G717&lt;&gt;C717),"AIR context mismatch",IF(AND(B717="AIR",E717="AIR",C717=F717),"Self-dependency",IF(AND(B717="AIR",E717="AIR",M717&lt;&gt;"Superseded",COUNTIFS($B$4:$B$1003,"AIR",$C$4:$C$1003,F717,$E$4:$E$1003,"AIR",$F$4:$F$1003,C717,$M$4:$M$1003,"&lt;&gt;Superseded")&gt;0),"Dependency cycle (A↔B) — review",IF(AND(B717="AIR",OR(E717="MOD",E717="DATA",E717="IF",E717="AG",E717="TOOL"),IFERROR(INDEX(Components!$G$4:$G$253,MATCH(F717,Components!$A$4:$A$253,0)),"")&lt;&gt;"",IFERROR(INDEX(Components!$G$4:$G$253,MATCH(F717,Components!$A$4:$A$253,0)),"")&lt;&gt;C717),"Component owned by another AIR-ID",IF(AND(M717="Confirmed",OR(IF(B717="UC",COUNTIFS('Use cases'!$A$4:$A$253,C717,'Use cases'!$I$4:$I$253,"Confirmed",'Use cases'!$J$4:$J$253,"OK — verify source"),IF(B717="CAP",COUNTIFS(Capabilities!$A$4:$A$253,C717,Capabilities!$J$4:$J$253,"Confirmed",Capabilities!$K$4:$K$253,"OK — verify source"),IF(B717="AIR",COUNTIFS('System map'!$A$4:$A$203,C717,'System map'!$B$4:$B$203,"&lt;&gt;",'System map'!$C$4:$C$203,"&lt;&gt;",'System map'!$D$4:$D$203,"&lt;&gt;"),COUNTIFS(Components!$A$4:$A$253,C717,Components!$B$4:$B$253,B717,Components!$K$4:$K$253,"Confirmed",Components!$L$4:$L$253,"OK — verify source"))))&lt;&gt;1,IF(E717="UC",COUNTIFS('Use cases'!$A$4:$A$253,F717,'Use cases'!$I$4:$I$253,"Confirmed",'Use cases'!$J$4:$J$253,"OK — verify source"),IF(E717="CAP",COUNTIFS(Capabilities!$A$4:$A$253,F717,Capabilities!$J$4:$J$253,"Confirmed",Capabilities!$K$4:$K$253,"OK — verify source"),IF(E717="AIR",COUNTIFS('System map'!$A$4:$A$203,F717,'System map'!$B$4:$B$203,"&lt;&gt;",'System map'!$C$4:$C$203,"&lt;&gt;",'System map'!$D$4:$D$203,"&lt;&gt;"),COUNTIFS(Components!$A$4:$A$253,F717,Components!$B$4:$B$253,E717,Components!$K$4:$K$253,"Confirmed",Components!$L$4:$L$253,"OK — verify source"))))&lt;&gt;1)),"Endpoint not source-reconciled",IF(AND(M717="Confirmed",OR(L717="",K717="",K717="Unknown",K717="Low")),"Confirmed link lacks verification","OK — verify source"))))))))))))))</f>
        <v/>
      </c>
    </row>
    <row r="718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6" t="n"/>
      <c r="M718" s="25" t="n"/>
      <c r="N718" s="25">
        <f>IF(COUNTA(A718:M718)=0,"",IF(OR(A718="",B718="",C718="",D718="",E718="",F718="",I718="",J718="",K718="",M718=""),"Required link detail missing",IF(COUNTIF($A$4:$A$1003,A718)&gt;1,"Duplicate Map Edge ID",IF(NOT(OR(AND(B718="UC",E718="CAP",D718="requires"),AND(B718="CAP",E718="AIR",D718="provided by"),AND(B718="AIR",OR(E718="MOD",E718="DATA",E718="IF",E718="AG",E718="TOOL"),D718="references"),AND(B718="AIR",E718="AIR",D718="depends on"))),"Invalid relationship",IF(AND(M718&lt;&gt;"Superseded",COUNTIFS($B$4:$B$1003,B718,$C$4:$C$1003,C718,$D$4:$D$1003,D718,$E$4:$E$1003,E718,$F$4:$F$1003,F718,$G$4:$G$1003,G718,$M$4:$M$1003,"&lt;&gt;Superseded")&gt;1),"Duplicate relationship",IF(OR(IF(B718="UC",COUNTIF('Use cases'!$A$4:$A$253,C718),IF(B718="CAP",COUNTIF(Capabilities!$A$4:$A$253,C718),IF(B718="AIR",COUNTIF('System map'!$A$4:$A$203,C718),COUNTIFS(Components!$A$4:$A$253,C718,Components!$B$4:$B$253,B718))))&lt;&gt;1,IF(E718="UC",COUNTIF('Use cases'!$A$4:$A$253,F718),IF(E718="CAP",COUNTIF(Capabilities!$A$4:$A$253,F718),IF(E718="AIR",COUNTIF('System map'!$A$4:$A$203,F718),COUNTIFS(Components!$A$4:$A$253,F718,Components!$B$4:$B$253,E718))))&lt;&gt;1),"Endpoint missing or duplicated",IF(AND(NOT(AND(B718="UC",E718="CAP")),OR(G718="",COUNTIF('System map'!$A$4:$A$203,G718)&lt;&gt;1)),"AIR context missing / unknown",IF(AND(B718="CAP",E718="AIR",G718&lt;&gt;F718),"AIR context mismatch",IF(AND(B718="AIR",G718&lt;&gt;C718),"AIR context mismatch",IF(AND(B718="AIR",E718="AIR",C718=F718),"Self-dependency",IF(AND(B718="AIR",E718="AIR",M718&lt;&gt;"Superseded",COUNTIFS($B$4:$B$1003,"AIR",$C$4:$C$1003,F718,$E$4:$E$1003,"AIR",$F$4:$F$1003,C718,$M$4:$M$1003,"&lt;&gt;Superseded")&gt;0),"Dependency cycle (A↔B) — review",IF(AND(B718="AIR",OR(E718="MOD",E718="DATA",E718="IF",E718="AG",E718="TOOL"),IFERROR(INDEX(Components!$G$4:$G$253,MATCH(F718,Components!$A$4:$A$253,0)),"")&lt;&gt;"",IFERROR(INDEX(Components!$G$4:$G$253,MATCH(F718,Components!$A$4:$A$253,0)),"")&lt;&gt;C718),"Component owned by another AIR-ID",IF(AND(M718="Confirmed",OR(IF(B718="UC",COUNTIFS('Use cases'!$A$4:$A$253,C718,'Use cases'!$I$4:$I$253,"Confirmed",'Use cases'!$J$4:$J$253,"OK — verify source"),IF(B718="CAP",COUNTIFS(Capabilities!$A$4:$A$253,C718,Capabilities!$J$4:$J$253,"Confirmed",Capabilities!$K$4:$K$253,"OK — verify source"),IF(B718="AIR",COUNTIFS('System map'!$A$4:$A$203,C718,'System map'!$B$4:$B$203,"&lt;&gt;",'System map'!$C$4:$C$203,"&lt;&gt;",'System map'!$D$4:$D$203,"&lt;&gt;"),COUNTIFS(Components!$A$4:$A$253,C718,Components!$B$4:$B$253,B718,Components!$K$4:$K$253,"Confirmed",Components!$L$4:$L$253,"OK — verify source"))))&lt;&gt;1,IF(E718="UC",COUNTIFS('Use cases'!$A$4:$A$253,F718,'Use cases'!$I$4:$I$253,"Confirmed",'Use cases'!$J$4:$J$253,"OK — verify source"),IF(E718="CAP",COUNTIFS(Capabilities!$A$4:$A$253,F718,Capabilities!$J$4:$J$253,"Confirmed",Capabilities!$K$4:$K$253,"OK — verify source"),IF(E718="AIR",COUNTIFS('System map'!$A$4:$A$203,F718,'System map'!$B$4:$B$203,"&lt;&gt;",'System map'!$C$4:$C$203,"&lt;&gt;",'System map'!$D$4:$D$203,"&lt;&gt;"),COUNTIFS(Components!$A$4:$A$253,F718,Components!$B$4:$B$253,E718,Components!$K$4:$K$253,"Confirmed",Components!$L$4:$L$253,"OK — verify source"))))&lt;&gt;1)),"Endpoint not source-reconciled",IF(AND(M718="Confirmed",OR(L718="",K718="",K718="Unknown",K718="Low")),"Confirmed link lacks verification","OK — verify source"))))))))))))))</f>
        <v/>
      </c>
    </row>
    <row r="719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8" t="n"/>
      <c r="M719" s="27" t="n"/>
      <c r="N719" s="27">
        <f>IF(COUNTA(A719:M719)=0,"",IF(OR(A719="",B719="",C719="",D719="",E719="",F719="",I719="",J719="",K719="",M719=""),"Required link detail missing",IF(COUNTIF($A$4:$A$1003,A719)&gt;1,"Duplicate Map Edge ID",IF(NOT(OR(AND(B719="UC",E719="CAP",D719="requires"),AND(B719="CAP",E719="AIR",D719="provided by"),AND(B719="AIR",OR(E719="MOD",E719="DATA",E719="IF",E719="AG",E719="TOOL"),D719="references"),AND(B719="AIR",E719="AIR",D719="depends on"))),"Invalid relationship",IF(AND(M719&lt;&gt;"Superseded",COUNTIFS($B$4:$B$1003,B719,$C$4:$C$1003,C719,$D$4:$D$1003,D719,$E$4:$E$1003,E719,$F$4:$F$1003,F719,$G$4:$G$1003,G719,$M$4:$M$1003,"&lt;&gt;Superseded")&gt;1),"Duplicate relationship",IF(OR(IF(B719="UC",COUNTIF('Use cases'!$A$4:$A$253,C719),IF(B719="CAP",COUNTIF(Capabilities!$A$4:$A$253,C719),IF(B719="AIR",COUNTIF('System map'!$A$4:$A$203,C719),COUNTIFS(Components!$A$4:$A$253,C719,Components!$B$4:$B$253,B719))))&lt;&gt;1,IF(E719="UC",COUNTIF('Use cases'!$A$4:$A$253,F719),IF(E719="CAP",COUNTIF(Capabilities!$A$4:$A$253,F719),IF(E719="AIR",COUNTIF('System map'!$A$4:$A$203,F719),COUNTIFS(Components!$A$4:$A$253,F719,Components!$B$4:$B$253,E719))))&lt;&gt;1),"Endpoint missing or duplicated",IF(AND(NOT(AND(B719="UC",E719="CAP")),OR(G719="",COUNTIF('System map'!$A$4:$A$203,G719)&lt;&gt;1)),"AIR context missing / unknown",IF(AND(B719="CAP",E719="AIR",G719&lt;&gt;F719),"AIR context mismatch",IF(AND(B719="AIR",G719&lt;&gt;C719),"AIR context mismatch",IF(AND(B719="AIR",E719="AIR",C719=F719),"Self-dependency",IF(AND(B719="AIR",E719="AIR",M719&lt;&gt;"Superseded",COUNTIFS($B$4:$B$1003,"AIR",$C$4:$C$1003,F719,$E$4:$E$1003,"AIR",$F$4:$F$1003,C719,$M$4:$M$1003,"&lt;&gt;Superseded")&gt;0),"Dependency cycle (A↔B) — review",IF(AND(B719="AIR",OR(E719="MOD",E719="DATA",E719="IF",E719="AG",E719="TOOL"),IFERROR(INDEX(Components!$G$4:$G$253,MATCH(F719,Components!$A$4:$A$253,0)),"")&lt;&gt;"",IFERROR(INDEX(Components!$G$4:$G$253,MATCH(F719,Components!$A$4:$A$253,0)),"")&lt;&gt;C719),"Component owned by another AIR-ID",IF(AND(M719="Confirmed",OR(IF(B719="UC",COUNTIFS('Use cases'!$A$4:$A$253,C719,'Use cases'!$I$4:$I$253,"Confirmed",'Use cases'!$J$4:$J$253,"OK — verify source"),IF(B719="CAP",COUNTIFS(Capabilities!$A$4:$A$253,C719,Capabilities!$J$4:$J$253,"Confirmed",Capabilities!$K$4:$K$253,"OK — verify source"),IF(B719="AIR",COUNTIFS('System map'!$A$4:$A$203,C719,'System map'!$B$4:$B$203,"&lt;&gt;",'System map'!$C$4:$C$203,"&lt;&gt;",'System map'!$D$4:$D$203,"&lt;&gt;"),COUNTIFS(Components!$A$4:$A$253,C719,Components!$B$4:$B$253,B719,Components!$K$4:$K$253,"Confirmed",Components!$L$4:$L$253,"OK — verify source"))))&lt;&gt;1,IF(E719="UC",COUNTIFS('Use cases'!$A$4:$A$253,F719,'Use cases'!$I$4:$I$253,"Confirmed",'Use cases'!$J$4:$J$253,"OK — verify source"),IF(E719="CAP",COUNTIFS(Capabilities!$A$4:$A$253,F719,Capabilities!$J$4:$J$253,"Confirmed",Capabilities!$K$4:$K$253,"OK — verify source"),IF(E719="AIR",COUNTIFS('System map'!$A$4:$A$203,F719,'System map'!$B$4:$B$203,"&lt;&gt;",'System map'!$C$4:$C$203,"&lt;&gt;",'System map'!$D$4:$D$203,"&lt;&gt;"),COUNTIFS(Components!$A$4:$A$253,F719,Components!$B$4:$B$253,E719,Components!$K$4:$K$253,"Confirmed",Components!$L$4:$L$253,"OK — verify source"))))&lt;&gt;1)),"Endpoint not source-reconciled",IF(AND(M719="Confirmed",OR(L719="",K719="",K719="Unknown",K719="Low")),"Confirmed link lacks verification","OK — verify source"))))))))))))))</f>
        <v/>
      </c>
    </row>
    <row r="720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6" t="n"/>
      <c r="M720" s="25" t="n"/>
      <c r="N720" s="25">
        <f>IF(COUNTA(A720:M720)=0,"",IF(OR(A720="",B720="",C720="",D720="",E720="",F720="",I720="",J720="",K720="",M720=""),"Required link detail missing",IF(COUNTIF($A$4:$A$1003,A720)&gt;1,"Duplicate Map Edge ID",IF(NOT(OR(AND(B720="UC",E720="CAP",D720="requires"),AND(B720="CAP",E720="AIR",D720="provided by"),AND(B720="AIR",OR(E720="MOD",E720="DATA",E720="IF",E720="AG",E720="TOOL"),D720="references"),AND(B720="AIR",E720="AIR",D720="depends on"))),"Invalid relationship",IF(AND(M720&lt;&gt;"Superseded",COUNTIFS($B$4:$B$1003,B720,$C$4:$C$1003,C720,$D$4:$D$1003,D720,$E$4:$E$1003,E720,$F$4:$F$1003,F720,$G$4:$G$1003,G720,$M$4:$M$1003,"&lt;&gt;Superseded")&gt;1),"Duplicate relationship",IF(OR(IF(B720="UC",COUNTIF('Use cases'!$A$4:$A$253,C720),IF(B720="CAP",COUNTIF(Capabilities!$A$4:$A$253,C720),IF(B720="AIR",COUNTIF('System map'!$A$4:$A$203,C720),COUNTIFS(Components!$A$4:$A$253,C720,Components!$B$4:$B$253,B720))))&lt;&gt;1,IF(E720="UC",COUNTIF('Use cases'!$A$4:$A$253,F720),IF(E720="CAP",COUNTIF(Capabilities!$A$4:$A$253,F720),IF(E720="AIR",COUNTIF('System map'!$A$4:$A$203,F720),COUNTIFS(Components!$A$4:$A$253,F720,Components!$B$4:$B$253,E720))))&lt;&gt;1),"Endpoint missing or duplicated",IF(AND(NOT(AND(B720="UC",E720="CAP")),OR(G720="",COUNTIF('System map'!$A$4:$A$203,G720)&lt;&gt;1)),"AIR context missing / unknown",IF(AND(B720="CAP",E720="AIR",G720&lt;&gt;F720),"AIR context mismatch",IF(AND(B720="AIR",G720&lt;&gt;C720),"AIR context mismatch",IF(AND(B720="AIR",E720="AIR",C720=F720),"Self-dependency",IF(AND(B720="AIR",E720="AIR",M720&lt;&gt;"Superseded",COUNTIFS($B$4:$B$1003,"AIR",$C$4:$C$1003,F720,$E$4:$E$1003,"AIR",$F$4:$F$1003,C720,$M$4:$M$1003,"&lt;&gt;Superseded")&gt;0),"Dependency cycle (A↔B) — review",IF(AND(B720="AIR",OR(E720="MOD",E720="DATA",E720="IF",E720="AG",E720="TOOL"),IFERROR(INDEX(Components!$G$4:$G$253,MATCH(F720,Components!$A$4:$A$253,0)),"")&lt;&gt;"",IFERROR(INDEX(Components!$G$4:$G$253,MATCH(F720,Components!$A$4:$A$253,0)),"")&lt;&gt;C720),"Component owned by another AIR-ID",IF(AND(M720="Confirmed",OR(IF(B720="UC",COUNTIFS('Use cases'!$A$4:$A$253,C720,'Use cases'!$I$4:$I$253,"Confirmed",'Use cases'!$J$4:$J$253,"OK — verify source"),IF(B720="CAP",COUNTIFS(Capabilities!$A$4:$A$253,C720,Capabilities!$J$4:$J$253,"Confirmed",Capabilities!$K$4:$K$253,"OK — verify source"),IF(B720="AIR",COUNTIFS('System map'!$A$4:$A$203,C720,'System map'!$B$4:$B$203,"&lt;&gt;",'System map'!$C$4:$C$203,"&lt;&gt;",'System map'!$D$4:$D$203,"&lt;&gt;"),COUNTIFS(Components!$A$4:$A$253,C720,Components!$B$4:$B$253,B720,Components!$K$4:$K$253,"Confirmed",Components!$L$4:$L$253,"OK — verify source"))))&lt;&gt;1,IF(E720="UC",COUNTIFS('Use cases'!$A$4:$A$253,F720,'Use cases'!$I$4:$I$253,"Confirmed",'Use cases'!$J$4:$J$253,"OK — verify source"),IF(E720="CAP",COUNTIFS(Capabilities!$A$4:$A$253,F720,Capabilities!$J$4:$J$253,"Confirmed",Capabilities!$K$4:$K$253,"OK — verify source"),IF(E720="AIR",COUNTIFS('System map'!$A$4:$A$203,F720,'System map'!$B$4:$B$203,"&lt;&gt;",'System map'!$C$4:$C$203,"&lt;&gt;",'System map'!$D$4:$D$203,"&lt;&gt;"),COUNTIFS(Components!$A$4:$A$253,F720,Components!$B$4:$B$253,E720,Components!$K$4:$K$253,"Confirmed",Components!$L$4:$L$253,"OK — verify source"))))&lt;&gt;1)),"Endpoint not source-reconciled",IF(AND(M720="Confirmed",OR(L720="",K720="",K720="Unknown",K720="Low")),"Confirmed link lacks verification","OK — verify source"))))))))))))))</f>
        <v/>
      </c>
    </row>
    <row r="721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8" t="n"/>
      <c r="M721" s="27" t="n"/>
      <c r="N721" s="27">
        <f>IF(COUNTA(A721:M721)=0,"",IF(OR(A721="",B721="",C721="",D721="",E721="",F721="",I721="",J721="",K721="",M721=""),"Required link detail missing",IF(COUNTIF($A$4:$A$1003,A721)&gt;1,"Duplicate Map Edge ID",IF(NOT(OR(AND(B721="UC",E721="CAP",D721="requires"),AND(B721="CAP",E721="AIR",D721="provided by"),AND(B721="AIR",OR(E721="MOD",E721="DATA",E721="IF",E721="AG",E721="TOOL"),D721="references"),AND(B721="AIR",E721="AIR",D721="depends on"))),"Invalid relationship",IF(AND(M721&lt;&gt;"Superseded",COUNTIFS($B$4:$B$1003,B721,$C$4:$C$1003,C721,$D$4:$D$1003,D721,$E$4:$E$1003,E721,$F$4:$F$1003,F721,$G$4:$G$1003,G721,$M$4:$M$1003,"&lt;&gt;Superseded")&gt;1),"Duplicate relationship",IF(OR(IF(B721="UC",COUNTIF('Use cases'!$A$4:$A$253,C721),IF(B721="CAP",COUNTIF(Capabilities!$A$4:$A$253,C721),IF(B721="AIR",COUNTIF('System map'!$A$4:$A$203,C721),COUNTIFS(Components!$A$4:$A$253,C721,Components!$B$4:$B$253,B721))))&lt;&gt;1,IF(E721="UC",COUNTIF('Use cases'!$A$4:$A$253,F721),IF(E721="CAP",COUNTIF(Capabilities!$A$4:$A$253,F721),IF(E721="AIR",COUNTIF('System map'!$A$4:$A$203,F721),COUNTIFS(Components!$A$4:$A$253,F721,Components!$B$4:$B$253,E721))))&lt;&gt;1),"Endpoint missing or duplicated",IF(AND(NOT(AND(B721="UC",E721="CAP")),OR(G721="",COUNTIF('System map'!$A$4:$A$203,G721)&lt;&gt;1)),"AIR context missing / unknown",IF(AND(B721="CAP",E721="AIR",G721&lt;&gt;F721),"AIR context mismatch",IF(AND(B721="AIR",G721&lt;&gt;C721),"AIR context mismatch",IF(AND(B721="AIR",E721="AIR",C721=F721),"Self-dependency",IF(AND(B721="AIR",E721="AIR",M721&lt;&gt;"Superseded",COUNTIFS($B$4:$B$1003,"AIR",$C$4:$C$1003,F721,$E$4:$E$1003,"AIR",$F$4:$F$1003,C721,$M$4:$M$1003,"&lt;&gt;Superseded")&gt;0),"Dependency cycle (A↔B) — review",IF(AND(B721="AIR",OR(E721="MOD",E721="DATA",E721="IF",E721="AG",E721="TOOL"),IFERROR(INDEX(Components!$G$4:$G$253,MATCH(F721,Components!$A$4:$A$253,0)),"")&lt;&gt;"",IFERROR(INDEX(Components!$G$4:$G$253,MATCH(F721,Components!$A$4:$A$253,0)),"")&lt;&gt;C721),"Component owned by another AIR-ID",IF(AND(M721="Confirmed",OR(IF(B721="UC",COUNTIFS('Use cases'!$A$4:$A$253,C721,'Use cases'!$I$4:$I$253,"Confirmed",'Use cases'!$J$4:$J$253,"OK — verify source"),IF(B721="CAP",COUNTIFS(Capabilities!$A$4:$A$253,C721,Capabilities!$J$4:$J$253,"Confirmed",Capabilities!$K$4:$K$253,"OK — verify source"),IF(B721="AIR",COUNTIFS('System map'!$A$4:$A$203,C721,'System map'!$B$4:$B$203,"&lt;&gt;",'System map'!$C$4:$C$203,"&lt;&gt;",'System map'!$D$4:$D$203,"&lt;&gt;"),COUNTIFS(Components!$A$4:$A$253,C721,Components!$B$4:$B$253,B721,Components!$K$4:$K$253,"Confirmed",Components!$L$4:$L$253,"OK — verify source"))))&lt;&gt;1,IF(E721="UC",COUNTIFS('Use cases'!$A$4:$A$253,F721,'Use cases'!$I$4:$I$253,"Confirmed",'Use cases'!$J$4:$J$253,"OK — verify source"),IF(E721="CAP",COUNTIFS(Capabilities!$A$4:$A$253,F721,Capabilities!$J$4:$J$253,"Confirmed",Capabilities!$K$4:$K$253,"OK — verify source"),IF(E721="AIR",COUNTIFS('System map'!$A$4:$A$203,F721,'System map'!$B$4:$B$203,"&lt;&gt;",'System map'!$C$4:$C$203,"&lt;&gt;",'System map'!$D$4:$D$203,"&lt;&gt;"),COUNTIFS(Components!$A$4:$A$253,F721,Components!$B$4:$B$253,E721,Components!$K$4:$K$253,"Confirmed",Components!$L$4:$L$253,"OK — verify source"))))&lt;&gt;1)),"Endpoint not source-reconciled",IF(AND(M721="Confirmed",OR(L721="",K721="",K721="Unknown",K721="Low")),"Confirmed link lacks verification","OK — verify source"))))))))))))))</f>
        <v/>
      </c>
    </row>
    <row r="722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6" t="n"/>
      <c r="M722" s="25" t="n"/>
      <c r="N722" s="25">
        <f>IF(COUNTA(A722:M722)=0,"",IF(OR(A722="",B722="",C722="",D722="",E722="",F722="",I722="",J722="",K722="",M722=""),"Required link detail missing",IF(COUNTIF($A$4:$A$1003,A722)&gt;1,"Duplicate Map Edge ID",IF(NOT(OR(AND(B722="UC",E722="CAP",D722="requires"),AND(B722="CAP",E722="AIR",D722="provided by"),AND(B722="AIR",OR(E722="MOD",E722="DATA",E722="IF",E722="AG",E722="TOOL"),D722="references"),AND(B722="AIR",E722="AIR",D722="depends on"))),"Invalid relationship",IF(AND(M722&lt;&gt;"Superseded",COUNTIFS($B$4:$B$1003,B722,$C$4:$C$1003,C722,$D$4:$D$1003,D722,$E$4:$E$1003,E722,$F$4:$F$1003,F722,$G$4:$G$1003,G722,$M$4:$M$1003,"&lt;&gt;Superseded")&gt;1),"Duplicate relationship",IF(OR(IF(B722="UC",COUNTIF('Use cases'!$A$4:$A$253,C722),IF(B722="CAP",COUNTIF(Capabilities!$A$4:$A$253,C722),IF(B722="AIR",COUNTIF('System map'!$A$4:$A$203,C722),COUNTIFS(Components!$A$4:$A$253,C722,Components!$B$4:$B$253,B722))))&lt;&gt;1,IF(E722="UC",COUNTIF('Use cases'!$A$4:$A$253,F722),IF(E722="CAP",COUNTIF(Capabilities!$A$4:$A$253,F722),IF(E722="AIR",COUNTIF('System map'!$A$4:$A$203,F722),COUNTIFS(Components!$A$4:$A$253,F722,Components!$B$4:$B$253,E722))))&lt;&gt;1),"Endpoint missing or duplicated",IF(AND(NOT(AND(B722="UC",E722="CAP")),OR(G722="",COUNTIF('System map'!$A$4:$A$203,G722)&lt;&gt;1)),"AIR context missing / unknown",IF(AND(B722="CAP",E722="AIR",G722&lt;&gt;F722),"AIR context mismatch",IF(AND(B722="AIR",G722&lt;&gt;C722),"AIR context mismatch",IF(AND(B722="AIR",E722="AIR",C722=F722),"Self-dependency",IF(AND(B722="AIR",E722="AIR",M722&lt;&gt;"Superseded",COUNTIFS($B$4:$B$1003,"AIR",$C$4:$C$1003,F722,$E$4:$E$1003,"AIR",$F$4:$F$1003,C722,$M$4:$M$1003,"&lt;&gt;Superseded")&gt;0),"Dependency cycle (A↔B) — review",IF(AND(B722="AIR",OR(E722="MOD",E722="DATA",E722="IF",E722="AG",E722="TOOL"),IFERROR(INDEX(Components!$G$4:$G$253,MATCH(F722,Components!$A$4:$A$253,0)),"")&lt;&gt;"",IFERROR(INDEX(Components!$G$4:$G$253,MATCH(F722,Components!$A$4:$A$253,0)),"")&lt;&gt;C722),"Component owned by another AIR-ID",IF(AND(M722="Confirmed",OR(IF(B722="UC",COUNTIFS('Use cases'!$A$4:$A$253,C722,'Use cases'!$I$4:$I$253,"Confirmed",'Use cases'!$J$4:$J$253,"OK — verify source"),IF(B722="CAP",COUNTIFS(Capabilities!$A$4:$A$253,C722,Capabilities!$J$4:$J$253,"Confirmed",Capabilities!$K$4:$K$253,"OK — verify source"),IF(B722="AIR",COUNTIFS('System map'!$A$4:$A$203,C722,'System map'!$B$4:$B$203,"&lt;&gt;",'System map'!$C$4:$C$203,"&lt;&gt;",'System map'!$D$4:$D$203,"&lt;&gt;"),COUNTIFS(Components!$A$4:$A$253,C722,Components!$B$4:$B$253,B722,Components!$K$4:$K$253,"Confirmed",Components!$L$4:$L$253,"OK — verify source"))))&lt;&gt;1,IF(E722="UC",COUNTIFS('Use cases'!$A$4:$A$253,F722,'Use cases'!$I$4:$I$253,"Confirmed",'Use cases'!$J$4:$J$253,"OK — verify source"),IF(E722="CAP",COUNTIFS(Capabilities!$A$4:$A$253,F722,Capabilities!$J$4:$J$253,"Confirmed",Capabilities!$K$4:$K$253,"OK — verify source"),IF(E722="AIR",COUNTIFS('System map'!$A$4:$A$203,F722,'System map'!$B$4:$B$203,"&lt;&gt;",'System map'!$C$4:$C$203,"&lt;&gt;",'System map'!$D$4:$D$203,"&lt;&gt;"),COUNTIFS(Components!$A$4:$A$253,F722,Components!$B$4:$B$253,E722,Components!$K$4:$K$253,"Confirmed",Components!$L$4:$L$253,"OK — verify source"))))&lt;&gt;1)),"Endpoint not source-reconciled",IF(AND(M722="Confirmed",OR(L722="",K722="",K722="Unknown",K722="Low")),"Confirmed link lacks verification","OK — verify source"))))))))))))))</f>
        <v/>
      </c>
    </row>
    <row r="723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8" t="n"/>
      <c r="M723" s="27" t="n"/>
      <c r="N723" s="27">
        <f>IF(COUNTA(A723:M723)=0,"",IF(OR(A723="",B723="",C723="",D723="",E723="",F723="",I723="",J723="",K723="",M723=""),"Required link detail missing",IF(COUNTIF($A$4:$A$1003,A723)&gt;1,"Duplicate Map Edge ID",IF(NOT(OR(AND(B723="UC",E723="CAP",D723="requires"),AND(B723="CAP",E723="AIR",D723="provided by"),AND(B723="AIR",OR(E723="MOD",E723="DATA",E723="IF",E723="AG",E723="TOOL"),D723="references"),AND(B723="AIR",E723="AIR",D723="depends on"))),"Invalid relationship",IF(AND(M723&lt;&gt;"Superseded",COUNTIFS($B$4:$B$1003,B723,$C$4:$C$1003,C723,$D$4:$D$1003,D723,$E$4:$E$1003,E723,$F$4:$F$1003,F723,$G$4:$G$1003,G723,$M$4:$M$1003,"&lt;&gt;Superseded")&gt;1),"Duplicate relationship",IF(OR(IF(B723="UC",COUNTIF('Use cases'!$A$4:$A$253,C723),IF(B723="CAP",COUNTIF(Capabilities!$A$4:$A$253,C723),IF(B723="AIR",COUNTIF('System map'!$A$4:$A$203,C723),COUNTIFS(Components!$A$4:$A$253,C723,Components!$B$4:$B$253,B723))))&lt;&gt;1,IF(E723="UC",COUNTIF('Use cases'!$A$4:$A$253,F723),IF(E723="CAP",COUNTIF(Capabilities!$A$4:$A$253,F723),IF(E723="AIR",COUNTIF('System map'!$A$4:$A$203,F723),COUNTIFS(Components!$A$4:$A$253,F723,Components!$B$4:$B$253,E723))))&lt;&gt;1),"Endpoint missing or duplicated",IF(AND(NOT(AND(B723="UC",E723="CAP")),OR(G723="",COUNTIF('System map'!$A$4:$A$203,G723)&lt;&gt;1)),"AIR context missing / unknown",IF(AND(B723="CAP",E723="AIR",G723&lt;&gt;F723),"AIR context mismatch",IF(AND(B723="AIR",G723&lt;&gt;C723),"AIR context mismatch",IF(AND(B723="AIR",E723="AIR",C723=F723),"Self-dependency",IF(AND(B723="AIR",E723="AIR",M723&lt;&gt;"Superseded",COUNTIFS($B$4:$B$1003,"AIR",$C$4:$C$1003,F723,$E$4:$E$1003,"AIR",$F$4:$F$1003,C723,$M$4:$M$1003,"&lt;&gt;Superseded")&gt;0),"Dependency cycle (A↔B) — review",IF(AND(B723="AIR",OR(E723="MOD",E723="DATA",E723="IF",E723="AG",E723="TOOL"),IFERROR(INDEX(Components!$G$4:$G$253,MATCH(F723,Components!$A$4:$A$253,0)),"")&lt;&gt;"",IFERROR(INDEX(Components!$G$4:$G$253,MATCH(F723,Components!$A$4:$A$253,0)),"")&lt;&gt;C723),"Component owned by another AIR-ID",IF(AND(M723="Confirmed",OR(IF(B723="UC",COUNTIFS('Use cases'!$A$4:$A$253,C723,'Use cases'!$I$4:$I$253,"Confirmed",'Use cases'!$J$4:$J$253,"OK — verify source"),IF(B723="CAP",COUNTIFS(Capabilities!$A$4:$A$253,C723,Capabilities!$J$4:$J$253,"Confirmed",Capabilities!$K$4:$K$253,"OK — verify source"),IF(B723="AIR",COUNTIFS('System map'!$A$4:$A$203,C723,'System map'!$B$4:$B$203,"&lt;&gt;",'System map'!$C$4:$C$203,"&lt;&gt;",'System map'!$D$4:$D$203,"&lt;&gt;"),COUNTIFS(Components!$A$4:$A$253,C723,Components!$B$4:$B$253,B723,Components!$K$4:$K$253,"Confirmed",Components!$L$4:$L$253,"OK — verify source"))))&lt;&gt;1,IF(E723="UC",COUNTIFS('Use cases'!$A$4:$A$253,F723,'Use cases'!$I$4:$I$253,"Confirmed",'Use cases'!$J$4:$J$253,"OK — verify source"),IF(E723="CAP",COUNTIFS(Capabilities!$A$4:$A$253,F723,Capabilities!$J$4:$J$253,"Confirmed",Capabilities!$K$4:$K$253,"OK — verify source"),IF(E723="AIR",COUNTIFS('System map'!$A$4:$A$203,F723,'System map'!$B$4:$B$203,"&lt;&gt;",'System map'!$C$4:$C$203,"&lt;&gt;",'System map'!$D$4:$D$203,"&lt;&gt;"),COUNTIFS(Components!$A$4:$A$253,F723,Components!$B$4:$B$253,E723,Components!$K$4:$K$253,"Confirmed",Components!$L$4:$L$253,"OK — verify source"))))&lt;&gt;1)),"Endpoint not source-reconciled",IF(AND(M723="Confirmed",OR(L723="",K723="",K723="Unknown",K723="Low")),"Confirmed link lacks verification","OK — verify source"))))))))))))))</f>
        <v/>
      </c>
    </row>
    <row r="72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6" t="n"/>
      <c r="M724" s="25" t="n"/>
      <c r="N724" s="25">
        <f>IF(COUNTA(A724:M724)=0,"",IF(OR(A724="",B724="",C724="",D724="",E724="",F724="",I724="",J724="",K724="",M724=""),"Required link detail missing",IF(COUNTIF($A$4:$A$1003,A724)&gt;1,"Duplicate Map Edge ID",IF(NOT(OR(AND(B724="UC",E724="CAP",D724="requires"),AND(B724="CAP",E724="AIR",D724="provided by"),AND(B724="AIR",OR(E724="MOD",E724="DATA",E724="IF",E724="AG",E724="TOOL"),D724="references"),AND(B724="AIR",E724="AIR",D724="depends on"))),"Invalid relationship",IF(AND(M724&lt;&gt;"Superseded",COUNTIFS($B$4:$B$1003,B724,$C$4:$C$1003,C724,$D$4:$D$1003,D724,$E$4:$E$1003,E724,$F$4:$F$1003,F724,$G$4:$G$1003,G724,$M$4:$M$1003,"&lt;&gt;Superseded")&gt;1),"Duplicate relationship",IF(OR(IF(B724="UC",COUNTIF('Use cases'!$A$4:$A$253,C724),IF(B724="CAP",COUNTIF(Capabilities!$A$4:$A$253,C724),IF(B724="AIR",COUNTIF('System map'!$A$4:$A$203,C724),COUNTIFS(Components!$A$4:$A$253,C724,Components!$B$4:$B$253,B724))))&lt;&gt;1,IF(E724="UC",COUNTIF('Use cases'!$A$4:$A$253,F724),IF(E724="CAP",COUNTIF(Capabilities!$A$4:$A$253,F724),IF(E724="AIR",COUNTIF('System map'!$A$4:$A$203,F724),COUNTIFS(Components!$A$4:$A$253,F724,Components!$B$4:$B$253,E724))))&lt;&gt;1),"Endpoint missing or duplicated",IF(AND(NOT(AND(B724="UC",E724="CAP")),OR(G724="",COUNTIF('System map'!$A$4:$A$203,G724)&lt;&gt;1)),"AIR context missing / unknown",IF(AND(B724="CAP",E724="AIR",G724&lt;&gt;F724),"AIR context mismatch",IF(AND(B724="AIR",G724&lt;&gt;C724),"AIR context mismatch",IF(AND(B724="AIR",E724="AIR",C724=F724),"Self-dependency",IF(AND(B724="AIR",E724="AIR",M724&lt;&gt;"Superseded",COUNTIFS($B$4:$B$1003,"AIR",$C$4:$C$1003,F724,$E$4:$E$1003,"AIR",$F$4:$F$1003,C724,$M$4:$M$1003,"&lt;&gt;Superseded")&gt;0),"Dependency cycle (A↔B) — review",IF(AND(B724="AIR",OR(E724="MOD",E724="DATA",E724="IF",E724="AG",E724="TOOL"),IFERROR(INDEX(Components!$G$4:$G$253,MATCH(F724,Components!$A$4:$A$253,0)),"")&lt;&gt;"",IFERROR(INDEX(Components!$G$4:$G$253,MATCH(F724,Components!$A$4:$A$253,0)),"")&lt;&gt;C724),"Component owned by another AIR-ID",IF(AND(M724="Confirmed",OR(IF(B724="UC",COUNTIFS('Use cases'!$A$4:$A$253,C724,'Use cases'!$I$4:$I$253,"Confirmed",'Use cases'!$J$4:$J$253,"OK — verify source"),IF(B724="CAP",COUNTIFS(Capabilities!$A$4:$A$253,C724,Capabilities!$J$4:$J$253,"Confirmed",Capabilities!$K$4:$K$253,"OK — verify source"),IF(B724="AIR",COUNTIFS('System map'!$A$4:$A$203,C724,'System map'!$B$4:$B$203,"&lt;&gt;",'System map'!$C$4:$C$203,"&lt;&gt;",'System map'!$D$4:$D$203,"&lt;&gt;"),COUNTIFS(Components!$A$4:$A$253,C724,Components!$B$4:$B$253,B724,Components!$K$4:$K$253,"Confirmed",Components!$L$4:$L$253,"OK — verify source"))))&lt;&gt;1,IF(E724="UC",COUNTIFS('Use cases'!$A$4:$A$253,F724,'Use cases'!$I$4:$I$253,"Confirmed",'Use cases'!$J$4:$J$253,"OK — verify source"),IF(E724="CAP",COUNTIFS(Capabilities!$A$4:$A$253,F724,Capabilities!$J$4:$J$253,"Confirmed",Capabilities!$K$4:$K$253,"OK — verify source"),IF(E724="AIR",COUNTIFS('System map'!$A$4:$A$203,F724,'System map'!$B$4:$B$203,"&lt;&gt;",'System map'!$C$4:$C$203,"&lt;&gt;",'System map'!$D$4:$D$203,"&lt;&gt;"),COUNTIFS(Components!$A$4:$A$253,F724,Components!$B$4:$B$253,E724,Components!$K$4:$K$253,"Confirmed",Components!$L$4:$L$253,"OK — verify source"))))&lt;&gt;1)),"Endpoint not source-reconciled",IF(AND(M724="Confirmed",OR(L724="",K724="",K724="Unknown",K724="Low")),"Confirmed link lacks verification","OK — verify source"))))))))))))))</f>
        <v/>
      </c>
    </row>
    <row r="725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8" t="n"/>
      <c r="M725" s="27" t="n"/>
      <c r="N725" s="27">
        <f>IF(COUNTA(A725:M725)=0,"",IF(OR(A725="",B725="",C725="",D725="",E725="",F725="",I725="",J725="",K725="",M725=""),"Required link detail missing",IF(COUNTIF($A$4:$A$1003,A725)&gt;1,"Duplicate Map Edge ID",IF(NOT(OR(AND(B725="UC",E725="CAP",D725="requires"),AND(B725="CAP",E725="AIR",D725="provided by"),AND(B725="AIR",OR(E725="MOD",E725="DATA",E725="IF",E725="AG",E725="TOOL"),D725="references"),AND(B725="AIR",E725="AIR",D725="depends on"))),"Invalid relationship",IF(AND(M725&lt;&gt;"Superseded",COUNTIFS($B$4:$B$1003,B725,$C$4:$C$1003,C725,$D$4:$D$1003,D725,$E$4:$E$1003,E725,$F$4:$F$1003,F725,$G$4:$G$1003,G725,$M$4:$M$1003,"&lt;&gt;Superseded")&gt;1),"Duplicate relationship",IF(OR(IF(B725="UC",COUNTIF('Use cases'!$A$4:$A$253,C725),IF(B725="CAP",COUNTIF(Capabilities!$A$4:$A$253,C725),IF(B725="AIR",COUNTIF('System map'!$A$4:$A$203,C725),COUNTIFS(Components!$A$4:$A$253,C725,Components!$B$4:$B$253,B725))))&lt;&gt;1,IF(E725="UC",COUNTIF('Use cases'!$A$4:$A$253,F725),IF(E725="CAP",COUNTIF(Capabilities!$A$4:$A$253,F725),IF(E725="AIR",COUNTIF('System map'!$A$4:$A$203,F725),COUNTIFS(Components!$A$4:$A$253,F725,Components!$B$4:$B$253,E725))))&lt;&gt;1),"Endpoint missing or duplicated",IF(AND(NOT(AND(B725="UC",E725="CAP")),OR(G725="",COUNTIF('System map'!$A$4:$A$203,G725)&lt;&gt;1)),"AIR context missing / unknown",IF(AND(B725="CAP",E725="AIR",G725&lt;&gt;F725),"AIR context mismatch",IF(AND(B725="AIR",G725&lt;&gt;C725),"AIR context mismatch",IF(AND(B725="AIR",E725="AIR",C725=F725),"Self-dependency",IF(AND(B725="AIR",E725="AIR",M725&lt;&gt;"Superseded",COUNTIFS($B$4:$B$1003,"AIR",$C$4:$C$1003,F725,$E$4:$E$1003,"AIR",$F$4:$F$1003,C725,$M$4:$M$1003,"&lt;&gt;Superseded")&gt;0),"Dependency cycle (A↔B) — review",IF(AND(B725="AIR",OR(E725="MOD",E725="DATA",E725="IF",E725="AG",E725="TOOL"),IFERROR(INDEX(Components!$G$4:$G$253,MATCH(F725,Components!$A$4:$A$253,0)),"")&lt;&gt;"",IFERROR(INDEX(Components!$G$4:$G$253,MATCH(F725,Components!$A$4:$A$253,0)),"")&lt;&gt;C725),"Component owned by another AIR-ID",IF(AND(M725="Confirmed",OR(IF(B725="UC",COUNTIFS('Use cases'!$A$4:$A$253,C725,'Use cases'!$I$4:$I$253,"Confirmed",'Use cases'!$J$4:$J$253,"OK — verify source"),IF(B725="CAP",COUNTIFS(Capabilities!$A$4:$A$253,C725,Capabilities!$J$4:$J$253,"Confirmed",Capabilities!$K$4:$K$253,"OK — verify source"),IF(B725="AIR",COUNTIFS('System map'!$A$4:$A$203,C725,'System map'!$B$4:$B$203,"&lt;&gt;",'System map'!$C$4:$C$203,"&lt;&gt;",'System map'!$D$4:$D$203,"&lt;&gt;"),COUNTIFS(Components!$A$4:$A$253,C725,Components!$B$4:$B$253,B725,Components!$K$4:$K$253,"Confirmed",Components!$L$4:$L$253,"OK — verify source"))))&lt;&gt;1,IF(E725="UC",COUNTIFS('Use cases'!$A$4:$A$253,F725,'Use cases'!$I$4:$I$253,"Confirmed",'Use cases'!$J$4:$J$253,"OK — verify source"),IF(E725="CAP",COUNTIFS(Capabilities!$A$4:$A$253,F725,Capabilities!$J$4:$J$253,"Confirmed",Capabilities!$K$4:$K$253,"OK — verify source"),IF(E725="AIR",COUNTIFS('System map'!$A$4:$A$203,F725,'System map'!$B$4:$B$203,"&lt;&gt;",'System map'!$C$4:$C$203,"&lt;&gt;",'System map'!$D$4:$D$203,"&lt;&gt;"),COUNTIFS(Components!$A$4:$A$253,F725,Components!$B$4:$B$253,E725,Components!$K$4:$K$253,"Confirmed",Components!$L$4:$L$253,"OK — verify source"))))&lt;&gt;1)),"Endpoint not source-reconciled",IF(AND(M725="Confirmed",OR(L725="",K725="",K725="Unknown",K725="Low")),"Confirmed link lacks verification","OK — verify source"))))))))))))))</f>
        <v/>
      </c>
    </row>
    <row r="726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6" t="n"/>
      <c r="M726" s="25" t="n"/>
      <c r="N726" s="25">
        <f>IF(COUNTA(A726:M726)=0,"",IF(OR(A726="",B726="",C726="",D726="",E726="",F726="",I726="",J726="",K726="",M726=""),"Required link detail missing",IF(COUNTIF($A$4:$A$1003,A726)&gt;1,"Duplicate Map Edge ID",IF(NOT(OR(AND(B726="UC",E726="CAP",D726="requires"),AND(B726="CAP",E726="AIR",D726="provided by"),AND(B726="AIR",OR(E726="MOD",E726="DATA",E726="IF",E726="AG",E726="TOOL"),D726="references"),AND(B726="AIR",E726="AIR",D726="depends on"))),"Invalid relationship",IF(AND(M726&lt;&gt;"Superseded",COUNTIFS($B$4:$B$1003,B726,$C$4:$C$1003,C726,$D$4:$D$1003,D726,$E$4:$E$1003,E726,$F$4:$F$1003,F726,$G$4:$G$1003,G726,$M$4:$M$1003,"&lt;&gt;Superseded")&gt;1),"Duplicate relationship",IF(OR(IF(B726="UC",COUNTIF('Use cases'!$A$4:$A$253,C726),IF(B726="CAP",COUNTIF(Capabilities!$A$4:$A$253,C726),IF(B726="AIR",COUNTIF('System map'!$A$4:$A$203,C726),COUNTIFS(Components!$A$4:$A$253,C726,Components!$B$4:$B$253,B726))))&lt;&gt;1,IF(E726="UC",COUNTIF('Use cases'!$A$4:$A$253,F726),IF(E726="CAP",COUNTIF(Capabilities!$A$4:$A$253,F726),IF(E726="AIR",COUNTIF('System map'!$A$4:$A$203,F726),COUNTIFS(Components!$A$4:$A$253,F726,Components!$B$4:$B$253,E726))))&lt;&gt;1),"Endpoint missing or duplicated",IF(AND(NOT(AND(B726="UC",E726="CAP")),OR(G726="",COUNTIF('System map'!$A$4:$A$203,G726)&lt;&gt;1)),"AIR context missing / unknown",IF(AND(B726="CAP",E726="AIR",G726&lt;&gt;F726),"AIR context mismatch",IF(AND(B726="AIR",G726&lt;&gt;C726),"AIR context mismatch",IF(AND(B726="AIR",E726="AIR",C726=F726),"Self-dependency",IF(AND(B726="AIR",E726="AIR",M726&lt;&gt;"Superseded",COUNTIFS($B$4:$B$1003,"AIR",$C$4:$C$1003,F726,$E$4:$E$1003,"AIR",$F$4:$F$1003,C726,$M$4:$M$1003,"&lt;&gt;Superseded")&gt;0),"Dependency cycle (A↔B) — review",IF(AND(B726="AIR",OR(E726="MOD",E726="DATA",E726="IF",E726="AG",E726="TOOL"),IFERROR(INDEX(Components!$G$4:$G$253,MATCH(F726,Components!$A$4:$A$253,0)),"")&lt;&gt;"",IFERROR(INDEX(Components!$G$4:$G$253,MATCH(F726,Components!$A$4:$A$253,0)),"")&lt;&gt;C726),"Component owned by another AIR-ID",IF(AND(M726="Confirmed",OR(IF(B726="UC",COUNTIFS('Use cases'!$A$4:$A$253,C726,'Use cases'!$I$4:$I$253,"Confirmed",'Use cases'!$J$4:$J$253,"OK — verify source"),IF(B726="CAP",COUNTIFS(Capabilities!$A$4:$A$253,C726,Capabilities!$J$4:$J$253,"Confirmed",Capabilities!$K$4:$K$253,"OK — verify source"),IF(B726="AIR",COUNTIFS('System map'!$A$4:$A$203,C726,'System map'!$B$4:$B$203,"&lt;&gt;",'System map'!$C$4:$C$203,"&lt;&gt;",'System map'!$D$4:$D$203,"&lt;&gt;"),COUNTIFS(Components!$A$4:$A$253,C726,Components!$B$4:$B$253,B726,Components!$K$4:$K$253,"Confirmed",Components!$L$4:$L$253,"OK — verify source"))))&lt;&gt;1,IF(E726="UC",COUNTIFS('Use cases'!$A$4:$A$253,F726,'Use cases'!$I$4:$I$253,"Confirmed",'Use cases'!$J$4:$J$253,"OK — verify source"),IF(E726="CAP",COUNTIFS(Capabilities!$A$4:$A$253,F726,Capabilities!$J$4:$J$253,"Confirmed",Capabilities!$K$4:$K$253,"OK — verify source"),IF(E726="AIR",COUNTIFS('System map'!$A$4:$A$203,F726,'System map'!$B$4:$B$203,"&lt;&gt;",'System map'!$C$4:$C$203,"&lt;&gt;",'System map'!$D$4:$D$203,"&lt;&gt;"),COUNTIFS(Components!$A$4:$A$253,F726,Components!$B$4:$B$253,E726,Components!$K$4:$K$253,"Confirmed",Components!$L$4:$L$253,"OK — verify source"))))&lt;&gt;1)),"Endpoint not source-reconciled",IF(AND(M726="Confirmed",OR(L726="",K726="",K726="Unknown",K726="Low")),"Confirmed link lacks verification","OK — verify source"))))))))))))))</f>
        <v/>
      </c>
    </row>
    <row r="727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8" t="n"/>
      <c r="M727" s="27" t="n"/>
      <c r="N727" s="27">
        <f>IF(COUNTA(A727:M727)=0,"",IF(OR(A727="",B727="",C727="",D727="",E727="",F727="",I727="",J727="",K727="",M727=""),"Required link detail missing",IF(COUNTIF($A$4:$A$1003,A727)&gt;1,"Duplicate Map Edge ID",IF(NOT(OR(AND(B727="UC",E727="CAP",D727="requires"),AND(B727="CAP",E727="AIR",D727="provided by"),AND(B727="AIR",OR(E727="MOD",E727="DATA",E727="IF",E727="AG",E727="TOOL"),D727="references"),AND(B727="AIR",E727="AIR",D727="depends on"))),"Invalid relationship",IF(AND(M727&lt;&gt;"Superseded",COUNTIFS($B$4:$B$1003,B727,$C$4:$C$1003,C727,$D$4:$D$1003,D727,$E$4:$E$1003,E727,$F$4:$F$1003,F727,$G$4:$G$1003,G727,$M$4:$M$1003,"&lt;&gt;Superseded")&gt;1),"Duplicate relationship",IF(OR(IF(B727="UC",COUNTIF('Use cases'!$A$4:$A$253,C727),IF(B727="CAP",COUNTIF(Capabilities!$A$4:$A$253,C727),IF(B727="AIR",COUNTIF('System map'!$A$4:$A$203,C727),COUNTIFS(Components!$A$4:$A$253,C727,Components!$B$4:$B$253,B727))))&lt;&gt;1,IF(E727="UC",COUNTIF('Use cases'!$A$4:$A$253,F727),IF(E727="CAP",COUNTIF(Capabilities!$A$4:$A$253,F727),IF(E727="AIR",COUNTIF('System map'!$A$4:$A$203,F727),COUNTIFS(Components!$A$4:$A$253,F727,Components!$B$4:$B$253,E727))))&lt;&gt;1),"Endpoint missing or duplicated",IF(AND(NOT(AND(B727="UC",E727="CAP")),OR(G727="",COUNTIF('System map'!$A$4:$A$203,G727)&lt;&gt;1)),"AIR context missing / unknown",IF(AND(B727="CAP",E727="AIR",G727&lt;&gt;F727),"AIR context mismatch",IF(AND(B727="AIR",G727&lt;&gt;C727),"AIR context mismatch",IF(AND(B727="AIR",E727="AIR",C727=F727),"Self-dependency",IF(AND(B727="AIR",E727="AIR",M727&lt;&gt;"Superseded",COUNTIFS($B$4:$B$1003,"AIR",$C$4:$C$1003,F727,$E$4:$E$1003,"AIR",$F$4:$F$1003,C727,$M$4:$M$1003,"&lt;&gt;Superseded")&gt;0),"Dependency cycle (A↔B) — review",IF(AND(B727="AIR",OR(E727="MOD",E727="DATA",E727="IF",E727="AG",E727="TOOL"),IFERROR(INDEX(Components!$G$4:$G$253,MATCH(F727,Components!$A$4:$A$253,0)),"")&lt;&gt;"",IFERROR(INDEX(Components!$G$4:$G$253,MATCH(F727,Components!$A$4:$A$253,0)),"")&lt;&gt;C727),"Component owned by another AIR-ID",IF(AND(M727="Confirmed",OR(IF(B727="UC",COUNTIFS('Use cases'!$A$4:$A$253,C727,'Use cases'!$I$4:$I$253,"Confirmed",'Use cases'!$J$4:$J$253,"OK — verify source"),IF(B727="CAP",COUNTIFS(Capabilities!$A$4:$A$253,C727,Capabilities!$J$4:$J$253,"Confirmed",Capabilities!$K$4:$K$253,"OK — verify source"),IF(B727="AIR",COUNTIFS('System map'!$A$4:$A$203,C727,'System map'!$B$4:$B$203,"&lt;&gt;",'System map'!$C$4:$C$203,"&lt;&gt;",'System map'!$D$4:$D$203,"&lt;&gt;"),COUNTIFS(Components!$A$4:$A$253,C727,Components!$B$4:$B$253,B727,Components!$K$4:$K$253,"Confirmed",Components!$L$4:$L$253,"OK — verify source"))))&lt;&gt;1,IF(E727="UC",COUNTIFS('Use cases'!$A$4:$A$253,F727,'Use cases'!$I$4:$I$253,"Confirmed",'Use cases'!$J$4:$J$253,"OK — verify source"),IF(E727="CAP",COUNTIFS(Capabilities!$A$4:$A$253,F727,Capabilities!$J$4:$J$253,"Confirmed",Capabilities!$K$4:$K$253,"OK — verify source"),IF(E727="AIR",COUNTIFS('System map'!$A$4:$A$203,F727,'System map'!$B$4:$B$203,"&lt;&gt;",'System map'!$C$4:$C$203,"&lt;&gt;",'System map'!$D$4:$D$203,"&lt;&gt;"),COUNTIFS(Components!$A$4:$A$253,F727,Components!$B$4:$B$253,E727,Components!$K$4:$K$253,"Confirmed",Components!$L$4:$L$253,"OK — verify source"))))&lt;&gt;1)),"Endpoint not source-reconciled",IF(AND(M727="Confirmed",OR(L727="",K727="",K727="Unknown",K727="Low")),"Confirmed link lacks verification","OK — verify source"))))))))))))))</f>
        <v/>
      </c>
    </row>
    <row r="728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6" t="n"/>
      <c r="M728" s="25" t="n"/>
      <c r="N728" s="25">
        <f>IF(COUNTA(A728:M728)=0,"",IF(OR(A728="",B728="",C728="",D728="",E728="",F728="",I728="",J728="",K728="",M728=""),"Required link detail missing",IF(COUNTIF($A$4:$A$1003,A728)&gt;1,"Duplicate Map Edge ID",IF(NOT(OR(AND(B728="UC",E728="CAP",D728="requires"),AND(B728="CAP",E728="AIR",D728="provided by"),AND(B728="AIR",OR(E728="MOD",E728="DATA",E728="IF",E728="AG",E728="TOOL"),D728="references"),AND(B728="AIR",E728="AIR",D728="depends on"))),"Invalid relationship",IF(AND(M728&lt;&gt;"Superseded",COUNTIFS($B$4:$B$1003,B728,$C$4:$C$1003,C728,$D$4:$D$1003,D728,$E$4:$E$1003,E728,$F$4:$F$1003,F728,$G$4:$G$1003,G728,$M$4:$M$1003,"&lt;&gt;Superseded")&gt;1),"Duplicate relationship",IF(OR(IF(B728="UC",COUNTIF('Use cases'!$A$4:$A$253,C728),IF(B728="CAP",COUNTIF(Capabilities!$A$4:$A$253,C728),IF(B728="AIR",COUNTIF('System map'!$A$4:$A$203,C728),COUNTIFS(Components!$A$4:$A$253,C728,Components!$B$4:$B$253,B728))))&lt;&gt;1,IF(E728="UC",COUNTIF('Use cases'!$A$4:$A$253,F728),IF(E728="CAP",COUNTIF(Capabilities!$A$4:$A$253,F728),IF(E728="AIR",COUNTIF('System map'!$A$4:$A$203,F728),COUNTIFS(Components!$A$4:$A$253,F728,Components!$B$4:$B$253,E728))))&lt;&gt;1),"Endpoint missing or duplicated",IF(AND(NOT(AND(B728="UC",E728="CAP")),OR(G728="",COUNTIF('System map'!$A$4:$A$203,G728)&lt;&gt;1)),"AIR context missing / unknown",IF(AND(B728="CAP",E728="AIR",G728&lt;&gt;F728),"AIR context mismatch",IF(AND(B728="AIR",G728&lt;&gt;C728),"AIR context mismatch",IF(AND(B728="AIR",E728="AIR",C728=F728),"Self-dependency",IF(AND(B728="AIR",E728="AIR",M728&lt;&gt;"Superseded",COUNTIFS($B$4:$B$1003,"AIR",$C$4:$C$1003,F728,$E$4:$E$1003,"AIR",$F$4:$F$1003,C728,$M$4:$M$1003,"&lt;&gt;Superseded")&gt;0),"Dependency cycle (A↔B) — review",IF(AND(B728="AIR",OR(E728="MOD",E728="DATA",E728="IF",E728="AG",E728="TOOL"),IFERROR(INDEX(Components!$G$4:$G$253,MATCH(F728,Components!$A$4:$A$253,0)),"")&lt;&gt;"",IFERROR(INDEX(Components!$G$4:$G$253,MATCH(F728,Components!$A$4:$A$253,0)),"")&lt;&gt;C728),"Component owned by another AIR-ID",IF(AND(M728="Confirmed",OR(IF(B728="UC",COUNTIFS('Use cases'!$A$4:$A$253,C728,'Use cases'!$I$4:$I$253,"Confirmed",'Use cases'!$J$4:$J$253,"OK — verify source"),IF(B728="CAP",COUNTIFS(Capabilities!$A$4:$A$253,C728,Capabilities!$J$4:$J$253,"Confirmed",Capabilities!$K$4:$K$253,"OK — verify source"),IF(B728="AIR",COUNTIFS('System map'!$A$4:$A$203,C728,'System map'!$B$4:$B$203,"&lt;&gt;",'System map'!$C$4:$C$203,"&lt;&gt;",'System map'!$D$4:$D$203,"&lt;&gt;"),COUNTIFS(Components!$A$4:$A$253,C728,Components!$B$4:$B$253,B728,Components!$K$4:$K$253,"Confirmed",Components!$L$4:$L$253,"OK — verify source"))))&lt;&gt;1,IF(E728="UC",COUNTIFS('Use cases'!$A$4:$A$253,F728,'Use cases'!$I$4:$I$253,"Confirmed",'Use cases'!$J$4:$J$253,"OK — verify source"),IF(E728="CAP",COUNTIFS(Capabilities!$A$4:$A$253,F728,Capabilities!$J$4:$J$253,"Confirmed",Capabilities!$K$4:$K$253,"OK — verify source"),IF(E728="AIR",COUNTIFS('System map'!$A$4:$A$203,F728,'System map'!$B$4:$B$203,"&lt;&gt;",'System map'!$C$4:$C$203,"&lt;&gt;",'System map'!$D$4:$D$203,"&lt;&gt;"),COUNTIFS(Components!$A$4:$A$253,F728,Components!$B$4:$B$253,E728,Components!$K$4:$K$253,"Confirmed",Components!$L$4:$L$253,"OK — verify source"))))&lt;&gt;1)),"Endpoint not source-reconciled",IF(AND(M728="Confirmed",OR(L728="",K728="",K728="Unknown",K728="Low")),"Confirmed link lacks verification","OK — verify source"))))))))))))))</f>
        <v/>
      </c>
    </row>
    <row r="729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8" t="n"/>
      <c r="M729" s="27" t="n"/>
      <c r="N729" s="27">
        <f>IF(COUNTA(A729:M729)=0,"",IF(OR(A729="",B729="",C729="",D729="",E729="",F729="",I729="",J729="",K729="",M729=""),"Required link detail missing",IF(COUNTIF($A$4:$A$1003,A729)&gt;1,"Duplicate Map Edge ID",IF(NOT(OR(AND(B729="UC",E729="CAP",D729="requires"),AND(B729="CAP",E729="AIR",D729="provided by"),AND(B729="AIR",OR(E729="MOD",E729="DATA",E729="IF",E729="AG",E729="TOOL"),D729="references"),AND(B729="AIR",E729="AIR",D729="depends on"))),"Invalid relationship",IF(AND(M729&lt;&gt;"Superseded",COUNTIFS($B$4:$B$1003,B729,$C$4:$C$1003,C729,$D$4:$D$1003,D729,$E$4:$E$1003,E729,$F$4:$F$1003,F729,$G$4:$G$1003,G729,$M$4:$M$1003,"&lt;&gt;Superseded")&gt;1),"Duplicate relationship",IF(OR(IF(B729="UC",COUNTIF('Use cases'!$A$4:$A$253,C729),IF(B729="CAP",COUNTIF(Capabilities!$A$4:$A$253,C729),IF(B729="AIR",COUNTIF('System map'!$A$4:$A$203,C729),COUNTIFS(Components!$A$4:$A$253,C729,Components!$B$4:$B$253,B729))))&lt;&gt;1,IF(E729="UC",COUNTIF('Use cases'!$A$4:$A$253,F729),IF(E729="CAP",COUNTIF(Capabilities!$A$4:$A$253,F729),IF(E729="AIR",COUNTIF('System map'!$A$4:$A$203,F729),COUNTIFS(Components!$A$4:$A$253,F729,Components!$B$4:$B$253,E729))))&lt;&gt;1),"Endpoint missing or duplicated",IF(AND(NOT(AND(B729="UC",E729="CAP")),OR(G729="",COUNTIF('System map'!$A$4:$A$203,G729)&lt;&gt;1)),"AIR context missing / unknown",IF(AND(B729="CAP",E729="AIR",G729&lt;&gt;F729),"AIR context mismatch",IF(AND(B729="AIR",G729&lt;&gt;C729),"AIR context mismatch",IF(AND(B729="AIR",E729="AIR",C729=F729),"Self-dependency",IF(AND(B729="AIR",E729="AIR",M729&lt;&gt;"Superseded",COUNTIFS($B$4:$B$1003,"AIR",$C$4:$C$1003,F729,$E$4:$E$1003,"AIR",$F$4:$F$1003,C729,$M$4:$M$1003,"&lt;&gt;Superseded")&gt;0),"Dependency cycle (A↔B) — review",IF(AND(B729="AIR",OR(E729="MOD",E729="DATA",E729="IF",E729="AG",E729="TOOL"),IFERROR(INDEX(Components!$G$4:$G$253,MATCH(F729,Components!$A$4:$A$253,0)),"")&lt;&gt;"",IFERROR(INDEX(Components!$G$4:$G$253,MATCH(F729,Components!$A$4:$A$253,0)),"")&lt;&gt;C729),"Component owned by another AIR-ID",IF(AND(M729="Confirmed",OR(IF(B729="UC",COUNTIFS('Use cases'!$A$4:$A$253,C729,'Use cases'!$I$4:$I$253,"Confirmed",'Use cases'!$J$4:$J$253,"OK — verify source"),IF(B729="CAP",COUNTIFS(Capabilities!$A$4:$A$253,C729,Capabilities!$J$4:$J$253,"Confirmed",Capabilities!$K$4:$K$253,"OK — verify source"),IF(B729="AIR",COUNTIFS('System map'!$A$4:$A$203,C729,'System map'!$B$4:$B$203,"&lt;&gt;",'System map'!$C$4:$C$203,"&lt;&gt;",'System map'!$D$4:$D$203,"&lt;&gt;"),COUNTIFS(Components!$A$4:$A$253,C729,Components!$B$4:$B$253,B729,Components!$K$4:$K$253,"Confirmed",Components!$L$4:$L$253,"OK — verify source"))))&lt;&gt;1,IF(E729="UC",COUNTIFS('Use cases'!$A$4:$A$253,F729,'Use cases'!$I$4:$I$253,"Confirmed",'Use cases'!$J$4:$J$253,"OK — verify source"),IF(E729="CAP",COUNTIFS(Capabilities!$A$4:$A$253,F729,Capabilities!$J$4:$J$253,"Confirmed",Capabilities!$K$4:$K$253,"OK — verify source"),IF(E729="AIR",COUNTIFS('System map'!$A$4:$A$203,F729,'System map'!$B$4:$B$203,"&lt;&gt;",'System map'!$C$4:$C$203,"&lt;&gt;",'System map'!$D$4:$D$203,"&lt;&gt;"),COUNTIFS(Components!$A$4:$A$253,F729,Components!$B$4:$B$253,E729,Components!$K$4:$K$253,"Confirmed",Components!$L$4:$L$253,"OK — verify source"))))&lt;&gt;1)),"Endpoint not source-reconciled",IF(AND(M729="Confirmed",OR(L729="",K729="",K729="Unknown",K729="Low")),"Confirmed link lacks verification","OK — verify source"))))))))))))))</f>
        <v/>
      </c>
    </row>
    <row r="730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6" t="n"/>
      <c r="M730" s="25" t="n"/>
      <c r="N730" s="25">
        <f>IF(COUNTA(A730:M730)=0,"",IF(OR(A730="",B730="",C730="",D730="",E730="",F730="",I730="",J730="",K730="",M730=""),"Required link detail missing",IF(COUNTIF($A$4:$A$1003,A730)&gt;1,"Duplicate Map Edge ID",IF(NOT(OR(AND(B730="UC",E730="CAP",D730="requires"),AND(B730="CAP",E730="AIR",D730="provided by"),AND(B730="AIR",OR(E730="MOD",E730="DATA",E730="IF",E730="AG",E730="TOOL"),D730="references"),AND(B730="AIR",E730="AIR",D730="depends on"))),"Invalid relationship",IF(AND(M730&lt;&gt;"Superseded",COUNTIFS($B$4:$B$1003,B730,$C$4:$C$1003,C730,$D$4:$D$1003,D730,$E$4:$E$1003,E730,$F$4:$F$1003,F730,$G$4:$G$1003,G730,$M$4:$M$1003,"&lt;&gt;Superseded")&gt;1),"Duplicate relationship",IF(OR(IF(B730="UC",COUNTIF('Use cases'!$A$4:$A$253,C730),IF(B730="CAP",COUNTIF(Capabilities!$A$4:$A$253,C730),IF(B730="AIR",COUNTIF('System map'!$A$4:$A$203,C730),COUNTIFS(Components!$A$4:$A$253,C730,Components!$B$4:$B$253,B730))))&lt;&gt;1,IF(E730="UC",COUNTIF('Use cases'!$A$4:$A$253,F730),IF(E730="CAP",COUNTIF(Capabilities!$A$4:$A$253,F730),IF(E730="AIR",COUNTIF('System map'!$A$4:$A$203,F730),COUNTIFS(Components!$A$4:$A$253,F730,Components!$B$4:$B$253,E730))))&lt;&gt;1),"Endpoint missing or duplicated",IF(AND(NOT(AND(B730="UC",E730="CAP")),OR(G730="",COUNTIF('System map'!$A$4:$A$203,G730)&lt;&gt;1)),"AIR context missing / unknown",IF(AND(B730="CAP",E730="AIR",G730&lt;&gt;F730),"AIR context mismatch",IF(AND(B730="AIR",G730&lt;&gt;C730),"AIR context mismatch",IF(AND(B730="AIR",E730="AIR",C730=F730),"Self-dependency",IF(AND(B730="AIR",E730="AIR",M730&lt;&gt;"Superseded",COUNTIFS($B$4:$B$1003,"AIR",$C$4:$C$1003,F730,$E$4:$E$1003,"AIR",$F$4:$F$1003,C730,$M$4:$M$1003,"&lt;&gt;Superseded")&gt;0),"Dependency cycle (A↔B) — review",IF(AND(B730="AIR",OR(E730="MOD",E730="DATA",E730="IF",E730="AG",E730="TOOL"),IFERROR(INDEX(Components!$G$4:$G$253,MATCH(F730,Components!$A$4:$A$253,0)),"")&lt;&gt;"",IFERROR(INDEX(Components!$G$4:$G$253,MATCH(F730,Components!$A$4:$A$253,0)),"")&lt;&gt;C730),"Component owned by another AIR-ID",IF(AND(M730="Confirmed",OR(IF(B730="UC",COUNTIFS('Use cases'!$A$4:$A$253,C730,'Use cases'!$I$4:$I$253,"Confirmed",'Use cases'!$J$4:$J$253,"OK — verify source"),IF(B730="CAP",COUNTIFS(Capabilities!$A$4:$A$253,C730,Capabilities!$J$4:$J$253,"Confirmed",Capabilities!$K$4:$K$253,"OK — verify source"),IF(B730="AIR",COUNTIFS('System map'!$A$4:$A$203,C730,'System map'!$B$4:$B$203,"&lt;&gt;",'System map'!$C$4:$C$203,"&lt;&gt;",'System map'!$D$4:$D$203,"&lt;&gt;"),COUNTIFS(Components!$A$4:$A$253,C730,Components!$B$4:$B$253,B730,Components!$K$4:$K$253,"Confirmed",Components!$L$4:$L$253,"OK — verify source"))))&lt;&gt;1,IF(E730="UC",COUNTIFS('Use cases'!$A$4:$A$253,F730,'Use cases'!$I$4:$I$253,"Confirmed",'Use cases'!$J$4:$J$253,"OK — verify source"),IF(E730="CAP",COUNTIFS(Capabilities!$A$4:$A$253,F730,Capabilities!$J$4:$J$253,"Confirmed",Capabilities!$K$4:$K$253,"OK — verify source"),IF(E730="AIR",COUNTIFS('System map'!$A$4:$A$203,F730,'System map'!$B$4:$B$203,"&lt;&gt;",'System map'!$C$4:$C$203,"&lt;&gt;",'System map'!$D$4:$D$203,"&lt;&gt;"),COUNTIFS(Components!$A$4:$A$253,F730,Components!$B$4:$B$253,E730,Components!$K$4:$K$253,"Confirmed",Components!$L$4:$L$253,"OK — verify source"))))&lt;&gt;1)),"Endpoint not source-reconciled",IF(AND(M730="Confirmed",OR(L730="",K730="",K730="Unknown",K730="Low")),"Confirmed link lacks verification","OK — verify source"))))))))))))))</f>
        <v/>
      </c>
    </row>
    <row r="731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8" t="n"/>
      <c r="M731" s="27" t="n"/>
      <c r="N731" s="27">
        <f>IF(COUNTA(A731:M731)=0,"",IF(OR(A731="",B731="",C731="",D731="",E731="",F731="",I731="",J731="",K731="",M731=""),"Required link detail missing",IF(COUNTIF($A$4:$A$1003,A731)&gt;1,"Duplicate Map Edge ID",IF(NOT(OR(AND(B731="UC",E731="CAP",D731="requires"),AND(B731="CAP",E731="AIR",D731="provided by"),AND(B731="AIR",OR(E731="MOD",E731="DATA",E731="IF",E731="AG",E731="TOOL"),D731="references"),AND(B731="AIR",E731="AIR",D731="depends on"))),"Invalid relationship",IF(AND(M731&lt;&gt;"Superseded",COUNTIFS($B$4:$B$1003,B731,$C$4:$C$1003,C731,$D$4:$D$1003,D731,$E$4:$E$1003,E731,$F$4:$F$1003,F731,$G$4:$G$1003,G731,$M$4:$M$1003,"&lt;&gt;Superseded")&gt;1),"Duplicate relationship",IF(OR(IF(B731="UC",COUNTIF('Use cases'!$A$4:$A$253,C731),IF(B731="CAP",COUNTIF(Capabilities!$A$4:$A$253,C731),IF(B731="AIR",COUNTIF('System map'!$A$4:$A$203,C731),COUNTIFS(Components!$A$4:$A$253,C731,Components!$B$4:$B$253,B731))))&lt;&gt;1,IF(E731="UC",COUNTIF('Use cases'!$A$4:$A$253,F731),IF(E731="CAP",COUNTIF(Capabilities!$A$4:$A$253,F731),IF(E731="AIR",COUNTIF('System map'!$A$4:$A$203,F731),COUNTIFS(Components!$A$4:$A$253,F731,Components!$B$4:$B$253,E731))))&lt;&gt;1),"Endpoint missing or duplicated",IF(AND(NOT(AND(B731="UC",E731="CAP")),OR(G731="",COUNTIF('System map'!$A$4:$A$203,G731)&lt;&gt;1)),"AIR context missing / unknown",IF(AND(B731="CAP",E731="AIR",G731&lt;&gt;F731),"AIR context mismatch",IF(AND(B731="AIR",G731&lt;&gt;C731),"AIR context mismatch",IF(AND(B731="AIR",E731="AIR",C731=F731),"Self-dependency",IF(AND(B731="AIR",E731="AIR",M731&lt;&gt;"Superseded",COUNTIFS($B$4:$B$1003,"AIR",$C$4:$C$1003,F731,$E$4:$E$1003,"AIR",$F$4:$F$1003,C731,$M$4:$M$1003,"&lt;&gt;Superseded")&gt;0),"Dependency cycle (A↔B) — review",IF(AND(B731="AIR",OR(E731="MOD",E731="DATA",E731="IF",E731="AG",E731="TOOL"),IFERROR(INDEX(Components!$G$4:$G$253,MATCH(F731,Components!$A$4:$A$253,0)),"")&lt;&gt;"",IFERROR(INDEX(Components!$G$4:$G$253,MATCH(F731,Components!$A$4:$A$253,0)),"")&lt;&gt;C731),"Component owned by another AIR-ID",IF(AND(M731="Confirmed",OR(IF(B731="UC",COUNTIFS('Use cases'!$A$4:$A$253,C731,'Use cases'!$I$4:$I$253,"Confirmed",'Use cases'!$J$4:$J$253,"OK — verify source"),IF(B731="CAP",COUNTIFS(Capabilities!$A$4:$A$253,C731,Capabilities!$J$4:$J$253,"Confirmed",Capabilities!$K$4:$K$253,"OK — verify source"),IF(B731="AIR",COUNTIFS('System map'!$A$4:$A$203,C731,'System map'!$B$4:$B$203,"&lt;&gt;",'System map'!$C$4:$C$203,"&lt;&gt;",'System map'!$D$4:$D$203,"&lt;&gt;"),COUNTIFS(Components!$A$4:$A$253,C731,Components!$B$4:$B$253,B731,Components!$K$4:$K$253,"Confirmed",Components!$L$4:$L$253,"OK — verify source"))))&lt;&gt;1,IF(E731="UC",COUNTIFS('Use cases'!$A$4:$A$253,F731,'Use cases'!$I$4:$I$253,"Confirmed",'Use cases'!$J$4:$J$253,"OK — verify source"),IF(E731="CAP",COUNTIFS(Capabilities!$A$4:$A$253,F731,Capabilities!$J$4:$J$253,"Confirmed",Capabilities!$K$4:$K$253,"OK — verify source"),IF(E731="AIR",COUNTIFS('System map'!$A$4:$A$203,F731,'System map'!$B$4:$B$203,"&lt;&gt;",'System map'!$C$4:$C$203,"&lt;&gt;",'System map'!$D$4:$D$203,"&lt;&gt;"),COUNTIFS(Components!$A$4:$A$253,F731,Components!$B$4:$B$253,E731,Components!$K$4:$K$253,"Confirmed",Components!$L$4:$L$253,"OK — verify source"))))&lt;&gt;1)),"Endpoint not source-reconciled",IF(AND(M731="Confirmed",OR(L731="",K731="",K731="Unknown",K731="Low")),"Confirmed link lacks verification","OK — verify source"))))))))))))))</f>
        <v/>
      </c>
    </row>
    <row r="732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6" t="n"/>
      <c r="M732" s="25" t="n"/>
      <c r="N732" s="25">
        <f>IF(COUNTA(A732:M732)=0,"",IF(OR(A732="",B732="",C732="",D732="",E732="",F732="",I732="",J732="",K732="",M732=""),"Required link detail missing",IF(COUNTIF($A$4:$A$1003,A732)&gt;1,"Duplicate Map Edge ID",IF(NOT(OR(AND(B732="UC",E732="CAP",D732="requires"),AND(B732="CAP",E732="AIR",D732="provided by"),AND(B732="AIR",OR(E732="MOD",E732="DATA",E732="IF",E732="AG",E732="TOOL"),D732="references"),AND(B732="AIR",E732="AIR",D732="depends on"))),"Invalid relationship",IF(AND(M732&lt;&gt;"Superseded",COUNTIFS($B$4:$B$1003,B732,$C$4:$C$1003,C732,$D$4:$D$1003,D732,$E$4:$E$1003,E732,$F$4:$F$1003,F732,$G$4:$G$1003,G732,$M$4:$M$1003,"&lt;&gt;Superseded")&gt;1),"Duplicate relationship",IF(OR(IF(B732="UC",COUNTIF('Use cases'!$A$4:$A$253,C732),IF(B732="CAP",COUNTIF(Capabilities!$A$4:$A$253,C732),IF(B732="AIR",COUNTIF('System map'!$A$4:$A$203,C732),COUNTIFS(Components!$A$4:$A$253,C732,Components!$B$4:$B$253,B732))))&lt;&gt;1,IF(E732="UC",COUNTIF('Use cases'!$A$4:$A$253,F732),IF(E732="CAP",COUNTIF(Capabilities!$A$4:$A$253,F732),IF(E732="AIR",COUNTIF('System map'!$A$4:$A$203,F732),COUNTIFS(Components!$A$4:$A$253,F732,Components!$B$4:$B$253,E732))))&lt;&gt;1),"Endpoint missing or duplicated",IF(AND(NOT(AND(B732="UC",E732="CAP")),OR(G732="",COUNTIF('System map'!$A$4:$A$203,G732)&lt;&gt;1)),"AIR context missing / unknown",IF(AND(B732="CAP",E732="AIR",G732&lt;&gt;F732),"AIR context mismatch",IF(AND(B732="AIR",G732&lt;&gt;C732),"AIR context mismatch",IF(AND(B732="AIR",E732="AIR",C732=F732),"Self-dependency",IF(AND(B732="AIR",E732="AIR",M732&lt;&gt;"Superseded",COUNTIFS($B$4:$B$1003,"AIR",$C$4:$C$1003,F732,$E$4:$E$1003,"AIR",$F$4:$F$1003,C732,$M$4:$M$1003,"&lt;&gt;Superseded")&gt;0),"Dependency cycle (A↔B) — review",IF(AND(B732="AIR",OR(E732="MOD",E732="DATA",E732="IF",E732="AG",E732="TOOL"),IFERROR(INDEX(Components!$G$4:$G$253,MATCH(F732,Components!$A$4:$A$253,0)),"")&lt;&gt;"",IFERROR(INDEX(Components!$G$4:$G$253,MATCH(F732,Components!$A$4:$A$253,0)),"")&lt;&gt;C732),"Component owned by another AIR-ID",IF(AND(M732="Confirmed",OR(IF(B732="UC",COUNTIFS('Use cases'!$A$4:$A$253,C732,'Use cases'!$I$4:$I$253,"Confirmed",'Use cases'!$J$4:$J$253,"OK — verify source"),IF(B732="CAP",COUNTIFS(Capabilities!$A$4:$A$253,C732,Capabilities!$J$4:$J$253,"Confirmed",Capabilities!$K$4:$K$253,"OK — verify source"),IF(B732="AIR",COUNTIFS('System map'!$A$4:$A$203,C732,'System map'!$B$4:$B$203,"&lt;&gt;",'System map'!$C$4:$C$203,"&lt;&gt;",'System map'!$D$4:$D$203,"&lt;&gt;"),COUNTIFS(Components!$A$4:$A$253,C732,Components!$B$4:$B$253,B732,Components!$K$4:$K$253,"Confirmed",Components!$L$4:$L$253,"OK — verify source"))))&lt;&gt;1,IF(E732="UC",COUNTIFS('Use cases'!$A$4:$A$253,F732,'Use cases'!$I$4:$I$253,"Confirmed",'Use cases'!$J$4:$J$253,"OK — verify source"),IF(E732="CAP",COUNTIFS(Capabilities!$A$4:$A$253,F732,Capabilities!$J$4:$J$253,"Confirmed",Capabilities!$K$4:$K$253,"OK — verify source"),IF(E732="AIR",COUNTIFS('System map'!$A$4:$A$203,F732,'System map'!$B$4:$B$203,"&lt;&gt;",'System map'!$C$4:$C$203,"&lt;&gt;",'System map'!$D$4:$D$203,"&lt;&gt;"),COUNTIFS(Components!$A$4:$A$253,F732,Components!$B$4:$B$253,E732,Components!$K$4:$K$253,"Confirmed",Components!$L$4:$L$253,"OK — verify source"))))&lt;&gt;1)),"Endpoint not source-reconciled",IF(AND(M732="Confirmed",OR(L732="",K732="",K732="Unknown",K732="Low")),"Confirmed link lacks verification","OK — verify source"))))))))))))))</f>
        <v/>
      </c>
    </row>
    <row r="733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8" t="n"/>
      <c r="M733" s="27" t="n"/>
      <c r="N733" s="27">
        <f>IF(COUNTA(A733:M733)=0,"",IF(OR(A733="",B733="",C733="",D733="",E733="",F733="",I733="",J733="",K733="",M733=""),"Required link detail missing",IF(COUNTIF($A$4:$A$1003,A733)&gt;1,"Duplicate Map Edge ID",IF(NOT(OR(AND(B733="UC",E733="CAP",D733="requires"),AND(B733="CAP",E733="AIR",D733="provided by"),AND(B733="AIR",OR(E733="MOD",E733="DATA",E733="IF",E733="AG",E733="TOOL"),D733="references"),AND(B733="AIR",E733="AIR",D733="depends on"))),"Invalid relationship",IF(AND(M733&lt;&gt;"Superseded",COUNTIFS($B$4:$B$1003,B733,$C$4:$C$1003,C733,$D$4:$D$1003,D733,$E$4:$E$1003,E733,$F$4:$F$1003,F733,$G$4:$G$1003,G733,$M$4:$M$1003,"&lt;&gt;Superseded")&gt;1),"Duplicate relationship",IF(OR(IF(B733="UC",COUNTIF('Use cases'!$A$4:$A$253,C733),IF(B733="CAP",COUNTIF(Capabilities!$A$4:$A$253,C733),IF(B733="AIR",COUNTIF('System map'!$A$4:$A$203,C733),COUNTIFS(Components!$A$4:$A$253,C733,Components!$B$4:$B$253,B733))))&lt;&gt;1,IF(E733="UC",COUNTIF('Use cases'!$A$4:$A$253,F733),IF(E733="CAP",COUNTIF(Capabilities!$A$4:$A$253,F733),IF(E733="AIR",COUNTIF('System map'!$A$4:$A$203,F733),COUNTIFS(Components!$A$4:$A$253,F733,Components!$B$4:$B$253,E733))))&lt;&gt;1),"Endpoint missing or duplicated",IF(AND(NOT(AND(B733="UC",E733="CAP")),OR(G733="",COUNTIF('System map'!$A$4:$A$203,G733)&lt;&gt;1)),"AIR context missing / unknown",IF(AND(B733="CAP",E733="AIR",G733&lt;&gt;F733),"AIR context mismatch",IF(AND(B733="AIR",G733&lt;&gt;C733),"AIR context mismatch",IF(AND(B733="AIR",E733="AIR",C733=F733),"Self-dependency",IF(AND(B733="AIR",E733="AIR",M733&lt;&gt;"Superseded",COUNTIFS($B$4:$B$1003,"AIR",$C$4:$C$1003,F733,$E$4:$E$1003,"AIR",$F$4:$F$1003,C733,$M$4:$M$1003,"&lt;&gt;Superseded")&gt;0),"Dependency cycle (A↔B) — review",IF(AND(B733="AIR",OR(E733="MOD",E733="DATA",E733="IF",E733="AG",E733="TOOL"),IFERROR(INDEX(Components!$G$4:$G$253,MATCH(F733,Components!$A$4:$A$253,0)),"")&lt;&gt;"",IFERROR(INDEX(Components!$G$4:$G$253,MATCH(F733,Components!$A$4:$A$253,0)),"")&lt;&gt;C733),"Component owned by another AIR-ID",IF(AND(M733="Confirmed",OR(IF(B733="UC",COUNTIFS('Use cases'!$A$4:$A$253,C733,'Use cases'!$I$4:$I$253,"Confirmed",'Use cases'!$J$4:$J$253,"OK — verify source"),IF(B733="CAP",COUNTIFS(Capabilities!$A$4:$A$253,C733,Capabilities!$J$4:$J$253,"Confirmed",Capabilities!$K$4:$K$253,"OK — verify source"),IF(B733="AIR",COUNTIFS('System map'!$A$4:$A$203,C733,'System map'!$B$4:$B$203,"&lt;&gt;",'System map'!$C$4:$C$203,"&lt;&gt;",'System map'!$D$4:$D$203,"&lt;&gt;"),COUNTIFS(Components!$A$4:$A$253,C733,Components!$B$4:$B$253,B733,Components!$K$4:$K$253,"Confirmed",Components!$L$4:$L$253,"OK — verify source"))))&lt;&gt;1,IF(E733="UC",COUNTIFS('Use cases'!$A$4:$A$253,F733,'Use cases'!$I$4:$I$253,"Confirmed",'Use cases'!$J$4:$J$253,"OK — verify source"),IF(E733="CAP",COUNTIFS(Capabilities!$A$4:$A$253,F733,Capabilities!$J$4:$J$253,"Confirmed",Capabilities!$K$4:$K$253,"OK — verify source"),IF(E733="AIR",COUNTIFS('System map'!$A$4:$A$203,F733,'System map'!$B$4:$B$203,"&lt;&gt;",'System map'!$C$4:$C$203,"&lt;&gt;",'System map'!$D$4:$D$203,"&lt;&gt;"),COUNTIFS(Components!$A$4:$A$253,F733,Components!$B$4:$B$253,E733,Components!$K$4:$K$253,"Confirmed",Components!$L$4:$L$253,"OK — verify source"))))&lt;&gt;1)),"Endpoint not source-reconciled",IF(AND(M733="Confirmed",OR(L733="",K733="",K733="Unknown",K733="Low")),"Confirmed link lacks verification","OK — verify source"))))))))))))))</f>
        <v/>
      </c>
    </row>
    <row r="73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6" t="n"/>
      <c r="M734" s="25" t="n"/>
      <c r="N734" s="25">
        <f>IF(COUNTA(A734:M734)=0,"",IF(OR(A734="",B734="",C734="",D734="",E734="",F734="",I734="",J734="",K734="",M734=""),"Required link detail missing",IF(COUNTIF($A$4:$A$1003,A734)&gt;1,"Duplicate Map Edge ID",IF(NOT(OR(AND(B734="UC",E734="CAP",D734="requires"),AND(B734="CAP",E734="AIR",D734="provided by"),AND(B734="AIR",OR(E734="MOD",E734="DATA",E734="IF",E734="AG",E734="TOOL"),D734="references"),AND(B734="AIR",E734="AIR",D734="depends on"))),"Invalid relationship",IF(AND(M734&lt;&gt;"Superseded",COUNTIFS($B$4:$B$1003,B734,$C$4:$C$1003,C734,$D$4:$D$1003,D734,$E$4:$E$1003,E734,$F$4:$F$1003,F734,$G$4:$G$1003,G734,$M$4:$M$1003,"&lt;&gt;Superseded")&gt;1),"Duplicate relationship",IF(OR(IF(B734="UC",COUNTIF('Use cases'!$A$4:$A$253,C734),IF(B734="CAP",COUNTIF(Capabilities!$A$4:$A$253,C734),IF(B734="AIR",COUNTIF('System map'!$A$4:$A$203,C734),COUNTIFS(Components!$A$4:$A$253,C734,Components!$B$4:$B$253,B734))))&lt;&gt;1,IF(E734="UC",COUNTIF('Use cases'!$A$4:$A$253,F734),IF(E734="CAP",COUNTIF(Capabilities!$A$4:$A$253,F734),IF(E734="AIR",COUNTIF('System map'!$A$4:$A$203,F734),COUNTIFS(Components!$A$4:$A$253,F734,Components!$B$4:$B$253,E734))))&lt;&gt;1),"Endpoint missing or duplicated",IF(AND(NOT(AND(B734="UC",E734="CAP")),OR(G734="",COUNTIF('System map'!$A$4:$A$203,G734)&lt;&gt;1)),"AIR context missing / unknown",IF(AND(B734="CAP",E734="AIR",G734&lt;&gt;F734),"AIR context mismatch",IF(AND(B734="AIR",G734&lt;&gt;C734),"AIR context mismatch",IF(AND(B734="AIR",E734="AIR",C734=F734),"Self-dependency",IF(AND(B734="AIR",E734="AIR",M734&lt;&gt;"Superseded",COUNTIFS($B$4:$B$1003,"AIR",$C$4:$C$1003,F734,$E$4:$E$1003,"AIR",$F$4:$F$1003,C734,$M$4:$M$1003,"&lt;&gt;Superseded")&gt;0),"Dependency cycle (A↔B) — review",IF(AND(B734="AIR",OR(E734="MOD",E734="DATA",E734="IF",E734="AG",E734="TOOL"),IFERROR(INDEX(Components!$G$4:$G$253,MATCH(F734,Components!$A$4:$A$253,0)),"")&lt;&gt;"",IFERROR(INDEX(Components!$G$4:$G$253,MATCH(F734,Components!$A$4:$A$253,0)),"")&lt;&gt;C734),"Component owned by another AIR-ID",IF(AND(M734="Confirmed",OR(IF(B734="UC",COUNTIFS('Use cases'!$A$4:$A$253,C734,'Use cases'!$I$4:$I$253,"Confirmed",'Use cases'!$J$4:$J$253,"OK — verify source"),IF(B734="CAP",COUNTIFS(Capabilities!$A$4:$A$253,C734,Capabilities!$J$4:$J$253,"Confirmed",Capabilities!$K$4:$K$253,"OK — verify source"),IF(B734="AIR",COUNTIFS('System map'!$A$4:$A$203,C734,'System map'!$B$4:$B$203,"&lt;&gt;",'System map'!$C$4:$C$203,"&lt;&gt;",'System map'!$D$4:$D$203,"&lt;&gt;"),COUNTIFS(Components!$A$4:$A$253,C734,Components!$B$4:$B$253,B734,Components!$K$4:$K$253,"Confirmed",Components!$L$4:$L$253,"OK — verify source"))))&lt;&gt;1,IF(E734="UC",COUNTIFS('Use cases'!$A$4:$A$253,F734,'Use cases'!$I$4:$I$253,"Confirmed",'Use cases'!$J$4:$J$253,"OK — verify source"),IF(E734="CAP",COUNTIFS(Capabilities!$A$4:$A$253,F734,Capabilities!$J$4:$J$253,"Confirmed",Capabilities!$K$4:$K$253,"OK — verify source"),IF(E734="AIR",COUNTIFS('System map'!$A$4:$A$203,F734,'System map'!$B$4:$B$203,"&lt;&gt;",'System map'!$C$4:$C$203,"&lt;&gt;",'System map'!$D$4:$D$203,"&lt;&gt;"),COUNTIFS(Components!$A$4:$A$253,F734,Components!$B$4:$B$253,E734,Components!$K$4:$K$253,"Confirmed",Components!$L$4:$L$253,"OK — verify source"))))&lt;&gt;1)),"Endpoint not source-reconciled",IF(AND(M734="Confirmed",OR(L734="",K734="",K734="Unknown",K734="Low")),"Confirmed link lacks verification","OK — verify source"))))))))))))))</f>
        <v/>
      </c>
    </row>
    <row r="735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8" t="n"/>
      <c r="M735" s="27" t="n"/>
      <c r="N735" s="27">
        <f>IF(COUNTA(A735:M735)=0,"",IF(OR(A735="",B735="",C735="",D735="",E735="",F735="",I735="",J735="",K735="",M735=""),"Required link detail missing",IF(COUNTIF($A$4:$A$1003,A735)&gt;1,"Duplicate Map Edge ID",IF(NOT(OR(AND(B735="UC",E735="CAP",D735="requires"),AND(B735="CAP",E735="AIR",D735="provided by"),AND(B735="AIR",OR(E735="MOD",E735="DATA",E735="IF",E735="AG",E735="TOOL"),D735="references"),AND(B735="AIR",E735="AIR",D735="depends on"))),"Invalid relationship",IF(AND(M735&lt;&gt;"Superseded",COUNTIFS($B$4:$B$1003,B735,$C$4:$C$1003,C735,$D$4:$D$1003,D735,$E$4:$E$1003,E735,$F$4:$F$1003,F735,$G$4:$G$1003,G735,$M$4:$M$1003,"&lt;&gt;Superseded")&gt;1),"Duplicate relationship",IF(OR(IF(B735="UC",COUNTIF('Use cases'!$A$4:$A$253,C735),IF(B735="CAP",COUNTIF(Capabilities!$A$4:$A$253,C735),IF(B735="AIR",COUNTIF('System map'!$A$4:$A$203,C735),COUNTIFS(Components!$A$4:$A$253,C735,Components!$B$4:$B$253,B735))))&lt;&gt;1,IF(E735="UC",COUNTIF('Use cases'!$A$4:$A$253,F735),IF(E735="CAP",COUNTIF(Capabilities!$A$4:$A$253,F735),IF(E735="AIR",COUNTIF('System map'!$A$4:$A$203,F735),COUNTIFS(Components!$A$4:$A$253,F735,Components!$B$4:$B$253,E735))))&lt;&gt;1),"Endpoint missing or duplicated",IF(AND(NOT(AND(B735="UC",E735="CAP")),OR(G735="",COUNTIF('System map'!$A$4:$A$203,G735)&lt;&gt;1)),"AIR context missing / unknown",IF(AND(B735="CAP",E735="AIR",G735&lt;&gt;F735),"AIR context mismatch",IF(AND(B735="AIR",G735&lt;&gt;C735),"AIR context mismatch",IF(AND(B735="AIR",E735="AIR",C735=F735),"Self-dependency",IF(AND(B735="AIR",E735="AIR",M735&lt;&gt;"Superseded",COUNTIFS($B$4:$B$1003,"AIR",$C$4:$C$1003,F735,$E$4:$E$1003,"AIR",$F$4:$F$1003,C735,$M$4:$M$1003,"&lt;&gt;Superseded")&gt;0),"Dependency cycle (A↔B) — review",IF(AND(B735="AIR",OR(E735="MOD",E735="DATA",E735="IF",E735="AG",E735="TOOL"),IFERROR(INDEX(Components!$G$4:$G$253,MATCH(F735,Components!$A$4:$A$253,0)),"")&lt;&gt;"",IFERROR(INDEX(Components!$G$4:$G$253,MATCH(F735,Components!$A$4:$A$253,0)),"")&lt;&gt;C735),"Component owned by another AIR-ID",IF(AND(M735="Confirmed",OR(IF(B735="UC",COUNTIFS('Use cases'!$A$4:$A$253,C735,'Use cases'!$I$4:$I$253,"Confirmed",'Use cases'!$J$4:$J$253,"OK — verify source"),IF(B735="CAP",COUNTIFS(Capabilities!$A$4:$A$253,C735,Capabilities!$J$4:$J$253,"Confirmed",Capabilities!$K$4:$K$253,"OK — verify source"),IF(B735="AIR",COUNTIFS('System map'!$A$4:$A$203,C735,'System map'!$B$4:$B$203,"&lt;&gt;",'System map'!$C$4:$C$203,"&lt;&gt;",'System map'!$D$4:$D$203,"&lt;&gt;"),COUNTIFS(Components!$A$4:$A$253,C735,Components!$B$4:$B$253,B735,Components!$K$4:$K$253,"Confirmed",Components!$L$4:$L$253,"OK — verify source"))))&lt;&gt;1,IF(E735="UC",COUNTIFS('Use cases'!$A$4:$A$253,F735,'Use cases'!$I$4:$I$253,"Confirmed",'Use cases'!$J$4:$J$253,"OK — verify source"),IF(E735="CAP",COUNTIFS(Capabilities!$A$4:$A$253,F735,Capabilities!$J$4:$J$253,"Confirmed",Capabilities!$K$4:$K$253,"OK — verify source"),IF(E735="AIR",COUNTIFS('System map'!$A$4:$A$203,F735,'System map'!$B$4:$B$203,"&lt;&gt;",'System map'!$C$4:$C$203,"&lt;&gt;",'System map'!$D$4:$D$203,"&lt;&gt;"),COUNTIFS(Components!$A$4:$A$253,F735,Components!$B$4:$B$253,E735,Components!$K$4:$K$253,"Confirmed",Components!$L$4:$L$253,"OK — verify source"))))&lt;&gt;1)),"Endpoint not source-reconciled",IF(AND(M735="Confirmed",OR(L735="",K735="",K735="Unknown",K735="Low")),"Confirmed link lacks verification","OK — verify source"))))))))))))))</f>
        <v/>
      </c>
    </row>
    <row r="736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6" t="n"/>
      <c r="M736" s="25" t="n"/>
      <c r="N736" s="25">
        <f>IF(COUNTA(A736:M736)=0,"",IF(OR(A736="",B736="",C736="",D736="",E736="",F736="",I736="",J736="",K736="",M736=""),"Required link detail missing",IF(COUNTIF($A$4:$A$1003,A736)&gt;1,"Duplicate Map Edge ID",IF(NOT(OR(AND(B736="UC",E736="CAP",D736="requires"),AND(B736="CAP",E736="AIR",D736="provided by"),AND(B736="AIR",OR(E736="MOD",E736="DATA",E736="IF",E736="AG",E736="TOOL"),D736="references"),AND(B736="AIR",E736="AIR",D736="depends on"))),"Invalid relationship",IF(AND(M736&lt;&gt;"Superseded",COUNTIFS($B$4:$B$1003,B736,$C$4:$C$1003,C736,$D$4:$D$1003,D736,$E$4:$E$1003,E736,$F$4:$F$1003,F736,$G$4:$G$1003,G736,$M$4:$M$1003,"&lt;&gt;Superseded")&gt;1),"Duplicate relationship",IF(OR(IF(B736="UC",COUNTIF('Use cases'!$A$4:$A$253,C736),IF(B736="CAP",COUNTIF(Capabilities!$A$4:$A$253,C736),IF(B736="AIR",COUNTIF('System map'!$A$4:$A$203,C736),COUNTIFS(Components!$A$4:$A$253,C736,Components!$B$4:$B$253,B736))))&lt;&gt;1,IF(E736="UC",COUNTIF('Use cases'!$A$4:$A$253,F736),IF(E736="CAP",COUNTIF(Capabilities!$A$4:$A$253,F736),IF(E736="AIR",COUNTIF('System map'!$A$4:$A$203,F736),COUNTIFS(Components!$A$4:$A$253,F736,Components!$B$4:$B$253,E736))))&lt;&gt;1),"Endpoint missing or duplicated",IF(AND(NOT(AND(B736="UC",E736="CAP")),OR(G736="",COUNTIF('System map'!$A$4:$A$203,G736)&lt;&gt;1)),"AIR context missing / unknown",IF(AND(B736="CAP",E736="AIR",G736&lt;&gt;F736),"AIR context mismatch",IF(AND(B736="AIR",G736&lt;&gt;C736),"AIR context mismatch",IF(AND(B736="AIR",E736="AIR",C736=F736),"Self-dependency",IF(AND(B736="AIR",E736="AIR",M736&lt;&gt;"Superseded",COUNTIFS($B$4:$B$1003,"AIR",$C$4:$C$1003,F736,$E$4:$E$1003,"AIR",$F$4:$F$1003,C736,$M$4:$M$1003,"&lt;&gt;Superseded")&gt;0),"Dependency cycle (A↔B) — review",IF(AND(B736="AIR",OR(E736="MOD",E736="DATA",E736="IF",E736="AG",E736="TOOL"),IFERROR(INDEX(Components!$G$4:$G$253,MATCH(F736,Components!$A$4:$A$253,0)),"")&lt;&gt;"",IFERROR(INDEX(Components!$G$4:$G$253,MATCH(F736,Components!$A$4:$A$253,0)),"")&lt;&gt;C736),"Component owned by another AIR-ID",IF(AND(M736="Confirmed",OR(IF(B736="UC",COUNTIFS('Use cases'!$A$4:$A$253,C736,'Use cases'!$I$4:$I$253,"Confirmed",'Use cases'!$J$4:$J$253,"OK — verify source"),IF(B736="CAP",COUNTIFS(Capabilities!$A$4:$A$253,C736,Capabilities!$J$4:$J$253,"Confirmed",Capabilities!$K$4:$K$253,"OK — verify source"),IF(B736="AIR",COUNTIFS('System map'!$A$4:$A$203,C736,'System map'!$B$4:$B$203,"&lt;&gt;",'System map'!$C$4:$C$203,"&lt;&gt;",'System map'!$D$4:$D$203,"&lt;&gt;"),COUNTIFS(Components!$A$4:$A$253,C736,Components!$B$4:$B$253,B736,Components!$K$4:$K$253,"Confirmed",Components!$L$4:$L$253,"OK — verify source"))))&lt;&gt;1,IF(E736="UC",COUNTIFS('Use cases'!$A$4:$A$253,F736,'Use cases'!$I$4:$I$253,"Confirmed",'Use cases'!$J$4:$J$253,"OK — verify source"),IF(E736="CAP",COUNTIFS(Capabilities!$A$4:$A$253,F736,Capabilities!$J$4:$J$253,"Confirmed",Capabilities!$K$4:$K$253,"OK — verify source"),IF(E736="AIR",COUNTIFS('System map'!$A$4:$A$203,F736,'System map'!$B$4:$B$203,"&lt;&gt;",'System map'!$C$4:$C$203,"&lt;&gt;",'System map'!$D$4:$D$203,"&lt;&gt;"),COUNTIFS(Components!$A$4:$A$253,F736,Components!$B$4:$B$253,E736,Components!$K$4:$K$253,"Confirmed",Components!$L$4:$L$253,"OK — verify source"))))&lt;&gt;1)),"Endpoint not source-reconciled",IF(AND(M736="Confirmed",OR(L736="",K736="",K736="Unknown",K736="Low")),"Confirmed link lacks verification","OK — verify source"))))))))))))))</f>
        <v/>
      </c>
    </row>
    <row r="737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8" t="n"/>
      <c r="M737" s="27" t="n"/>
      <c r="N737" s="27">
        <f>IF(COUNTA(A737:M737)=0,"",IF(OR(A737="",B737="",C737="",D737="",E737="",F737="",I737="",J737="",K737="",M737=""),"Required link detail missing",IF(COUNTIF($A$4:$A$1003,A737)&gt;1,"Duplicate Map Edge ID",IF(NOT(OR(AND(B737="UC",E737="CAP",D737="requires"),AND(B737="CAP",E737="AIR",D737="provided by"),AND(B737="AIR",OR(E737="MOD",E737="DATA",E737="IF",E737="AG",E737="TOOL"),D737="references"),AND(B737="AIR",E737="AIR",D737="depends on"))),"Invalid relationship",IF(AND(M737&lt;&gt;"Superseded",COUNTIFS($B$4:$B$1003,B737,$C$4:$C$1003,C737,$D$4:$D$1003,D737,$E$4:$E$1003,E737,$F$4:$F$1003,F737,$G$4:$G$1003,G737,$M$4:$M$1003,"&lt;&gt;Superseded")&gt;1),"Duplicate relationship",IF(OR(IF(B737="UC",COUNTIF('Use cases'!$A$4:$A$253,C737),IF(B737="CAP",COUNTIF(Capabilities!$A$4:$A$253,C737),IF(B737="AIR",COUNTIF('System map'!$A$4:$A$203,C737),COUNTIFS(Components!$A$4:$A$253,C737,Components!$B$4:$B$253,B737))))&lt;&gt;1,IF(E737="UC",COUNTIF('Use cases'!$A$4:$A$253,F737),IF(E737="CAP",COUNTIF(Capabilities!$A$4:$A$253,F737),IF(E737="AIR",COUNTIF('System map'!$A$4:$A$203,F737),COUNTIFS(Components!$A$4:$A$253,F737,Components!$B$4:$B$253,E737))))&lt;&gt;1),"Endpoint missing or duplicated",IF(AND(NOT(AND(B737="UC",E737="CAP")),OR(G737="",COUNTIF('System map'!$A$4:$A$203,G737)&lt;&gt;1)),"AIR context missing / unknown",IF(AND(B737="CAP",E737="AIR",G737&lt;&gt;F737),"AIR context mismatch",IF(AND(B737="AIR",G737&lt;&gt;C737),"AIR context mismatch",IF(AND(B737="AIR",E737="AIR",C737=F737),"Self-dependency",IF(AND(B737="AIR",E737="AIR",M737&lt;&gt;"Superseded",COUNTIFS($B$4:$B$1003,"AIR",$C$4:$C$1003,F737,$E$4:$E$1003,"AIR",$F$4:$F$1003,C737,$M$4:$M$1003,"&lt;&gt;Superseded")&gt;0),"Dependency cycle (A↔B) — review",IF(AND(B737="AIR",OR(E737="MOD",E737="DATA",E737="IF",E737="AG",E737="TOOL"),IFERROR(INDEX(Components!$G$4:$G$253,MATCH(F737,Components!$A$4:$A$253,0)),"")&lt;&gt;"",IFERROR(INDEX(Components!$G$4:$G$253,MATCH(F737,Components!$A$4:$A$253,0)),"")&lt;&gt;C737),"Component owned by another AIR-ID",IF(AND(M737="Confirmed",OR(IF(B737="UC",COUNTIFS('Use cases'!$A$4:$A$253,C737,'Use cases'!$I$4:$I$253,"Confirmed",'Use cases'!$J$4:$J$253,"OK — verify source"),IF(B737="CAP",COUNTIFS(Capabilities!$A$4:$A$253,C737,Capabilities!$J$4:$J$253,"Confirmed",Capabilities!$K$4:$K$253,"OK — verify source"),IF(B737="AIR",COUNTIFS('System map'!$A$4:$A$203,C737,'System map'!$B$4:$B$203,"&lt;&gt;",'System map'!$C$4:$C$203,"&lt;&gt;",'System map'!$D$4:$D$203,"&lt;&gt;"),COUNTIFS(Components!$A$4:$A$253,C737,Components!$B$4:$B$253,B737,Components!$K$4:$K$253,"Confirmed",Components!$L$4:$L$253,"OK — verify source"))))&lt;&gt;1,IF(E737="UC",COUNTIFS('Use cases'!$A$4:$A$253,F737,'Use cases'!$I$4:$I$253,"Confirmed",'Use cases'!$J$4:$J$253,"OK — verify source"),IF(E737="CAP",COUNTIFS(Capabilities!$A$4:$A$253,F737,Capabilities!$J$4:$J$253,"Confirmed",Capabilities!$K$4:$K$253,"OK — verify source"),IF(E737="AIR",COUNTIFS('System map'!$A$4:$A$203,F737,'System map'!$B$4:$B$203,"&lt;&gt;",'System map'!$C$4:$C$203,"&lt;&gt;",'System map'!$D$4:$D$203,"&lt;&gt;"),COUNTIFS(Components!$A$4:$A$253,F737,Components!$B$4:$B$253,E737,Components!$K$4:$K$253,"Confirmed",Components!$L$4:$L$253,"OK — verify source"))))&lt;&gt;1)),"Endpoint not source-reconciled",IF(AND(M737="Confirmed",OR(L737="",K737="",K737="Unknown",K737="Low")),"Confirmed link lacks verification","OK — verify source"))))))))))))))</f>
        <v/>
      </c>
    </row>
    <row r="738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6" t="n"/>
      <c r="M738" s="25" t="n"/>
      <c r="N738" s="25">
        <f>IF(COUNTA(A738:M738)=0,"",IF(OR(A738="",B738="",C738="",D738="",E738="",F738="",I738="",J738="",K738="",M738=""),"Required link detail missing",IF(COUNTIF($A$4:$A$1003,A738)&gt;1,"Duplicate Map Edge ID",IF(NOT(OR(AND(B738="UC",E738="CAP",D738="requires"),AND(B738="CAP",E738="AIR",D738="provided by"),AND(B738="AIR",OR(E738="MOD",E738="DATA",E738="IF",E738="AG",E738="TOOL"),D738="references"),AND(B738="AIR",E738="AIR",D738="depends on"))),"Invalid relationship",IF(AND(M738&lt;&gt;"Superseded",COUNTIFS($B$4:$B$1003,B738,$C$4:$C$1003,C738,$D$4:$D$1003,D738,$E$4:$E$1003,E738,$F$4:$F$1003,F738,$G$4:$G$1003,G738,$M$4:$M$1003,"&lt;&gt;Superseded")&gt;1),"Duplicate relationship",IF(OR(IF(B738="UC",COUNTIF('Use cases'!$A$4:$A$253,C738),IF(B738="CAP",COUNTIF(Capabilities!$A$4:$A$253,C738),IF(B738="AIR",COUNTIF('System map'!$A$4:$A$203,C738),COUNTIFS(Components!$A$4:$A$253,C738,Components!$B$4:$B$253,B738))))&lt;&gt;1,IF(E738="UC",COUNTIF('Use cases'!$A$4:$A$253,F738),IF(E738="CAP",COUNTIF(Capabilities!$A$4:$A$253,F738),IF(E738="AIR",COUNTIF('System map'!$A$4:$A$203,F738),COUNTIFS(Components!$A$4:$A$253,F738,Components!$B$4:$B$253,E738))))&lt;&gt;1),"Endpoint missing or duplicated",IF(AND(NOT(AND(B738="UC",E738="CAP")),OR(G738="",COUNTIF('System map'!$A$4:$A$203,G738)&lt;&gt;1)),"AIR context missing / unknown",IF(AND(B738="CAP",E738="AIR",G738&lt;&gt;F738),"AIR context mismatch",IF(AND(B738="AIR",G738&lt;&gt;C738),"AIR context mismatch",IF(AND(B738="AIR",E738="AIR",C738=F738),"Self-dependency",IF(AND(B738="AIR",E738="AIR",M738&lt;&gt;"Superseded",COUNTIFS($B$4:$B$1003,"AIR",$C$4:$C$1003,F738,$E$4:$E$1003,"AIR",$F$4:$F$1003,C738,$M$4:$M$1003,"&lt;&gt;Superseded")&gt;0),"Dependency cycle (A↔B) — review",IF(AND(B738="AIR",OR(E738="MOD",E738="DATA",E738="IF",E738="AG",E738="TOOL"),IFERROR(INDEX(Components!$G$4:$G$253,MATCH(F738,Components!$A$4:$A$253,0)),"")&lt;&gt;"",IFERROR(INDEX(Components!$G$4:$G$253,MATCH(F738,Components!$A$4:$A$253,0)),"")&lt;&gt;C738),"Component owned by another AIR-ID",IF(AND(M738="Confirmed",OR(IF(B738="UC",COUNTIFS('Use cases'!$A$4:$A$253,C738,'Use cases'!$I$4:$I$253,"Confirmed",'Use cases'!$J$4:$J$253,"OK — verify source"),IF(B738="CAP",COUNTIFS(Capabilities!$A$4:$A$253,C738,Capabilities!$J$4:$J$253,"Confirmed",Capabilities!$K$4:$K$253,"OK — verify source"),IF(B738="AIR",COUNTIFS('System map'!$A$4:$A$203,C738,'System map'!$B$4:$B$203,"&lt;&gt;",'System map'!$C$4:$C$203,"&lt;&gt;",'System map'!$D$4:$D$203,"&lt;&gt;"),COUNTIFS(Components!$A$4:$A$253,C738,Components!$B$4:$B$253,B738,Components!$K$4:$K$253,"Confirmed",Components!$L$4:$L$253,"OK — verify source"))))&lt;&gt;1,IF(E738="UC",COUNTIFS('Use cases'!$A$4:$A$253,F738,'Use cases'!$I$4:$I$253,"Confirmed",'Use cases'!$J$4:$J$253,"OK — verify source"),IF(E738="CAP",COUNTIFS(Capabilities!$A$4:$A$253,F738,Capabilities!$J$4:$J$253,"Confirmed",Capabilities!$K$4:$K$253,"OK — verify source"),IF(E738="AIR",COUNTIFS('System map'!$A$4:$A$203,F738,'System map'!$B$4:$B$203,"&lt;&gt;",'System map'!$C$4:$C$203,"&lt;&gt;",'System map'!$D$4:$D$203,"&lt;&gt;"),COUNTIFS(Components!$A$4:$A$253,F738,Components!$B$4:$B$253,E738,Components!$K$4:$K$253,"Confirmed",Components!$L$4:$L$253,"OK — verify source"))))&lt;&gt;1)),"Endpoint not source-reconciled",IF(AND(M738="Confirmed",OR(L738="",K738="",K738="Unknown",K738="Low")),"Confirmed link lacks verification","OK — verify source"))))))))))))))</f>
        <v/>
      </c>
    </row>
    <row r="739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8" t="n"/>
      <c r="M739" s="27" t="n"/>
      <c r="N739" s="27">
        <f>IF(COUNTA(A739:M739)=0,"",IF(OR(A739="",B739="",C739="",D739="",E739="",F739="",I739="",J739="",K739="",M739=""),"Required link detail missing",IF(COUNTIF($A$4:$A$1003,A739)&gt;1,"Duplicate Map Edge ID",IF(NOT(OR(AND(B739="UC",E739="CAP",D739="requires"),AND(B739="CAP",E739="AIR",D739="provided by"),AND(B739="AIR",OR(E739="MOD",E739="DATA",E739="IF",E739="AG",E739="TOOL"),D739="references"),AND(B739="AIR",E739="AIR",D739="depends on"))),"Invalid relationship",IF(AND(M739&lt;&gt;"Superseded",COUNTIFS($B$4:$B$1003,B739,$C$4:$C$1003,C739,$D$4:$D$1003,D739,$E$4:$E$1003,E739,$F$4:$F$1003,F739,$G$4:$G$1003,G739,$M$4:$M$1003,"&lt;&gt;Superseded")&gt;1),"Duplicate relationship",IF(OR(IF(B739="UC",COUNTIF('Use cases'!$A$4:$A$253,C739),IF(B739="CAP",COUNTIF(Capabilities!$A$4:$A$253,C739),IF(B739="AIR",COUNTIF('System map'!$A$4:$A$203,C739),COUNTIFS(Components!$A$4:$A$253,C739,Components!$B$4:$B$253,B739))))&lt;&gt;1,IF(E739="UC",COUNTIF('Use cases'!$A$4:$A$253,F739),IF(E739="CAP",COUNTIF(Capabilities!$A$4:$A$253,F739),IF(E739="AIR",COUNTIF('System map'!$A$4:$A$203,F739),COUNTIFS(Components!$A$4:$A$253,F739,Components!$B$4:$B$253,E739))))&lt;&gt;1),"Endpoint missing or duplicated",IF(AND(NOT(AND(B739="UC",E739="CAP")),OR(G739="",COUNTIF('System map'!$A$4:$A$203,G739)&lt;&gt;1)),"AIR context missing / unknown",IF(AND(B739="CAP",E739="AIR",G739&lt;&gt;F739),"AIR context mismatch",IF(AND(B739="AIR",G739&lt;&gt;C739),"AIR context mismatch",IF(AND(B739="AIR",E739="AIR",C739=F739),"Self-dependency",IF(AND(B739="AIR",E739="AIR",M739&lt;&gt;"Superseded",COUNTIFS($B$4:$B$1003,"AIR",$C$4:$C$1003,F739,$E$4:$E$1003,"AIR",$F$4:$F$1003,C739,$M$4:$M$1003,"&lt;&gt;Superseded")&gt;0),"Dependency cycle (A↔B) — review",IF(AND(B739="AIR",OR(E739="MOD",E739="DATA",E739="IF",E739="AG",E739="TOOL"),IFERROR(INDEX(Components!$G$4:$G$253,MATCH(F739,Components!$A$4:$A$253,0)),"")&lt;&gt;"",IFERROR(INDEX(Components!$G$4:$G$253,MATCH(F739,Components!$A$4:$A$253,0)),"")&lt;&gt;C739),"Component owned by another AIR-ID",IF(AND(M739="Confirmed",OR(IF(B739="UC",COUNTIFS('Use cases'!$A$4:$A$253,C739,'Use cases'!$I$4:$I$253,"Confirmed",'Use cases'!$J$4:$J$253,"OK — verify source"),IF(B739="CAP",COUNTIFS(Capabilities!$A$4:$A$253,C739,Capabilities!$J$4:$J$253,"Confirmed",Capabilities!$K$4:$K$253,"OK — verify source"),IF(B739="AIR",COUNTIFS('System map'!$A$4:$A$203,C739,'System map'!$B$4:$B$203,"&lt;&gt;",'System map'!$C$4:$C$203,"&lt;&gt;",'System map'!$D$4:$D$203,"&lt;&gt;"),COUNTIFS(Components!$A$4:$A$253,C739,Components!$B$4:$B$253,B739,Components!$K$4:$K$253,"Confirmed",Components!$L$4:$L$253,"OK — verify source"))))&lt;&gt;1,IF(E739="UC",COUNTIFS('Use cases'!$A$4:$A$253,F739,'Use cases'!$I$4:$I$253,"Confirmed",'Use cases'!$J$4:$J$253,"OK — verify source"),IF(E739="CAP",COUNTIFS(Capabilities!$A$4:$A$253,F739,Capabilities!$J$4:$J$253,"Confirmed",Capabilities!$K$4:$K$253,"OK — verify source"),IF(E739="AIR",COUNTIFS('System map'!$A$4:$A$203,F739,'System map'!$B$4:$B$203,"&lt;&gt;",'System map'!$C$4:$C$203,"&lt;&gt;",'System map'!$D$4:$D$203,"&lt;&gt;"),COUNTIFS(Components!$A$4:$A$253,F739,Components!$B$4:$B$253,E739,Components!$K$4:$K$253,"Confirmed",Components!$L$4:$L$253,"OK — verify source"))))&lt;&gt;1)),"Endpoint not source-reconciled",IF(AND(M739="Confirmed",OR(L739="",K739="",K739="Unknown",K739="Low")),"Confirmed link lacks verification","OK — verify source"))))))))))))))</f>
        <v/>
      </c>
    </row>
    <row r="740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6" t="n"/>
      <c r="M740" s="25" t="n"/>
      <c r="N740" s="25">
        <f>IF(COUNTA(A740:M740)=0,"",IF(OR(A740="",B740="",C740="",D740="",E740="",F740="",I740="",J740="",K740="",M740=""),"Required link detail missing",IF(COUNTIF($A$4:$A$1003,A740)&gt;1,"Duplicate Map Edge ID",IF(NOT(OR(AND(B740="UC",E740="CAP",D740="requires"),AND(B740="CAP",E740="AIR",D740="provided by"),AND(B740="AIR",OR(E740="MOD",E740="DATA",E740="IF",E740="AG",E740="TOOL"),D740="references"),AND(B740="AIR",E740="AIR",D740="depends on"))),"Invalid relationship",IF(AND(M740&lt;&gt;"Superseded",COUNTIFS($B$4:$B$1003,B740,$C$4:$C$1003,C740,$D$4:$D$1003,D740,$E$4:$E$1003,E740,$F$4:$F$1003,F740,$G$4:$G$1003,G740,$M$4:$M$1003,"&lt;&gt;Superseded")&gt;1),"Duplicate relationship",IF(OR(IF(B740="UC",COUNTIF('Use cases'!$A$4:$A$253,C740),IF(B740="CAP",COUNTIF(Capabilities!$A$4:$A$253,C740),IF(B740="AIR",COUNTIF('System map'!$A$4:$A$203,C740),COUNTIFS(Components!$A$4:$A$253,C740,Components!$B$4:$B$253,B740))))&lt;&gt;1,IF(E740="UC",COUNTIF('Use cases'!$A$4:$A$253,F740),IF(E740="CAP",COUNTIF(Capabilities!$A$4:$A$253,F740),IF(E740="AIR",COUNTIF('System map'!$A$4:$A$203,F740),COUNTIFS(Components!$A$4:$A$253,F740,Components!$B$4:$B$253,E740))))&lt;&gt;1),"Endpoint missing or duplicated",IF(AND(NOT(AND(B740="UC",E740="CAP")),OR(G740="",COUNTIF('System map'!$A$4:$A$203,G740)&lt;&gt;1)),"AIR context missing / unknown",IF(AND(B740="CAP",E740="AIR",G740&lt;&gt;F740),"AIR context mismatch",IF(AND(B740="AIR",G740&lt;&gt;C740),"AIR context mismatch",IF(AND(B740="AIR",E740="AIR",C740=F740),"Self-dependency",IF(AND(B740="AIR",E740="AIR",M740&lt;&gt;"Superseded",COUNTIFS($B$4:$B$1003,"AIR",$C$4:$C$1003,F740,$E$4:$E$1003,"AIR",$F$4:$F$1003,C740,$M$4:$M$1003,"&lt;&gt;Superseded")&gt;0),"Dependency cycle (A↔B) — review",IF(AND(B740="AIR",OR(E740="MOD",E740="DATA",E740="IF",E740="AG",E740="TOOL"),IFERROR(INDEX(Components!$G$4:$G$253,MATCH(F740,Components!$A$4:$A$253,0)),"")&lt;&gt;"",IFERROR(INDEX(Components!$G$4:$G$253,MATCH(F740,Components!$A$4:$A$253,0)),"")&lt;&gt;C740),"Component owned by another AIR-ID",IF(AND(M740="Confirmed",OR(IF(B740="UC",COUNTIFS('Use cases'!$A$4:$A$253,C740,'Use cases'!$I$4:$I$253,"Confirmed",'Use cases'!$J$4:$J$253,"OK — verify source"),IF(B740="CAP",COUNTIFS(Capabilities!$A$4:$A$253,C740,Capabilities!$J$4:$J$253,"Confirmed",Capabilities!$K$4:$K$253,"OK — verify source"),IF(B740="AIR",COUNTIFS('System map'!$A$4:$A$203,C740,'System map'!$B$4:$B$203,"&lt;&gt;",'System map'!$C$4:$C$203,"&lt;&gt;",'System map'!$D$4:$D$203,"&lt;&gt;"),COUNTIFS(Components!$A$4:$A$253,C740,Components!$B$4:$B$253,B740,Components!$K$4:$K$253,"Confirmed",Components!$L$4:$L$253,"OK — verify source"))))&lt;&gt;1,IF(E740="UC",COUNTIFS('Use cases'!$A$4:$A$253,F740,'Use cases'!$I$4:$I$253,"Confirmed",'Use cases'!$J$4:$J$253,"OK — verify source"),IF(E740="CAP",COUNTIFS(Capabilities!$A$4:$A$253,F740,Capabilities!$J$4:$J$253,"Confirmed",Capabilities!$K$4:$K$253,"OK — verify source"),IF(E740="AIR",COUNTIFS('System map'!$A$4:$A$203,F740,'System map'!$B$4:$B$203,"&lt;&gt;",'System map'!$C$4:$C$203,"&lt;&gt;",'System map'!$D$4:$D$203,"&lt;&gt;"),COUNTIFS(Components!$A$4:$A$253,F740,Components!$B$4:$B$253,E740,Components!$K$4:$K$253,"Confirmed",Components!$L$4:$L$253,"OK — verify source"))))&lt;&gt;1)),"Endpoint not source-reconciled",IF(AND(M740="Confirmed",OR(L740="",K740="",K740="Unknown",K740="Low")),"Confirmed link lacks verification","OK — verify source"))))))))))))))</f>
        <v/>
      </c>
    </row>
    <row r="741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8" t="n"/>
      <c r="M741" s="27" t="n"/>
      <c r="N741" s="27">
        <f>IF(COUNTA(A741:M741)=0,"",IF(OR(A741="",B741="",C741="",D741="",E741="",F741="",I741="",J741="",K741="",M741=""),"Required link detail missing",IF(COUNTIF($A$4:$A$1003,A741)&gt;1,"Duplicate Map Edge ID",IF(NOT(OR(AND(B741="UC",E741="CAP",D741="requires"),AND(B741="CAP",E741="AIR",D741="provided by"),AND(B741="AIR",OR(E741="MOD",E741="DATA",E741="IF",E741="AG",E741="TOOL"),D741="references"),AND(B741="AIR",E741="AIR",D741="depends on"))),"Invalid relationship",IF(AND(M741&lt;&gt;"Superseded",COUNTIFS($B$4:$B$1003,B741,$C$4:$C$1003,C741,$D$4:$D$1003,D741,$E$4:$E$1003,E741,$F$4:$F$1003,F741,$G$4:$G$1003,G741,$M$4:$M$1003,"&lt;&gt;Superseded")&gt;1),"Duplicate relationship",IF(OR(IF(B741="UC",COUNTIF('Use cases'!$A$4:$A$253,C741),IF(B741="CAP",COUNTIF(Capabilities!$A$4:$A$253,C741),IF(B741="AIR",COUNTIF('System map'!$A$4:$A$203,C741),COUNTIFS(Components!$A$4:$A$253,C741,Components!$B$4:$B$253,B741))))&lt;&gt;1,IF(E741="UC",COUNTIF('Use cases'!$A$4:$A$253,F741),IF(E741="CAP",COUNTIF(Capabilities!$A$4:$A$253,F741),IF(E741="AIR",COUNTIF('System map'!$A$4:$A$203,F741),COUNTIFS(Components!$A$4:$A$253,F741,Components!$B$4:$B$253,E741))))&lt;&gt;1),"Endpoint missing or duplicated",IF(AND(NOT(AND(B741="UC",E741="CAP")),OR(G741="",COUNTIF('System map'!$A$4:$A$203,G741)&lt;&gt;1)),"AIR context missing / unknown",IF(AND(B741="CAP",E741="AIR",G741&lt;&gt;F741),"AIR context mismatch",IF(AND(B741="AIR",G741&lt;&gt;C741),"AIR context mismatch",IF(AND(B741="AIR",E741="AIR",C741=F741),"Self-dependency",IF(AND(B741="AIR",E741="AIR",M741&lt;&gt;"Superseded",COUNTIFS($B$4:$B$1003,"AIR",$C$4:$C$1003,F741,$E$4:$E$1003,"AIR",$F$4:$F$1003,C741,$M$4:$M$1003,"&lt;&gt;Superseded")&gt;0),"Dependency cycle (A↔B) — review",IF(AND(B741="AIR",OR(E741="MOD",E741="DATA",E741="IF",E741="AG",E741="TOOL"),IFERROR(INDEX(Components!$G$4:$G$253,MATCH(F741,Components!$A$4:$A$253,0)),"")&lt;&gt;"",IFERROR(INDEX(Components!$G$4:$G$253,MATCH(F741,Components!$A$4:$A$253,0)),"")&lt;&gt;C741),"Component owned by another AIR-ID",IF(AND(M741="Confirmed",OR(IF(B741="UC",COUNTIFS('Use cases'!$A$4:$A$253,C741,'Use cases'!$I$4:$I$253,"Confirmed",'Use cases'!$J$4:$J$253,"OK — verify source"),IF(B741="CAP",COUNTIFS(Capabilities!$A$4:$A$253,C741,Capabilities!$J$4:$J$253,"Confirmed",Capabilities!$K$4:$K$253,"OK — verify source"),IF(B741="AIR",COUNTIFS('System map'!$A$4:$A$203,C741,'System map'!$B$4:$B$203,"&lt;&gt;",'System map'!$C$4:$C$203,"&lt;&gt;",'System map'!$D$4:$D$203,"&lt;&gt;"),COUNTIFS(Components!$A$4:$A$253,C741,Components!$B$4:$B$253,B741,Components!$K$4:$K$253,"Confirmed",Components!$L$4:$L$253,"OK — verify source"))))&lt;&gt;1,IF(E741="UC",COUNTIFS('Use cases'!$A$4:$A$253,F741,'Use cases'!$I$4:$I$253,"Confirmed",'Use cases'!$J$4:$J$253,"OK — verify source"),IF(E741="CAP",COUNTIFS(Capabilities!$A$4:$A$253,F741,Capabilities!$J$4:$J$253,"Confirmed",Capabilities!$K$4:$K$253,"OK — verify source"),IF(E741="AIR",COUNTIFS('System map'!$A$4:$A$203,F741,'System map'!$B$4:$B$203,"&lt;&gt;",'System map'!$C$4:$C$203,"&lt;&gt;",'System map'!$D$4:$D$203,"&lt;&gt;"),COUNTIFS(Components!$A$4:$A$253,F741,Components!$B$4:$B$253,E741,Components!$K$4:$K$253,"Confirmed",Components!$L$4:$L$253,"OK — verify source"))))&lt;&gt;1)),"Endpoint not source-reconciled",IF(AND(M741="Confirmed",OR(L741="",K741="",K741="Unknown",K741="Low")),"Confirmed link lacks verification","OK — verify source"))))))))))))))</f>
        <v/>
      </c>
    </row>
    <row r="742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6" t="n"/>
      <c r="M742" s="25" t="n"/>
      <c r="N742" s="25">
        <f>IF(COUNTA(A742:M742)=0,"",IF(OR(A742="",B742="",C742="",D742="",E742="",F742="",I742="",J742="",K742="",M742=""),"Required link detail missing",IF(COUNTIF($A$4:$A$1003,A742)&gt;1,"Duplicate Map Edge ID",IF(NOT(OR(AND(B742="UC",E742="CAP",D742="requires"),AND(B742="CAP",E742="AIR",D742="provided by"),AND(B742="AIR",OR(E742="MOD",E742="DATA",E742="IF",E742="AG",E742="TOOL"),D742="references"),AND(B742="AIR",E742="AIR",D742="depends on"))),"Invalid relationship",IF(AND(M742&lt;&gt;"Superseded",COUNTIFS($B$4:$B$1003,B742,$C$4:$C$1003,C742,$D$4:$D$1003,D742,$E$4:$E$1003,E742,$F$4:$F$1003,F742,$G$4:$G$1003,G742,$M$4:$M$1003,"&lt;&gt;Superseded")&gt;1),"Duplicate relationship",IF(OR(IF(B742="UC",COUNTIF('Use cases'!$A$4:$A$253,C742),IF(B742="CAP",COUNTIF(Capabilities!$A$4:$A$253,C742),IF(B742="AIR",COUNTIF('System map'!$A$4:$A$203,C742),COUNTIFS(Components!$A$4:$A$253,C742,Components!$B$4:$B$253,B742))))&lt;&gt;1,IF(E742="UC",COUNTIF('Use cases'!$A$4:$A$253,F742),IF(E742="CAP",COUNTIF(Capabilities!$A$4:$A$253,F742),IF(E742="AIR",COUNTIF('System map'!$A$4:$A$203,F742),COUNTIFS(Components!$A$4:$A$253,F742,Components!$B$4:$B$253,E742))))&lt;&gt;1),"Endpoint missing or duplicated",IF(AND(NOT(AND(B742="UC",E742="CAP")),OR(G742="",COUNTIF('System map'!$A$4:$A$203,G742)&lt;&gt;1)),"AIR context missing / unknown",IF(AND(B742="CAP",E742="AIR",G742&lt;&gt;F742),"AIR context mismatch",IF(AND(B742="AIR",G742&lt;&gt;C742),"AIR context mismatch",IF(AND(B742="AIR",E742="AIR",C742=F742),"Self-dependency",IF(AND(B742="AIR",E742="AIR",M742&lt;&gt;"Superseded",COUNTIFS($B$4:$B$1003,"AIR",$C$4:$C$1003,F742,$E$4:$E$1003,"AIR",$F$4:$F$1003,C742,$M$4:$M$1003,"&lt;&gt;Superseded")&gt;0),"Dependency cycle (A↔B) — review",IF(AND(B742="AIR",OR(E742="MOD",E742="DATA",E742="IF",E742="AG",E742="TOOL"),IFERROR(INDEX(Components!$G$4:$G$253,MATCH(F742,Components!$A$4:$A$253,0)),"")&lt;&gt;"",IFERROR(INDEX(Components!$G$4:$G$253,MATCH(F742,Components!$A$4:$A$253,0)),"")&lt;&gt;C742),"Component owned by another AIR-ID",IF(AND(M742="Confirmed",OR(IF(B742="UC",COUNTIFS('Use cases'!$A$4:$A$253,C742,'Use cases'!$I$4:$I$253,"Confirmed",'Use cases'!$J$4:$J$253,"OK — verify source"),IF(B742="CAP",COUNTIFS(Capabilities!$A$4:$A$253,C742,Capabilities!$J$4:$J$253,"Confirmed",Capabilities!$K$4:$K$253,"OK — verify source"),IF(B742="AIR",COUNTIFS('System map'!$A$4:$A$203,C742,'System map'!$B$4:$B$203,"&lt;&gt;",'System map'!$C$4:$C$203,"&lt;&gt;",'System map'!$D$4:$D$203,"&lt;&gt;"),COUNTIFS(Components!$A$4:$A$253,C742,Components!$B$4:$B$253,B742,Components!$K$4:$K$253,"Confirmed",Components!$L$4:$L$253,"OK — verify source"))))&lt;&gt;1,IF(E742="UC",COUNTIFS('Use cases'!$A$4:$A$253,F742,'Use cases'!$I$4:$I$253,"Confirmed",'Use cases'!$J$4:$J$253,"OK — verify source"),IF(E742="CAP",COUNTIFS(Capabilities!$A$4:$A$253,F742,Capabilities!$J$4:$J$253,"Confirmed",Capabilities!$K$4:$K$253,"OK — verify source"),IF(E742="AIR",COUNTIFS('System map'!$A$4:$A$203,F742,'System map'!$B$4:$B$203,"&lt;&gt;",'System map'!$C$4:$C$203,"&lt;&gt;",'System map'!$D$4:$D$203,"&lt;&gt;"),COUNTIFS(Components!$A$4:$A$253,F742,Components!$B$4:$B$253,E742,Components!$K$4:$K$253,"Confirmed",Components!$L$4:$L$253,"OK — verify source"))))&lt;&gt;1)),"Endpoint not source-reconciled",IF(AND(M742="Confirmed",OR(L742="",K742="",K742="Unknown",K742="Low")),"Confirmed link lacks verification","OK — verify source"))))))))))))))</f>
        <v/>
      </c>
    </row>
    <row r="743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8" t="n"/>
      <c r="M743" s="27" t="n"/>
      <c r="N743" s="27">
        <f>IF(COUNTA(A743:M743)=0,"",IF(OR(A743="",B743="",C743="",D743="",E743="",F743="",I743="",J743="",K743="",M743=""),"Required link detail missing",IF(COUNTIF($A$4:$A$1003,A743)&gt;1,"Duplicate Map Edge ID",IF(NOT(OR(AND(B743="UC",E743="CAP",D743="requires"),AND(B743="CAP",E743="AIR",D743="provided by"),AND(B743="AIR",OR(E743="MOD",E743="DATA",E743="IF",E743="AG",E743="TOOL"),D743="references"),AND(B743="AIR",E743="AIR",D743="depends on"))),"Invalid relationship",IF(AND(M743&lt;&gt;"Superseded",COUNTIFS($B$4:$B$1003,B743,$C$4:$C$1003,C743,$D$4:$D$1003,D743,$E$4:$E$1003,E743,$F$4:$F$1003,F743,$G$4:$G$1003,G743,$M$4:$M$1003,"&lt;&gt;Superseded")&gt;1),"Duplicate relationship",IF(OR(IF(B743="UC",COUNTIF('Use cases'!$A$4:$A$253,C743),IF(B743="CAP",COUNTIF(Capabilities!$A$4:$A$253,C743),IF(B743="AIR",COUNTIF('System map'!$A$4:$A$203,C743),COUNTIFS(Components!$A$4:$A$253,C743,Components!$B$4:$B$253,B743))))&lt;&gt;1,IF(E743="UC",COUNTIF('Use cases'!$A$4:$A$253,F743),IF(E743="CAP",COUNTIF(Capabilities!$A$4:$A$253,F743),IF(E743="AIR",COUNTIF('System map'!$A$4:$A$203,F743),COUNTIFS(Components!$A$4:$A$253,F743,Components!$B$4:$B$253,E743))))&lt;&gt;1),"Endpoint missing or duplicated",IF(AND(NOT(AND(B743="UC",E743="CAP")),OR(G743="",COUNTIF('System map'!$A$4:$A$203,G743)&lt;&gt;1)),"AIR context missing / unknown",IF(AND(B743="CAP",E743="AIR",G743&lt;&gt;F743),"AIR context mismatch",IF(AND(B743="AIR",G743&lt;&gt;C743),"AIR context mismatch",IF(AND(B743="AIR",E743="AIR",C743=F743),"Self-dependency",IF(AND(B743="AIR",E743="AIR",M743&lt;&gt;"Superseded",COUNTIFS($B$4:$B$1003,"AIR",$C$4:$C$1003,F743,$E$4:$E$1003,"AIR",$F$4:$F$1003,C743,$M$4:$M$1003,"&lt;&gt;Superseded")&gt;0),"Dependency cycle (A↔B) — review",IF(AND(B743="AIR",OR(E743="MOD",E743="DATA",E743="IF",E743="AG",E743="TOOL"),IFERROR(INDEX(Components!$G$4:$G$253,MATCH(F743,Components!$A$4:$A$253,0)),"")&lt;&gt;"",IFERROR(INDEX(Components!$G$4:$G$253,MATCH(F743,Components!$A$4:$A$253,0)),"")&lt;&gt;C743),"Component owned by another AIR-ID",IF(AND(M743="Confirmed",OR(IF(B743="UC",COUNTIFS('Use cases'!$A$4:$A$253,C743,'Use cases'!$I$4:$I$253,"Confirmed",'Use cases'!$J$4:$J$253,"OK — verify source"),IF(B743="CAP",COUNTIFS(Capabilities!$A$4:$A$253,C743,Capabilities!$J$4:$J$253,"Confirmed",Capabilities!$K$4:$K$253,"OK — verify source"),IF(B743="AIR",COUNTIFS('System map'!$A$4:$A$203,C743,'System map'!$B$4:$B$203,"&lt;&gt;",'System map'!$C$4:$C$203,"&lt;&gt;",'System map'!$D$4:$D$203,"&lt;&gt;"),COUNTIFS(Components!$A$4:$A$253,C743,Components!$B$4:$B$253,B743,Components!$K$4:$K$253,"Confirmed",Components!$L$4:$L$253,"OK — verify source"))))&lt;&gt;1,IF(E743="UC",COUNTIFS('Use cases'!$A$4:$A$253,F743,'Use cases'!$I$4:$I$253,"Confirmed",'Use cases'!$J$4:$J$253,"OK — verify source"),IF(E743="CAP",COUNTIFS(Capabilities!$A$4:$A$253,F743,Capabilities!$J$4:$J$253,"Confirmed",Capabilities!$K$4:$K$253,"OK — verify source"),IF(E743="AIR",COUNTIFS('System map'!$A$4:$A$203,F743,'System map'!$B$4:$B$203,"&lt;&gt;",'System map'!$C$4:$C$203,"&lt;&gt;",'System map'!$D$4:$D$203,"&lt;&gt;"),COUNTIFS(Components!$A$4:$A$253,F743,Components!$B$4:$B$253,E743,Components!$K$4:$K$253,"Confirmed",Components!$L$4:$L$253,"OK — verify source"))))&lt;&gt;1)),"Endpoint not source-reconciled",IF(AND(M743="Confirmed",OR(L743="",K743="",K743="Unknown",K743="Low")),"Confirmed link lacks verification","OK — verify source"))))))))))))))</f>
        <v/>
      </c>
    </row>
    <row r="74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6" t="n"/>
      <c r="M744" s="25" t="n"/>
      <c r="N744" s="25">
        <f>IF(COUNTA(A744:M744)=0,"",IF(OR(A744="",B744="",C744="",D744="",E744="",F744="",I744="",J744="",K744="",M744=""),"Required link detail missing",IF(COUNTIF($A$4:$A$1003,A744)&gt;1,"Duplicate Map Edge ID",IF(NOT(OR(AND(B744="UC",E744="CAP",D744="requires"),AND(B744="CAP",E744="AIR",D744="provided by"),AND(B744="AIR",OR(E744="MOD",E744="DATA",E744="IF",E744="AG",E744="TOOL"),D744="references"),AND(B744="AIR",E744="AIR",D744="depends on"))),"Invalid relationship",IF(AND(M744&lt;&gt;"Superseded",COUNTIFS($B$4:$B$1003,B744,$C$4:$C$1003,C744,$D$4:$D$1003,D744,$E$4:$E$1003,E744,$F$4:$F$1003,F744,$G$4:$G$1003,G744,$M$4:$M$1003,"&lt;&gt;Superseded")&gt;1),"Duplicate relationship",IF(OR(IF(B744="UC",COUNTIF('Use cases'!$A$4:$A$253,C744),IF(B744="CAP",COUNTIF(Capabilities!$A$4:$A$253,C744),IF(B744="AIR",COUNTIF('System map'!$A$4:$A$203,C744),COUNTIFS(Components!$A$4:$A$253,C744,Components!$B$4:$B$253,B744))))&lt;&gt;1,IF(E744="UC",COUNTIF('Use cases'!$A$4:$A$253,F744),IF(E744="CAP",COUNTIF(Capabilities!$A$4:$A$253,F744),IF(E744="AIR",COUNTIF('System map'!$A$4:$A$203,F744),COUNTIFS(Components!$A$4:$A$253,F744,Components!$B$4:$B$253,E744))))&lt;&gt;1),"Endpoint missing or duplicated",IF(AND(NOT(AND(B744="UC",E744="CAP")),OR(G744="",COUNTIF('System map'!$A$4:$A$203,G744)&lt;&gt;1)),"AIR context missing / unknown",IF(AND(B744="CAP",E744="AIR",G744&lt;&gt;F744),"AIR context mismatch",IF(AND(B744="AIR",G744&lt;&gt;C744),"AIR context mismatch",IF(AND(B744="AIR",E744="AIR",C744=F744),"Self-dependency",IF(AND(B744="AIR",E744="AIR",M744&lt;&gt;"Superseded",COUNTIFS($B$4:$B$1003,"AIR",$C$4:$C$1003,F744,$E$4:$E$1003,"AIR",$F$4:$F$1003,C744,$M$4:$M$1003,"&lt;&gt;Superseded")&gt;0),"Dependency cycle (A↔B) — review",IF(AND(B744="AIR",OR(E744="MOD",E744="DATA",E744="IF",E744="AG",E744="TOOL"),IFERROR(INDEX(Components!$G$4:$G$253,MATCH(F744,Components!$A$4:$A$253,0)),"")&lt;&gt;"",IFERROR(INDEX(Components!$G$4:$G$253,MATCH(F744,Components!$A$4:$A$253,0)),"")&lt;&gt;C744),"Component owned by another AIR-ID",IF(AND(M744="Confirmed",OR(IF(B744="UC",COUNTIFS('Use cases'!$A$4:$A$253,C744,'Use cases'!$I$4:$I$253,"Confirmed",'Use cases'!$J$4:$J$253,"OK — verify source"),IF(B744="CAP",COUNTIFS(Capabilities!$A$4:$A$253,C744,Capabilities!$J$4:$J$253,"Confirmed",Capabilities!$K$4:$K$253,"OK — verify source"),IF(B744="AIR",COUNTIFS('System map'!$A$4:$A$203,C744,'System map'!$B$4:$B$203,"&lt;&gt;",'System map'!$C$4:$C$203,"&lt;&gt;",'System map'!$D$4:$D$203,"&lt;&gt;"),COUNTIFS(Components!$A$4:$A$253,C744,Components!$B$4:$B$253,B744,Components!$K$4:$K$253,"Confirmed",Components!$L$4:$L$253,"OK — verify source"))))&lt;&gt;1,IF(E744="UC",COUNTIFS('Use cases'!$A$4:$A$253,F744,'Use cases'!$I$4:$I$253,"Confirmed",'Use cases'!$J$4:$J$253,"OK — verify source"),IF(E744="CAP",COUNTIFS(Capabilities!$A$4:$A$253,F744,Capabilities!$J$4:$J$253,"Confirmed",Capabilities!$K$4:$K$253,"OK — verify source"),IF(E744="AIR",COUNTIFS('System map'!$A$4:$A$203,F744,'System map'!$B$4:$B$203,"&lt;&gt;",'System map'!$C$4:$C$203,"&lt;&gt;",'System map'!$D$4:$D$203,"&lt;&gt;"),COUNTIFS(Components!$A$4:$A$253,F744,Components!$B$4:$B$253,E744,Components!$K$4:$K$253,"Confirmed",Components!$L$4:$L$253,"OK — verify source"))))&lt;&gt;1)),"Endpoint not source-reconciled",IF(AND(M744="Confirmed",OR(L744="",K744="",K744="Unknown",K744="Low")),"Confirmed link lacks verification","OK — verify source"))))))))))))))</f>
        <v/>
      </c>
    </row>
    <row r="745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8" t="n"/>
      <c r="M745" s="27" t="n"/>
      <c r="N745" s="27">
        <f>IF(COUNTA(A745:M745)=0,"",IF(OR(A745="",B745="",C745="",D745="",E745="",F745="",I745="",J745="",K745="",M745=""),"Required link detail missing",IF(COUNTIF($A$4:$A$1003,A745)&gt;1,"Duplicate Map Edge ID",IF(NOT(OR(AND(B745="UC",E745="CAP",D745="requires"),AND(B745="CAP",E745="AIR",D745="provided by"),AND(B745="AIR",OR(E745="MOD",E745="DATA",E745="IF",E745="AG",E745="TOOL"),D745="references"),AND(B745="AIR",E745="AIR",D745="depends on"))),"Invalid relationship",IF(AND(M745&lt;&gt;"Superseded",COUNTIFS($B$4:$B$1003,B745,$C$4:$C$1003,C745,$D$4:$D$1003,D745,$E$4:$E$1003,E745,$F$4:$F$1003,F745,$G$4:$G$1003,G745,$M$4:$M$1003,"&lt;&gt;Superseded")&gt;1),"Duplicate relationship",IF(OR(IF(B745="UC",COUNTIF('Use cases'!$A$4:$A$253,C745),IF(B745="CAP",COUNTIF(Capabilities!$A$4:$A$253,C745),IF(B745="AIR",COUNTIF('System map'!$A$4:$A$203,C745),COUNTIFS(Components!$A$4:$A$253,C745,Components!$B$4:$B$253,B745))))&lt;&gt;1,IF(E745="UC",COUNTIF('Use cases'!$A$4:$A$253,F745),IF(E745="CAP",COUNTIF(Capabilities!$A$4:$A$253,F745),IF(E745="AIR",COUNTIF('System map'!$A$4:$A$203,F745),COUNTIFS(Components!$A$4:$A$253,F745,Components!$B$4:$B$253,E745))))&lt;&gt;1),"Endpoint missing or duplicated",IF(AND(NOT(AND(B745="UC",E745="CAP")),OR(G745="",COUNTIF('System map'!$A$4:$A$203,G745)&lt;&gt;1)),"AIR context missing / unknown",IF(AND(B745="CAP",E745="AIR",G745&lt;&gt;F745),"AIR context mismatch",IF(AND(B745="AIR",G745&lt;&gt;C745),"AIR context mismatch",IF(AND(B745="AIR",E745="AIR",C745=F745),"Self-dependency",IF(AND(B745="AIR",E745="AIR",M745&lt;&gt;"Superseded",COUNTIFS($B$4:$B$1003,"AIR",$C$4:$C$1003,F745,$E$4:$E$1003,"AIR",$F$4:$F$1003,C745,$M$4:$M$1003,"&lt;&gt;Superseded")&gt;0),"Dependency cycle (A↔B) — review",IF(AND(B745="AIR",OR(E745="MOD",E745="DATA",E745="IF",E745="AG",E745="TOOL"),IFERROR(INDEX(Components!$G$4:$G$253,MATCH(F745,Components!$A$4:$A$253,0)),"")&lt;&gt;"",IFERROR(INDEX(Components!$G$4:$G$253,MATCH(F745,Components!$A$4:$A$253,0)),"")&lt;&gt;C745),"Component owned by another AIR-ID",IF(AND(M745="Confirmed",OR(IF(B745="UC",COUNTIFS('Use cases'!$A$4:$A$253,C745,'Use cases'!$I$4:$I$253,"Confirmed",'Use cases'!$J$4:$J$253,"OK — verify source"),IF(B745="CAP",COUNTIFS(Capabilities!$A$4:$A$253,C745,Capabilities!$J$4:$J$253,"Confirmed",Capabilities!$K$4:$K$253,"OK — verify source"),IF(B745="AIR",COUNTIFS('System map'!$A$4:$A$203,C745,'System map'!$B$4:$B$203,"&lt;&gt;",'System map'!$C$4:$C$203,"&lt;&gt;",'System map'!$D$4:$D$203,"&lt;&gt;"),COUNTIFS(Components!$A$4:$A$253,C745,Components!$B$4:$B$253,B745,Components!$K$4:$K$253,"Confirmed",Components!$L$4:$L$253,"OK — verify source"))))&lt;&gt;1,IF(E745="UC",COUNTIFS('Use cases'!$A$4:$A$253,F745,'Use cases'!$I$4:$I$253,"Confirmed",'Use cases'!$J$4:$J$253,"OK — verify source"),IF(E745="CAP",COUNTIFS(Capabilities!$A$4:$A$253,F745,Capabilities!$J$4:$J$253,"Confirmed",Capabilities!$K$4:$K$253,"OK — verify source"),IF(E745="AIR",COUNTIFS('System map'!$A$4:$A$203,F745,'System map'!$B$4:$B$203,"&lt;&gt;",'System map'!$C$4:$C$203,"&lt;&gt;",'System map'!$D$4:$D$203,"&lt;&gt;"),COUNTIFS(Components!$A$4:$A$253,F745,Components!$B$4:$B$253,E745,Components!$K$4:$K$253,"Confirmed",Components!$L$4:$L$253,"OK — verify source"))))&lt;&gt;1)),"Endpoint not source-reconciled",IF(AND(M745="Confirmed",OR(L745="",K745="",K745="Unknown",K745="Low")),"Confirmed link lacks verification","OK — verify source"))))))))))))))</f>
        <v/>
      </c>
    </row>
    <row r="746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6" t="n"/>
      <c r="M746" s="25" t="n"/>
      <c r="N746" s="25">
        <f>IF(COUNTA(A746:M746)=0,"",IF(OR(A746="",B746="",C746="",D746="",E746="",F746="",I746="",J746="",K746="",M746=""),"Required link detail missing",IF(COUNTIF($A$4:$A$1003,A746)&gt;1,"Duplicate Map Edge ID",IF(NOT(OR(AND(B746="UC",E746="CAP",D746="requires"),AND(B746="CAP",E746="AIR",D746="provided by"),AND(B746="AIR",OR(E746="MOD",E746="DATA",E746="IF",E746="AG",E746="TOOL"),D746="references"),AND(B746="AIR",E746="AIR",D746="depends on"))),"Invalid relationship",IF(AND(M746&lt;&gt;"Superseded",COUNTIFS($B$4:$B$1003,B746,$C$4:$C$1003,C746,$D$4:$D$1003,D746,$E$4:$E$1003,E746,$F$4:$F$1003,F746,$G$4:$G$1003,G746,$M$4:$M$1003,"&lt;&gt;Superseded")&gt;1),"Duplicate relationship",IF(OR(IF(B746="UC",COUNTIF('Use cases'!$A$4:$A$253,C746),IF(B746="CAP",COUNTIF(Capabilities!$A$4:$A$253,C746),IF(B746="AIR",COUNTIF('System map'!$A$4:$A$203,C746),COUNTIFS(Components!$A$4:$A$253,C746,Components!$B$4:$B$253,B746))))&lt;&gt;1,IF(E746="UC",COUNTIF('Use cases'!$A$4:$A$253,F746),IF(E746="CAP",COUNTIF(Capabilities!$A$4:$A$253,F746),IF(E746="AIR",COUNTIF('System map'!$A$4:$A$203,F746),COUNTIFS(Components!$A$4:$A$253,F746,Components!$B$4:$B$253,E746))))&lt;&gt;1),"Endpoint missing or duplicated",IF(AND(NOT(AND(B746="UC",E746="CAP")),OR(G746="",COUNTIF('System map'!$A$4:$A$203,G746)&lt;&gt;1)),"AIR context missing / unknown",IF(AND(B746="CAP",E746="AIR",G746&lt;&gt;F746),"AIR context mismatch",IF(AND(B746="AIR",G746&lt;&gt;C746),"AIR context mismatch",IF(AND(B746="AIR",E746="AIR",C746=F746),"Self-dependency",IF(AND(B746="AIR",E746="AIR",M746&lt;&gt;"Superseded",COUNTIFS($B$4:$B$1003,"AIR",$C$4:$C$1003,F746,$E$4:$E$1003,"AIR",$F$4:$F$1003,C746,$M$4:$M$1003,"&lt;&gt;Superseded")&gt;0),"Dependency cycle (A↔B) — review",IF(AND(B746="AIR",OR(E746="MOD",E746="DATA",E746="IF",E746="AG",E746="TOOL"),IFERROR(INDEX(Components!$G$4:$G$253,MATCH(F746,Components!$A$4:$A$253,0)),"")&lt;&gt;"",IFERROR(INDEX(Components!$G$4:$G$253,MATCH(F746,Components!$A$4:$A$253,0)),"")&lt;&gt;C746),"Component owned by another AIR-ID",IF(AND(M746="Confirmed",OR(IF(B746="UC",COUNTIFS('Use cases'!$A$4:$A$253,C746,'Use cases'!$I$4:$I$253,"Confirmed",'Use cases'!$J$4:$J$253,"OK — verify source"),IF(B746="CAP",COUNTIFS(Capabilities!$A$4:$A$253,C746,Capabilities!$J$4:$J$253,"Confirmed",Capabilities!$K$4:$K$253,"OK — verify source"),IF(B746="AIR",COUNTIFS('System map'!$A$4:$A$203,C746,'System map'!$B$4:$B$203,"&lt;&gt;",'System map'!$C$4:$C$203,"&lt;&gt;",'System map'!$D$4:$D$203,"&lt;&gt;"),COUNTIFS(Components!$A$4:$A$253,C746,Components!$B$4:$B$253,B746,Components!$K$4:$K$253,"Confirmed",Components!$L$4:$L$253,"OK — verify source"))))&lt;&gt;1,IF(E746="UC",COUNTIFS('Use cases'!$A$4:$A$253,F746,'Use cases'!$I$4:$I$253,"Confirmed",'Use cases'!$J$4:$J$253,"OK — verify source"),IF(E746="CAP",COUNTIFS(Capabilities!$A$4:$A$253,F746,Capabilities!$J$4:$J$253,"Confirmed",Capabilities!$K$4:$K$253,"OK — verify source"),IF(E746="AIR",COUNTIFS('System map'!$A$4:$A$203,F746,'System map'!$B$4:$B$203,"&lt;&gt;",'System map'!$C$4:$C$203,"&lt;&gt;",'System map'!$D$4:$D$203,"&lt;&gt;"),COUNTIFS(Components!$A$4:$A$253,F746,Components!$B$4:$B$253,E746,Components!$K$4:$K$253,"Confirmed",Components!$L$4:$L$253,"OK — verify source"))))&lt;&gt;1)),"Endpoint not source-reconciled",IF(AND(M746="Confirmed",OR(L746="",K746="",K746="Unknown",K746="Low")),"Confirmed link lacks verification","OK — verify source"))))))))))))))</f>
        <v/>
      </c>
    </row>
    <row r="747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8" t="n"/>
      <c r="M747" s="27" t="n"/>
      <c r="N747" s="27">
        <f>IF(COUNTA(A747:M747)=0,"",IF(OR(A747="",B747="",C747="",D747="",E747="",F747="",I747="",J747="",K747="",M747=""),"Required link detail missing",IF(COUNTIF($A$4:$A$1003,A747)&gt;1,"Duplicate Map Edge ID",IF(NOT(OR(AND(B747="UC",E747="CAP",D747="requires"),AND(B747="CAP",E747="AIR",D747="provided by"),AND(B747="AIR",OR(E747="MOD",E747="DATA",E747="IF",E747="AG",E747="TOOL"),D747="references"),AND(B747="AIR",E747="AIR",D747="depends on"))),"Invalid relationship",IF(AND(M747&lt;&gt;"Superseded",COUNTIFS($B$4:$B$1003,B747,$C$4:$C$1003,C747,$D$4:$D$1003,D747,$E$4:$E$1003,E747,$F$4:$F$1003,F747,$G$4:$G$1003,G747,$M$4:$M$1003,"&lt;&gt;Superseded")&gt;1),"Duplicate relationship",IF(OR(IF(B747="UC",COUNTIF('Use cases'!$A$4:$A$253,C747),IF(B747="CAP",COUNTIF(Capabilities!$A$4:$A$253,C747),IF(B747="AIR",COUNTIF('System map'!$A$4:$A$203,C747),COUNTIFS(Components!$A$4:$A$253,C747,Components!$B$4:$B$253,B747))))&lt;&gt;1,IF(E747="UC",COUNTIF('Use cases'!$A$4:$A$253,F747),IF(E747="CAP",COUNTIF(Capabilities!$A$4:$A$253,F747),IF(E747="AIR",COUNTIF('System map'!$A$4:$A$203,F747),COUNTIFS(Components!$A$4:$A$253,F747,Components!$B$4:$B$253,E747))))&lt;&gt;1),"Endpoint missing or duplicated",IF(AND(NOT(AND(B747="UC",E747="CAP")),OR(G747="",COUNTIF('System map'!$A$4:$A$203,G747)&lt;&gt;1)),"AIR context missing / unknown",IF(AND(B747="CAP",E747="AIR",G747&lt;&gt;F747),"AIR context mismatch",IF(AND(B747="AIR",G747&lt;&gt;C747),"AIR context mismatch",IF(AND(B747="AIR",E747="AIR",C747=F747),"Self-dependency",IF(AND(B747="AIR",E747="AIR",M747&lt;&gt;"Superseded",COUNTIFS($B$4:$B$1003,"AIR",$C$4:$C$1003,F747,$E$4:$E$1003,"AIR",$F$4:$F$1003,C747,$M$4:$M$1003,"&lt;&gt;Superseded")&gt;0),"Dependency cycle (A↔B) — review",IF(AND(B747="AIR",OR(E747="MOD",E747="DATA",E747="IF",E747="AG",E747="TOOL"),IFERROR(INDEX(Components!$G$4:$G$253,MATCH(F747,Components!$A$4:$A$253,0)),"")&lt;&gt;"",IFERROR(INDEX(Components!$G$4:$G$253,MATCH(F747,Components!$A$4:$A$253,0)),"")&lt;&gt;C747),"Component owned by another AIR-ID",IF(AND(M747="Confirmed",OR(IF(B747="UC",COUNTIFS('Use cases'!$A$4:$A$253,C747,'Use cases'!$I$4:$I$253,"Confirmed",'Use cases'!$J$4:$J$253,"OK — verify source"),IF(B747="CAP",COUNTIFS(Capabilities!$A$4:$A$253,C747,Capabilities!$J$4:$J$253,"Confirmed",Capabilities!$K$4:$K$253,"OK — verify source"),IF(B747="AIR",COUNTIFS('System map'!$A$4:$A$203,C747,'System map'!$B$4:$B$203,"&lt;&gt;",'System map'!$C$4:$C$203,"&lt;&gt;",'System map'!$D$4:$D$203,"&lt;&gt;"),COUNTIFS(Components!$A$4:$A$253,C747,Components!$B$4:$B$253,B747,Components!$K$4:$K$253,"Confirmed",Components!$L$4:$L$253,"OK — verify source"))))&lt;&gt;1,IF(E747="UC",COUNTIFS('Use cases'!$A$4:$A$253,F747,'Use cases'!$I$4:$I$253,"Confirmed",'Use cases'!$J$4:$J$253,"OK — verify source"),IF(E747="CAP",COUNTIFS(Capabilities!$A$4:$A$253,F747,Capabilities!$J$4:$J$253,"Confirmed",Capabilities!$K$4:$K$253,"OK — verify source"),IF(E747="AIR",COUNTIFS('System map'!$A$4:$A$203,F747,'System map'!$B$4:$B$203,"&lt;&gt;",'System map'!$C$4:$C$203,"&lt;&gt;",'System map'!$D$4:$D$203,"&lt;&gt;"),COUNTIFS(Components!$A$4:$A$253,F747,Components!$B$4:$B$253,E747,Components!$K$4:$K$253,"Confirmed",Components!$L$4:$L$253,"OK — verify source"))))&lt;&gt;1)),"Endpoint not source-reconciled",IF(AND(M747="Confirmed",OR(L747="",K747="",K747="Unknown",K747="Low")),"Confirmed link lacks verification","OK — verify source"))))))))))))))</f>
        <v/>
      </c>
    </row>
    <row r="748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6" t="n"/>
      <c r="M748" s="25" t="n"/>
      <c r="N748" s="25">
        <f>IF(COUNTA(A748:M748)=0,"",IF(OR(A748="",B748="",C748="",D748="",E748="",F748="",I748="",J748="",K748="",M748=""),"Required link detail missing",IF(COUNTIF($A$4:$A$1003,A748)&gt;1,"Duplicate Map Edge ID",IF(NOT(OR(AND(B748="UC",E748="CAP",D748="requires"),AND(B748="CAP",E748="AIR",D748="provided by"),AND(B748="AIR",OR(E748="MOD",E748="DATA",E748="IF",E748="AG",E748="TOOL"),D748="references"),AND(B748="AIR",E748="AIR",D748="depends on"))),"Invalid relationship",IF(AND(M748&lt;&gt;"Superseded",COUNTIFS($B$4:$B$1003,B748,$C$4:$C$1003,C748,$D$4:$D$1003,D748,$E$4:$E$1003,E748,$F$4:$F$1003,F748,$G$4:$G$1003,G748,$M$4:$M$1003,"&lt;&gt;Superseded")&gt;1),"Duplicate relationship",IF(OR(IF(B748="UC",COUNTIF('Use cases'!$A$4:$A$253,C748),IF(B748="CAP",COUNTIF(Capabilities!$A$4:$A$253,C748),IF(B748="AIR",COUNTIF('System map'!$A$4:$A$203,C748),COUNTIFS(Components!$A$4:$A$253,C748,Components!$B$4:$B$253,B748))))&lt;&gt;1,IF(E748="UC",COUNTIF('Use cases'!$A$4:$A$253,F748),IF(E748="CAP",COUNTIF(Capabilities!$A$4:$A$253,F748),IF(E748="AIR",COUNTIF('System map'!$A$4:$A$203,F748),COUNTIFS(Components!$A$4:$A$253,F748,Components!$B$4:$B$253,E748))))&lt;&gt;1),"Endpoint missing or duplicated",IF(AND(NOT(AND(B748="UC",E748="CAP")),OR(G748="",COUNTIF('System map'!$A$4:$A$203,G748)&lt;&gt;1)),"AIR context missing / unknown",IF(AND(B748="CAP",E748="AIR",G748&lt;&gt;F748),"AIR context mismatch",IF(AND(B748="AIR",G748&lt;&gt;C748),"AIR context mismatch",IF(AND(B748="AIR",E748="AIR",C748=F748),"Self-dependency",IF(AND(B748="AIR",E748="AIR",M748&lt;&gt;"Superseded",COUNTIFS($B$4:$B$1003,"AIR",$C$4:$C$1003,F748,$E$4:$E$1003,"AIR",$F$4:$F$1003,C748,$M$4:$M$1003,"&lt;&gt;Superseded")&gt;0),"Dependency cycle (A↔B) — review",IF(AND(B748="AIR",OR(E748="MOD",E748="DATA",E748="IF",E748="AG",E748="TOOL"),IFERROR(INDEX(Components!$G$4:$G$253,MATCH(F748,Components!$A$4:$A$253,0)),"")&lt;&gt;"",IFERROR(INDEX(Components!$G$4:$G$253,MATCH(F748,Components!$A$4:$A$253,0)),"")&lt;&gt;C748),"Component owned by another AIR-ID",IF(AND(M748="Confirmed",OR(IF(B748="UC",COUNTIFS('Use cases'!$A$4:$A$253,C748,'Use cases'!$I$4:$I$253,"Confirmed",'Use cases'!$J$4:$J$253,"OK — verify source"),IF(B748="CAP",COUNTIFS(Capabilities!$A$4:$A$253,C748,Capabilities!$J$4:$J$253,"Confirmed",Capabilities!$K$4:$K$253,"OK — verify source"),IF(B748="AIR",COUNTIFS('System map'!$A$4:$A$203,C748,'System map'!$B$4:$B$203,"&lt;&gt;",'System map'!$C$4:$C$203,"&lt;&gt;",'System map'!$D$4:$D$203,"&lt;&gt;"),COUNTIFS(Components!$A$4:$A$253,C748,Components!$B$4:$B$253,B748,Components!$K$4:$K$253,"Confirmed",Components!$L$4:$L$253,"OK — verify source"))))&lt;&gt;1,IF(E748="UC",COUNTIFS('Use cases'!$A$4:$A$253,F748,'Use cases'!$I$4:$I$253,"Confirmed",'Use cases'!$J$4:$J$253,"OK — verify source"),IF(E748="CAP",COUNTIFS(Capabilities!$A$4:$A$253,F748,Capabilities!$J$4:$J$253,"Confirmed",Capabilities!$K$4:$K$253,"OK — verify source"),IF(E748="AIR",COUNTIFS('System map'!$A$4:$A$203,F748,'System map'!$B$4:$B$203,"&lt;&gt;",'System map'!$C$4:$C$203,"&lt;&gt;",'System map'!$D$4:$D$203,"&lt;&gt;"),COUNTIFS(Components!$A$4:$A$253,F748,Components!$B$4:$B$253,E748,Components!$K$4:$K$253,"Confirmed",Components!$L$4:$L$253,"OK — verify source"))))&lt;&gt;1)),"Endpoint not source-reconciled",IF(AND(M748="Confirmed",OR(L748="",K748="",K748="Unknown",K748="Low")),"Confirmed link lacks verification","OK — verify source"))))))))))))))</f>
        <v/>
      </c>
    </row>
    <row r="749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8" t="n"/>
      <c r="M749" s="27" t="n"/>
      <c r="N749" s="27">
        <f>IF(COUNTA(A749:M749)=0,"",IF(OR(A749="",B749="",C749="",D749="",E749="",F749="",I749="",J749="",K749="",M749=""),"Required link detail missing",IF(COUNTIF($A$4:$A$1003,A749)&gt;1,"Duplicate Map Edge ID",IF(NOT(OR(AND(B749="UC",E749="CAP",D749="requires"),AND(B749="CAP",E749="AIR",D749="provided by"),AND(B749="AIR",OR(E749="MOD",E749="DATA",E749="IF",E749="AG",E749="TOOL"),D749="references"),AND(B749="AIR",E749="AIR",D749="depends on"))),"Invalid relationship",IF(AND(M749&lt;&gt;"Superseded",COUNTIFS($B$4:$B$1003,B749,$C$4:$C$1003,C749,$D$4:$D$1003,D749,$E$4:$E$1003,E749,$F$4:$F$1003,F749,$G$4:$G$1003,G749,$M$4:$M$1003,"&lt;&gt;Superseded")&gt;1),"Duplicate relationship",IF(OR(IF(B749="UC",COUNTIF('Use cases'!$A$4:$A$253,C749),IF(B749="CAP",COUNTIF(Capabilities!$A$4:$A$253,C749),IF(B749="AIR",COUNTIF('System map'!$A$4:$A$203,C749),COUNTIFS(Components!$A$4:$A$253,C749,Components!$B$4:$B$253,B749))))&lt;&gt;1,IF(E749="UC",COUNTIF('Use cases'!$A$4:$A$253,F749),IF(E749="CAP",COUNTIF(Capabilities!$A$4:$A$253,F749),IF(E749="AIR",COUNTIF('System map'!$A$4:$A$203,F749),COUNTIFS(Components!$A$4:$A$253,F749,Components!$B$4:$B$253,E749))))&lt;&gt;1),"Endpoint missing or duplicated",IF(AND(NOT(AND(B749="UC",E749="CAP")),OR(G749="",COUNTIF('System map'!$A$4:$A$203,G749)&lt;&gt;1)),"AIR context missing / unknown",IF(AND(B749="CAP",E749="AIR",G749&lt;&gt;F749),"AIR context mismatch",IF(AND(B749="AIR",G749&lt;&gt;C749),"AIR context mismatch",IF(AND(B749="AIR",E749="AIR",C749=F749),"Self-dependency",IF(AND(B749="AIR",E749="AIR",M749&lt;&gt;"Superseded",COUNTIFS($B$4:$B$1003,"AIR",$C$4:$C$1003,F749,$E$4:$E$1003,"AIR",$F$4:$F$1003,C749,$M$4:$M$1003,"&lt;&gt;Superseded")&gt;0),"Dependency cycle (A↔B) — review",IF(AND(B749="AIR",OR(E749="MOD",E749="DATA",E749="IF",E749="AG",E749="TOOL"),IFERROR(INDEX(Components!$G$4:$G$253,MATCH(F749,Components!$A$4:$A$253,0)),"")&lt;&gt;"",IFERROR(INDEX(Components!$G$4:$G$253,MATCH(F749,Components!$A$4:$A$253,0)),"")&lt;&gt;C749),"Component owned by another AIR-ID",IF(AND(M749="Confirmed",OR(IF(B749="UC",COUNTIFS('Use cases'!$A$4:$A$253,C749,'Use cases'!$I$4:$I$253,"Confirmed",'Use cases'!$J$4:$J$253,"OK — verify source"),IF(B749="CAP",COUNTIFS(Capabilities!$A$4:$A$253,C749,Capabilities!$J$4:$J$253,"Confirmed",Capabilities!$K$4:$K$253,"OK — verify source"),IF(B749="AIR",COUNTIFS('System map'!$A$4:$A$203,C749,'System map'!$B$4:$B$203,"&lt;&gt;",'System map'!$C$4:$C$203,"&lt;&gt;",'System map'!$D$4:$D$203,"&lt;&gt;"),COUNTIFS(Components!$A$4:$A$253,C749,Components!$B$4:$B$253,B749,Components!$K$4:$K$253,"Confirmed",Components!$L$4:$L$253,"OK — verify source"))))&lt;&gt;1,IF(E749="UC",COUNTIFS('Use cases'!$A$4:$A$253,F749,'Use cases'!$I$4:$I$253,"Confirmed",'Use cases'!$J$4:$J$253,"OK — verify source"),IF(E749="CAP",COUNTIFS(Capabilities!$A$4:$A$253,F749,Capabilities!$J$4:$J$253,"Confirmed",Capabilities!$K$4:$K$253,"OK — verify source"),IF(E749="AIR",COUNTIFS('System map'!$A$4:$A$203,F749,'System map'!$B$4:$B$203,"&lt;&gt;",'System map'!$C$4:$C$203,"&lt;&gt;",'System map'!$D$4:$D$203,"&lt;&gt;"),COUNTIFS(Components!$A$4:$A$253,F749,Components!$B$4:$B$253,E749,Components!$K$4:$K$253,"Confirmed",Components!$L$4:$L$253,"OK — verify source"))))&lt;&gt;1)),"Endpoint not source-reconciled",IF(AND(M749="Confirmed",OR(L749="",K749="",K749="Unknown",K749="Low")),"Confirmed link lacks verification","OK — verify source"))))))))))))))</f>
        <v/>
      </c>
    </row>
    <row r="750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6" t="n"/>
      <c r="M750" s="25" t="n"/>
      <c r="N750" s="25">
        <f>IF(COUNTA(A750:M750)=0,"",IF(OR(A750="",B750="",C750="",D750="",E750="",F750="",I750="",J750="",K750="",M750=""),"Required link detail missing",IF(COUNTIF($A$4:$A$1003,A750)&gt;1,"Duplicate Map Edge ID",IF(NOT(OR(AND(B750="UC",E750="CAP",D750="requires"),AND(B750="CAP",E750="AIR",D750="provided by"),AND(B750="AIR",OR(E750="MOD",E750="DATA",E750="IF",E750="AG",E750="TOOL"),D750="references"),AND(B750="AIR",E750="AIR",D750="depends on"))),"Invalid relationship",IF(AND(M750&lt;&gt;"Superseded",COUNTIFS($B$4:$B$1003,B750,$C$4:$C$1003,C750,$D$4:$D$1003,D750,$E$4:$E$1003,E750,$F$4:$F$1003,F750,$G$4:$G$1003,G750,$M$4:$M$1003,"&lt;&gt;Superseded")&gt;1),"Duplicate relationship",IF(OR(IF(B750="UC",COUNTIF('Use cases'!$A$4:$A$253,C750),IF(B750="CAP",COUNTIF(Capabilities!$A$4:$A$253,C750),IF(B750="AIR",COUNTIF('System map'!$A$4:$A$203,C750),COUNTIFS(Components!$A$4:$A$253,C750,Components!$B$4:$B$253,B750))))&lt;&gt;1,IF(E750="UC",COUNTIF('Use cases'!$A$4:$A$253,F750),IF(E750="CAP",COUNTIF(Capabilities!$A$4:$A$253,F750),IF(E750="AIR",COUNTIF('System map'!$A$4:$A$203,F750),COUNTIFS(Components!$A$4:$A$253,F750,Components!$B$4:$B$253,E750))))&lt;&gt;1),"Endpoint missing or duplicated",IF(AND(NOT(AND(B750="UC",E750="CAP")),OR(G750="",COUNTIF('System map'!$A$4:$A$203,G750)&lt;&gt;1)),"AIR context missing / unknown",IF(AND(B750="CAP",E750="AIR",G750&lt;&gt;F750),"AIR context mismatch",IF(AND(B750="AIR",G750&lt;&gt;C750),"AIR context mismatch",IF(AND(B750="AIR",E750="AIR",C750=F750),"Self-dependency",IF(AND(B750="AIR",E750="AIR",M750&lt;&gt;"Superseded",COUNTIFS($B$4:$B$1003,"AIR",$C$4:$C$1003,F750,$E$4:$E$1003,"AIR",$F$4:$F$1003,C750,$M$4:$M$1003,"&lt;&gt;Superseded")&gt;0),"Dependency cycle (A↔B) — review",IF(AND(B750="AIR",OR(E750="MOD",E750="DATA",E750="IF",E750="AG",E750="TOOL"),IFERROR(INDEX(Components!$G$4:$G$253,MATCH(F750,Components!$A$4:$A$253,0)),"")&lt;&gt;"",IFERROR(INDEX(Components!$G$4:$G$253,MATCH(F750,Components!$A$4:$A$253,0)),"")&lt;&gt;C750),"Component owned by another AIR-ID",IF(AND(M750="Confirmed",OR(IF(B750="UC",COUNTIFS('Use cases'!$A$4:$A$253,C750,'Use cases'!$I$4:$I$253,"Confirmed",'Use cases'!$J$4:$J$253,"OK — verify source"),IF(B750="CAP",COUNTIFS(Capabilities!$A$4:$A$253,C750,Capabilities!$J$4:$J$253,"Confirmed",Capabilities!$K$4:$K$253,"OK — verify source"),IF(B750="AIR",COUNTIFS('System map'!$A$4:$A$203,C750,'System map'!$B$4:$B$203,"&lt;&gt;",'System map'!$C$4:$C$203,"&lt;&gt;",'System map'!$D$4:$D$203,"&lt;&gt;"),COUNTIFS(Components!$A$4:$A$253,C750,Components!$B$4:$B$253,B750,Components!$K$4:$K$253,"Confirmed",Components!$L$4:$L$253,"OK — verify source"))))&lt;&gt;1,IF(E750="UC",COUNTIFS('Use cases'!$A$4:$A$253,F750,'Use cases'!$I$4:$I$253,"Confirmed",'Use cases'!$J$4:$J$253,"OK — verify source"),IF(E750="CAP",COUNTIFS(Capabilities!$A$4:$A$253,F750,Capabilities!$J$4:$J$253,"Confirmed",Capabilities!$K$4:$K$253,"OK — verify source"),IF(E750="AIR",COUNTIFS('System map'!$A$4:$A$203,F750,'System map'!$B$4:$B$203,"&lt;&gt;",'System map'!$C$4:$C$203,"&lt;&gt;",'System map'!$D$4:$D$203,"&lt;&gt;"),COUNTIFS(Components!$A$4:$A$253,F750,Components!$B$4:$B$253,E750,Components!$K$4:$K$253,"Confirmed",Components!$L$4:$L$253,"OK — verify source"))))&lt;&gt;1)),"Endpoint not source-reconciled",IF(AND(M750="Confirmed",OR(L750="",K750="",K750="Unknown",K750="Low")),"Confirmed link lacks verification","OK — verify source"))))))))))))))</f>
        <v/>
      </c>
    </row>
    <row r="751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8" t="n"/>
      <c r="M751" s="27" t="n"/>
      <c r="N751" s="27">
        <f>IF(COUNTA(A751:M751)=0,"",IF(OR(A751="",B751="",C751="",D751="",E751="",F751="",I751="",J751="",K751="",M751=""),"Required link detail missing",IF(COUNTIF($A$4:$A$1003,A751)&gt;1,"Duplicate Map Edge ID",IF(NOT(OR(AND(B751="UC",E751="CAP",D751="requires"),AND(B751="CAP",E751="AIR",D751="provided by"),AND(B751="AIR",OR(E751="MOD",E751="DATA",E751="IF",E751="AG",E751="TOOL"),D751="references"),AND(B751="AIR",E751="AIR",D751="depends on"))),"Invalid relationship",IF(AND(M751&lt;&gt;"Superseded",COUNTIFS($B$4:$B$1003,B751,$C$4:$C$1003,C751,$D$4:$D$1003,D751,$E$4:$E$1003,E751,$F$4:$F$1003,F751,$G$4:$G$1003,G751,$M$4:$M$1003,"&lt;&gt;Superseded")&gt;1),"Duplicate relationship",IF(OR(IF(B751="UC",COUNTIF('Use cases'!$A$4:$A$253,C751),IF(B751="CAP",COUNTIF(Capabilities!$A$4:$A$253,C751),IF(B751="AIR",COUNTIF('System map'!$A$4:$A$203,C751),COUNTIFS(Components!$A$4:$A$253,C751,Components!$B$4:$B$253,B751))))&lt;&gt;1,IF(E751="UC",COUNTIF('Use cases'!$A$4:$A$253,F751),IF(E751="CAP",COUNTIF(Capabilities!$A$4:$A$253,F751),IF(E751="AIR",COUNTIF('System map'!$A$4:$A$203,F751),COUNTIFS(Components!$A$4:$A$253,F751,Components!$B$4:$B$253,E751))))&lt;&gt;1),"Endpoint missing or duplicated",IF(AND(NOT(AND(B751="UC",E751="CAP")),OR(G751="",COUNTIF('System map'!$A$4:$A$203,G751)&lt;&gt;1)),"AIR context missing / unknown",IF(AND(B751="CAP",E751="AIR",G751&lt;&gt;F751),"AIR context mismatch",IF(AND(B751="AIR",G751&lt;&gt;C751),"AIR context mismatch",IF(AND(B751="AIR",E751="AIR",C751=F751),"Self-dependency",IF(AND(B751="AIR",E751="AIR",M751&lt;&gt;"Superseded",COUNTIFS($B$4:$B$1003,"AIR",$C$4:$C$1003,F751,$E$4:$E$1003,"AIR",$F$4:$F$1003,C751,$M$4:$M$1003,"&lt;&gt;Superseded")&gt;0),"Dependency cycle (A↔B) — review",IF(AND(B751="AIR",OR(E751="MOD",E751="DATA",E751="IF",E751="AG",E751="TOOL"),IFERROR(INDEX(Components!$G$4:$G$253,MATCH(F751,Components!$A$4:$A$253,0)),"")&lt;&gt;"",IFERROR(INDEX(Components!$G$4:$G$253,MATCH(F751,Components!$A$4:$A$253,0)),"")&lt;&gt;C751),"Component owned by another AIR-ID",IF(AND(M751="Confirmed",OR(IF(B751="UC",COUNTIFS('Use cases'!$A$4:$A$253,C751,'Use cases'!$I$4:$I$253,"Confirmed",'Use cases'!$J$4:$J$253,"OK — verify source"),IF(B751="CAP",COUNTIFS(Capabilities!$A$4:$A$253,C751,Capabilities!$J$4:$J$253,"Confirmed",Capabilities!$K$4:$K$253,"OK — verify source"),IF(B751="AIR",COUNTIFS('System map'!$A$4:$A$203,C751,'System map'!$B$4:$B$203,"&lt;&gt;",'System map'!$C$4:$C$203,"&lt;&gt;",'System map'!$D$4:$D$203,"&lt;&gt;"),COUNTIFS(Components!$A$4:$A$253,C751,Components!$B$4:$B$253,B751,Components!$K$4:$K$253,"Confirmed",Components!$L$4:$L$253,"OK — verify source"))))&lt;&gt;1,IF(E751="UC",COUNTIFS('Use cases'!$A$4:$A$253,F751,'Use cases'!$I$4:$I$253,"Confirmed",'Use cases'!$J$4:$J$253,"OK — verify source"),IF(E751="CAP",COUNTIFS(Capabilities!$A$4:$A$253,F751,Capabilities!$J$4:$J$253,"Confirmed",Capabilities!$K$4:$K$253,"OK — verify source"),IF(E751="AIR",COUNTIFS('System map'!$A$4:$A$203,F751,'System map'!$B$4:$B$203,"&lt;&gt;",'System map'!$C$4:$C$203,"&lt;&gt;",'System map'!$D$4:$D$203,"&lt;&gt;"),COUNTIFS(Components!$A$4:$A$253,F751,Components!$B$4:$B$253,E751,Components!$K$4:$K$253,"Confirmed",Components!$L$4:$L$253,"OK — verify source"))))&lt;&gt;1)),"Endpoint not source-reconciled",IF(AND(M751="Confirmed",OR(L751="",K751="",K751="Unknown",K751="Low")),"Confirmed link lacks verification","OK — verify source"))))))))))))))</f>
        <v/>
      </c>
    </row>
    <row r="752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6" t="n"/>
      <c r="M752" s="25" t="n"/>
      <c r="N752" s="25">
        <f>IF(COUNTA(A752:M752)=0,"",IF(OR(A752="",B752="",C752="",D752="",E752="",F752="",I752="",J752="",K752="",M752=""),"Required link detail missing",IF(COUNTIF($A$4:$A$1003,A752)&gt;1,"Duplicate Map Edge ID",IF(NOT(OR(AND(B752="UC",E752="CAP",D752="requires"),AND(B752="CAP",E752="AIR",D752="provided by"),AND(B752="AIR",OR(E752="MOD",E752="DATA",E752="IF",E752="AG",E752="TOOL"),D752="references"),AND(B752="AIR",E752="AIR",D752="depends on"))),"Invalid relationship",IF(AND(M752&lt;&gt;"Superseded",COUNTIFS($B$4:$B$1003,B752,$C$4:$C$1003,C752,$D$4:$D$1003,D752,$E$4:$E$1003,E752,$F$4:$F$1003,F752,$G$4:$G$1003,G752,$M$4:$M$1003,"&lt;&gt;Superseded")&gt;1),"Duplicate relationship",IF(OR(IF(B752="UC",COUNTIF('Use cases'!$A$4:$A$253,C752),IF(B752="CAP",COUNTIF(Capabilities!$A$4:$A$253,C752),IF(B752="AIR",COUNTIF('System map'!$A$4:$A$203,C752),COUNTIFS(Components!$A$4:$A$253,C752,Components!$B$4:$B$253,B752))))&lt;&gt;1,IF(E752="UC",COUNTIF('Use cases'!$A$4:$A$253,F752),IF(E752="CAP",COUNTIF(Capabilities!$A$4:$A$253,F752),IF(E752="AIR",COUNTIF('System map'!$A$4:$A$203,F752),COUNTIFS(Components!$A$4:$A$253,F752,Components!$B$4:$B$253,E752))))&lt;&gt;1),"Endpoint missing or duplicated",IF(AND(NOT(AND(B752="UC",E752="CAP")),OR(G752="",COUNTIF('System map'!$A$4:$A$203,G752)&lt;&gt;1)),"AIR context missing / unknown",IF(AND(B752="CAP",E752="AIR",G752&lt;&gt;F752),"AIR context mismatch",IF(AND(B752="AIR",G752&lt;&gt;C752),"AIR context mismatch",IF(AND(B752="AIR",E752="AIR",C752=F752),"Self-dependency",IF(AND(B752="AIR",E752="AIR",M752&lt;&gt;"Superseded",COUNTIFS($B$4:$B$1003,"AIR",$C$4:$C$1003,F752,$E$4:$E$1003,"AIR",$F$4:$F$1003,C752,$M$4:$M$1003,"&lt;&gt;Superseded")&gt;0),"Dependency cycle (A↔B) — review",IF(AND(B752="AIR",OR(E752="MOD",E752="DATA",E752="IF",E752="AG",E752="TOOL"),IFERROR(INDEX(Components!$G$4:$G$253,MATCH(F752,Components!$A$4:$A$253,0)),"")&lt;&gt;"",IFERROR(INDEX(Components!$G$4:$G$253,MATCH(F752,Components!$A$4:$A$253,0)),"")&lt;&gt;C752),"Component owned by another AIR-ID",IF(AND(M752="Confirmed",OR(IF(B752="UC",COUNTIFS('Use cases'!$A$4:$A$253,C752,'Use cases'!$I$4:$I$253,"Confirmed",'Use cases'!$J$4:$J$253,"OK — verify source"),IF(B752="CAP",COUNTIFS(Capabilities!$A$4:$A$253,C752,Capabilities!$J$4:$J$253,"Confirmed",Capabilities!$K$4:$K$253,"OK — verify source"),IF(B752="AIR",COUNTIFS('System map'!$A$4:$A$203,C752,'System map'!$B$4:$B$203,"&lt;&gt;",'System map'!$C$4:$C$203,"&lt;&gt;",'System map'!$D$4:$D$203,"&lt;&gt;"),COUNTIFS(Components!$A$4:$A$253,C752,Components!$B$4:$B$253,B752,Components!$K$4:$K$253,"Confirmed",Components!$L$4:$L$253,"OK — verify source"))))&lt;&gt;1,IF(E752="UC",COUNTIFS('Use cases'!$A$4:$A$253,F752,'Use cases'!$I$4:$I$253,"Confirmed",'Use cases'!$J$4:$J$253,"OK — verify source"),IF(E752="CAP",COUNTIFS(Capabilities!$A$4:$A$253,F752,Capabilities!$J$4:$J$253,"Confirmed",Capabilities!$K$4:$K$253,"OK — verify source"),IF(E752="AIR",COUNTIFS('System map'!$A$4:$A$203,F752,'System map'!$B$4:$B$203,"&lt;&gt;",'System map'!$C$4:$C$203,"&lt;&gt;",'System map'!$D$4:$D$203,"&lt;&gt;"),COUNTIFS(Components!$A$4:$A$253,F752,Components!$B$4:$B$253,E752,Components!$K$4:$K$253,"Confirmed",Components!$L$4:$L$253,"OK — verify source"))))&lt;&gt;1)),"Endpoint not source-reconciled",IF(AND(M752="Confirmed",OR(L752="",K752="",K752="Unknown",K752="Low")),"Confirmed link lacks verification","OK — verify source"))))))))))))))</f>
        <v/>
      </c>
    </row>
    <row r="753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8" t="n"/>
      <c r="M753" s="27" t="n"/>
      <c r="N753" s="27">
        <f>IF(COUNTA(A753:M753)=0,"",IF(OR(A753="",B753="",C753="",D753="",E753="",F753="",I753="",J753="",K753="",M753=""),"Required link detail missing",IF(COUNTIF($A$4:$A$1003,A753)&gt;1,"Duplicate Map Edge ID",IF(NOT(OR(AND(B753="UC",E753="CAP",D753="requires"),AND(B753="CAP",E753="AIR",D753="provided by"),AND(B753="AIR",OR(E753="MOD",E753="DATA",E753="IF",E753="AG",E753="TOOL"),D753="references"),AND(B753="AIR",E753="AIR",D753="depends on"))),"Invalid relationship",IF(AND(M753&lt;&gt;"Superseded",COUNTIFS($B$4:$B$1003,B753,$C$4:$C$1003,C753,$D$4:$D$1003,D753,$E$4:$E$1003,E753,$F$4:$F$1003,F753,$G$4:$G$1003,G753,$M$4:$M$1003,"&lt;&gt;Superseded")&gt;1),"Duplicate relationship",IF(OR(IF(B753="UC",COUNTIF('Use cases'!$A$4:$A$253,C753),IF(B753="CAP",COUNTIF(Capabilities!$A$4:$A$253,C753),IF(B753="AIR",COUNTIF('System map'!$A$4:$A$203,C753),COUNTIFS(Components!$A$4:$A$253,C753,Components!$B$4:$B$253,B753))))&lt;&gt;1,IF(E753="UC",COUNTIF('Use cases'!$A$4:$A$253,F753),IF(E753="CAP",COUNTIF(Capabilities!$A$4:$A$253,F753),IF(E753="AIR",COUNTIF('System map'!$A$4:$A$203,F753),COUNTIFS(Components!$A$4:$A$253,F753,Components!$B$4:$B$253,E753))))&lt;&gt;1),"Endpoint missing or duplicated",IF(AND(NOT(AND(B753="UC",E753="CAP")),OR(G753="",COUNTIF('System map'!$A$4:$A$203,G753)&lt;&gt;1)),"AIR context missing / unknown",IF(AND(B753="CAP",E753="AIR",G753&lt;&gt;F753),"AIR context mismatch",IF(AND(B753="AIR",G753&lt;&gt;C753),"AIR context mismatch",IF(AND(B753="AIR",E753="AIR",C753=F753),"Self-dependency",IF(AND(B753="AIR",E753="AIR",M753&lt;&gt;"Superseded",COUNTIFS($B$4:$B$1003,"AIR",$C$4:$C$1003,F753,$E$4:$E$1003,"AIR",$F$4:$F$1003,C753,$M$4:$M$1003,"&lt;&gt;Superseded")&gt;0),"Dependency cycle (A↔B) — review",IF(AND(B753="AIR",OR(E753="MOD",E753="DATA",E753="IF",E753="AG",E753="TOOL"),IFERROR(INDEX(Components!$G$4:$G$253,MATCH(F753,Components!$A$4:$A$253,0)),"")&lt;&gt;"",IFERROR(INDEX(Components!$G$4:$G$253,MATCH(F753,Components!$A$4:$A$253,0)),"")&lt;&gt;C753),"Component owned by another AIR-ID",IF(AND(M753="Confirmed",OR(IF(B753="UC",COUNTIFS('Use cases'!$A$4:$A$253,C753,'Use cases'!$I$4:$I$253,"Confirmed",'Use cases'!$J$4:$J$253,"OK — verify source"),IF(B753="CAP",COUNTIFS(Capabilities!$A$4:$A$253,C753,Capabilities!$J$4:$J$253,"Confirmed",Capabilities!$K$4:$K$253,"OK — verify source"),IF(B753="AIR",COUNTIFS('System map'!$A$4:$A$203,C753,'System map'!$B$4:$B$203,"&lt;&gt;",'System map'!$C$4:$C$203,"&lt;&gt;",'System map'!$D$4:$D$203,"&lt;&gt;"),COUNTIFS(Components!$A$4:$A$253,C753,Components!$B$4:$B$253,B753,Components!$K$4:$K$253,"Confirmed",Components!$L$4:$L$253,"OK — verify source"))))&lt;&gt;1,IF(E753="UC",COUNTIFS('Use cases'!$A$4:$A$253,F753,'Use cases'!$I$4:$I$253,"Confirmed",'Use cases'!$J$4:$J$253,"OK — verify source"),IF(E753="CAP",COUNTIFS(Capabilities!$A$4:$A$253,F753,Capabilities!$J$4:$J$253,"Confirmed",Capabilities!$K$4:$K$253,"OK — verify source"),IF(E753="AIR",COUNTIFS('System map'!$A$4:$A$203,F753,'System map'!$B$4:$B$203,"&lt;&gt;",'System map'!$C$4:$C$203,"&lt;&gt;",'System map'!$D$4:$D$203,"&lt;&gt;"),COUNTIFS(Components!$A$4:$A$253,F753,Components!$B$4:$B$253,E753,Components!$K$4:$K$253,"Confirmed",Components!$L$4:$L$253,"OK — verify source"))))&lt;&gt;1)),"Endpoint not source-reconciled",IF(AND(M753="Confirmed",OR(L753="",K753="",K753="Unknown",K753="Low")),"Confirmed link lacks verification","OK — verify source"))))))))))))))</f>
        <v/>
      </c>
    </row>
    <row r="75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6" t="n"/>
      <c r="M754" s="25" t="n"/>
      <c r="N754" s="25">
        <f>IF(COUNTA(A754:M754)=0,"",IF(OR(A754="",B754="",C754="",D754="",E754="",F754="",I754="",J754="",K754="",M754=""),"Required link detail missing",IF(COUNTIF($A$4:$A$1003,A754)&gt;1,"Duplicate Map Edge ID",IF(NOT(OR(AND(B754="UC",E754="CAP",D754="requires"),AND(B754="CAP",E754="AIR",D754="provided by"),AND(B754="AIR",OR(E754="MOD",E754="DATA",E754="IF",E754="AG",E754="TOOL"),D754="references"),AND(B754="AIR",E754="AIR",D754="depends on"))),"Invalid relationship",IF(AND(M754&lt;&gt;"Superseded",COUNTIFS($B$4:$B$1003,B754,$C$4:$C$1003,C754,$D$4:$D$1003,D754,$E$4:$E$1003,E754,$F$4:$F$1003,F754,$G$4:$G$1003,G754,$M$4:$M$1003,"&lt;&gt;Superseded")&gt;1),"Duplicate relationship",IF(OR(IF(B754="UC",COUNTIF('Use cases'!$A$4:$A$253,C754),IF(B754="CAP",COUNTIF(Capabilities!$A$4:$A$253,C754),IF(B754="AIR",COUNTIF('System map'!$A$4:$A$203,C754),COUNTIFS(Components!$A$4:$A$253,C754,Components!$B$4:$B$253,B754))))&lt;&gt;1,IF(E754="UC",COUNTIF('Use cases'!$A$4:$A$253,F754),IF(E754="CAP",COUNTIF(Capabilities!$A$4:$A$253,F754),IF(E754="AIR",COUNTIF('System map'!$A$4:$A$203,F754),COUNTIFS(Components!$A$4:$A$253,F754,Components!$B$4:$B$253,E754))))&lt;&gt;1),"Endpoint missing or duplicated",IF(AND(NOT(AND(B754="UC",E754="CAP")),OR(G754="",COUNTIF('System map'!$A$4:$A$203,G754)&lt;&gt;1)),"AIR context missing / unknown",IF(AND(B754="CAP",E754="AIR",G754&lt;&gt;F754),"AIR context mismatch",IF(AND(B754="AIR",G754&lt;&gt;C754),"AIR context mismatch",IF(AND(B754="AIR",E754="AIR",C754=F754),"Self-dependency",IF(AND(B754="AIR",E754="AIR",M754&lt;&gt;"Superseded",COUNTIFS($B$4:$B$1003,"AIR",$C$4:$C$1003,F754,$E$4:$E$1003,"AIR",$F$4:$F$1003,C754,$M$4:$M$1003,"&lt;&gt;Superseded")&gt;0),"Dependency cycle (A↔B) — review",IF(AND(B754="AIR",OR(E754="MOD",E754="DATA",E754="IF",E754="AG",E754="TOOL"),IFERROR(INDEX(Components!$G$4:$G$253,MATCH(F754,Components!$A$4:$A$253,0)),"")&lt;&gt;"",IFERROR(INDEX(Components!$G$4:$G$253,MATCH(F754,Components!$A$4:$A$253,0)),"")&lt;&gt;C754),"Component owned by another AIR-ID",IF(AND(M754="Confirmed",OR(IF(B754="UC",COUNTIFS('Use cases'!$A$4:$A$253,C754,'Use cases'!$I$4:$I$253,"Confirmed",'Use cases'!$J$4:$J$253,"OK — verify source"),IF(B754="CAP",COUNTIFS(Capabilities!$A$4:$A$253,C754,Capabilities!$J$4:$J$253,"Confirmed",Capabilities!$K$4:$K$253,"OK — verify source"),IF(B754="AIR",COUNTIFS('System map'!$A$4:$A$203,C754,'System map'!$B$4:$B$203,"&lt;&gt;",'System map'!$C$4:$C$203,"&lt;&gt;",'System map'!$D$4:$D$203,"&lt;&gt;"),COUNTIFS(Components!$A$4:$A$253,C754,Components!$B$4:$B$253,B754,Components!$K$4:$K$253,"Confirmed",Components!$L$4:$L$253,"OK — verify source"))))&lt;&gt;1,IF(E754="UC",COUNTIFS('Use cases'!$A$4:$A$253,F754,'Use cases'!$I$4:$I$253,"Confirmed",'Use cases'!$J$4:$J$253,"OK — verify source"),IF(E754="CAP",COUNTIFS(Capabilities!$A$4:$A$253,F754,Capabilities!$J$4:$J$253,"Confirmed",Capabilities!$K$4:$K$253,"OK — verify source"),IF(E754="AIR",COUNTIFS('System map'!$A$4:$A$203,F754,'System map'!$B$4:$B$203,"&lt;&gt;",'System map'!$C$4:$C$203,"&lt;&gt;",'System map'!$D$4:$D$203,"&lt;&gt;"),COUNTIFS(Components!$A$4:$A$253,F754,Components!$B$4:$B$253,E754,Components!$K$4:$K$253,"Confirmed",Components!$L$4:$L$253,"OK — verify source"))))&lt;&gt;1)),"Endpoint not source-reconciled",IF(AND(M754="Confirmed",OR(L754="",K754="",K754="Unknown",K754="Low")),"Confirmed link lacks verification","OK — verify source"))))))))))))))</f>
        <v/>
      </c>
    </row>
    <row r="755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8" t="n"/>
      <c r="M755" s="27" t="n"/>
      <c r="N755" s="27">
        <f>IF(COUNTA(A755:M755)=0,"",IF(OR(A755="",B755="",C755="",D755="",E755="",F755="",I755="",J755="",K755="",M755=""),"Required link detail missing",IF(COUNTIF($A$4:$A$1003,A755)&gt;1,"Duplicate Map Edge ID",IF(NOT(OR(AND(B755="UC",E755="CAP",D755="requires"),AND(B755="CAP",E755="AIR",D755="provided by"),AND(B755="AIR",OR(E755="MOD",E755="DATA",E755="IF",E755="AG",E755="TOOL"),D755="references"),AND(B755="AIR",E755="AIR",D755="depends on"))),"Invalid relationship",IF(AND(M755&lt;&gt;"Superseded",COUNTIFS($B$4:$B$1003,B755,$C$4:$C$1003,C755,$D$4:$D$1003,D755,$E$4:$E$1003,E755,$F$4:$F$1003,F755,$G$4:$G$1003,G755,$M$4:$M$1003,"&lt;&gt;Superseded")&gt;1),"Duplicate relationship",IF(OR(IF(B755="UC",COUNTIF('Use cases'!$A$4:$A$253,C755),IF(B755="CAP",COUNTIF(Capabilities!$A$4:$A$253,C755),IF(B755="AIR",COUNTIF('System map'!$A$4:$A$203,C755),COUNTIFS(Components!$A$4:$A$253,C755,Components!$B$4:$B$253,B755))))&lt;&gt;1,IF(E755="UC",COUNTIF('Use cases'!$A$4:$A$253,F755),IF(E755="CAP",COUNTIF(Capabilities!$A$4:$A$253,F755),IF(E755="AIR",COUNTIF('System map'!$A$4:$A$203,F755),COUNTIFS(Components!$A$4:$A$253,F755,Components!$B$4:$B$253,E755))))&lt;&gt;1),"Endpoint missing or duplicated",IF(AND(NOT(AND(B755="UC",E755="CAP")),OR(G755="",COUNTIF('System map'!$A$4:$A$203,G755)&lt;&gt;1)),"AIR context missing / unknown",IF(AND(B755="CAP",E755="AIR",G755&lt;&gt;F755),"AIR context mismatch",IF(AND(B755="AIR",G755&lt;&gt;C755),"AIR context mismatch",IF(AND(B755="AIR",E755="AIR",C755=F755),"Self-dependency",IF(AND(B755="AIR",E755="AIR",M755&lt;&gt;"Superseded",COUNTIFS($B$4:$B$1003,"AIR",$C$4:$C$1003,F755,$E$4:$E$1003,"AIR",$F$4:$F$1003,C755,$M$4:$M$1003,"&lt;&gt;Superseded")&gt;0),"Dependency cycle (A↔B) — review",IF(AND(B755="AIR",OR(E755="MOD",E755="DATA",E755="IF",E755="AG",E755="TOOL"),IFERROR(INDEX(Components!$G$4:$G$253,MATCH(F755,Components!$A$4:$A$253,0)),"")&lt;&gt;"",IFERROR(INDEX(Components!$G$4:$G$253,MATCH(F755,Components!$A$4:$A$253,0)),"")&lt;&gt;C755),"Component owned by another AIR-ID",IF(AND(M755="Confirmed",OR(IF(B755="UC",COUNTIFS('Use cases'!$A$4:$A$253,C755,'Use cases'!$I$4:$I$253,"Confirmed",'Use cases'!$J$4:$J$253,"OK — verify source"),IF(B755="CAP",COUNTIFS(Capabilities!$A$4:$A$253,C755,Capabilities!$J$4:$J$253,"Confirmed",Capabilities!$K$4:$K$253,"OK — verify source"),IF(B755="AIR",COUNTIFS('System map'!$A$4:$A$203,C755,'System map'!$B$4:$B$203,"&lt;&gt;",'System map'!$C$4:$C$203,"&lt;&gt;",'System map'!$D$4:$D$203,"&lt;&gt;"),COUNTIFS(Components!$A$4:$A$253,C755,Components!$B$4:$B$253,B755,Components!$K$4:$K$253,"Confirmed",Components!$L$4:$L$253,"OK — verify source"))))&lt;&gt;1,IF(E755="UC",COUNTIFS('Use cases'!$A$4:$A$253,F755,'Use cases'!$I$4:$I$253,"Confirmed",'Use cases'!$J$4:$J$253,"OK — verify source"),IF(E755="CAP",COUNTIFS(Capabilities!$A$4:$A$253,F755,Capabilities!$J$4:$J$253,"Confirmed",Capabilities!$K$4:$K$253,"OK — verify source"),IF(E755="AIR",COUNTIFS('System map'!$A$4:$A$203,F755,'System map'!$B$4:$B$203,"&lt;&gt;",'System map'!$C$4:$C$203,"&lt;&gt;",'System map'!$D$4:$D$203,"&lt;&gt;"),COUNTIFS(Components!$A$4:$A$253,F755,Components!$B$4:$B$253,E755,Components!$K$4:$K$253,"Confirmed",Components!$L$4:$L$253,"OK — verify source"))))&lt;&gt;1)),"Endpoint not source-reconciled",IF(AND(M755="Confirmed",OR(L755="",K755="",K755="Unknown",K755="Low")),"Confirmed link lacks verification","OK — verify source"))))))))))))))</f>
        <v/>
      </c>
    </row>
    <row r="756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6" t="n"/>
      <c r="M756" s="25" t="n"/>
      <c r="N756" s="25">
        <f>IF(COUNTA(A756:M756)=0,"",IF(OR(A756="",B756="",C756="",D756="",E756="",F756="",I756="",J756="",K756="",M756=""),"Required link detail missing",IF(COUNTIF($A$4:$A$1003,A756)&gt;1,"Duplicate Map Edge ID",IF(NOT(OR(AND(B756="UC",E756="CAP",D756="requires"),AND(B756="CAP",E756="AIR",D756="provided by"),AND(B756="AIR",OR(E756="MOD",E756="DATA",E756="IF",E756="AG",E756="TOOL"),D756="references"),AND(B756="AIR",E756="AIR",D756="depends on"))),"Invalid relationship",IF(AND(M756&lt;&gt;"Superseded",COUNTIFS($B$4:$B$1003,B756,$C$4:$C$1003,C756,$D$4:$D$1003,D756,$E$4:$E$1003,E756,$F$4:$F$1003,F756,$G$4:$G$1003,G756,$M$4:$M$1003,"&lt;&gt;Superseded")&gt;1),"Duplicate relationship",IF(OR(IF(B756="UC",COUNTIF('Use cases'!$A$4:$A$253,C756),IF(B756="CAP",COUNTIF(Capabilities!$A$4:$A$253,C756),IF(B756="AIR",COUNTIF('System map'!$A$4:$A$203,C756),COUNTIFS(Components!$A$4:$A$253,C756,Components!$B$4:$B$253,B756))))&lt;&gt;1,IF(E756="UC",COUNTIF('Use cases'!$A$4:$A$253,F756),IF(E756="CAP",COUNTIF(Capabilities!$A$4:$A$253,F756),IF(E756="AIR",COUNTIF('System map'!$A$4:$A$203,F756),COUNTIFS(Components!$A$4:$A$253,F756,Components!$B$4:$B$253,E756))))&lt;&gt;1),"Endpoint missing or duplicated",IF(AND(NOT(AND(B756="UC",E756="CAP")),OR(G756="",COUNTIF('System map'!$A$4:$A$203,G756)&lt;&gt;1)),"AIR context missing / unknown",IF(AND(B756="CAP",E756="AIR",G756&lt;&gt;F756),"AIR context mismatch",IF(AND(B756="AIR",G756&lt;&gt;C756),"AIR context mismatch",IF(AND(B756="AIR",E756="AIR",C756=F756),"Self-dependency",IF(AND(B756="AIR",E756="AIR",M756&lt;&gt;"Superseded",COUNTIFS($B$4:$B$1003,"AIR",$C$4:$C$1003,F756,$E$4:$E$1003,"AIR",$F$4:$F$1003,C756,$M$4:$M$1003,"&lt;&gt;Superseded")&gt;0),"Dependency cycle (A↔B) — review",IF(AND(B756="AIR",OR(E756="MOD",E756="DATA",E756="IF",E756="AG",E756="TOOL"),IFERROR(INDEX(Components!$G$4:$G$253,MATCH(F756,Components!$A$4:$A$253,0)),"")&lt;&gt;"",IFERROR(INDEX(Components!$G$4:$G$253,MATCH(F756,Components!$A$4:$A$253,0)),"")&lt;&gt;C756),"Component owned by another AIR-ID",IF(AND(M756="Confirmed",OR(IF(B756="UC",COUNTIFS('Use cases'!$A$4:$A$253,C756,'Use cases'!$I$4:$I$253,"Confirmed",'Use cases'!$J$4:$J$253,"OK — verify source"),IF(B756="CAP",COUNTIFS(Capabilities!$A$4:$A$253,C756,Capabilities!$J$4:$J$253,"Confirmed",Capabilities!$K$4:$K$253,"OK — verify source"),IF(B756="AIR",COUNTIFS('System map'!$A$4:$A$203,C756,'System map'!$B$4:$B$203,"&lt;&gt;",'System map'!$C$4:$C$203,"&lt;&gt;",'System map'!$D$4:$D$203,"&lt;&gt;"),COUNTIFS(Components!$A$4:$A$253,C756,Components!$B$4:$B$253,B756,Components!$K$4:$K$253,"Confirmed",Components!$L$4:$L$253,"OK — verify source"))))&lt;&gt;1,IF(E756="UC",COUNTIFS('Use cases'!$A$4:$A$253,F756,'Use cases'!$I$4:$I$253,"Confirmed",'Use cases'!$J$4:$J$253,"OK — verify source"),IF(E756="CAP",COUNTIFS(Capabilities!$A$4:$A$253,F756,Capabilities!$J$4:$J$253,"Confirmed",Capabilities!$K$4:$K$253,"OK — verify source"),IF(E756="AIR",COUNTIFS('System map'!$A$4:$A$203,F756,'System map'!$B$4:$B$203,"&lt;&gt;",'System map'!$C$4:$C$203,"&lt;&gt;",'System map'!$D$4:$D$203,"&lt;&gt;"),COUNTIFS(Components!$A$4:$A$253,F756,Components!$B$4:$B$253,E756,Components!$K$4:$K$253,"Confirmed",Components!$L$4:$L$253,"OK — verify source"))))&lt;&gt;1)),"Endpoint not source-reconciled",IF(AND(M756="Confirmed",OR(L756="",K756="",K756="Unknown",K756="Low")),"Confirmed link lacks verification","OK — verify source"))))))))))))))</f>
        <v/>
      </c>
    </row>
    <row r="757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8" t="n"/>
      <c r="M757" s="27" t="n"/>
      <c r="N757" s="27">
        <f>IF(COUNTA(A757:M757)=0,"",IF(OR(A757="",B757="",C757="",D757="",E757="",F757="",I757="",J757="",K757="",M757=""),"Required link detail missing",IF(COUNTIF($A$4:$A$1003,A757)&gt;1,"Duplicate Map Edge ID",IF(NOT(OR(AND(B757="UC",E757="CAP",D757="requires"),AND(B757="CAP",E757="AIR",D757="provided by"),AND(B757="AIR",OR(E757="MOD",E757="DATA",E757="IF",E757="AG",E757="TOOL"),D757="references"),AND(B757="AIR",E757="AIR",D757="depends on"))),"Invalid relationship",IF(AND(M757&lt;&gt;"Superseded",COUNTIFS($B$4:$B$1003,B757,$C$4:$C$1003,C757,$D$4:$D$1003,D757,$E$4:$E$1003,E757,$F$4:$F$1003,F757,$G$4:$G$1003,G757,$M$4:$M$1003,"&lt;&gt;Superseded")&gt;1),"Duplicate relationship",IF(OR(IF(B757="UC",COUNTIF('Use cases'!$A$4:$A$253,C757),IF(B757="CAP",COUNTIF(Capabilities!$A$4:$A$253,C757),IF(B757="AIR",COUNTIF('System map'!$A$4:$A$203,C757),COUNTIFS(Components!$A$4:$A$253,C757,Components!$B$4:$B$253,B757))))&lt;&gt;1,IF(E757="UC",COUNTIF('Use cases'!$A$4:$A$253,F757),IF(E757="CAP",COUNTIF(Capabilities!$A$4:$A$253,F757),IF(E757="AIR",COUNTIF('System map'!$A$4:$A$203,F757),COUNTIFS(Components!$A$4:$A$253,F757,Components!$B$4:$B$253,E757))))&lt;&gt;1),"Endpoint missing or duplicated",IF(AND(NOT(AND(B757="UC",E757="CAP")),OR(G757="",COUNTIF('System map'!$A$4:$A$203,G757)&lt;&gt;1)),"AIR context missing / unknown",IF(AND(B757="CAP",E757="AIR",G757&lt;&gt;F757),"AIR context mismatch",IF(AND(B757="AIR",G757&lt;&gt;C757),"AIR context mismatch",IF(AND(B757="AIR",E757="AIR",C757=F757),"Self-dependency",IF(AND(B757="AIR",E757="AIR",M757&lt;&gt;"Superseded",COUNTIFS($B$4:$B$1003,"AIR",$C$4:$C$1003,F757,$E$4:$E$1003,"AIR",$F$4:$F$1003,C757,$M$4:$M$1003,"&lt;&gt;Superseded")&gt;0),"Dependency cycle (A↔B) — review",IF(AND(B757="AIR",OR(E757="MOD",E757="DATA",E757="IF",E757="AG",E757="TOOL"),IFERROR(INDEX(Components!$G$4:$G$253,MATCH(F757,Components!$A$4:$A$253,0)),"")&lt;&gt;"",IFERROR(INDEX(Components!$G$4:$G$253,MATCH(F757,Components!$A$4:$A$253,0)),"")&lt;&gt;C757),"Component owned by another AIR-ID",IF(AND(M757="Confirmed",OR(IF(B757="UC",COUNTIFS('Use cases'!$A$4:$A$253,C757,'Use cases'!$I$4:$I$253,"Confirmed",'Use cases'!$J$4:$J$253,"OK — verify source"),IF(B757="CAP",COUNTIFS(Capabilities!$A$4:$A$253,C757,Capabilities!$J$4:$J$253,"Confirmed",Capabilities!$K$4:$K$253,"OK — verify source"),IF(B757="AIR",COUNTIFS('System map'!$A$4:$A$203,C757,'System map'!$B$4:$B$203,"&lt;&gt;",'System map'!$C$4:$C$203,"&lt;&gt;",'System map'!$D$4:$D$203,"&lt;&gt;"),COUNTIFS(Components!$A$4:$A$253,C757,Components!$B$4:$B$253,B757,Components!$K$4:$K$253,"Confirmed",Components!$L$4:$L$253,"OK — verify source"))))&lt;&gt;1,IF(E757="UC",COUNTIFS('Use cases'!$A$4:$A$253,F757,'Use cases'!$I$4:$I$253,"Confirmed",'Use cases'!$J$4:$J$253,"OK — verify source"),IF(E757="CAP",COUNTIFS(Capabilities!$A$4:$A$253,F757,Capabilities!$J$4:$J$253,"Confirmed",Capabilities!$K$4:$K$253,"OK — verify source"),IF(E757="AIR",COUNTIFS('System map'!$A$4:$A$203,F757,'System map'!$B$4:$B$203,"&lt;&gt;",'System map'!$C$4:$C$203,"&lt;&gt;",'System map'!$D$4:$D$203,"&lt;&gt;"),COUNTIFS(Components!$A$4:$A$253,F757,Components!$B$4:$B$253,E757,Components!$K$4:$K$253,"Confirmed",Components!$L$4:$L$253,"OK — verify source"))))&lt;&gt;1)),"Endpoint not source-reconciled",IF(AND(M757="Confirmed",OR(L757="",K757="",K757="Unknown",K757="Low")),"Confirmed link lacks verification","OK — verify source"))))))))))))))</f>
        <v/>
      </c>
    </row>
    <row r="758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6" t="n"/>
      <c r="M758" s="25" t="n"/>
      <c r="N758" s="25">
        <f>IF(COUNTA(A758:M758)=0,"",IF(OR(A758="",B758="",C758="",D758="",E758="",F758="",I758="",J758="",K758="",M758=""),"Required link detail missing",IF(COUNTIF($A$4:$A$1003,A758)&gt;1,"Duplicate Map Edge ID",IF(NOT(OR(AND(B758="UC",E758="CAP",D758="requires"),AND(B758="CAP",E758="AIR",D758="provided by"),AND(B758="AIR",OR(E758="MOD",E758="DATA",E758="IF",E758="AG",E758="TOOL"),D758="references"),AND(B758="AIR",E758="AIR",D758="depends on"))),"Invalid relationship",IF(AND(M758&lt;&gt;"Superseded",COUNTIFS($B$4:$B$1003,B758,$C$4:$C$1003,C758,$D$4:$D$1003,D758,$E$4:$E$1003,E758,$F$4:$F$1003,F758,$G$4:$G$1003,G758,$M$4:$M$1003,"&lt;&gt;Superseded")&gt;1),"Duplicate relationship",IF(OR(IF(B758="UC",COUNTIF('Use cases'!$A$4:$A$253,C758),IF(B758="CAP",COUNTIF(Capabilities!$A$4:$A$253,C758),IF(B758="AIR",COUNTIF('System map'!$A$4:$A$203,C758),COUNTIFS(Components!$A$4:$A$253,C758,Components!$B$4:$B$253,B758))))&lt;&gt;1,IF(E758="UC",COUNTIF('Use cases'!$A$4:$A$253,F758),IF(E758="CAP",COUNTIF(Capabilities!$A$4:$A$253,F758),IF(E758="AIR",COUNTIF('System map'!$A$4:$A$203,F758),COUNTIFS(Components!$A$4:$A$253,F758,Components!$B$4:$B$253,E758))))&lt;&gt;1),"Endpoint missing or duplicated",IF(AND(NOT(AND(B758="UC",E758="CAP")),OR(G758="",COUNTIF('System map'!$A$4:$A$203,G758)&lt;&gt;1)),"AIR context missing / unknown",IF(AND(B758="CAP",E758="AIR",G758&lt;&gt;F758),"AIR context mismatch",IF(AND(B758="AIR",G758&lt;&gt;C758),"AIR context mismatch",IF(AND(B758="AIR",E758="AIR",C758=F758),"Self-dependency",IF(AND(B758="AIR",E758="AIR",M758&lt;&gt;"Superseded",COUNTIFS($B$4:$B$1003,"AIR",$C$4:$C$1003,F758,$E$4:$E$1003,"AIR",$F$4:$F$1003,C758,$M$4:$M$1003,"&lt;&gt;Superseded")&gt;0),"Dependency cycle (A↔B) — review",IF(AND(B758="AIR",OR(E758="MOD",E758="DATA",E758="IF",E758="AG",E758="TOOL"),IFERROR(INDEX(Components!$G$4:$G$253,MATCH(F758,Components!$A$4:$A$253,0)),"")&lt;&gt;"",IFERROR(INDEX(Components!$G$4:$G$253,MATCH(F758,Components!$A$4:$A$253,0)),"")&lt;&gt;C758),"Component owned by another AIR-ID",IF(AND(M758="Confirmed",OR(IF(B758="UC",COUNTIFS('Use cases'!$A$4:$A$253,C758,'Use cases'!$I$4:$I$253,"Confirmed",'Use cases'!$J$4:$J$253,"OK — verify source"),IF(B758="CAP",COUNTIFS(Capabilities!$A$4:$A$253,C758,Capabilities!$J$4:$J$253,"Confirmed",Capabilities!$K$4:$K$253,"OK — verify source"),IF(B758="AIR",COUNTIFS('System map'!$A$4:$A$203,C758,'System map'!$B$4:$B$203,"&lt;&gt;",'System map'!$C$4:$C$203,"&lt;&gt;",'System map'!$D$4:$D$203,"&lt;&gt;"),COUNTIFS(Components!$A$4:$A$253,C758,Components!$B$4:$B$253,B758,Components!$K$4:$K$253,"Confirmed",Components!$L$4:$L$253,"OK — verify source"))))&lt;&gt;1,IF(E758="UC",COUNTIFS('Use cases'!$A$4:$A$253,F758,'Use cases'!$I$4:$I$253,"Confirmed",'Use cases'!$J$4:$J$253,"OK — verify source"),IF(E758="CAP",COUNTIFS(Capabilities!$A$4:$A$253,F758,Capabilities!$J$4:$J$253,"Confirmed",Capabilities!$K$4:$K$253,"OK — verify source"),IF(E758="AIR",COUNTIFS('System map'!$A$4:$A$203,F758,'System map'!$B$4:$B$203,"&lt;&gt;",'System map'!$C$4:$C$203,"&lt;&gt;",'System map'!$D$4:$D$203,"&lt;&gt;"),COUNTIFS(Components!$A$4:$A$253,F758,Components!$B$4:$B$253,E758,Components!$K$4:$K$253,"Confirmed",Components!$L$4:$L$253,"OK — verify source"))))&lt;&gt;1)),"Endpoint not source-reconciled",IF(AND(M758="Confirmed",OR(L758="",K758="",K758="Unknown",K758="Low")),"Confirmed link lacks verification","OK — verify source"))))))))))))))</f>
        <v/>
      </c>
    </row>
    <row r="759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8" t="n"/>
      <c r="M759" s="27" t="n"/>
      <c r="N759" s="27">
        <f>IF(COUNTA(A759:M759)=0,"",IF(OR(A759="",B759="",C759="",D759="",E759="",F759="",I759="",J759="",K759="",M759=""),"Required link detail missing",IF(COUNTIF($A$4:$A$1003,A759)&gt;1,"Duplicate Map Edge ID",IF(NOT(OR(AND(B759="UC",E759="CAP",D759="requires"),AND(B759="CAP",E759="AIR",D759="provided by"),AND(B759="AIR",OR(E759="MOD",E759="DATA",E759="IF",E759="AG",E759="TOOL"),D759="references"),AND(B759="AIR",E759="AIR",D759="depends on"))),"Invalid relationship",IF(AND(M759&lt;&gt;"Superseded",COUNTIFS($B$4:$B$1003,B759,$C$4:$C$1003,C759,$D$4:$D$1003,D759,$E$4:$E$1003,E759,$F$4:$F$1003,F759,$G$4:$G$1003,G759,$M$4:$M$1003,"&lt;&gt;Superseded")&gt;1),"Duplicate relationship",IF(OR(IF(B759="UC",COUNTIF('Use cases'!$A$4:$A$253,C759),IF(B759="CAP",COUNTIF(Capabilities!$A$4:$A$253,C759),IF(B759="AIR",COUNTIF('System map'!$A$4:$A$203,C759),COUNTIFS(Components!$A$4:$A$253,C759,Components!$B$4:$B$253,B759))))&lt;&gt;1,IF(E759="UC",COUNTIF('Use cases'!$A$4:$A$253,F759),IF(E759="CAP",COUNTIF(Capabilities!$A$4:$A$253,F759),IF(E759="AIR",COUNTIF('System map'!$A$4:$A$203,F759),COUNTIFS(Components!$A$4:$A$253,F759,Components!$B$4:$B$253,E759))))&lt;&gt;1),"Endpoint missing or duplicated",IF(AND(NOT(AND(B759="UC",E759="CAP")),OR(G759="",COUNTIF('System map'!$A$4:$A$203,G759)&lt;&gt;1)),"AIR context missing / unknown",IF(AND(B759="CAP",E759="AIR",G759&lt;&gt;F759),"AIR context mismatch",IF(AND(B759="AIR",G759&lt;&gt;C759),"AIR context mismatch",IF(AND(B759="AIR",E759="AIR",C759=F759),"Self-dependency",IF(AND(B759="AIR",E759="AIR",M759&lt;&gt;"Superseded",COUNTIFS($B$4:$B$1003,"AIR",$C$4:$C$1003,F759,$E$4:$E$1003,"AIR",$F$4:$F$1003,C759,$M$4:$M$1003,"&lt;&gt;Superseded")&gt;0),"Dependency cycle (A↔B) — review",IF(AND(B759="AIR",OR(E759="MOD",E759="DATA",E759="IF",E759="AG",E759="TOOL"),IFERROR(INDEX(Components!$G$4:$G$253,MATCH(F759,Components!$A$4:$A$253,0)),"")&lt;&gt;"",IFERROR(INDEX(Components!$G$4:$G$253,MATCH(F759,Components!$A$4:$A$253,0)),"")&lt;&gt;C759),"Component owned by another AIR-ID",IF(AND(M759="Confirmed",OR(IF(B759="UC",COUNTIFS('Use cases'!$A$4:$A$253,C759,'Use cases'!$I$4:$I$253,"Confirmed",'Use cases'!$J$4:$J$253,"OK — verify source"),IF(B759="CAP",COUNTIFS(Capabilities!$A$4:$A$253,C759,Capabilities!$J$4:$J$253,"Confirmed",Capabilities!$K$4:$K$253,"OK — verify source"),IF(B759="AIR",COUNTIFS('System map'!$A$4:$A$203,C759,'System map'!$B$4:$B$203,"&lt;&gt;",'System map'!$C$4:$C$203,"&lt;&gt;",'System map'!$D$4:$D$203,"&lt;&gt;"),COUNTIFS(Components!$A$4:$A$253,C759,Components!$B$4:$B$253,B759,Components!$K$4:$K$253,"Confirmed",Components!$L$4:$L$253,"OK — verify source"))))&lt;&gt;1,IF(E759="UC",COUNTIFS('Use cases'!$A$4:$A$253,F759,'Use cases'!$I$4:$I$253,"Confirmed",'Use cases'!$J$4:$J$253,"OK — verify source"),IF(E759="CAP",COUNTIFS(Capabilities!$A$4:$A$253,F759,Capabilities!$J$4:$J$253,"Confirmed",Capabilities!$K$4:$K$253,"OK — verify source"),IF(E759="AIR",COUNTIFS('System map'!$A$4:$A$203,F759,'System map'!$B$4:$B$203,"&lt;&gt;",'System map'!$C$4:$C$203,"&lt;&gt;",'System map'!$D$4:$D$203,"&lt;&gt;"),COUNTIFS(Components!$A$4:$A$253,F759,Components!$B$4:$B$253,E759,Components!$K$4:$K$253,"Confirmed",Components!$L$4:$L$253,"OK — verify source"))))&lt;&gt;1)),"Endpoint not source-reconciled",IF(AND(M759="Confirmed",OR(L759="",K759="",K759="Unknown",K759="Low")),"Confirmed link lacks verification","OK — verify source"))))))))))))))</f>
        <v/>
      </c>
    </row>
    <row r="760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6" t="n"/>
      <c r="M760" s="25" t="n"/>
      <c r="N760" s="25">
        <f>IF(COUNTA(A760:M760)=0,"",IF(OR(A760="",B760="",C760="",D760="",E760="",F760="",I760="",J760="",K760="",M760=""),"Required link detail missing",IF(COUNTIF($A$4:$A$1003,A760)&gt;1,"Duplicate Map Edge ID",IF(NOT(OR(AND(B760="UC",E760="CAP",D760="requires"),AND(B760="CAP",E760="AIR",D760="provided by"),AND(B760="AIR",OR(E760="MOD",E760="DATA",E760="IF",E760="AG",E760="TOOL"),D760="references"),AND(B760="AIR",E760="AIR",D760="depends on"))),"Invalid relationship",IF(AND(M760&lt;&gt;"Superseded",COUNTIFS($B$4:$B$1003,B760,$C$4:$C$1003,C760,$D$4:$D$1003,D760,$E$4:$E$1003,E760,$F$4:$F$1003,F760,$G$4:$G$1003,G760,$M$4:$M$1003,"&lt;&gt;Superseded")&gt;1),"Duplicate relationship",IF(OR(IF(B760="UC",COUNTIF('Use cases'!$A$4:$A$253,C760),IF(B760="CAP",COUNTIF(Capabilities!$A$4:$A$253,C760),IF(B760="AIR",COUNTIF('System map'!$A$4:$A$203,C760),COUNTIFS(Components!$A$4:$A$253,C760,Components!$B$4:$B$253,B760))))&lt;&gt;1,IF(E760="UC",COUNTIF('Use cases'!$A$4:$A$253,F760),IF(E760="CAP",COUNTIF(Capabilities!$A$4:$A$253,F760),IF(E760="AIR",COUNTIF('System map'!$A$4:$A$203,F760),COUNTIFS(Components!$A$4:$A$253,F760,Components!$B$4:$B$253,E760))))&lt;&gt;1),"Endpoint missing or duplicated",IF(AND(NOT(AND(B760="UC",E760="CAP")),OR(G760="",COUNTIF('System map'!$A$4:$A$203,G760)&lt;&gt;1)),"AIR context missing / unknown",IF(AND(B760="CAP",E760="AIR",G760&lt;&gt;F760),"AIR context mismatch",IF(AND(B760="AIR",G760&lt;&gt;C760),"AIR context mismatch",IF(AND(B760="AIR",E760="AIR",C760=F760),"Self-dependency",IF(AND(B760="AIR",E760="AIR",M760&lt;&gt;"Superseded",COUNTIFS($B$4:$B$1003,"AIR",$C$4:$C$1003,F760,$E$4:$E$1003,"AIR",$F$4:$F$1003,C760,$M$4:$M$1003,"&lt;&gt;Superseded")&gt;0),"Dependency cycle (A↔B) — review",IF(AND(B760="AIR",OR(E760="MOD",E760="DATA",E760="IF",E760="AG",E760="TOOL"),IFERROR(INDEX(Components!$G$4:$G$253,MATCH(F760,Components!$A$4:$A$253,0)),"")&lt;&gt;"",IFERROR(INDEX(Components!$G$4:$G$253,MATCH(F760,Components!$A$4:$A$253,0)),"")&lt;&gt;C760),"Component owned by another AIR-ID",IF(AND(M760="Confirmed",OR(IF(B760="UC",COUNTIFS('Use cases'!$A$4:$A$253,C760,'Use cases'!$I$4:$I$253,"Confirmed",'Use cases'!$J$4:$J$253,"OK — verify source"),IF(B760="CAP",COUNTIFS(Capabilities!$A$4:$A$253,C760,Capabilities!$J$4:$J$253,"Confirmed",Capabilities!$K$4:$K$253,"OK — verify source"),IF(B760="AIR",COUNTIFS('System map'!$A$4:$A$203,C760,'System map'!$B$4:$B$203,"&lt;&gt;",'System map'!$C$4:$C$203,"&lt;&gt;",'System map'!$D$4:$D$203,"&lt;&gt;"),COUNTIFS(Components!$A$4:$A$253,C760,Components!$B$4:$B$253,B760,Components!$K$4:$K$253,"Confirmed",Components!$L$4:$L$253,"OK — verify source"))))&lt;&gt;1,IF(E760="UC",COUNTIFS('Use cases'!$A$4:$A$253,F760,'Use cases'!$I$4:$I$253,"Confirmed",'Use cases'!$J$4:$J$253,"OK — verify source"),IF(E760="CAP",COUNTIFS(Capabilities!$A$4:$A$253,F760,Capabilities!$J$4:$J$253,"Confirmed",Capabilities!$K$4:$K$253,"OK — verify source"),IF(E760="AIR",COUNTIFS('System map'!$A$4:$A$203,F760,'System map'!$B$4:$B$203,"&lt;&gt;",'System map'!$C$4:$C$203,"&lt;&gt;",'System map'!$D$4:$D$203,"&lt;&gt;"),COUNTIFS(Components!$A$4:$A$253,F760,Components!$B$4:$B$253,E760,Components!$K$4:$K$253,"Confirmed",Components!$L$4:$L$253,"OK — verify source"))))&lt;&gt;1)),"Endpoint not source-reconciled",IF(AND(M760="Confirmed",OR(L760="",K760="",K760="Unknown",K760="Low")),"Confirmed link lacks verification","OK — verify source"))))))))))))))</f>
        <v/>
      </c>
    </row>
    <row r="761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8" t="n"/>
      <c r="M761" s="27" t="n"/>
      <c r="N761" s="27">
        <f>IF(COUNTA(A761:M761)=0,"",IF(OR(A761="",B761="",C761="",D761="",E761="",F761="",I761="",J761="",K761="",M761=""),"Required link detail missing",IF(COUNTIF($A$4:$A$1003,A761)&gt;1,"Duplicate Map Edge ID",IF(NOT(OR(AND(B761="UC",E761="CAP",D761="requires"),AND(B761="CAP",E761="AIR",D761="provided by"),AND(B761="AIR",OR(E761="MOD",E761="DATA",E761="IF",E761="AG",E761="TOOL"),D761="references"),AND(B761="AIR",E761="AIR",D761="depends on"))),"Invalid relationship",IF(AND(M761&lt;&gt;"Superseded",COUNTIFS($B$4:$B$1003,B761,$C$4:$C$1003,C761,$D$4:$D$1003,D761,$E$4:$E$1003,E761,$F$4:$F$1003,F761,$G$4:$G$1003,G761,$M$4:$M$1003,"&lt;&gt;Superseded")&gt;1),"Duplicate relationship",IF(OR(IF(B761="UC",COUNTIF('Use cases'!$A$4:$A$253,C761),IF(B761="CAP",COUNTIF(Capabilities!$A$4:$A$253,C761),IF(B761="AIR",COUNTIF('System map'!$A$4:$A$203,C761),COUNTIFS(Components!$A$4:$A$253,C761,Components!$B$4:$B$253,B761))))&lt;&gt;1,IF(E761="UC",COUNTIF('Use cases'!$A$4:$A$253,F761),IF(E761="CAP",COUNTIF(Capabilities!$A$4:$A$253,F761),IF(E761="AIR",COUNTIF('System map'!$A$4:$A$203,F761),COUNTIFS(Components!$A$4:$A$253,F761,Components!$B$4:$B$253,E761))))&lt;&gt;1),"Endpoint missing or duplicated",IF(AND(NOT(AND(B761="UC",E761="CAP")),OR(G761="",COUNTIF('System map'!$A$4:$A$203,G761)&lt;&gt;1)),"AIR context missing / unknown",IF(AND(B761="CAP",E761="AIR",G761&lt;&gt;F761),"AIR context mismatch",IF(AND(B761="AIR",G761&lt;&gt;C761),"AIR context mismatch",IF(AND(B761="AIR",E761="AIR",C761=F761),"Self-dependency",IF(AND(B761="AIR",E761="AIR",M761&lt;&gt;"Superseded",COUNTIFS($B$4:$B$1003,"AIR",$C$4:$C$1003,F761,$E$4:$E$1003,"AIR",$F$4:$F$1003,C761,$M$4:$M$1003,"&lt;&gt;Superseded")&gt;0),"Dependency cycle (A↔B) — review",IF(AND(B761="AIR",OR(E761="MOD",E761="DATA",E761="IF",E761="AG",E761="TOOL"),IFERROR(INDEX(Components!$G$4:$G$253,MATCH(F761,Components!$A$4:$A$253,0)),"")&lt;&gt;"",IFERROR(INDEX(Components!$G$4:$G$253,MATCH(F761,Components!$A$4:$A$253,0)),"")&lt;&gt;C761),"Component owned by another AIR-ID",IF(AND(M761="Confirmed",OR(IF(B761="UC",COUNTIFS('Use cases'!$A$4:$A$253,C761,'Use cases'!$I$4:$I$253,"Confirmed",'Use cases'!$J$4:$J$253,"OK — verify source"),IF(B761="CAP",COUNTIFS(Capabilities!$A$4:$A$253,C761,Capabilities!$J$4:$J$253,"Confirmed",Capabilities!$K$4:$K$253,"OK — verify source"),IF(B761="AIR",COUNTIFS('System map'!$A$4:$A$203,C761,'System map'!$B$4:$B$203,"&lt;&gt;",'System map'!$C$4:$C$203,"&lt;&gt;",'System map'!$D$4:$D$203,"&lt;&gt;"),COUNTIFS(Components!$A$4:$A$253,C761,Components!$B$4:$B$253,B761,Components!$K$4:$K$253,"Confirmed",Components!$L$4:$L$253,"OK — verify source"))))&lt;&gt;1,IF(E761="UC",COUNTIFS('Use cases'!$A$4:$A$253,F761,'Use cases'!$I$4:$I$253,"Confirmed",'Use cases'!$J$4:$J$253,"OK — verify source"),IF(E761="CAP",COUNTIFS(Capabilities!$A$4:$A$253,F761,Capabilities!$J$4:$J$253,"Confirmed",Capabilities!$K$4:$K$253,"OK — verify source"),IF(E761="AIR",COUNTIFS('System map'!$A$4:$A$203,F761,'System map'!$B$4:$B$203,"&lt;&gt;",'System map'!$C$4:$C$203,"&lt;&gt;",'System map'!$D$4:$D$203,"&lt;&gt;"),COUNTIFS(Components!$A$4:$A$253,F761,Components!$B$4:$B$253,E761,Components!$K$4:$K$253,"Confirmed",Components!$L$4:$L$253,"OK — verify source"))))&lt;&gt;1)),"Endpoint not source-reconciled",IF(AND(M761="Confirmed",OR(L761="",K761="",K761="Unknown",K761="Low")),"Confirmed link lacks verification","OK — verify source"))))))))))))))</f>
        <v/>
      </c>
    </row>
    <row r="762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6" t="n"/>
      <c r="M762" s="25" t="n"/>
      <c r="N762" s="25">
        <f>IF(COUNTA(A762:M762)=0,"",IF(OR(A762="",B762="",C762="",D762="",E762="",F762="",I762="",J762="",K762="",M762=""),"Required link detail missing",IF(COUNTIF($A$4:$A$1003,A762)&gt;1,"Duplicate Map Edge ID",IF(NOT(OR(AND(B762="UC",E762="CAP",D762="requires"),AND(B762="CAP",E762="AIR",D762="provided by"),AND(B762="AIR",OR(E762="MOD",E762="DATA",E762="IF",E762="AG",E762="TOOL"),D762="references"),AND(B762="AIR",E762="AIR",D762="depends on"))),"Invalid relationship",IF(AND(M762&lt;&gt;"Superseded",COUNTIFS($B$4:$B$1003,B762,$C$4:$C$1003,C762,$D$4:$D$1003,D762,$E$4:$E$1003,E762,$F$4:$F$1003,F762,$G$4:$G$1003,G762,$M$4:$M$1003,"&lt;&gt;Superseded")&gt;1),"Duplicate relationship",IF(OR(IF(B762="UC",COUNTIF('Use cases'!$A$4:$A$253,C762),IF(B762="CAP",COUNTIF(Capabilities!$A$4:$A$253,C762),IF(B762="AIR",COUNTIF('System map'!$A$4:$A$203,C762),COUNTIFS(Components!$A$4:$A$253,C762,Components!$B$4:$B$253,B762))))&lt;&gt;1,IF(E762="UC",COUNTIF('Use cases'!$A$4:$A$253,F762),IF(E762="CAP",COUNTIF(Capabilities!$A$4:$A$253,F762),IF(E762="AIR",COUNTIF('System map'!$A$4:$A$203,F762),COUNTIFS(Components!$A$4:$A$253,F762,Components!$B$4:$B$253,E762))))&lt;&gt;1),"Endpoint missing or duplicated",IF(AND(NOT(AND(B762="UC",E762="CAP")),OR(G762="",COUNTIF('System map'!$A$4:$A$203,G762)&lt;&gt;1)),"AIR context missing / unknown",IF(AND(B762="CAP",E762="AIR",G762&lt;&gt;F762),"AIR context mismatch",IF(AND(B762="AIR",G762&lt;&gt;C762),"AIR context mismatch",IF(AND(B762="AIR",E762="AIR",C762=F762),"Self-dependency",IF(AND(B762="AIR",E762="AIR",M762&lt;&gt;"Superseded",COUNTIFS($B$4:$B$1003,"AIR",$C$4:$C$1003,F762,$E$4:$E$1003,"AIR",$F$4:$F$1003,C762,$M$4:$M$1003,"&lt;&gt;Superseded")&gt;0),"Dependency cycle (A↔B) — review",IF(AND(B762="AIR",OR(E762="MOD",E762="DATA",E762="IF",E762="AG",E762="TOOL"),IFERROR(INDEX(Components!$G$4:$G$253,MATCH(F762,Components!$A$4:$A$253,0)),"")&lt;&gt;"",IFERROR(INDEX(Components!$G$4:$G$253,MATCH(F762,Components!$A$4:$A$253,0)),"")&lt;&gt;C762),"Component owned by another AIR-ID",IF(AND(M762="Confirmed",OR(IF(B762="UC",COUNTIFS('Use cases'!$A$4:$A$253,C762,'Use cases'!$I$4:$I$253,"Confirmed",'Use cases'!$J$4:$J$253,"OK — verify source"),IF(B762="CAP",COUNTIFS(Capabilities!$A$4:$A$253,C762,Capabilities!$J$4:$J$253,"Confirmed",Capabilities!$K$4:$K$253,"OK — verify source"),IF(B762="AIR",COUNTIFS('System map'!$A$4:$A$203,C762,'System map'!$B$4:$B$203,"&lt;&gt;",'System map'!$C$4:$C$203,"&lt;&gt;",'System map'!$D$4:$D$203,"&lt;&gt;"),COUNTIFS(Components!$A$4:$A$253,C762,Components!$B$4:$B$253,B762,Components!$K$4:$K$253,"Confirmed",Components!$L$4:$L$253,"OK — verify source"))))&lt;&gt;1,IF(E762="UC",COUNTIFS('Use cases'!$A$4:$A$253,F762,'Use cases'!$I$4:$I$253,"Confirmed",'Use cases'!$J$4:$J$253,"OK — verify source"),IF(E762="CAP",COUNTIFS(Capabilities!$A$4:$A$253,F762,Capabilities!$J$4:$J$253,"Confirmed",Capabilities!$K$4:$K$253,"OK — verify source"),IF(E762="AIR",COUNTIFS('System map'!$A$4:$A$203,F762,'System map'!$B$4:$B$203,"&lt;&gt;",'System map'!$C$4:$C$203,"&lt;&gt;",'System map'!$D$4:$D$203,"&lt;&gt;"),COUNTIFS(Components!$A$4:$A$253,F762,Components!$B$4:$B$253,E762,Components!$K$4:$K$253,"Confirmed",Components!$L$4:$L$253,"OK — verify source"))))&lt;&gt;1)),"Endpoint not source-reconciled",IF(AND(M762="Confirmed",OR(L762="",K762="",K762="Unknown",K762="Low")),"Confirmed link lacks verification","OK — verify source"))))))))))))))</f>
        <v/>
      </c>
    </row>
    <row r="763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8" t="n"/>
      <c r="M763" s="27" t="n"/>
      <c r="N763" s="27">
        <f>IF(COUNTA(A763:M763)=0,"",IF(OR(A763="",B763="",C763="",D763="",E763="",F763="",I763="",J763="",K763="",M763=""),"Required link detail missing",IF(COUNTIF($A$4:$A$1003,A763)&gt;1,"Duplicate Map Edge ID",IF(NOT(OR(AND(B763="UC",E763="CAP",D763="requires"),AND(B763="CAP",E763="AIR",D763="provided by"),AND(B763="AIR",OR(E763="MOD",E763="DATA",E763="IF",E763="AG",E763="TOOL"),D763="references"),AND(B763="AIR",E763="AIR",D763="depends on"))),"Invalid relationship",IF(AND(M763&lt;&gt;"Superseded",COUNTIFS($B$4:$B$1003,B763,$C$4:$C$1003,C763,$D$4:$D$1003,D763,$E$4:$E$1003,E763,$F$4:$F$1003,F763,$G$4:$G$1003,G763,$M$4:$M$1003,"&lt;&gt;Superseded")&gt;1),"Duplicate relationship",IF(OR(IF(B763="UC",COUNTIF('Use cases'!$A$4:$A$253,C763),IF(B763="CAP",COUNTIF(Capabilities!$A$4:$A$253,C763),IF(B763="AIR",COUNTIF('System map'!$A$4:$A$203,C763),COUNTIFS(Components!$A$4:$A$253,C763,Components!$B$4:$B$253,B763))))&lt;&gt;1,IF(E763="UC",COUNTIF('Use cases'!$A$4:$A$253,F763),IF(E763="CAP",COUNTIF(Capabilities!$A$4:$A$253,F763),IF(E763="AIR",COUNTIF('System map'!$A$4:$A$203,F763),COUNTIFS(Components!$A$4:$A$253,F763,Components!$B$4:$B$253,E763))))&lt;&gt;1),"Endpoint missing or duplicated",IF(AND(NOT(AND(B763="UC",E763="CAP")),OR(G763="",COUNTIF('System map'!$A$4:$A$203,G763)&lt;&gt;1)),"AIR context missing / unknown",IF(AND(B763="CAP",E763="AIR",G763&lt;&gt;F763),"AIR context mismatch",IF(AND(B763="AIR",G763&lt;&gt;C763),"AIR context mismatch",IF(AND(B763="AIR",E763="AIR",C763=F763),"Self-dependency",IF(AND(B763="AIR",E763="AIR",M763&lt;&gt;"Superseded",COUNTIFS($B$4:$B$1003,"AIR",$C$4:$C$1003,F763,$E$4:$E$1003,"AIR",$F$4:$F$1003,C763,$M$4:$M$1003,"&lt;&gt;Superseded")&gt;0),"Dependency cycle (A↔B) — review",IF(AND(B763="AIR",OR(E763="MOD",E763="DATA",E763="IF",E763="AG",E763="TOOL"),IFERROR(INDEX(Components!$G$4:$G$253,MATCH(F763,Components!$A$4:$A$253,0)),"")&lt;&gt;"",IFERROR(INDEX(Components!$G$4:$G$253,MATCH(F763,Components!$A$4:$A$253,0)),"")&lt;&gt;C763),"Component owned by another AIR-ID",IF(AND(M763="Confirmed",OR(IF(B763="UC",COUNTIFS('Use cases'!$A$4:$A$253,C763,'Use cases'!$I$4:$I$253,"Confirmed",'Use cases'!$J$4:$J$253,"OK — verify source"),IF(B763="CAP",COUNTIFS(Capabilities!$A$4:$A$253,C763,Capabilities!$J$4:$J$253,"Confirmed",Capabilities!$K$4:$K$253,"OK — verify source"),IF(B763="AIR",COUNTIFS('System map'!$A$4:$A$203,C763,'System map'!$B$4:$B$203,"&lt;&gt;",'System map'!$C$4:$C$203,"&lt;&gt;",'System map'!$D$4:$D$203,"&lt;&gt;"),COUNTIFS(Components!$A$4:$A$253,C763,Components!$B$4:$B$253,B763,Components!$K$4:$K$253,"Confirmed",Components!$L$4:$L$253,"OK — verify source"))))&lt;&gt;1,IF(E763="UC",COUNTIFS('Use cases'!$A$4:$A$253,F763,'Use cases'!$I$4:$I$253,"Confirmed",'Use cases'!$J$4:$J$253,"OK — verify source"),IF(E763="CAP",COUNTIFS(Capabilities!$A$4:$A$253,F763,Capabilities!$J$4:$J$253,"Confirmed",Capabilities!$K$4:$K$253,"OK — verify source"),IF(E763="AIR",COUNTIFS('System map'!$A$4:$A$203,F763,'System map'!$B$4:$B$203,"&lt;&gt;",'System map'!$C$4:$C$203,"&lt;&gt;",'System map'!$D$4:$D$203,"&lt;&gt;"),COUNTIFS(Components!$A$4:$A$253,F763,Components!$B$4:$B$253,E763,Components!$K$4:$K$253,"Confirmed",Components!$L$4:$L$253,"OK — verify source"))))&lt;&gt;1)),"Endpoint not source-reconciled",IF(AND(M763="Confirmed",OR(L763="",K763="",K763="Unknown",K763="Low")),"Confirmed link lacks verification","OK — verify source"))))))))))))))</f>
        <v/>
      </c>
    </row>
    <row r="7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6" t="n"/>
      <c r="M764" s="25" t="n"/>
      <c r="N764" s="25">
        <f>IF(COUNTA(A764:M764)=0,"",IF(OR(A764="",B764="",C764="",D764="",E764="",F764="",I764="",J764="",K764="",M764=""),"Required link detail missing",IF(COUNTIF($A$4:$A$1003,A764)&gt;1,"Duplicate Map Edge ID",IF(NOT(OR(AND(B764="UC",E764="CAP",D764="requires"),AND(B764="CAP",E764="AIR",D764="provided by"),AND(B764="AIR",OR(E764="MOD",E764="DATA",E764="IF",E764="AG",E764="TOOL"),D764="references"),AND(B764="AIR",E764="AIR",D764="depends on"))),"Invalid relationship",IF(AND(M764&lt;&gt;"Superseded",COUNTIFS($B$4:$B$1003,B764,$C$4:$C$1003,C764,$D$4:$D$1003,D764,$E$4:$E$1003,E764,$F$4:$F$1003,F764,$G$4:$G$1003,G764,$M$4:$M$1003,"&lt;&gt;Superseded")&gt;1),"Duplicate relationship",IF(OR(IF(B764="UC",COUNTIF('Use cases'!$A$4:$A$253,C764),IF(B764="CAP",COUNTIF(Capabilities!$A$4:$A$253,C764),IF(B764="AIR",COUNTIF('System map'!$A$4:$A$203,C764),COUNTIFS(Components!$A$4:$A$253,C764,Components!$B$4:$B$253,B764))))&lt;&gt;1,IF(E764="UC",COUNTIF('Use cases'!$A$4:$A$253,F764),IF(E764="CAP",COUNTIF(Capabilities!$A$4:$A$253,F764),IF(E764="AIR",COUNTIF('System map'!$A$4:$A$203,F764),COUNTIFS(Components!$A$4:$A$253,F764,Components!$B$4:$B$253,E764))))&lt;&gt;1),"Endpoint missing or duplicated",IF(AND(NOT(AND(B764="UC",E764="CAP")),OR(G764="",COUNTIF('System map'!$A$4:$A$203,G764)&lt;&gt;1)),"AIR context missing / unknown",IF(AND(B764="CAP",E764="AIR",G764&lt;&gt;F764),"AIR context mismatch",IF(AND(B764="AIR",G764&lt;&gt;C764),"AIR context mismatch",IF(AND(B764="AIR",E764="AIR",C764=F764),"Self-dependency",IF(AND(B764="AIR",E764="AIR",M764&lt;&gt;"Superseded",COUNTIFS($B$4:$B$1003,"AIR",$C$4:$C$1003,F764,$E$4:$E$1003,"AIR",$F$4:$F$1003,C764,$M$4:$M$1003,"&lt;&gt;Superseded")&gt;0),"Dependency cycle (A↔B) — review",IF(AND(B764="AIR",OR(E764="MOD",E764="DATA",E764="IF",E764="AG",E764="TOOL"),IFERROR(INDEX(Components!$G$4:$G$253,MATCH(F764,Components!$A$4:$A$253,0)),"")&lt;&gt;"",IFERROR(INDEX(Components!$G$4:$G$253,MATCH(F764,Components!$A$4:$A$253,0)),"")&lt;&gt;C764),"Component owned by another AIR-ID",IF(AND(M764="Confirmed",OR(IF(B764="UC",COUNTIFS('Use cases'!$A$4:$A$253,C764,'Use cases'!$I$4:$I$253,"Confirmed",'Use cases'!$J$4:$J$253,"OK — verify source"),IF(B764="CAP",COUNTIFS(Capabilities!$A$4:$A$253,C764,Capabilities!$J$4:$J$253,"Confirmed",Capabilities!$K$4:$K$253,"OK — verify source"),IF(B764="AIR",COUNTIFS('System map'!$A$4:$A$203,C764,'System map'!$B$4:$B$203,"&lt;&gt;",'System map'!$C$4:$C$203,"&lt;&gt;",'System map'!$D$4:$D$203,"&lt;&gt;"),COUNTIFS(Components!$A$4:$A$253,C764,Components!$B$4:$B$253,B764,Components!$K$4:$K$253,"Confirmed",Components!$L$4:$L$253,"OK — verify source"))))&lt;&gt;1,IF(E764="UC",COUNTIFS('Use cases'!$A$4:$A$253,F764,'Use cases'!$I$4:$I$253,"Confirmed",'Use cases'!$J$4:$J$253,"OK — verify source"),IF(E764="CAP",COUNTIFS(Capabilities!$A$4:$A$253,F764,Capabilities!$J$4:$J$253,"Confirmed",Capabilities!$K$4:$K$253,"OK — verify source"),IF(E764="AIR",COUNTIFS('System map'!$A$4:$A$203,F764,'System map'!$B$4:$B$203,"&lt;&gt;",'System map'!$C$4:$C$203,"&lt;&gt;",'System map'!$D$4:$D$203,"&lt;&gt;"),COUNTIFS(Components!$A$4:$A$253,F764,Components!$B$4:$B$253,E764,Components!$K$4:$K$253,"Confirmed",Components!$L$4:$L$253,"OK — verify source"))))&lt;&gt;1)),"Endpoint not source-reconciled",IF(AND(M764="Confirmed",OR(L764="",K764="",K764="Unknown",K764="Low")),"Confirmed link lacks verification","OK — verify source"))))))))))))))</f>
        <v/>
      </c>
    </row>
    <row r="765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8" t="n"/>
      <c r="M765" s="27" t="n"/>
      <c r="N765" s="27">
        <f>IF(COUNTA(A765:M765)=0,"",IF(OR(A765="",B765="",C765="",D765="",E765="",F765="",I765="",J765="",K765="",M765=""),"Required link detail missing",IF(COUNTIF($A$4:$A$1003,A765)&gt;1,"Duplicate Map Edge ID",IF(NOT(OR(AND(B765="UC",E765="CAP",D765="requires"),AND(B765="CAP",E765="AIR",D765="provided by"),AND(B765="AIR",OR(E765="MOD",E765="DATA",E765="IF",E765="AG",E765="TOOL"),D765="references"),AND(B765="AIR",E765="AIR",D765="depends on"))),"Invalid relationship",IF(AND(M765&lt;&gt;"Superseded",COUNTIFS($B$4:$B$1003,B765,$C$4:$C$1003,C765,$D$4:$D$1003,D765,$E$4:$E$1003,E765,$F$4:$F$1003,F765,$G$4:$G$1003,G765,$M$4:$M$1003,"&lt;&gt;Superseded")&gt;1),"Duplicate relationship",IF(OR(IF(B765="UC",COUNTIF('Use cases'!$A$4:$A$253,C765),IF(B765="CAP",COUNTIF(Capabilities!$A$4:$A$253,C765),IF(B765="AIR",COUNTIF('System map'!$A$4:$A$203,C765),COUNTIFS(Components!$A$4:$A$253,C765,Components!$B$4:$B$253,B765))))&lt;&gt;1,IF(E765="UC",COUNTIF('Use cases'!$A$4:$A$253,F765),IF(E765="CAP",COUNTIF(Capabilities!$A$4:$A$253,F765),IF(E765="AIR",COUNTIF('System map'!$A$4:$A$203,F765),COUNTIFS(Components!$A$4:$A$253,F765,Components!$B$4:$B$253,E765))))&lt;&gt;1),"Endpoint missing or duplicated",IF(AND(NOT(AND(B765="UC",E765="CAP")),OR(G765="",COUNTIF('System map'!$A$4:$A$203,G765)&lt;&gt;1)),"AIR context missing / unknown",IF(AND(B765="CAP",E765="AIR",G765&lt;&gt;F765),"AIR context mismatch",IF(AND(B765="AIR",G765&lt;&gt;C765),"AIR context mismatch",IF(AND(B765="AIR",E765="AIR",C765=F765),"Self-dependency",IF(AND(B765="AIR",E765="AIR",M765&lt;&gt;"Superseded",COUNTIFS($B$4:$B$1003,"AIR",$C$4:$C$1003,F765,$E$4:$E$1003,"AIR",$F$4:$F$1003,C765,$M$4:$M$1003,"&lt;&gt;Superseded")&gt;0),"Dependency cycle (A↔B) — review",IF(AND(B765="AIR",OR(E765="MOD",E765="DATA",E765="IF",E765="AG",E765="TOOL"),IFERROR(INDEX(Components!$G$4:$G$253,MATCH(F765,Components!$A$4:$A$253,0)),"")&lt;&gt;"",IFERROR(INDEX(Components!$G$4:$G$253,MATCH(F765,Components!$A$4:$A$253,0)),"")&lt;&gt;C765),"Component owned by another AIR-ID",IF(AND(M765="Confirmed",OR(IF(B765="UC",COUNTIFS('Use cases'!$A$4:$A$253,C765,'Use cases'!$I$4:$I$253,"Confirmed",'Use cases'!$J$4:$J$253,"OK — verify source"),IF(B765="CAP",COUNTIFS(Capabilities!$A$4:$A$253,C765,Capabilities!$J$4:$J$253,"Confirmed",Capabilities!$K$4:$K$253,"OK — verify source"),IF(B765="AIR",COUNTIFS('System map'!$A$4:$A$203,C765,'System map'!$B$4:$B$203,"&lt;&gt;",'System map'!$C$4:$C$203,"&lt;&gt;",'System map'!$D$4:$D$203,"&lt;&gt;"),COUNTIFS(Components!$A$4:$A$253,C765,Components!$B$4:$B$253,B765,Components!$K$4:$K$253,"Confirmed",Components!$L$4:$L$253,"OK — verify source"))))&lt;&gt;1,IF(E765="UC",COUNTIFS('Use cases'!$A$4:$A$253,F765,'Use cases'!$I$4:$I$253,"Confirmed",'Use cases'!$J$4:$J$253,"OK — verify source"),IF(E765="CAP",COUNTIFS(Capabilities!$A$4:$A$253,F765,Capabilities!$J$4:$J$253,"Confirmed",Capabilities!$K$4:$K$253,"OK — verify source"),IF(E765="AIR",COUNTIFS('System map'!$A$4:$A$203,F765,'System map'!$B$4:$B$203,"&lt;&gt;",'System map'!$C$4:$C$203,"&lt;&gt;",'System map'!$D$4:$D$203,"&lt;&gt;"),COUNTIFS(Components!$A$4:$A$253,F765,Components!$B$4:$B$253,E765,Components!$K$4:$K$253,"Confirmed",Components!$L$4:$L$253,"OK — verify source"))))&lt;&gt;1)),"Endpoint not source-reconciled",IF(AND(M765="Confirmed",OR(L765="",K765="",K765="Unknown",K765="Low")),"Confirmed link lacks verification","OK — verify source"))))))))))))))</f>
        <v/>
      </c>
    </row>
    <row r="766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6" t="n"/>
      <c r="M766" s="25" t="n"/>
      <c r="N766" s="25">
        <f>IF(COUNTA(A766:M766)=0,"",IF(OR(A766="",B766="",C766="",D766="",E766="",F766="",I766="",J766="",K766="",M766=""),"Required link detail missing",IF(COUNTIF($A$4:$A$1003,A766)&gt;1,"Duplicate Map Edge ID",IF(NOT(OR(AND(B766="UC",E766="CAP",D766="requires"),AND(B766="CAP",E766="AIR",D766="provided by"),AND(B766="AIR",OR(E766="MOD",E766="DATA",E766="IF",E766="AG",E766="TOOL"),D766="references"),AND(B766="AIR",E766="AIR",D766="depends on"))),"Invalid relationship",IF(AND(M766&lt;&gt;"Superseded",COUNTIFS($B$4:$B$1003,B766,$C$4:$C$1003,C766,$D$4:$D$1003,D766,$E$4:$E$1003,E766,$F$4:$F$1003,F766,$G$4:$G$1003,G766,$M$4:$M$1003,"&lt;&gt;Superseded")&gt;1),"Duplicate relationship",IF(OR(IF(B766="UC",COUNTIF('Use cases'!$A$4:$A$253,C766),IF(B766="CAP",COUNTIF(Capabilities!$A$4:$A$253,C766),IF(B766="AIR",COUNTIF('System map'!$A$4:$A$203,C766),COUNTIFS(Components!$A$4:$A$253,C766,Components!$B$4:$B$253,B766))))&lt;&gt;1,IF(E766="UC",COUNTIF('Use cases'!$A$4:$A$253,F766),IF(E766="CAP",COUNTIF(Capabilities!$A$4:$A$253,F766),IF(E766="AIR",COUNTIF('System map'!$A$4:$A$203,F766),COUNTIFS(Components!$A$4:$A$253,F766,Components!$B$4:$B$253,E766))))&lt;&gt;1),"Endpoint missing or duplicated",IF(AND(NOT(AND(B766="UC",E766="CAP")),OR(G766="",COUNTIF('System map'!$A$4:$A$203,G766)&lt;&gt;1)),"AIR context missing / unknown",IF(AND(B766="CAP",E766="AIR",G766&lt;&gt;F766),"AIR context mismatch",IF(AND(B766="AIR",G766&lt;&gt;C766),"AIR context mismatch",IF(AND(B766="AIR",E766="AIR",C766=F766),"Self-dependency",IF(AND(B766="AIR",E766="AIR",M766&lt;&gt;"Superseded",COUNTIFS($B$4:$B$1003,"AIR",$C$4:$C$1003,F766,$E$4:$E$1003,"AIR",$F$4:$F$1003,C766,$M$4:$M$1003,"&lt;&gt;Superseded")&gt;0),"Dependency cycle (A↔B) — review",IF(AND(B766="AIR",OR(E766="MOD",E766="DATA",E766="IF",E766="AG",E766="TOOL"),IFERROR(INDEX(Components!$G$4:$G$253,MATCH(F766,Components!$A$4:$A$253,0)),"")&lt;&gt;"",IFERROR(INDEX(Components!$G$4:$G$253,MATCH(F766,Components!$A$4:$A$253,0)),"")&lt;&gt;C766),"Component owned by another AIR-ID",IF(AND(M766="Confirmed",OR(IF(B766="UC",COUNTIFS('Use cases'!$A$4:$A$253,C766,'Use cases'!$I$4:$I$253,"Confirmed",'Use cases'!$J$4:$J$253,"OK — verify source"),IF(B766="CAP",COUNTIFS(Capabilities!$A$4:$A$253,C766,Capabilities!$J$4:$J$253,"Confirmed",Capabilities!$K$4:$K$253,"OK — verify source"),IF(B766="AIR",COUNTIFS('System map'!$A$4:$A$203,C766,'System map'!$B$4:$B$203,"&lt;&gt;",'System map'!$C$4:$C$203,"&lt;&gt;",'System map'!$D$4:$D$203,"&lt;&gt;"),COUNTIFS(Components!$A$4:$A$253,C766,Components!$B$4:$B$253,B766,Components!$K$4:$K$253,"Confirmed",Components!$L$4:$L$253,"OK — verify source"))))&lt;&gt;1,IF(E766="UC",COUNTIFS('Use cases'!$A$4:$A$253,F766,'Use cases'!$I$4:$I$253,"Confirmed",'Use cases'!$J$4:$J$253,"OK — verify source"),IF(E766="CAP",COUNTIFS(Capabilities!$A$4:$A$253,F766,Capabilities!$J$4:$J$253,"Confirmed",Capabilities!$K$4:$K$253,"OK — verify source"),IF(E766="AIR",COUNTIFS('System map'!$A$4:$A$203,F766,'System map'!$B$4:$B$203,"&lt;&gt;",'System map'!$C$4:$C$203,"&lt;&gt;",'System map'!$D$4:$D$203,"&lt;&gt;"),COUNTIFS(Components!$A$4:$A$253,F766,Components!$B$4:$B$253,E766,Components!$K$4:$K$253,"Confirmed",Components!$L$4:$L$253,"OK — verify source"))))&lt;&gt;1)),"Endpoint not source-reconciled",IF(AND(M766="Confirmed",OR(L766="",K766="",K766="Unknown",K766="Low")),"Confirmed link lacks verification","OK — verify source"))))))))))))))</f>
        <v/>
      </c>
    </row>
    <row r="767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8" t="n"/>
      <c r="M767" s="27" t="n"/>
      <c r="N767" s="27">
        <f>IF(COUNTA(A767:M767)=0,"",IF(OR(A767="",B767="",C767="",D767="",E767="",F767="",I767="",J767="",K767="",M767=""),"Required link detail missing",IF(COUNTIF($A$4:$A$1003,A767)&gt;1,"Duplicate Map Edge ID",IF(NOT(OR(AND(B767="UC",E767="CAP",D767="requires"),AND(B767="CAP",E767="AIR",D767="provided by"),AND(B767="AIR",OR(E767="MOD",E767="DATA",E767="IF",E767="AG",E767="TOOL"),D767="references"),AND(B767="AIR",E767="AIR",D767="depends on"))),"Invalid relationship",IF(AND(M767&lt;&gt;"Superseded",COUNTIFS($B$4:$B$1003,B767,$C$4:$C$1003,C767,$D$4:$D$1003,D767,$E$4:$E$1003,E767,$F$4:$F$1003,F767,$G$4:$G$1003,G767,$M$4:$M$1003,"&lt;&gt;Superseded")&gt;1),"Duplicate relationship",IF(OR(IF(B767="UC",COUNTIF('Use cases'!$A$4:$A$253,C767),IF(B767="CAP",COUNTIF(Capabilities!$A$4:$A$253,C767),IF(B767="AIR",COUNTIF('System map'!$A$4:$A$203,C767),COUNTIFS(Components!$A$4:$A$253,C767,Components!$B$4:$B$253,B767))))&lt;&gt;1,IF(E767="UC",COUNTIF('Use cases'!$A$4:$A$253,F767),IF(E767="CAP",COUNTIF(Capabilities!$A$4:$A$253,F767),IF(E767="AIR",COUNTIF('System map'!$A$4:$A$203,F767),COUNTIFS(Components!$A$4:$A$253,F767,Components!$B$4:$B$253,E767))))&lt;&gt;1),"Endpoint missing or duplicated",IF(AND(NOT(AND(B767="UC",E767="CAP")),OR(G767="",COUNTIF('System map'!$A$4:$A$203,G767)&lt;&gt;1)),"AIR context missing / unknown",IF(AND(B767="CAP",E767="AIR",G767&lt;&gt;F767),"AIR context mismatch",IF(AND(B767="AIR",G767&lt;&gt;C767),"AIR context mismatch",IF(AND(B767="AIR",E767="AIR",C767=F767),"Self-dependency",IF(AND(B767="AIR",E767="AIR",M767&lt;&gt;"Superseded",COUNTIFS($B$4:$B$1003,"AIR",$C$4:$C$1003,F767,$E$4:$E$1003,"AIR",$F$4:$F$1003,C767,$M$4:$M$1003,"&lt;&gt;Superseded")&gt;0),"Dependency cycle (A↔B) — review",IF(AND(B767="AIR",OR(E767="MOD",E767="DATA",E767="IF",E767="AG",E767="TOOL"),IFERROR(INDEX(Components!$G$4:$G$253,MATCH(F767,Components!$A$4:$A$253,0)),"")&lt;&gt;"",IFERROR(INDEX(Components!$G$4:$G$253,MATCH(F767,Components!$A$4:$A$253,0)),"")&lt;&gt;C767),"Component owned by another AIR-ID",IF(AND(M767="Confirmed",OR(IF(B767="UC",COUNTIFS('Use cases'!$A$4:$A$253,C767,'Use cases'!$I$4:$I$253,"Confirmed",'Use cases'!$J$4:$J$253,"OK — verify source"),IF(B767="CAP",COUNTIFS(Capabilities!$A$4:$A$253,C767,Capabilities!$J$4:$J$253,"Confirmed",Capabilities!$K$4:$K$253,"OK — verify source"),IF(B767="AIR",COUNTIFS('System map'!$A$4:$A$203,C767,'System map'!$B$4:$B$203,"&lt;&gt;",'System map'!$C$4:$C$203,"&lt;&gt;",'System map'!$D$4:$D$203,"&lt;&gt;"),COUNTIFS(Components!$A$4:$A$253,C767,Components!$B$4:$B$253,B767,Components!$K$4:$K$253,"Confirmed",Components!$L$4:$L$253,"OK — verify source"))))&lt;&gt;1,IF(E767="UC",COUNTIFS('Use cases'!$A$4:$A$253,F767,'Use cases'!$I$4:$I$253,"Confirmed",'Use cases'!$J$4:$J$253,"OK — verify source"),IF(E767="CAP",COUNTIFS(Capabilities!$A$4:$A$253,F767,Capabilities!$J$4:$J$253,"Confirmed",Capabilities!$K$4:$K$253,"OK — verify source"),IF(E767="AIR",COUNTIFS('System map'!$A$4:$A$203,F767,'System map'!$B$4:$B$203,"&lt;&gt;",'System map'!$C$4:$C$203,"&lt;&gt;",'System map'!$D$4:$D$203,"&lt;&gt;"),COUNTIFS(Components!$A$4:$A$253,F767,Components!$B$4:$B$253,E767,Components!$K$4:$K$253,"Confirmed",Components!$L$4:$L$253,"OK — verify source"))))&lt;&gt;1)),"Endpoint not source-reconciled",IF(AND(M767="Confirmed",OR(L767="",K767="",K767="Unknown",K767="Low")),"Confirmed link lacks verification","OK — verify source"))))))))))))))</f>
        <v/>
      </c>
    </row>
    <row r="768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6" t="n"/>
      <c r="M768" s="25" t="n"/>
      <c r="N768" s="25">
        <f>IF(COUNTA(A768:M768)=0,"",IF(OR(A768="",B768="",C768="",D768="",E768="",F768="",I768="",J768="",K768="",M768=""),"Required link detail missing",IF(COUNTIF($A$4:$A$1003,A768)&gt;1,"Duplicate Map Edge ID",IF(NOT(OR(AND(B768="UC",E768="CAP",D768="requires"),AND(B768="CAP",E768="AIR",D768="provided by"),AND(B768="AIR",OR(E768="MOD",E768="DATA",E768="IF",E768="AG",E768="TOOL"),D768="references"),AND(B768="AIR",E768="AIR",D768="depends on"))),"Invalid relationship",IF(AND(M768&lt;&gt;"Superseded",COUNTIFS($B$4:$B$1003,B768,$C$4:$C$1003,C768,$D$4:$D$1003,D768,$E$4:$E$1003,E768,$F$4:$F$1003,F768,$G$4:$G$1003,G768,$M$4:$M$1003,"&lt;&gt;Superseded")&gt;1),"Duplicate relationship",IF(OR(IF(B768="UC",COUNTIF('Use cases'!$A$4:$A$253,C768),IF(B768="CAP",COUNTIF(Capabilities!$A$4:$A$253,C768),IF(B768="AIR",COUNTIF('System map'!$A$4:$A$203,C768),COUNTIFS(Components!$A$4:$A$253,C768,Components!$B$4:$B$253,B768))))&lt;&gt;1,IF(E768="UC",COUNTIF('Use cases'!$A$4:$A$253,F768),IF(E768="CAP",COUNTIF(Capabilities!$A$4:$A$253,F768),IF(E768="AIR",COUNTIF('System map'!$A$4:$A$203,F768),COUNTIFS(Components!$A$4:$A$253,F768,Components!$B$4:$B$253,E768))))&lt;&gt;1),"Endpoint missing or duplicated",IF(AND(NOT(AND(B768="UC",E768="CAP")),OR(G768="",COUNTIF('System map'!$A$4:$A$203,G768)&lt;&gt;1)),"AIR context missing / unknown",IF(AND(B768="CAP",E768="AIR",G768&lt;&gt;F768),"AIR context mismatch",IF(AND(B768="AIR",G768&lt;&gt;C768),"AIR context mismatch",IF(AND(B768="AIR",E768="AIR",C768=F768),"Self-dependency",IF(AND(B768="AIR",E768="AIR",M768&lt;&gt;"Superseded",COUNTIFS($B$4:$B$1003,"AIR",$C$4:$C$1003,F768,$E$4:$E$1003,"AIR",$F$4:$F$1003,C768,$M$4:$M$1003,"&lt;&gt;Superseded")&gt;0),"Dependency cycle (A↔B) — review",IF(AND(B768="AIR",OR(E768="MOD",E768="DATA",E768="IF",E768="AG",E768="TOOL"),IFERROR(INDEX(Components!$G$4:$G$253,MATCH(F768,Components!$A$4:$A$253,0)),"")&lt;&gt;"",IFERROR(INDEX(Components!$G$4:$G$253,MATCH(F768,Components!$A$4:$A$253,0)),"")&lt;&gt;C768),"Component owned by another AIR-ID",IF(AND(M768="Confirmed",OR(IF(B768="UC",COUNTIFS('Use cases'!$A$4:$A$253,C768,'Use cases'!$I$4:$I$253,"Confirmed",'Use cases'!$J$4:$J$253,"OK — verify source"),IF(B768="CAP",COUNTIFS(Capabilities!$A$4:$A$253,C768,Capabilities!$J$4:$J$253,"Confirmed",Capabilities!$K$4:$K$253,"OK — verify source"),IF(B768="AIR",COUNTIFS('System map'!$A$4:$A$203,C768,'System map'!$B$4:$B$203,"&lt;&gt;",'System map'!$C$4:$C$203,"&lt;&gt;",'System map'!$D$4:$D$203,"&lt;&gt;"),COUNTIFS(Components!$A$4:$A$253,C768,Components!$B$4:$B$253,B768,Components!$K$4:$K$253,"Confirmed",Components!$L$4:$L$253,"OK — verify source"))))&lt;&gt;1,IF(E768="UC",COUNTIFS('Use cases'!$A$4:$A$253,F768,'Use cases'!$I$4:$I$253,"Confirmed",'Use cases'!$J$4:$J$253,"OK — verify source"),IF(E768="CAP",COUNTIFS(Capabilities!$A$4:$A$253,F768,Capabilities!$J$4:$J$253,"Confirmed",Capabilities!$K$4:$K$253,"OK — verify source"),IF(E768="AIR",COUNTIFS('System map'!$A$4:$A$203,F768,'System map'!$B$4:$B$203,"&lt;&gt;",'System map'!$C$4:$C$203,"&lt;&gt;",'System map'!$D$4:$D$203,"&lt;&gt;"),COUNTIFS(Components!$A$4:$A$253,F768,Components!$B$4:$B$253,E768,Components!$K$4:$K$253,"Confirmed",Components!$L$4:$L$253,"OK — verify source"))))&lt;&gt;1)),"Endpoint not source-reconciled",IF(AND(M768="Confirmed",OR(L768="",K768="",K768="Unknown",K768="Low")),"Confirmed link lacks verification","OK — verify source"))))))))))))))</f>
        <v/>
      </c>
    </row>
    <row r="769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8" t="n"/>
      <c r="M769" s="27" t="n"/>
      <c r="N769" s="27">
        <f>IF(COUNTA(A769:M769)=0,"",IF(OR(A769="",B769="",C769="",D769="",E769="",F769="",I769="",J769="",K769="",M769=""),"Required link detail missing",IF(COUNTIF($A$4:$A$1003,A769)&gt;1,"Duplicate Map Edge ID",IF(NOT(OR(AND(B769="UC",E769="CAP",D769="requires"),AND(B769="CAP",E769="AIR",D769="provided by"),AND(B769="AIR",OR(E769="MOD",E769="DATA",E769="IF",E769="AG",E769="TOOL"),D769="references"),AND(B769="AIR",E769="AIR",D769="depends on"))),"Invalid relationship",IF(AND(M769&lt;&gt;"Superseded",COUNTIFS($B$4:$B$1003,B769,$C$4:$C$1003,C769,$D$4:$D$1003,D769,$E$4:$E$1003,E769,$F$4:$F$1003,F769,$G$4:$G$1003,G769,$M$4:$M$1003,"&lt;&gt;Superseded")&gt;1),"Duplicate relationship",IF(OR(IF(B769="UC",COUNTIF('Use cases'!$A$4:$A$253,C769),IF(B769="CAP",COUNTIF(Capabilities!$A$4:$A$253,C769),IF(B769="AIR",COUNTIF('System map'!$A$4:$A$203,C769),COUNTIFS(Components!$A$4:$A$253,C769,Components!$B$4:$B$253,B769))))&lt;&gt;1,IF(E769="UC",COUNTIF('Use cases'!$A$4:$A$253,F769),IF(E769="CAP",COUNTIF(Capabilities!$A$4:$A$253,F769),IF(E769="AIR",COUNTIF('System map'!$A$4:$A$203,F769),COUNTIFS(Components!$A$4:$A$253,F769,Components!$B$4:$B$253,E769))))&lt;&gt;1),"Endpoint missing or duplicated",IF(AND(NOT(AND(B769="UC",E769="CAP")),OR(G769="",COUNTIF('System map'!$A$4:$A$203,G769)&lt;&gt;1)),"AIR context missing / unknown",IF(AND(B769="CAP",E769="AIR",G769&lt;&gt;F769),"AIR context mismatch",IF(AND(B769="AIR",G769&lt;&gt;C769),"AIR context mismatch",IF(AND(B769="AIR",E769="AIR",C769=F769),"Self-dependency",IF(AND(B769="AIR",E769="AIR",M769&lt;&gt;"Superseded",COUNTIFS($B$4:$B$1003,"AIR",$C$4:$C$1003,F769,$E$4:$E$1003,"AIR",$F$4:$F$1003,C769,$M$4:$M$1003,"&lt;&gt;Superseded")&gt;0),"Dependency cycle (A↔B) — review",IF(AND(B769="AIR",OR(E769="MOD",E769="DATA",E769="IF",E769="AG",E769="TOOL"),IFERROR(INDEX(Components!$G$4:$G$253,MATCH(F769,Components!$A$4:$A$253,0)),"")&lt;&gt;"",IFERROR(INDEX(Components!$G$4:$G$253,MATCH(F769,Components!$A$4:$A$253,0)),"")&lt;&gt;C769),"Component owned by another AIR-ID",IF(AND(M769="Confirmed",OR(IF(B769="UC",COUNTIFS('Use cases'!$A$4:$A$253,C769,'Use cases'!$I$4:$I$253,"Confirmed",'Use cases'!$J$4:$J$253,"OK — verify source"),IF(B769="CAP",COUNTIFS(Capabilities!$A$4:$A$253,C769,Capabilities!$J$4:$J$253,"Confirmed",Capabilities!$K$4:$K$253,"OK — verify source"),IF(B769="AIR",COUNTIFS('System map'!$A$4:$A$203,C769,'System map'!$B$4:$B$203,"&lt;&gt;",'System map'!$C$4:$C$203,"&lt;&gt;",'System map'!$D$4:$D$203,"&lt;&gt;"),COUNTIFS(Components!$A$4:$A$253,C769,Components!$B$4:$B$253,B769,Components!$K$4:$K$253,"Confirmed",Components!$L$4:$L$253,"OK — verify source"))))&lt;&gt;1,IF(E769="UC",COUNTIFS('Use cases'!$A$4:$A$253,F769,'Use cases'!$I$4:$I$253,"Confirmed",'Use cases'!$J$4:$J$253,"OK — verify source"),IF(E769="CAP",COUNTIFS(Capabilities!$A$4:$A$253,F769,Capabilities!$J$4:$J$253,"Confirmed",Capabilities!$K$4:$K$253,"OK — verify source"),IF(E769="AIR",COUNTIFS('System map'!$A$4:$A$203,F769,'System map'!$B$4:$B$203,"&lt;&gt;",'System map'!$C$4:$C$203,"&lt;&gt;",'System map'!$D$4:$D$203,"&lt;&gt;"),COUNTIFS(Components!$A$4:$A$253,F769,Components!$B$4:$B$253,E769,Components!$K$4:$K$253,"Confirmed",Components!$L$4:$L$253,"OK — verify source"))))&lt;&gt;1)),"Endpoint not source-reconciled",IF(AND(M769="Confirmed",OR(L769="",K769="",K769="Unknown",K769="Low")),"Confirmed link lacks verification","OK — verify source"))))))))))))))</f>
        <v/>
      </c>
    </row>
    <row r="770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6" t="n"/>
      <c r="M770" s="25" t="n"/>
      <c r="N770" s="25">
        <f>IF(COUNTA(A770:M770)=0,"",IF(OR(A770="",B770="",C770="",D770="",E770="",F770="",I770="",J770="",K770="",M770=""),"Required link detail missing",IF(COUNTIF($A$4:$A$1003,A770)&gt;1,"Duplicate Map Edge ID",IF(NOT(OR(AND(B770="UC",E770="CAP",D770="requires"),AND(B770="CAP",E770="AIR",D770="provided by"),AND(B770="AIR",OR(E770="MOD",E770="DATA",E770="IF",E770="AG",E770="TOOL"),D770="references"),AND(B770="AIR",E770="AIR",D770="depends on"))),"Invalid relationship",IF(AND(M770&lt;&gt;"Superseded",COUNTIFS($B$4:$B$1003,B770,$C$4:$C$1003,C770,$D$4:$D$1003,D770,$E$4:$E$1003,E770,$F$4:$F$1003,F770,$G$4:$G$1003,G770,$M$4:$M$1003,"&lt;&gt;Superseded")&gt;1),"Duplicate relationship",IF(OR(IF(B770="UC",COUNTIF('Use cases'!$A$4:$A$253,C770),IF(B770="CAP",COUNTIF(Capabilities!$A$4:$A$253,C770),IF(B770="AIR",COUNTIF('System map'!$A$4:$A$203,C770),COUNTIFS(Components!$A$4:$A$253,C770,Components!$B$4:$B$253,B770))))&lt;&gt;1,IF(E770="UC",COUNTIF('Use cases'!$A$4:$A$253,F770),IF(E770="CAP",COUNTIF(Capabilities!$A$4:$A$253,F770),IF(E770="AIR",COUNTIF('System map'!$A$4:$A$203,F770),COUNTIFS(Components!$A$4:$A$253,F770,Components!$B$4:$B$253,E770))))&lt;&gt;1),"Endpoint missing or duplicated",IF(AND(NOT(AND(B770="UC",E770="CAP")),OR(G770="",COUNTIF('System map'!$A$4:$A$203,G770)&lt;&gt;1)),"AIR context missing / unknown",IF(AND(B770="CAP",E770="AIR",G770&lt;&gt;F770),"AIR context mismatch",IF(AND(B770="AIR",G770&lt;&gt;C770),"AIR context mismatch",IF(AND(B770="AIR",E770="AIR",C770=F770),"Self-dependency",IF(AND(B770="AIR",E770="AIR",M770&lt;&gt;"Superseded",COUNTIFS($B$4:$B$1003,"AIR",$C$4:$C$1003,F770,$E$4:$E$1003,"AIR",$F$4:$F$1003,C770,$M$4:$M$1003,"&lt;&gt;Superseded")&gt;0),"Dependency cycle (A↔B) — review",IF(AND(B770="AIR",OR(E770="MOD",E770="DATA",E770="IF",E770="AG",E770="TOOL"),IFERROR(INDEX(Components!$G$4:$G$253,MATCH(F770,Components!$A$4:$A$253,0)),"")&lt;&gt;"",IFERROR(INDEX(Components!$G$4:$G$253,MATCH(F770,Components!$A$4:$A$253,0)),"")&lt;&gt;C770),"Component owned by another AIR-ID",IF(AND(M770="Confirmed",OR(IF(B770="UC",COUNTIFS('Use cases'!$A$4:$A$253,C770,'Use cases'!$I$4:$I$253,"Confirmed",'Use cases'!$J$4:$J$253,"OK — verify source"),IF(B770="CAP",COUNTIFS(Capabilities!$A$4:$A$253,C770,Capabilities!$J$4:$J$253,"Confirmed",Capabilities!$K$4:$K$253,"OK — verify source"),IF(B770="AIR",COUNTIFS('System map'!$A$4:$A$203,C770,'System map'!$B$4:$B$203,"&lt;&gt;",'System map'!$C$4:$C$203,"&lt;&gt;",'System map'!$D$4:$D$203,"&lt;&gt;"),COUNTIFS(Components!$A$4:$A$253,C770,Components!$B$4:$B$253,B770,Components!$K$4:$K$253,"Confirmed",Components!$L$4:$L$253,"OK — verify source"))))&lt;&gt;1,IF(E770="UC",COUNTIFS('Use cases'!$A$4:$A$253,F770,'Use cases'!$I$4:$I$253,"Confirmed",'Use cases'!$J$4:$J$253,"OK — verify source"),IF(E770="CAP",COUNTIFS(Capabilities!$A$4:$A$253,F770,Capabilities!$J$4:$J$253,"Confirmed",Capabilities!$K$4:$K$253,"OK — verify source"),IF(E770="AIR",COUNTIFS('System map'!$A$4:$A$203,F770,'System map'!$B$4:$B$203,"&lt;&gt;",'System map'!$C$4:$C$203,"&lt;&gt;",'System map'!$D$4:$D$203,"&lt;&gt;"),COUNTIFS(Components!$A$4:$A$253,F770,Components!$B$4:$B$253,E770,Components!$K$4:$K$253,"Confirmed",Components!$L$4:$L$253,"OK — verify source"))))&lt;&gt;1)),"Endpoint not source-reconciled",IF(AND(M770="Confirmed",OR(L770="",K770="",K770="Unknown",K770="Low")),"Confirmed link lacks verification","OK — verify source"))))))))))))))</f>
        <v/>
      </c>
    </row>
    <row r="771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8" t="n"/>
      <c r="M771" s="27" t="n"/>
      <c r="N771" s="27">
        <f>IF(COUNTA(A771:M771)=0,"",IF(OR(A771="",B771="",C771="",D771="",E771="",F771="",I771="",J771="",K771="",M771=""),"Required link detail missing",IF(COUNTIF($A$4:$A$1003,A771)&gt;1,"Duplicate Map Edge ID",IF(NOT(OR(AND(B771="UC",E771="CAP",D771="requires"),AND(B771="CAP",E771="AIR",D771="provided by"),AND(B771="AIR",OR(E771="MOD",E771="DATA",E771="IF",E771="AG",E771="TOOL"),D771="references"),AND(B771="AIR",E771="AIR",D771="depends on"))),"Invalid relationship",IF(AND(M771&lt;&gt;"Superseded",COUNTIFS($B$4:$B$1003,B771,$C$4:$C$1003,C771,$D$4:$D$1003,D771,$E$4:$E$1003,E771,$F$4:$F$1003,F771,$G$4:$G$1003,G771,$M$4:$M$1003,"&lt;&gt;Superseded")&gt;1),"Duplicate relationship",IF(OR(IF(B771="UC",COUNTIF('Use cases'!$A$4:$A$253,C771),IF(B771="CAP",COUNTIF(Capabilities!$A$4:$A$253,C771),IF(B771="AIR",COUNTIF('System map'!$A$4:$A$203,C771),COUNTIFS(Components!$A$4:$A$253,C771,Components!$B$4:$B$253,B771))))&lt;&gt;1,IF(E771="UC",COUNTIF('Use cases'!$A$4:$A$253,F771),IF(E771="CAP",COUNTIF(Capabilities!$A$4:$A$253,F771),IF(E771="AIR",COUNTIF('System map'!$A$4:$A$203,F771),COUNTIFS(Components!$A$4:$A$253,F771,Components!$B$4:$B$253,E771))))&lt;&gt;1),"Endpoint missing or duplicated",IF(AND(NOT(AND(B771="UC",E771="CAP")),OR(G771="",COUNTIF('System map'!$A$4:$A$203,G771)&lt;&gt;1)),"AIR context missing / unknown",IF(AND(B771="CAP",E771="AIR",G771&lt;&gt;F771),"AIR context mismatch",IF(AND(B771="AIR",G771&lt;&gt;C771),"AIR context mismatch",IF(AND(B771="AIR",E771="AIR",C771=F771),"Self-dependency",IF(AND(B771="AIR",E771="AIR",M771&lt;&gt;"Superseded",COUNTIFS($B$4:$B$1003,"AIR",$C$4:$C$1003,F771,$E$4:$E$1003,"AIR",$F$4:$F$1003,C771,$M$4:$M$1003,"&lt;&gt;Superseded")&gt;0),"Dependency cycle (A↔B) — review",IF(AND(B771="AIR",OR(E771="MOD",E771="DATA",E771="IF",E771="AG",E771="TOOL"),IFERROR(INDEX(Components!$G$4:$G$253,MATCH(F771,Components!$A$4:$A$253,0)),"")&lt;&gt;"",IFERROR(INDEX(Components!$G$4:$G$253,MATCH(F771,Components!$A$4:$A$253,0)),"")&lt;&gt;C771),"Component owned by another AIR-ID",IF(AND(M771="Confirmed",OR(IF(B771="UC",COUNTIFS('Use cases'!$A$4:$A$253,C771,'Use cases'!$I$4:$I$253,"Confirmed",'Use cases'!$J$4:$J$253,"OK — verify source"),IF(B771="CAP",COUNTIFS(Capabilities!$A$4:$A$253,C771,Capabilities!$J$4:$J$253,"Confirmed",Capabilities!$K$4:$K$253,"OK — verify source"),IF(B771="AIR",COUNTIFS('System map'!$A$4:$A$203,C771,'System map'!$B$4:$B$203,"&lt;&gt;",'System map'!$C$4:$C$203,"&lt;&gt;",'System map'!$D$4:$D$203,"&lt;&gt;"),COUNTIFS(Components!$A$4:$A$253,C771,Components!$B$4:$B$253,B771,Components!$K$4:$K$253,"Confirmed",Components!$L$4:$L$253,"OK — verify source"))))&lt;&gt;1,IF(E771="UC",COUNTIFS('Use cases'!$A$4:$A$253,F771,'Use cases'!$I$4:$I$253,"Confirmed",'Use cases'!$J$4:$J$253,"OK — verify source"),IF(E771="CAP",COUNTIFS(Capabilities!$A$4:$A$253,F771,Capabilities!$J$4:$J$253,"Confirmed",Capabilities!$K$4:$K$253,"OK — verify source"),IF(E771="AIR",COUNTIFS('System map'!$A$4:$A$203,F771,'System map'!$B$4:$B$203,"&lt;&gt;",'System map'!$C$4:$C$203,"&lt;&gt;",'System map'!$D$4:$D$203,"&lt;&gt;"),COUNTIFS(Components!$A$4:$A$253,F771,Components!$B$4:$B$253,E771,Components!$K$4:$K$253,"Confirmed",Components!$L$4:$L$253,"OK — verify source"))))&lt;&gt;1)),"Endpoint not source-reconciled",IF(AND(M771="Confirmed",OR(L771="",K771="",K771="Unknown",K771="Low")),"Confirmed link lacks verification","OK — verify source"))))))))))))))</f>
        <v/>
      </c>
    </row>
    <row r="772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6" t="n"/>
      <c r="M772" s="25" t="n"/>
      <c r="N772" s="25">
        <f>IF(COUNTA(A772:M772)=0,"",IF(OR(A772="",B772="",C772="",D772="",E772="",F772="",I772="",J772="",K772="",M772=""),"Required link detail missing",IF(COUNTIF($A$4:$A$1003,A772)&gt;1,"Duplicate Map Edge ID",IF(NOT(OR(AND(B772="UC",E772="CAP",D772="requires"),AND(B772="CAP",E772="AIR",D772="provided by"),AND(B772="AIR",OR(E772="MOD",E772="DATA",E772="IF",E772="AG",E772="TOOL"),D772="references"),AND(B772="AIR",E772="AIR",D772="depends on"))),"Invalid relationship",IF(AND(M772&lt;&gt;"Superseded",COUNTIFS($B$4:$B$1003,B772,$C$4:$C$1003,C772,$D$4:$D$1003,D772,$E$4:$E$1003,E772,$F$4:$F$1003,F772,$G$4:$G$1003,G772,$M$4:$M$1003,"&lt;&gt;Superseded")&gt;1),"Duplicate relationship",IF(OR(IF(B772="UC",COUNTIF('Use cases'!$A$4:$A$253,C772),IF(B772="CAP",COUNTIF(Capabilities!$A$4:$A$253,C772),IF(B772="AIR",COUNTIF('System map'!$A$4:$A$203,C772),COUNTIFS(Components!$A$4:$A$253,C772,Components!$B$4:$B$253,B772))))&lt;&gt;1,IF(E772="UC",COUNTIF('Use cases'!$A$4:$A$253,F772),IF(E772="CAP",COUNTIF(Capabilities!$A$4:$A$253,F772),IF(E772="AIR",COUNTIF('System map'!$A$4:$A$203,F772),COUNTIFS(Components!$A$4:$A$253,F772,Components!$B$4:$B$253,E772))))&lt;&gt;1),"Endpoint missing or duplicated",IF(AND(NOT(AND(B772="UC",E772="CAP")),OR(G772="",COUNTIF('System map'!$A$4:$A$203,G772)&lt;&gt;1)),"AIR context missing / unknown",IF(AND(B772="CAP",E772="AIR",G772&lt;&gt;F772),"AIR context mismatch",IF(AND(B772="AIR",G772&lt;&gt;C772),"AIR context mismatch",IF(AND(B772="AIR",E772="AIR",C772=F772),"Self-dependency",IF(AND(B772="AIR",E772="AIR",M772&lt;&gt;"Superseded",COUNTIFS($B$4:$B$1003,"AIR",$C$4:$C$1003,F772,$E$4:$E$1003,"AIR",$F$4:$F$1003,C772,$M$4:$M$1003,"&lt;&gt;Superseded")&gt;0),"Dependency cycle (A↔B) — review",IF(AND(B772="AIR",OR(E772="MOD",E772="DATA",E772="IF",E772="AG",E772="TOOL"),IFERROR(INDEX(Components!$G$4:$G$253,MATCH(F772,Components!$A$4:$A$253,0)),"")&lt;&gt;"",IFERROR(INDEX(Components!$G$4:$G$253,MATCH(F772,Components!$A$4:$A$253,0)),"")&lt;&gt;C772),"Component owned by another AIR-ID",IF(AND(M772="Confirmed",OR(IF(B772="UC",COUNTIFS('Use cases'!$A$4:$A$253,C772,'Use cases'!$I$4:$I$253,"Confirmed",'Use cases'!$J$4:$J$253,"OK — verify source"),IF(B772="CAP",COUNTIFS(Capabilities!$A$4:$A$253,C772,Capabilities!$J$4:$J$253,"Confirmed",Capabilities!$K$4:$K$253,"OK — verify source"),IF(B772="AIR",COUNTIFS('System map'!$A$4:$A$203,C772,'System map'!$B$4:$B$203,"&lt;&gt;",'System map'!$C$4:$C$203,"&lt;&gt;",'System map'!$D$4:$D$203,"&lt;&gt;"),COUNTIFS(Components!$A$4:$A$253,C772,Components!$B$4:$B$253,B772,Components!$K$4:$K$253,"Confirmed",Components!$L$4:$L$253,"OK — verify source"))))&lt;&gt;1,IF(E772="UC",COUNTIFS('Use cases'!$A$4:$A$253,F772,'Use cases'!$I$4:$I$253,"Confirmed",'Use cases'!$J$4:$J$253,"OK — verify source"),IF(E772="CAP",COUNTIFS(Capabilities!$A$4:$A$253,F772,Capabilities!$J$4:$J$253,"Confirmed",Capabilities!$K$4:$K$253,"OK — verify source"),IF(E772="AIR",COUNTIFS('System map'!$A$4:$A$203,F772,'System map'!$B$4:$B$203,"&lt;&gt;",'System map'!$C$4:$C$203,"&lt;&gt;",'System map'!$D$4:$D$203,"&lt;&gt;"),COUNTIFS(Components!$A$4:$A$253,F772,Components!$B$4:$B$253,E772,Components!$K$4:$K$253,"Confirmed",Components!$L$4:$L$253,"OK — verify source"))))&lt;&gt;1)),"Endpoint not source-reconciled",IF(AND(M772="Confirmed",OR(L772="",K772="",K772="Unknown",K772="Low")),"Confirmed link lacks verification","OK — verify source"))))))))))))))</f>
        <v/>
      </c>
    </row>
    <row r="773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8" t="n"/>
      <c r="M773" s="27" t="n"/>
      <c r="N773" s="27">
        <f>IF(COUNTA(A773:M773)=0,"",IF(OR(A773="",B773="",C773="",D773="",E773="",F773="",I773="",J773="",K773="",M773=""),"Required link detail missing",IF(COUNTIF($A$4:$A$1003,A773)&gt;1,"Duplicate Map Edge ID",IF(NOT(OR(AND(B773="UC",E773="CAP",D773="requires"),AND(B773="CAP",E773="AIR",D773="provided by"),AND(B773="AIR",OR(E773="MOD",E773="DATA",E773="IF",E773="AG",E773="TOOL"),D773="references"),AND(B773="AIR",E773="AIR",D773="depends on"))),"Invalid relationship",IF(AND(M773&lt;&gt;"Superseded",COUNTIFS($B$4:$B$1003,B773,$C$4:$C$1003,C773,$D$4:$D$1003,D773,$E$4:$E$1003,E773,$F$4:$F$1003,F773,$G$4:$G$1003,G773,$M$4:$M$1003,"&lt;&gt;Superseded")&gt;1),"Duplicate relationship",IF(OR(IF(B773="UC",COUNTIF('Use cases'!$A$4:$A$253,C773),IF(B773="CAP",COUNTIF(Capabilities!$A$4:$A$253,C773),IF(B773="AIR",COUNTIF('System map'!$A$4:$A$203,C773),COUNTIFS(Components!$A$4:$A$253,C773,Components!$B$4:$B$253,B773))))&lt;&gt;1,IF(E773="UC",COUNTIF('Use cases'!$A$4:$A$253,F773),IF(E773="CAP",COUNTIF(Capabilities!$A$4:$A$253,F773),IF(E773="AIR",COUNTIF('System map'!$A$4:$A$203,F773),COUNTIFS(Components!$A$4:$A$253,F773,Components!$B$4:$B$253,E773))))&lt;&gt;1),"Endpoint missing or duplicated",IF(AND(NOT(AND(B773="UC",E773="CAP")),OR(G773="",COUNTIF('System map'!$A$4:$A$203,G773)&lt;&gt;1)),"AIR context missing / unknown",IF(AND(B773="CAP",E773="AIR",G773&lt;&gt;F773),"AIR context mismatch",IF(AND(B773="AIR",G773&lt;&gt;C773),"AIR context mismatch",IF(AND(B773="AIR",E773="AIR",C773=F773),"Self-dependency",IF(AND(B773="AIR",E773="AIR",M773&lt;&gt;"Superseded",COUNTIFS($B$4:$B$1003,"AIR",$C$4:$C$1003,F773,$E$4:$E$1003,"AIR",$F$4:$F$1003,C773,$M$4:$M$1003,"&lt;&gt;Superseded")&gt;0),"Dependency cycle (A↔B) — review",IF(AND(B773="AIR",OR(E773="MOD",E773="DATA",E773="IF",E773="AG",E773="TOOL"),IFERROR(INDEX(Components!$G$4:$G$253,MATCH(F773,Components!$A$4:$A$253,0)),"")&lt;&gt;"",IFERROR(INDEX(Components!$G$4:$G$253,MATCH(F773,Components!$A$4:$A$253,0)),"")&lt;&gt;C773),"Component owned by another AIR-ID",IF(AND(M773="Confirmed",OR(IF(B773="UC",COUNTIFS('Use cases'!$A$4:$A$253,C773,'Use cases'!$I$4:$I$253,"Confirmed",'Use cases'!$J$4:$J$253,"OK — verify source"),IF(B773="CAP",COUNTIFS(Capabilities!$A$4:$A$253,C773,Capabilities!$J$4:$J$253,"Confirmed",Capabilities!$K$4:$K$253,"OK — verify source"),IF(B773="AIR",COUNTIFS('System map'!$A$4:$A$203,C773,'System map'!$B$4:$B$203,"&lt;&gt;",'System map'!$C$4:$C$203,"&lt;&gt;",'System map'!$D$4:$D$203,"&lt;&gt;"),COUNTIFS(Components!$A$4:$A$253,C773,Components!$B$4:$B$253,B773,Components!$K$4:$K$253,"Confirmed",Components!$L$4:$L$253,"OK — verify source"))))&lt;&gt;1,IF(E773="UC",COUNTIFS('Use cases'!$A$4:$A$253,F773,'Use cases'!$I$4:$I$253,"Confirmed",'Use cases'!$J$4:$J$253,"OK — verify source"),IF(E773="CAP",COUNTIFS(Capabilities!$A$4:$A$253,F773,Capabilities!$J$4:$J$253,"Confirmed",Capabilities!$K$4:$K$253,"OK — verify source"),IF(E773="AIR",COUNTIFS('System map'!$A$4:$A$203,F773,'System map'!$B$4:$B$203,"&lt;&gt;",'System map'!$C$4:$C$203,"&lt;&gt;",'System map'!$D$4:$D$203,"&lt;&gt;"),COUNTIFS(Components!$A$4:$A$253,F773,Components!$B$4:$B$253,E773,Components!$K$4:$K$253,"Confirmed",Components!$L$4:$L$253,"OK — verify source"))))&lt;&gt;1)),"Endpoint not source-reconciled",IF(AND(M773="Confirmed",OR(L773="",K773="",K773="Unknown",K773="Low")),"Confirmed link lacks verification","OK — verify source"))))))))))))))</f>
        <v/>
      </c>
    </row>
    <row r="77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6" t="n"/>
      <c r="M774" s="25" t="n"/>
      <c r="N774" s="25">
        <f>IF(COUNTA(A774:M774)=0,"",IF(OR(A774="",B774="",C774="",D774="",E774="",F774="",I774="",J774="",K774="",M774=""),"Required link detail missing",IF(COUNTIF($A$4:$A$1003,A774)&gt;1,"Duplicate Map Edge ID",IF(NOT(OR(AND(B774="UC",E774="CAP",D774="requires"),AND(B774="CAP",E774="AIR",D774="provided by"),AND(B774="AIR",OR(E774="MOD",E774="DATA",E774="IF",E774="AG",E774="TOOL"),D774="references"),AND(B774="AIR",E774="AIR",D774="depends on"))),"Invalid relationship",IF(AND(M774&lt;&gt;"Superseded",COUNTIFS($B$4:$B$1003,B774,$C$4:$C$1003,C774,$D$4:$D$1003,D774,$E$4:$E$1003,E774,$F$4:$F$1003,F774,$G$4:$G$1003,G774,$M$4:$M$1003,"&lt;&gt;Superseded")&gt;1),"Duplicate relationship",IF(OR(IF(B774="UC",COUNTIF('Use cases'!$A$4:$A$253,C774),IF(B774="CAP",COUNTIF(Capabilities!$A$4:$A$253,C774),IF(B774="AIR",COUNTIF('System map'!$A$4:$A$203,C774),COUNTIFS(Components!$A$4:$A$253,C774,Components!$B$4:$B$253,B774))))&lt;&gt;1,IF(E774="UC",COUNTIF('Use cases'!$A$4:$A$253,F774),IF(E774="CAP",COUNTIF(Capabilities!$A$4:$A$253,F774),IF(E774="AIR",COUNTIF('System map'!$A$4:$A$203,F774),COUNTIFS(Components!$A$4:$A$253,F774,Components!$B$4:$B$253,E774))))&lt;&gt;1),"Endpoint missing or duplicated",IF(AND(NOT(AND(B774="UC",E774="CAP")),OR(G774="",COUNTIF('System map'!$A$4:$A$203,G774)&lt;&gt;1)),"AIR context missing / unknown",IF(AND(B774="CAP",E774="AIR",G774&lt;&gt;F774),"AIR context mismatch",IF(AND(B774="AIR",G774&lt;&gt;C774),"AIR context mismatch",IF(AND(B774="AIR",E774="AIR",C774=F774),"Self-dependency",IF(AND(B774="AIR",E774="AIR",M774&lt;&gt;"Superseded",COUNTIFS($B$4:$B$1003,"AIR",$C$4:$C$1003,F774,$E$4:$E$1003,"AIR",$F$4:$F$1003,C774,$M$4:$M$1003,"&lt;&gt;Superseded")&gt;0),"Dependency cycle (A↔B) — review",IF(AND(B774="AIR",OR(E774="MOD",E774="DATA",E774="IF",E774="AG",E774="TOOL"),IFERROR(INDEX(Components!$G$4:$G$253,MATCH(F774,Components!$A$4:$A$253,0)),"")&lt;&gt;"",IFERROR(INDEX(Components!$G$4:$G$253,MATCH(F774,Components!$A$4:$A$253,0)),"")&lt;&gt;C774),"Component owned by another AIR-ID",IF(AND(M774="Confirmed",OR(IF(B774="UC",COUNTIFS('Use cases'!$A$4:$A$253,C774,'Use cases'!$I$4:$I$253,"Confirmed",'Use cases'!$J$4:$J$253,"OK — verify source"),IF(B774="CAP",COUNTIFS(Capabilities!$A$4:$A$253,C774,Capabilities!$J$4:$J$253,"Confirmed",Capabilities!$K$4:$K$253,"OK — verify source"),IF(B774="AIR",COUNTIFS('System map'!$A$4:$A$203,C774,'System map'!$B$4:$B$203,"&lt;&gt;",'System map'!$C$4:$C$203,"&lt;&gt;",'System map'!$D$4:$D$203,"&lt;&gt;"),COUNTIFS(Components!$A$4:$A$253,C774,Components!$B$4:$B$253,B774,Components!$K$4:$K$253,"Confirmed",Components!$L$4:$L$253,"OK — verify source"))))&lt;&gt;1,IF(E774="UC",COUNTIFS('Use cases'!$A$4:$A$253,F774,'Use cases'!$I$4:$I$253,"Confirmed",'Use cases'!$J$4:$J$253,"OK — verify source"),IF(E774="CAP",COUNTIFS(Capabilities!$A$4:$A$253,F774,Capabilities!$J$4:$J$253,"Confirmed",Capabilities!$K$4:$K$253,"OK — verify source"),IF(E774="AIR",COUNTIFS('System map'!$A$4:$A$203,F774,'System map'!$B$4:$B$203,"&lt;&gt;",'System map'!$C$4:$C$203,"&lt;&gt;",'System map'!$D$4:$D$203,"&lt;&gt;"),COUNTIFS(Components!$A$4:$A$253,F774,Components!$B$4:$B$253,E774,Components!$K$4:$K$253,"Confirmed",Components!$L$4:$L$253,"OK — verify source"))))&lt;&gt;1)),"Endpoint not source-reconciled",IF(AND(M774="Confirmed",OR(L774="",K774="",K774="Unknown",K774="Low")),"Confirmed link lacks verification","OK — verify source"))))))))))))))</f>
        <v/>
      </c>
    </row>
    <row r="775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8" t="n"/>
      <c r="M775" s="27" t="n"/>
      <c r="N775" s="27">
        <f>IF(COUNTA(A775:M775)=0,"",IF(OR(A775="",B775="",C775="",D775="",E775="",F775="",I775="",J775="",K775="",M775=""),"Required link detail missing",IF(COUNTIF($A$4:$A$1003,A775)&gt;1,"Duplicate Map Edge ID",IF(NOT(OR(AND(B775="UC",E775="CAP",D775="requires"),AND(B775="CAP",E775="AIR",D775="provided by"),AND(B775="AIR",OR(E775="MOD",E775="DATA",E775="IF",E775="AG",E775="TOOL"),D775="references"),AND(B775="AIR",E775="AIR",D775="depends on"))),"Invalid relationship",IF(AND(M775&lt;&gt;"Superseded",COUNTIFS($B$4:$B$1003,B775,$C$4:$C$1003,C775,$D$4:$D$1003,D775,$E$4:$E$1003,E775,$F$4:$F$1003,F775,$G$4:$G$1003,G775,$M$4:$M$1003,"&lt;&gt;Superseded")&gt;1),"Duplicate relationship",IF(OR(IF(B775="UC",COUNTIF('Use cases'!$A$4:$A$253,C775),IF(B775="CAP",COUNTIF(Capabilities!$A$4:$A$253,C775),IF(B775="AIR",COUNTIF('System map'!$A$4:$A$203,C775),COUNTIFS(Components!$A$4:$A$253,C775,Components!$B$4:$B$253,B775))))&lt;&gt;1,IF(E775="UC",COUNTIF('Use cases'!$A$4:$A$253,F775),IF(E775="CAP",COUNTIF(Capabilities!$A$4:$A$253,F775),IF(E775="AIR",COUNTIF('System map'!$A$4:$A$203,F775),COUNTIFS(Components!$A$4:$A$253,F775,Components!$B$4:$B$253,E775))))&lt;&gt;1),"Endpoint missing or duplicated",IF(AND(NOT(AND(B775="UC",E775="CAP")),OR(G775="",COUNTIF('System map'!$A$4:$A$203,G775)&lt;&gt;1)),"AIR context missing / unknown",IF(AND(B775="CAP",E775="AIR",G775&lt;&gt;F775),"AIR context mismatch",IF(AND(B775="AIR",G775&lt;&gt;C775),"AIR context mismatch",IF(AND(B775="AIR",E775="AIR",C775=F775),"Self-dependency",IF(AND(B775="AIR",E775="AIR",M775&lt;&gt;"Superseded",COUNTIFS($B$4:$B$1003,"AIR",$C$4:$C$1003,F775,$E$4:$E$1003,"AIR",$F$4:$F$1003,C775,$M$4:$M$1003,"&lt;&gt;Superseded")&gt;0),"Dependency cycle (A↔B) — review",IF(AND(B775="AIR",OR(E775="MOD",E775="DATA",E775="IF",E775="AG",E775="TOOL"),IFERROR(INDEX(Components!$G$4:$G$253,MATCH(F775,Components!$A$4:$A$253,0)),"")&lt;&gt;"",IFERROR(INDEX(Components!$G$4:$G$253,MATCH(F775,Components!$A$4:$A$253,0)),"")&lt;&gt;C775),"Component owned by another AIR-ID",IF(AND(M775="Confirmed",OR(IF(B775="UC",COUNTIFS('Use cases'!$A$4:$A$253,C775,'Use cases'!$I$4:$I$253,"Confirmed",'Use cases'!$J$4:$J$253,"OK — verify source"),IF(B775="CAP",COUNTIFS(Capabilities!$A$4:$A$253,C775,Capabilities!$J$4:$J$253,"Confirmed",Capabilities!$K$4:$K$253,"OK — verify source"),IF(B775="AIR",COUNTIFS('System map'!$A$4:$A$203,C775,'System map'!$B$4:$B$203,"&lt;&gt;",'System map'!$C$4:$C$203,"&lt;&gt;",'System map'!$D$4:$D$203,"&lt;&gt;"),COUNTIFS(Components!$A$4:$A$253,C775,Components!$B$4:$B$253,B775,Components!$K$4:$K$253,"Confirmed",Components!$L$4:$L$253,"OK — verify source"))))&lt;&gt;1,IF(E775="UC",COUNTIFS('Use cases'!$A$4:$A$253,F775,'Use cases'!$I$4:$I$253,"Confirmed",'Use cases'!$J$4:$J$253,"OK — verify source"),IF(E775="CAP",COUNTIFS(Capabilities!$A$4:$A$253,F775,Capabilities!$J$4:$J$253,"Confirmed",Capabilities!$K$4:$K$253,"OK — verify source"),IF(E775="AIR",COUNTIFS('System map'!$A$4:$A$203,F775,'System map'!$B$4:$B$203,"&lt;&gt;",'System map'!$C$4:$C$203,"&lt;&gt;",'System map'!$D$4:$D$203,"&lt;&gt;"),COUNTIFS(Components!$A$4:$A$253,F775,Components!$B$4:$B$253,E775,Components!$K$4:$K$253,"Confirmed",Components!$L$4:$L$253,"OK — verify source"))))&lt;&gt;1)),"Endpoint not source-reconciled",IF(AND(M775="Confirmed",OR(L775="",K775="",K775="Unknown",K775="Low")),"Confirmed link lacks verification","OK — verify source"))))))))))))))</f>
        <v/>
      </c>
    </row>
    <row r="776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6" t="n"/>
      <c r="M776" s="25" t="n"/>
      <c r="N776" s="25">
        <f>IF(COUNTA(A776:M776)=0,"",IF(OR(A776="",B776="",C776="",D776="",E776="",F776="",I776="",J776="",K776="",M776=""),"Required link detail missing",IF(COUNTIF($A$4:$A$1003,A776)&gt;1,"Duplicate Map Edge ID",IF(NOT(OR(AND(B776="UC",E776="CAP",D776="requires"),AND(B776="CAP",E776="AIR",D776="provided by"),AND(B776="AIR",OR(E776="MOD",E776="DATA",E776="IF",E776="AG",E776="TOOL"),D776="references"),AND(B776="AIR",E776="AIR",D776="depends on"))),"Invalid relationship",IF(AND(M776&lt;&gt;"Superseded",COUNTIFS($B$4:$B$1003,B776,$C$4:$C$1003,C776,$D$4:$D$1003,D776,$E$4:$E$1003,E776,$F$4:$F$1003,F776,$G$4:$G$1003,G776,$M$4:$M$1003,"&lt;&gt;Superseded")&gt;1),"Duplicate relationship",IF(OR(IF(B776="UC",COUNTIF('Use cases'!$A$4:$A$253,C776),IF(B776="CAP",COUNTIF(Capabilities!$A$4:$A$253,C776),IF(B776="AIR",COUNTIF('System map'!$A$4:$A$203,C776),COUNTIFS(Components!$A$4:$A$253,C776,Components!$B$4:$B$253,B776))))&lt;&gt;1,IF(E776="UC",COUNTIF('Use cases'!$A$4:$A$253,F776),IF(E776="CAP",COUNTIF(Capabilities!$A$4:$A$253,F776),IF(E776="AIR",COUNTIF('System map'!$A$4:$A$203,F776),COUNTIFS(Components!$A$4:$A$253,F776,Components!$B$4:$B$253,E776))))&lt;&gt;1),"Endpoint missing or duplicated",IF(AND(NOT(AND(B776="UC",E776="CAP")),OR(G776="",COUNTIF('System map'!$A$4:$A$203,G776)&lt;&gt;1)),"AIR context missing / unknown",IF(AND(B776="CAP",E776="AIR",G776&lt;&gt;F776),"AIR context mismatch",IF(AND(B776="AIR",G776&lt;&gt;C776),"AIR context mismatch",IF(AND(B776="AIR",E776="AIR",C776=F776),"Self-dependency",IF(AND(B776="AIR",E776="AIR",M776&lt;&gt;"Superseded",COUNTIFS($B$4:$B$1003,"AIR",$C$4:$C$1003,F776,$E$4:$E$1003,"AIR",$F$4:$F$1003,C776,$M$4:$M$1003,"&lt;&gt;Superseded")&gt;0),"Dependency cycle (A↔B) — review",IF(AND(B776="AIR",OR(E776="MOD",E776="DATA",E776="IF",E776="AG",E776="TOOL"),IFERROR(INDEX(Components!$G$4:$G$253,MATCH(F776,Components!$A$4:$A$253,0)),"")&lt;&gt;"",IFERROR(INDEX(Components!$G$4:$G$253,MATCH(F776,Components!$A$4:$A$253,0)),"")&lt;&gt;C776),"Component owned by another AIR-ID",IF(AND(M776="Confirmed",OR(IF(B776="UC",COUNTIFS('Use cases'!$A$4:$A$253,C776,'Use cases'!$I$4:$I$253,"Confirmed",'Use cases'!$J$4:$J$253,"OK — verify source"),IF(B776="CAP",COUNTIFS(Capabilities!$A$4:$A$253,C776,Capabilities!$J$4:$J$253,"Confirmed",Capabilities!$K$4:$K$253,"OK — verify source"),IF(B776="AIR",COUNTIFS('System map'!$A$4:$A$203,C776,'System map'!$B$4:$B$203,"&lt;&gt;",'System map'!$C$4:$C$203,"&lt;&gt;",'System map'!$D$4:$D$203,"&lt;&gt;"),COUNTIFS(Components!$A$4:$A$253,C776,Components!$B$4:$B$253,B776,Components!$K$4:$K$253,"Confirmed",Components!$L$4:$L$253,"OK — verify source"))))&lt;&gt;1,IF(E776="UC",COUNTIFS('Use cases'!$A$4:$A$253,F776,'Use cases'!$I$4:$I$253,"Confirmed",'Use cases'!$J$4:$J$253,"OK — verify source"),IF(E776="CAP",COUNTIFS(Capabilities!$A$4:$A$253,F776,Capabilities!$J$4:$J$253,"Confirmed",Capabilities!$K$4:$K$253,"OK — verify source"),IF(E776="AIR",COUNTIFS('System map'!$A$4:$A$203,F776,'System map'!$B$4:$B$203,"&lt;&gt;",'System map'!$C$4:$C$203,"&lt;&gt;",'System map'!$D$4:$D$203,"&lt;&gt;"),COUNTIFS(Components!$A$4:$A$253,F776,Components!$B$4:$B$253,E776,Components!$K$4:$K$253,"Confirmed",Components!$L$4:$L$253,"OK — verify source"))))&lt;&gt;1)),"Endpoint not source-reconciled",IF(AND(M776="Confirmed",OR(L776="",K776="",K776="Unknown",K776="Low")),"Confirmed link lacks verification","OK — verify source"))))))))))))))</f>
        <v/>
      </c>
    </row>
    <row r="777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8" t="n"/>
      <c r="M777" s="27" t="n"/>
      <c r="N777" s="27">
        <f>IF(COUNTA(A777:M777)=0,"",IF(OR(A777="",B777="",C777="",D777="",E777="",F777="",I777="",J777="",K777="",M777=""),"Required link detail missing",IF(COUNTIF($A$4:$A$1003,A777)&gt;1,"Duplicate Map Edge ID",IF(NOT(OR(AND(B777="UC",E777="CAP",D777="requires"),AND(B777="CAP",E777="AIR",D777="provided by"),AND(B777="AIR",OR(E777="MOD",E777="DATA",E777="IF",E777="AG",E777="TOOL"),D777="references"),AND(B777="AIR",E777="AIR",D777="depends on"))),"Invalid relationship",IF(AND(M777&lt;&gt;"Superseded",COUNTIFS($B$4:$B$1003,B777,$C$4:$C$1003,C777,$D$4:$D$1003,D777,$E$4:$E$1003,E777,$F$4:$F$1003,F777,$G$4:$G$1003,G777,$M$4:$M$1003,"&lt;&gt;Superseded")&gt;1),"Duplicate relationship",IF(OR(IF(B777="UC",COUNTIF('Use cases'!$A$4:$A$253,C777),IF(B777="CAP",COUNTIF(Capabilities!$A$4:$A$253,C777),IF(B777="AIR",COUNTIF('System map'!$A$4:$A$203,C777),COUNTIFS(Components!$A$4:$A$253,C777,Components!$B$4:$B$253,B777))))&lt;&gt;1,IF(E777="UC",COUNTIF('Use cases'!$A$4:$A$253,F777),IF(E777="CAP",COUNTIF(Capabilities!$A$4:$A$253,F777),IF(E777="AIR",COUNTIF('System map'!$A$4:$A$203,F777),COUNTIFS(Components!$A$4:$A$253,F777,Components!$B$4:$B$253,E777))))&lt;&gt;1),"Endpoint missing or duplicated",IF(AND(NOT(AND(B777="UC",E777="CAP")),OR(G777="",COUNTIF('System map'!$A$4:$A$203,G777)&lt;&gt;1)),"AIR context missing / unknown",IF(AND(B777="CAP",E777="AIR",G777&lt;&gt;F777),"AIR context mismatch",IF(AND(B777="AIR",G777&lt;&gt;C777),"AIR context mismatch",IF(AND(B777="AIR",E777="AIR",C777=F777),"Self-dependency",IF(AND(B777="AIR",E777="AIR",M777&lt;&gt;"Superseded",COUNTIFS($B$4:$B$1003,"AIR",$C$4:$C$1003,F777,$E$4:$E$1003,"AIR",$F$4:$F$1003,C777,$M$4:$M$1003,"&lt;&gt;Superseded")&gt;0),"Dependency cycle (A↔B) — review",IF(AND(B777="AIR",OR(E777="MOD",E777="DATA",E777="IF",E777="AG",E777="TOOL"),IFERROR(INDEX(Components!$G$4:$G$253,MATCH(F777,Components!$A$4:$A$253,0)),"")&lt;&gt;"",IFERROR(INDEX(Components!$G$4:$G$253,MATCH(F777,Components!$A$4:$A$253,0)),"")&lt;&gt;C777),"Component owned by another AIR-ID",IF(AND(M777="Confirmed",OR(IF(B777="UC",COUNTIFS('Use cases'!$A$4:$A$253,C777,'Use cases'!$I$4:$I$253,"Confirmed",'Use cases'!$J$4:$J$253,"OK — verify source"),IF(B777="CAP",COUNTIFS(Capabilities!$A$4:$A$253,C777,Capabilities!$J$4:$J$253,"Confirmed",Capabilities!$K$4:$K$253,"OK — verify source"),IF(B777="AIR",COUNTIFS('System map'!$A$4:$A$203,C777,'System map'!$B$4:$B$203,"&lt;&gt;",'System map'!$C$4:$C$203,"&lt;&gt;",'System map'!$D$4:$D$203,"&lt;&gt;"),COUNTIFS(Components!$A$4:$A$253,C777,Components!$B$4:$B$253,B777,Components!$K$4:$K$253,"Confirmed",Components!$L$4:$L$253,"OK — verify source"))))&lt;&gt;1,IF(E777="UC",COUNTIFS('Use cases'!$A$4:$A$253,F777,'Use cases'!$I$4:$I$253,"Confirmed",'Use cases'!$J$4:$J$253,"OK — verify source"),IF(E777="CAP",COUNTIFS(Capabilities!$A$4:$A$253,F777,Capabilities!$J$4:$J$253,"Confirmed",Capabilities!$K$4:$K$253,"OK — verify source"),IF(E777="AIR",COUNTIFS('System map'!$A$4:$A$203,F777,'System map'!$B$4:$B$203,"&lt;&gt;",'System map'!$C$4:$C$203,"&lt;&gt;",'System map'!$D$4:$D$203,"&lt;&gt;"),COUNTIFS(Components!$A$4:$A$253,F777,Components!$B$4:$B$253,E777,Components!$K$4:$K$253,"Confirmed",Components!$L$4:$L$253,"OK — verify source"))))&lt;&gt;1)),"Endpoint not source-reconciled",IF(AND(M777="Confirmed",OR(L777="",K777="",K777="Unknown",K777="Low")),"Confirmed link lacks verification","OK — verify source"))))))))))))))</f>
        <v/>
      </c>
    </row>
    <row r="778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6" t="n"/>
      <c r="M778" s="25" t="n"/>
      <c r="N778" s="25">
        <f>IF(COUNTA(A778:M778)=0,"",IF(OR(A778="",B778="",C778="",D778="",E778="",F778="",I778="",J778="",K778="",M778=""),"Required link detail missing",IF(COUNTIF($A$4:$A$1003,A778)&gt;1,"Duplicate Map Edge ID",IF(NOT(OR(AND(B778="UC",E778="CAP",D778="requires"),AND(B778="CAP",E778="AIR",D778="provided by"),AND(B778="AIR",OR(E778="MOD",E778="DATA",E778="IF",E778="AG",E778="TOOL"),D778="references"),AND(B778="AIR",E778="AIR",D778="depends on"))),"Invalid relationship",IF(AND(M778&lt;&gt;"Superseded",COUNTIFS($B$4:$B$1003,B778,$C$4:$C$1003,C778,$D$4:$D$1003,D778,$E$4:$E$1003,E778,$F$4:$F$1003,F778,$G$4:$G$1003,G778,$M$4:$M$1003,"&lt;&gt;Superseded")&gt;1),"Duplicate relationship",IF(OR(IF(B778="UC",COUNTIF('Use cases'!$A$4:$A$253,C778),IF(B778="CAP",COUNTIF(Capabilities!$A$4:$A$253,C778),IF(B778="AIR",COUNTIF('System map'!$A$4:$A$203,C778),COUNTIFS(Components!$A$4:$A$253,C778,Components!$B$4:$B$253,B778))))&lt;&gt;1,IF(E778="UC",COUNTIF('Use cases'!$A$4:$A$253,F778),IF(E778="CAP",COUNTIF(Capabilities!$A$4:$A$253,F778),IF(E778="AIR",COUNTIF('System map'!$A$4:$A$203,F778),COUNTIFS(Components!$A$4:$A$253,F778,Components!$B$4:$B$253,E778))))&lt;&gt;1),"Endpoint missing or duplicated",IF(AND(NOT(AND(B778="UC",E778="CAP")),OR(G778="",COUNTIF('System map'!$A$4:$A$203,G778)&lt;&gt;1)),"AIR context missing / unknown",IF(AND(B778="CAP",E778="AIR",G778&lt;&gt;F778),"AIR context mismatch",IF(AND(B778="AIR",G778&lt;&gt;C778),"AIR context mismatch",IF(AND(B778="AIR",E778="AIR",C778=F778),"Self-dependency",IF(AND(B778="AIR",E778="AIR",M778&lt;&gt;"Superseded",COUNTIFS($B$4:$B$1003,"AIR",$C$4:$C$1003,F778,$E$4:$E$1003,"AIR",$F$4:$F$1003,C778,$M$4:$M$1003,"&lt;&gt;Superseded")&gt;0),"Dependency cycle (A↔B) — review",IF(AND(B778="AIR",OR(E778="MOD",E778="DATA",E778="IF",E778="AG",E778="TOOL"),IFERROR(INDEX(Components!$G$4:$G$253,MATCH(F778,Components!$A$4:$A$253,0)),"")&lt;&gt;"",IFERROR(INDEX(Components!$G$4:$G$253,MATCH(F778,Components!$A$4:$A$253,0)),"")&lt;&gt;C778),"Component owned by another AIR-ID",IF(AND(M778="Confirmed",OR(IF(B778="UC",COUNTIFS('Use cases'!$A$4:$A$253,C778,'Use cases'!$I$4:$I$253,"Confirmed",'Use cases'!$J$4:$J$253,"OK — verify source"),IF(B778="CAP",COUNTIFS(Capabilities!$A$4:$A$253,C778,Capabilities!$J$4:$J$253,"Confirmed",Capabilities!$K$4:$K$253,"OK — verify source"),IF(B778="AIR",COUNTIFS('System map'!$A$4:$A$203,C778,'System map'!$B$4:$B$203,"&lt;&gt;",'System map'!$C$4:$C$203,"&lt;&gt;",'System map'!$D$4:$D$203,"&lt;&gt;"),COUNTIFS(Components!$A$4:$A$253,C778,Components!$B$4:$B$253,B778,Components!$K$4:$K$253,"Confirmed",Components!$L$4:$L$253,"OK — verify source"))))&lt;&gt;1,IF(E778="UC",COUNTIFS('Use cases'!$A$4:$A$253,F778,'Use cases'!$I$4:$I$253,"Confirmed",'Use cases'!$J$4:$J$253,"OK — verify source"),IF(E778="CAP",COUNTIFS(Capabilities!$A$4:$A$253,F778,Capabilities!$J$4:$J$253,"Confirmed",Capabilities!$K$4:$K$253,"OK — verify source"),IF(E778="AIR",COUNTIFS('System map'!$A$4:$A$203,F778,'System map'!$B$4:$B$203,"&lt;&gt;",'System map'!$C$4:$C$203,"&lt;&gt;",'System map'!$D$4:$D$203,"&lt;&gt;"),COUNTIFS(Components!$A$4:$A$253,F778,Components!$B$4:$B$253,E778,Components!$K$4:$K$253,"Confirmed",Components!$L$4:$L$253,"OK — verify source"))))&lt;&gt;1)),"Endpoint not source-reconciled",IF(AND(M778="Confirmed",OR(L778="",K778="",K778="Unknown",K778="Low")),"Confirmed link lacks verification","OK — verify source"))))))))))))))</f>
        <v/>
      </c>
    </row>
    <row r="779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8" t="n"/>
      <c r="M779" s="27" t="n"/>
      <c r="N779" s="27">
        <f>IF(COUNTA(A779:M779)=0,"",IF(OR(A779="",B779="",C779="",D779="",E779="",F779="",I779="",J779="",K779="",M779=""),"Required link detail missing",IF(COUNTIF($A$4:$A$1003,A779)&gt;1,"Duplicate Map Edge ID",IF(NOT(OR(AND(B779="UC",E779="CAP",D779="requires"),AND(B779="CAP",E779="AIR",D779="provided by"),AND(B779="AIR",OR(E779="MOD",E779="DATA",E779="IF",E779="AG",E779="TOOL"),D779="references"),AND(B779="AIR",E779="AIR",D779="depends on"))),"Invalid relationship",IF(AND(M779&lt;&gt;"Superseded",COUNTIFS($B$4:$B$1003,B779,$C$4:$C$1003,C779,$D$4:$D$1003,D779,$E$4:$E$1003,E779,$F$4:$F$1003,F779,$G$4:$G$1003,G779,$M$4:$M$1003,"&lt;&gt;Superseded")&gt;1),"Duplicate relationship",IF(OR(IF(B779="UC",COUNTIF('Use cases'!$A$4:$A$253,C779),IF(B779="CAP",COUNTIF(Capabilities!$A$4:$A$253,C779),IF(B779="AIR",COUNTIF('System map'!$A$4:$A$203,C779),COUNTIFS(Components!$A$4:$A$253,C779,Components!$B$4:$B$253,B779))))&lt;&gt;1,IF(E779="UC",COUNTIF('Use cases'!$A$4:$A$253,F779),IF(E779="CAP",COUNTIF(Capabilities!$A$4:$A$253,F779),IF(E779="AIR",COUNTIF('System map'!$A$4:$A$203,F779),COUNTIFS(Components!$A$4:$A$253,F779,Components!$B$4:$B$253,E779))))&lt;&gt;1),"Endpoint missing or duplicated",IF(AND(NOT(AND(B779="UC",E779="CAP")),OR(G779="",COUNTIF('System map'!$A$4:$A$203,G779)&lt;&gt;1)),"AIR context missing / unknown",IF(AND(B779="CAP",E779="AIR",G779&lt;&gt;F779),"AIR context mismatch",IF(AND(B779="AIR",G779&lt;&gt;C779),"AIR context mismatch",IF(AND(B779="AIR",E779="AIR",C779=F779),"Self-dependency",IF(AND(B779="AIR",E779="AIR",M779&lt;&gt;"Superseded",COUNTIFS($B$4:$B$1003,"AIR",$C$4:$C$1003,F779,$E$4:$E$1003,"AIR",$F$4:$F$1003,C779,$M$4:$M$1003,"&lt;&gt;Superseded")&gt;0),"Dependency cycle (A↔B) — review",IF(AND(B779="AIR",OR(E779="MOD",E779="DATA",E779="IF",E779="AG",E779="TOOL"),IFERROR(INDEX(Components!$G$4:$G$253,MATCH(F779,Components!$A$4:$A$253,0)),"")&lt;&gt;"",IFERROR(INDEX(Components!$G$4:$G$253,MATCH(F779,Components!$A$4:$A$253,0)),"")&lt;&gt;C779),"Component owned by another AIR-ID",IF(AND(M779="Confirmed",OR(IF(B779="UC",COUNTIFS('Use cases'!$A$4:$A$253,C779,'Use cases'!$I$4:$I$253,"Confirmed",'Use cases'!$J$4:$J$253,"OK — verify source"),IF(B779="CAP",COUNTIFS(Capabilities!$A$4:$A$253,C779,Capabilities!$J$4:$J$253,"Confirmed",Capabilities!$K$4:$K$253,"OK — verify source"),IF(B779="AIR",COUNTIFS('System map'!$A$4:$A$203,C779,'System map'!$B$4:$B$203,"&lt;&gt;",'System map'!$C$4:$C$203,"&lt;&gt;",'System map'!$D$4:$D$203,"&lt;&gt;"),COUNTIFS(Components!$A$4:$A$253,C779,Components!$B$4:$B$253,B779,Components!$K$4:$K$253,"Confirmed",Components!$L$4:$L$253,"OK — verify source"))))&lt;&gt;1,IF(E779="UC",COUNTIFS('Use cases'!$A$4:$A$253,F779,'Use cases'!$I$4:$I$253,"Confirmed",'Use cases'!$J$4:$J$253,"OK — verify source"),IF(E779="CAP",COUNTIFS(Capabilities!$A$4:$A$253,F779,Capabilities!$J$4:$J$253,"Confirmed",Capabilities!$K$4:$K$253,"OK — verify source"),IF(E779="AIR",COUNTIFS('System map'!$A$4:$A$203,F779,'System map'!$B$4:$B$203,"&lt;&gt;",'System map'!$C$4:$C$203,"&lt;&gt;",'System map'!$D$4:$D$203,"&lt;&gt;"),COUNTIFS(Components!$A$4:$A$253,F779,Components!$B$4:$B$253,E779,Components!$K$4:$K$253,"Confirmed",Components!$L$4:$L$253,"OK — verify source"))))&lt;&gt;1)),"Endpoint not source-reconciled",IF(AND(M779="Confirmed",OR(L779="",K779="",K779="Unknown",K779="Low")),"Confirmed link lacks verification","OK — verify source"))))))))))))))</f>
        <v/>
      </c>
    </row>
    <row r="780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6" t="n"/>
      <c r="M780" s="25" t="n"/>
      <c r="N780" s="25">
        <f>IF(COUNTA(A780:M780)=0,"",IF(OR(A780="",B780="",C780="",D780="",E780="",F780="",I780="",J780="",K780="",M780=""),"Required link detail missing",IF(COUNTIF($A$4:$A$1003,A780)&gt;1,"Duplicate Map Edge ID",IF(NOT(OR(AND(B780="UC",E780="CAP",D780="requires"),AND(B780="CAP",E780="AIR",D780="provided by"),AND(B780="AIR",OR(E780="MOD",E780="DATA",E780="IF",E780="AG",E780="TOOL"),D780="references"),AND(B780="AIR",E780="AIR",D780="depends on"))),"Invalid relationship",IF(AND(M780&lt;&gt;"Superseded",COUNTIFS($B$4:$B$1003,B780,$C$4:$C$1003,C780,$D$4:$D$1003,D780,$E$4:$E$1003,E780,$F$4:$F$1003,F780,$G$4:$G$1003,G780,$M$4:$M$1003,"&lt;&gt;Superseded")&gt;1),"Duplicate relationship",IF(OR(IF(B780="UC",COUNTIF('Use cases'!$A$4:$A$253,C780),IF(B780="CAP",COUNTIF(Capabilities!$A$4:$A$253,C780),IF(B780="AIR",COUNTIF('System map'!$A$4:$A$203,C780),COUNTIFS(Components!$A$4:$A$253,C780,Components!$B$4:$B$253,B780))))&lt;&gt;1,IF(E780="UC",COUNTIF('Use cases'!$A$4:$A$253,F780),IF(E780="CAP",COUNTIF(Capabilities!$A$4:$A$253,F780),IF(E780="AIR",COUNTIF('System map'!$A$4:$A$203,F780),COUNTIFS(Components!$A$4:$A$253,F780,Components!$B$4:$B$253,E780))))&lt;&gt;1),"Endpoint missing or duplicated",IF(AND(NOT(AND(B780="UC",E780="CAP")),OR(G780="",COUNTIF('System map'!$A$4:$A$203,G780)&lt;&gt;1)),"AIR context missing / unknown",IF(AND(B780="CAP",E780="AIR",G780&lt;&gt;F780),"AIR context mismatch",IF(AND(B780="AIR",G780&lt;&gt;C780),"AIR context mismatch",IF(AND(B780="AIR",E780="AIR",C780=F780),"Self-dependency",IF(AND(B780="AIR",E780="AIR",M780&lt;&gt;"Superseded",COUNTIFS($B$4:$B$1003,"AIR",$C$4:$C$1003,F780,$E$4:$E$1003,"AIR",$F$4:$F$1003,C780,$M$4:$M$1003,"&lt;&gt;Superseded")&gt;0),"Dependency cycle (A↔B) — review",IF(AND(B780="AIR",OR(E780="MOD",E780="DATA",E780="IF",E780="AG",E780="TOOL"),IFERROR(INDEX(Components!$G$4:$G$253,MATCH(F780,Components!$A$4:$A$253,0)),"")&lt;&gt;"",IFERROR(INDEX(Components!$G$4:$G$253,MATCH(F780,Components!$A$4:$A$253,0)),"")&lt;&gt;C780),"Component owned by another AIR-ID",IF(AND(M780="Confirmed",OR(IF(B780="UC",COUNTIFS('Use cases'!$A$4:$A$253,C780,'Use cases'!$I$4:$I$253,"Confirmed",'Use cases'!$J$4:$J$253,"OK — verify source"),IF(B780="CAP",COUNTIFS(Capabilities!$A$4:$A$253,C780,Capabilities!$J$4:$J$253,"Confirmed",Capabilities!$K$4:$K$253,"OK — verify source"),IF(B780="AIR",COUNTIFS('System map'!$A$4:$A$203,C780,'System map'!$B$4:$B$203,"&lt;&gt;",'System map'!$C$4:$C$203,"&lt;&gt;",'System map'!$D$4:$D$203,"&lt;&gt;"),COUNTIFS(Components!$A$4:$A$253,C780,Components!$B$4:$B$253,B780,Components!$K$4:$K$253,"Confirmed",Components!$L$4:$L$253,"OK — verify source"))))&lt;&gt;1,IF(E780="UC",COUNTIFS('Use cases'!$A$4:$A$253,F780,'Use cases'!$I$4:$I$253,"Confirmed",'Use cases'!$J$4:$J$253,"OK — verify source"),IF(E780="CAP",COUNTIFS(Capabilities!$A$4:$A$253,F780,Capabilities!$J$4:$J$253,"Confirmed",Capabilities!$K$4:$K$253,"OK — verify source"),IF(E780="AIR",COUNTIFS('System map'!$A$4:$A$203,F780,'System map'!$B$4:$B$203,"&lt;&gt;",'System map'!$C$4:$C$203,"&lt;&gt;",'System map'!$D$4:$D$203,"&lt;&gt;"),COUNTIFS(Components!$A$4:$A$253,F780,Components!$B$4:$B$253,E780,Components!$K$4:$K$253,"Confirmed",Components!$L$4:$L$253,"OK — verify source"))))&lt;&gt;1)),"Endpoint not source-reconciled",IF(AND(M780="Confirmed",OR(L780="",K780="",K780="Unknown",K780="Low")),"Confirmed link lacks verification","OK — verify source"))))))))))))))</f>
        <v/>
      </c>
    </row>
    <row r="781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8" t="n"/>
      <c r="M781" s="27" t="n"/>
      <c r="N781" s="27">
        <f>IF(COUNTA(A781:M781)=0,"",IF(OR(A781="",B781="",C781="",D781="",E781="",F781="",I781="",J781="",K781="",M781=""),"Required link detail missing",IF(COUNTIF($A$4:$A$1003,A781)&gt;1,"Duplicate Map Edge ID",IF(NOT(OR(AND(B781="UC",E781="CAP",D781="requires"),AND(B781="CAP",E781="AIR",D781="provided by"),AND(B781="AIR",OR(E781="MOD",E781="DATA",E781="IF",E781="AG",E781="TOOL"),D781="references"),AND(B781="AIR",E781="AIR",D781="depends on"))),"Invalid relationship",IF(AND(M781&lt;&gt;"Superseded",COUNTIFS($B$4:$B$1003,B781,$C$4:$C$1003,C781,$D$4:$D$1003,D781,$E$4:$E$1003,E781,$F$4:$F$1003,F781,$G$4:$G$1003,G781,$M$4:$M$1003,"&lt;&gt;Superseded")&gt;1),"Duplicate relationship",IF(OR(IF(B781="UC",COUNTIF('Use cases'!$A$4:$A$253,C781),IF(B781="CAP",COUNTIF(Capabilities!$A$4:$A$253,C781),IF(B781="AIR",COUNTIF('System map'!$A$4:$A$203,C781),COUNTIFS(Components!$A$4:$A$253,C781,Components!$B$4:$B$253,B781))))&lt;&gt;1,IF(E781="UC",COUNTIF('Use cases'!$A$4:$A$253,F781),IF(E781="CAP",COUNTIF(Capabilities!$A$4:$A$253,F781),IF(E781="AIR",COUNTIF('System map'!$A$4:$A$203,F781),COUNTIFS(Components!$A$4:$A$253,F781,Components!$B$4:$B$253,E781))))&lt;&gt;1),"Endpoint missing or duplicated",IF(AND(NOT(AND(B781="UC",E781="CAP")),OR(G781="",COUNTIF('System map'!$A$4:$A$203,G781)&lt;&gt;1)),"AIR context missing / unknown",IF(AND(B781="CAP",E781="AIR",G781&lt;&gt;F781),"AIR context mismatch",IF(AND(B781="AIR",G781&lt;&gt;C781),"AIR context mismatch",IF(AND(B781="AIR",E781="AIR",C781=F781),"Self-dependency",IF(AND(B781="AIR",E781="AIR",M781&lt;&gt;"Superseded",COUNTIFS($B$4:$B$1003,"AIR",$C$4:$C$1003,F781,$E$4:$E$1003,"AIR",$F$4:$F$1003,C781,$M$4:$M$1003,"&lt;&gt;Superseded")&gt;0),"Dependency cycle (A↔B) — review",IF(AND(B781="AIR",OR(E781="MOD",E781="DATA",E781="IF",E781="AG",E781="TOOL"),IFERROR(INDEX(Components!$G$4:$G$253,MATCH(F781,Components!$A$4:$A$253,0)),"")&lt;&gt;"",IFERROR(INDEX(Components!$G$4:$G$253,MATCH(F781,Components!$A$4:$A$253,0)),"")&lt;&gt;C781),"Component owned by another AIR-ID",IF(AND(M781="Confirmed",OR(IF(B781="UC",COUNTIFS('Use cases'!$A$4:$A$253,C781,'Use cases'!$I$4:$I$253,"Confirmed",'Use cases'!$J$4:$J$253,"OK — verify source"),IF(B781="CAP",COUNTIFS(Capabilities!$A$4:$A$253,C781,Capabilities!$J$4:$J$253,"Confirmed",Capabilities!$K$4:$K$253,"OK — verify source"),IF(B781="AIR",COUNTIFS('System map'!$A$4:$A$203,C781,'System map'!$B$4:$B$203,"&lt;&gt;",'System map'!$C$4:$C$203,"&lt;&gt;",'System map'!$D$4:$D$203,"&lt;&gt;"),COUNTIFS(Components!$A$4:$A$253,C781,Components!$B$4:$B$253,B781,Components!$K$4:$K$253,"Confirmed",Components!$L$4:$L$253,"OK — verify source"))))&lt;&gt;1,IF(E781="UC",COUNTIFS('Use cases'!$A$4:$A$253,F781,'Use cases'!$I$4:$I$253,"Confirmed",'Use cases'!$J$4:$J$253,"OK — verify source"),IF(E781="CAP",COUNTIFS(Capabilities!$A$4:$A$253,F781,Capabilities!$J$4:$J$253,"Confirmed",Capabilities!$K$4:$K$253,"OK — verify source"),IF(E781="AIR",COUNTIFS('System map'!$A$4:$A$203,F781,'System map'!$B$4:$B$203,"&lt;&gt;",'System map'!$C$4:$C$203,"&lt;&gt;",'System map'!$D$4:$D$203,"&lt;&gt;"),COUNTIFS(Components!$A$4:$A$253,F781,Components!$B$4:$B$253,E781,Components!$K$4:$K$253,"Confirmed",Components!$L$4:$L$253,"OK — verify source"))))&lt;&gt;1)),"Endpoint not source-reconciled",IF(AND(M781="Confirmed",OR(L781="",K781="",K781="Unknown",K781="Low")),"Confirmed link lacks verification","OK — verify source"))))))))))))))</f>
        <v/>
      </c>
    </row>
    <row r="782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6" t="n"/>
      <c r="M782" s="25" t="n"/>
      <c r="N782" s="25">
        <f>IF(COUNTA(A782:M782)=0,"",IF(OR(A782="",B782="",C782="",D782="",E782="",F782="",I782="",J782="",K782="",M782=""),"Required link detail missing",IF(COUNTIF($A$4:$A$1003,A782)&gt;1,"Duplicate Map Edge ID",IF(NOT(OR(AND(B782="UC",E782="CAP",D782="requires"),AND(B782="CAP",E782="AIR",D782="provided by"),AND(B782="AIR",OR(E782="MOD",E782="DATA",E782="IF",E782="AG",E782="TOOL"),D782="references"),AND(B782="AIR",E782="AIR",D782="depends on"))),"Invalid relationship",IF(AND(M782&lt;&gt;"Superseded",COUNTIFS($B$4:$B$1003,B782,$C$4:$C$1003,C782,$D$4:$D$1003,D782,$E$4:$E$1003,E782,$F$4:$F$1003,F782,$G$4:$G$1003,G782,$M$4:$M$1003,"&lt;&gt;Superseded")&gt;1),"Duplicate relationship",IF(OR(IF(B782="UC",COUNTIF('Use cases'!$A$4:$A$253,C782),IF(B782="CAP",COUNTIF(Capabilities!$A$4:$A$253,C782),IF(B782="AIR",COUNTIF('System map'!$A$4:$A$203,C782),COUNTIFS(Components!$A$4:$A$253,C782,Components!$B$4:$B$253,B782))))&lt;&gt;1,IF(E782="UC",COUNTIF('Use cases'!$A$4:$A$253,F782),IF(E782="CAP",COUNTIF(Capabilities!$A$4:$A$253,F782),IF(E782="AIR",COUNTIF('System map'!$A$4:$A$203,F782),COUNTIFS(Components!$A$4:$A$253,F782,Components!$B$4:$B$253,E782))))&lt;&gt;1),"Endpoint missing or duplicated",IF(AND(NOT(AND(B782="UC",E782="CAP")),OR(G782="",COUNTIF('System map'!$A$4:$A$203,G782)&lt;&gt;1)),"AIR context missing / unknown",IF(AND(B782="CAP",E782="AIR",G782&lt;&gt;F782),"AIR context mismatch",IF(AND(B782="AIR",G782&lt;&gt;C782),"AIR context mismatch",IF(AND(B782="AIR",E782="AIR",C782=F782),"Self-dependency",IF(AND(B782="AIR",E782="AIR",M782&lt;&gt;"Superseded",COUNTIFS($B$4:$B$1003,"AIR",$C$4:$C$1003,F782,$E$4:$E$1003,"AIR",$F$4:$F$1003,C782,$M$4:$M$1003,"&lt;&gt;Superseded")&gt;0),"Dependency cycle (A↔B) — review",IF(AND(B782="AIR",OR(E782="MOD",E782="DATA",E782="IF",E782="AG",E782="TOOL"),IFERROR(INDEX(Components!$G$4:$G$253,MATCH(F782,Components!$A$4:$A$253,0)),"")&lt;&gt;"",IFERROR(INDEX(Components!$G$4:$G$253,MATCH(F782,Components!$A$4:$A$253,0)),"")&lt;&gt;C782),"Component owned by another AIR-ID",IF(AND(M782="Confirmed",OR(IF(B782="UC",COUNTIFS('Use cases'!$A$4:$A$253,C782,'Use cases'!$I$4:$I$253,"Confirmed",'Use cases'!$J$4:$J$253,"OK — verify source"),IF(B782="CAP",COUNTIFS(Capabilities!$A$4:$A$253,C782,Capabilities!$J$4:$J$253,"Confirmed",Capabilities!$K$4:$K$253,"OK — verify source"),IF(B782="AIR",COUNTIFS('System map'!$A$4:$A$203,C782,'System map'!$B$4:$B$203,"&lt;&gt;",'System map'!$C$4:$C$203,"&lt;&gt;",'System map'!$D$4:$D$203,"&lt;&gt;"),COUNTIFS(Components!$A$4:$A$253,C782,Components!$B$4:$B$253,B782,Components!$K$4:$K$253,"Confirmed",Components!$L$4:$L$253,"OK — verify source"))))&lt;&gt;1,IF(E782="UC",COUNTIFS('Use cases'!$A$4:$A$253,F782,'Use cases'!$I$4:$I$253,"Confirmed",'Use cases'!$J$4:$J$253,"OK — verify source"),IF(E782="CAP",COUNTIFS(Capabilities!$A$4:$A$253,F782,Capabilities!$J$4:$J$253,"Confirmed",Capabilities!$K$4:$K$253,"OK — verify source"),IF(E782="AIR",COUNTIFS('System map'!$A$4:$A$203,F782,'System map'!$B$4:$B$203,"&lt;&gt;",'System map'!$C$4:$C$203,"&lt;&gt;",'System map'!$D$4:$D$203,"&lt;&gt;"),COUNTIFS(Components!$A$4:$A$253,F782,Components!$B$4:$B$253,E782,Components!$K$4:$K$253,"Confirmed",Components!$L$4:$L$253,"OK — verify source"))))&lt;&gt;1)),"Endpoint not source-reconciled",IF(AND(M782="Confirmed",OR(L782="",K782="",K782="Unknown",K782="Low")),"Confirmed link lacks verification","OK — verify source"))))))))))))))</f>
        <v/>
      </c>
    </row>
    <row r="783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8" t="n"/>
      <c r="M783" s="27" t="n"/>
      <c r="N783" s="27">
        <f>IF(COUNTA(A783:M783)=0,"",IF(OR(A783="",B783="",C783="",D783="",E783="",F783="",I783="",J783="",K783="",M783=""),"Required link detail missing",IF(COUNTIF($A$4:$A$1003,A783)&gt;1,"Duplicate Map Edge ID",IF(NOT(OR(AND(B783="UC",E783="CAP",D783="requires"),AND(B783="CAP",E783="AIR",D783="provided by"),AND(B783="AIR",OR(E783="MOD",E783="DATA",E783="IF",E783="AG",E783="TOOL"),D783="references"),AND(B783="AIR",E783="AIR",D783="depends on"))),"Invalid relationship",IF(AND(M783&lt;&gt;"Superseded",COUNTIFS($B$4:$B$1003,B783,$C$4:$C$1003,C783,$D$4:$D$1003,D783,$E$4:$E$1003,E783,$F$4:$F$1003,F783,$G$4:$G$1003,G783,$M$4:$M$1003,"&lt;&gt;Superseded")&gt;1),"Duplicate relationship",IF(OR(IF(B783="UC",COUNTIF('Use cases'!$A$4:$A$253,C783),IF(B783="CAP",COUNTIF(Capabilities!$A$4:$A$253,C783),IF(B783="AIR",COUNTIF('System map'!$A$4:$A$203,C783),COUNTIFS(Components!$A$4:$A$253,C783,Components!$B$4:$B$253,B783))))&lt;&gt;1,IF(E783="UC",COUNTIF('Use cases'!$A$4:$A$253,F783),IF(E783="CAP",COUNTIF(Capabilities!$A$4:$A$253,F783),IF(E783="AIR",COUNTIF('System map'!$A$4:$A$203,F783),COUNTIFS(Components!$A$4:$A$253,F783,Components!$B$4:$B$253,E783))))&lt;&gt;1),"Endpoint missing or duplicated",IF(AND(NOT(AND(B783="UC",E783="CAP")),OR(G783="",COUNTIF('System map'!$A$4:$A$203,G783)&lt;&gt;1)),"AIR context missing / unknown",IF(AND(B783="CAP",E783="AIR",G783&lt;&gt;F783),"AIR context mismatch",IF(AND(B783="AIR",G783&lt;&gt;C783),"AIR context mismatch",IF(AND(B783="AIR",E783="AIR",C783=F783),"Self-dependency",IF(AND(B783="AIR",E783="AIR",M783&lt;&gt;"Superseded",COUNTIFS($B$4:$B$1003,"AIR",$C$4:$C$1003,F783,$E$4:$E$1003,"AIR",$F$4:$F$1003,C783,$M$4:$M$1003,"&lt;&gt;Superseded")&gt;0),"Dependency cycle (A↔B) — review",IF(AND(B783="AIR",OR(E783="MOD",E783="DATA",E783="IF",E783="AG",E783="TOOL"),IFERROR(INDEX(Components!$G$4:$G$253,MATCH(F783,Components!$A$4:$A$253,0)),"")&lt;&gt;"",IFERROR(INDEX(Components!$G$4:$G$253,MATCH(F783,Components!$A$4:$A$253,0)),"")&lt;&gt;C783),"Component owned by another AIR-ID",IF(AND(M783="Confirmed",OR(IF(B783="UC",COUNTIFS('Use cases'!$A$4:$A$253,C783,'Use cases'!$I$4:$I$253,"Confirmed",'Use cases'!$J$4:$J$253,"OK — verify source"),IF(B783="CAP",COUNTIFS(Capabilities!$A$4:$A$253,C783,Capabilities!$J$4:$J$253,"Confirmed",Capabilities!$K$4:$K$253,"OK — verify source"),IF(B783="AIR",COUNTIFS('System map'!$A$4:$A$203,C783,'System map'!$B$4:$B$203,"&lt;&gt;",'System map'!$C$4:$C$203,"&lt;&gt;",'System map'!$D$4:$D$203,"&lt;&gt;"),COUNTIFS(Components!$A$4:$A$253,C783,Components!$B$4:$B$253,B783,Components!$K$4:$K$253,"Confirmed",Components!$L$4:$L$253,"OK — verify source"))))&lt;&gt;1,IF(E783="UC",COUNTIFS('Use cases'!$A$4:$A$253,F783,'Use cases'!$I$4:$I$253,"Confirmed",'Use cases'!$J$4:$J$253,"OK — verify source"),IF(E783="CAP",COUNTIFS(Capabilities!$A$4:$A$253,F783,Capabilities!$J$4:$J$253,"Confirmed",Capabilities!$K$4:$K$253,"OK — verify source"),IF(E783="AIR",COUNTIFS('System map'!$A$4:$A$203,F783,'System map'!$B$4:$B$203,"&lt;&gt;",'System map'!$C$4:$C$203,"&lt;&gt;",'System map'!$D$4:$D$203,"&lt;&gt;"),COUNTIFS(Components!$A$4:$A$253,F783,Components!$B$4:$B$253,E783,Components!$K$4:$K$253,"Confirmed",Components!$L$4:$L$253,"OK — verify source"))))&lt;&gt;1)),"Endpoint not source-reconciled",IF(AND(M783="Confirmed",OR(L783="",K783="",K783="Unknown",K783="Low")),"Confirmed link lacks verification","OK — verify source"))))))))))))))</f>
        <v/>
      </c>
    </row>
    <row r="78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6" t="n"/>
      <c r="M784" s="25" t="n"/>
      <c r="N784" s="25">
        <f>IF(COUNTA(A784:M784)=0,"",IF(OR(A784="",B784="",C784="",D784="",E784="",F784="",I784="",J784="",K784="",M784=""),"Required link detail missing",IF(COUNTIF($A$4:$A$1003,A784)&gt;1,"Duplicate Map Edge ID",IF(NOT(OR(AND(B784="UC",E784="CAP",D784="requires"),AND(B784="CAP",E784="AIR",D784="provided by"),AND(B784="AIR",OR(E784="MOD",E784="DATA",E784="IF",E784="AG",E784="TOOL"),D784="references"),AND(B784="AIR",E784="AIR",D784="depends on"))),"Invalid relationship",IF(AND(M784&lt;&gt;"Superseded",COUNTIFS($B$4:$B$1003,B784,$C$4:$C$1003,C784,$D$4:$D$1003,D784,$E$4:$E$1003,E784,$F$4:$F$1003,F784,$G$4:$G$1003,G784,$M$4:$M$1003,"&lt;&gt;Superseded")&gt;1),"Duplicate relationship",IF(OR(IF(B784="UC",COUNTIF('Use cases'!$A$4:$A$253,C784),IF(B784="CAP",COUNTIF(Capabilities!$A$4:$A$253,C784),IF(B784="AIR",COUNTIF('System map'!$A$4:$A$203,C784),COUNTIFS(Components!$A$4:$A$253,C784,Components!$B$4:$B$253,B784))))&lt;&gt;1,IF(E784="UC",COUNTIF('Use cases'!$A$4:$A$253,F784),IF(E784="CAP",COUNTIF(Capabilities!$A$4:$A$253,F784),IF(E784="AIR",COUNTIF('System map'!$A$4:$A$203,F784),COUNTIFS(Components!$A$4:$A$253,F784,Components!$B$4:$B$253,E784))))&lt;&gt;1),"Endpoint missing or duplicated",IF(AND(NOT(AND(B784="UC",E784="CAP")),OR(G784="",COUNTIF('System map'!$A$4:$A$203,G784)&lt;&gt;1)),"AIR context missing / unknown",IF(AND(B784="CAP",E784="AIR",G784&lt;&gt;F784),"AIR context mismatch",IF(AND(B784="AIR",G784&lt;&gt;C784),"AIR context mismatch",IF(AND(B784="AIR",E784="AIR",C784=F784),"Self-dependency",IF(AND(B784="AIR",E784="AIR",M784&lt;&gt;"Superseded",COUNTIFS($B$4:$B$1003,"AIR",$C$4:$C$1003,F784,$E$4:$E$1003,"AIR",$F$4:$F$1003,C784,$M$4:$M$1003,"&lt;&gt;Superseded")&gt;0),"Dependency cycle (A↔B) — review",IF(AND(B784="AIR",OR(E784="MOD",E784="DATA",E784="IF",E784="AG",E784="TOOL"),IFERROR(INDEX(Components!$G$4:$G$253,MATCH(F784,Components!$A$4:$A$253,0)),"")&lt;&gt;"",IFERROR(INDEX(Components!$G$4:$G$253,MATCH(F784,Components!$A$4:$A$253,0)),"")&lt;&gt;C784),"Component owned by another AIR-ID",IF(AND(M784="Confirmed",OR(IF(B784="UC",COUNTIFS('Use cases'!$A$4:$A$253,C784,'Use cases'!$I$4:$I$253,"Confirmed",'Use cases'!$J$4:$J$253,"OK — verify source"),IF(B784="CAP",COUNTIFS(Capabilities!$A$4:$A$253,C784,Capabilities!$J$4:$J$253,"Confirmed",Capabilities!$K$4:$K$253,"OK — verify source"),IF(B784="AIR",COUNTIFS('System map'!$A$4:$A$203,C784,'System map'!$B$4:$B$203,"&lt;&gt;",'System map'!$C$4:$C$203,"&lt;&gt;",'System map'!$D$4:$D$203,"&lt;&gt;"),COUNTIFS(Components!$A$4:$A$253,C784,Components!$B$4:$B$253,B784,Components!$K$4:$K$253,"Confirmed",Components!$L$4:$L$253,"OK — verify source"))))&lt;&gt;1,IF(E784="UC",COUNTIFS('Use cases'!$A$4:$A$253,F784,'Use cases'!$I$4:$I$253,"Confirmed",'Use cases'!$J$4:$J$253,"OK — verify source"),IF(E784="CAP",COUNTIFS(Capabilities!$A$4:$A$253,F784,Capabilities!$J$4:$J$253,"Confirmed",Capabilities!$K$4:$K$253,"OK — verify source"),IF(E784="AIR",COUNTIFS('System map'!$A$4:$A$203,F784,'System map'!$B$4:$B$203,"&lt;&gt;",'System map'!$C$4:$C$203,"&lt;&gt;",'System map'!$D$4:$D$203,"&lt;&gt;"),COUNTIFS(Components!$A$4:$A$253,F784,Components!$B$4:$B$253,E784,Components!$K$4:$K$253,"Confirmed",Components!$L$4:$L$253,"OK — verify source"))))&lt;&gt;1)),"Endpoint not source-reconciled",IF(AND(M784="Confirmed",OR(L784="",K784="",K784="Unknown",K784="Low")),"Confirmed link lacks verification","OK — verify source"))))))))))))))</f>
        <v/>
      </c>
    </row>
    <row r="785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8" t="n"/>
      <c r="M785" s="27" t="n"/>
      <c r="N785" s="27">
        <f>IF(COUNTA(A785:M785)=0,"",IF(OR(A785="",B785="",C785="",D785="",E785="",F785="",I785="",J785="",K785="",M785=""),"Required link detail missing",IF(COUNTIF($A$4:$A$1003,A785)&gt;1,"Duplicate Map Edge ID",IF(NOT(OR(AND(B785="UC",E785="CAP",D785="requires"),AND(B785="CAP",E785="AIR",D785="provided by"),AND(B785="AIR",OR(E785="MOD",E785="DATA",E785="IF",E785="AG",E785="TOOL"),D785="references"),AND(B785="AIR",E785="AIR",D785="depends on"))),"Invalid relationship",IF(AND(M785&lt;&gt;"Superseded",COUNTIFS($B$4:$B$1003,B785,$C$4:$C$1003,C785,$D$4:$D$1003,D785,$E$4:$E$1003,E785,$F$4:$F$1003,F785,$G$4:$G$1003,G785,$M$4:$M$1003,"&lt;&gt;Superseded")&gt;1),"Duplicate relationship",IF(OR(IF(B785="UC",COUNTIF('Use cases'!$A$4:$A$253,C785),IF(B785="CAP",COUNTIF(Capabilities!$A$4:$A$253,C785),IF(B785="AIR",COUNTIF('System map'!$A$4:$A$203,C785),COUNTIFS(Components!$A$4:$A$253,C785,Components!$B$4:$B$253,B785))))&lt;&gt;1,IF(E785="UC",COUNTIF('Use cases'!$A$4:$A$253,F785),IF(E785="CAP",COUNTIF(Capabilities!$A$4:$A$253,F785),IF(E785="AIR",COUNTIF('System map'!$A$4:$A$203,F785),COUNTIFS(Components!$A$4:$A$253,F785,Components!$B$4:$B$253,E785))))&lt;&gt;1),"Endpoint missing or duplicated",IF(AND(NOT(AND(B785="UC",E785="CAP")),OR(G785="",COUNTIF('System map'!$A$4:$A$203,G785)&lt;&gt;1)),"AIR context missing / unknown",IF(AND(B785="CAP",E785="AIR",G785&lt;&gt;F785),"AIR context mismatch",IF(AND(B785="AIR",G785&lt;&gt;C785),"AIR context mismatch",IF(AND(B785="AIR",E785="AIR",C785=F785),"Self-dependency",IF(AND(B785="AIR",E785="AIR",M785&lt;&gt;"Superseded",COUNTIFS($B$4:$B$1003,"AIR",$C$4:$C$1003,F785,$E$4:$E$1003,"AIR",$F$4:$F$1003,C785,$M$4:$M$1003,"&lt;&gt;Superseded")&gt;0),"Dependency cycle (A↔B) — review",IF(AND(B785="AIR",OR(E785="MOD",E785="DATA",E785="IF",E785="AG",E785="TOOL"),IFERROR(INDEX(Components!$G$4:$G$253,MATCH(F785,Components!$A$4:$A$253,0)),"")&lt;&gt;"",IFERROR(INDEX(Components!$G$4:$G$253,MATCH(F785,Components!$A$4:$A$253,0)),"")&lt;&gt;C785),"Component owned by another AIR-ID",IF(AND(M785="Confirmed",OR(IF(B785="UC",COUNTIFS('Use cases'!$A$4:$A$253,C785,'Use cases'!$I$4:$I$253,"Confirmed",'Use cases'!$J$4:$J$253,"OK — verify source"),IF(B785="CAP",COUNTIFS(Capabilities!$A$4:$A$253,C785,Capabilities!$J$4:$J$253,"Confirmed",Capabilities!$K$4:$K$253,"OK — verify source"),IF(B785="AIR",COUNTIFS('System map'!$A$4:$A$203,C785,'System map'!$B$4:$B$203,"&lt;&gt;",'System map'!$C$4:$C$203,"&lt;&gt;",'System map'!$D$4:$D$203,"&lt;&gt;"),COUNTIFS(Components!$A$4:$A$253,C785,Components!$B$4:$B$253,B785,Components!$K$4:$K$253,"Confirmed",Components!$L$4:$L$253,"OK — verify source"))))&lt;&gt;1,IF(E785="UC",COUNTIFS('Use cases'!$A$4:$A$253,F785,'Use cases'!$I$4:$I$253,"Confirmed",'Use cases'!$J$4:$J$253,"OK — verify source"),IF(E785="CAP",COUNTIFS(Capabilities!$A$4:$A$253,F785,Capabilities!$J$4:$J$253,"Confirmed",Capabilities!$K$4:$K$253,"OK — verify source"),IF(E785="AIR",COUNTIFS('System map'!$A$4:$A$203,F785,'System map'!$B$4:$B$203,"&lt;&gt;",'System map'!$C$4:$C$203,"&lt;&gt;",'System map'!$D$4:$D$203,"&lt;&gt;"),COUNTIFS(Components!$A$4:$A$253,F785,Components!$B$4:$B$253,E785,Components!$K$4:$K$253,"Confirmed",Components!$L$4:$L$253,"OK — verify source"))))&lt;&gt;1)),"Endpoint not source-reconciled",IF(AND(M785="Confirmed",OR(L785="",K785="",K785="Unknown",K785="Low")),"Confirmed link lacks verification","OK — verify source"))))))))))))))</f>
        <v/>
      </c>
    </row>
    <row r="786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6" t="n"/>
      <c r="M786" s="25" t="n"/>
      <c r="N786" s="25">
        <f>IF(COUNTA(A786:M786)=0,"",IF(OR(A786="",B786="",C786="",D786="",E786="",F786="",I786="",J786="",K786="",M786=""),"Required link detail missing",IF(COUNTIF($A$4:$A$1003,A786)&gt;1,"Duplicate Map Edge ID",IF(NOT(OR(AND(B786="UC",E786="CAP",D786="requires"),AND(B786="CAP",E786="AIR",D786="provided by"),AND(B786="AIR",OR(E786="MOD",E786="DATA",E786="IF",E786="AG",E786="TOOL"),D786="references"),AND(B786="AIR",E786="AIR",D786="depends on"))),"Invalid relationship",IF(AND(M786&lt;&gt;"Superseded",COUNTIFS($B$4:$B$1003,B786,$C$4:$C$1003,C786,$D$4:$D$1003,D786,$E$4:$E$1003,E786,$F$4:$F$1003,F786,$G$4:$G$1003,G786,$M$4:$M$1003,"&lt;&gt;Superseded")&gt;1),"Duplicate relationship",IF(OR(IF(B786="UC",COUNTIF('Use cases'!$A$4:$A$253,C786),IF(B786="CAP",COUNTIF(Capabilities!$A$4:$A$253,C786),IF(B786="AIR",COUNTIF('System map'!$A$4:$A$203,C786),COUNTIFS(Components!$A$4:$A$253,C786,Components!$B$4:$B$253,B786))))&lt;&gt;1,IF(E786="UC",COUNTIF('Use cases'!$A$4:$A$253,F786),IF(E786="CAP",COUNTIF(Capabilities!$A$4:$A$253,F786),IF(E786="AIR",COUNTIF('System map'!$A$4:$A$203,F786),COUNTIFS(Components!$A$4:$A$253,F786,Components!$B$4:$B$253,E786))))&lt;&gt;1),"Endpoint missing or duplicated",IF(AND(NOT(AND(B786="UC",E786="CAP")),OR(G786="",COUNTIF('System map'!$A$4:$A$203,G786)&lt;&gt;1)),"AIR context missing / unknown",IF(AND(B786="CAP",E786="AIR",G786&lt;&gt;F786),"AIR context mismatch",IF(AND(B786="AIR",G786&lt;&gt;C786),"AIR context mismatch",IF(AND(B786="AIR",E786="AIR",C786=F786),"Self-dependency",IF(AND(B786="AIR",E786="AIR",M786&lt;&gt;"Superseded",COUNTIFS($B$4:$B$1003,"AIR",$C$4:$C$1003,F786,$E$4:$E$1003,"AIR",$F$4:$F$1003,C786,$M$4:$M$1003,"&lt;&gt;Superseded")&gt;0),"Dependency cycle (A↔B) — review",IF(AND(B786="AIR",OR(E786="MOD",E786="DATA",E786="IF",E786="AG",E786="TOOL"),IFERROR(INDEX(Components!$G$4:$G$253,MATCH(F786,Components!$A$4:$A$253,0)),"")&lt;&gt;"",IFERROR(INDEX(Components!$G$4:$G$253,MATCH(F786,Components!$A$4:$A$253,0)),"")&lt;&gt;C786),"Component owned by another AIR-ID",IF(AND(M786="Confirmed",OR(IF(B786="UC",COUNTIFS('Use cases'!$A$4:$A$253,C786,'Use cases'!$I$4:$I$253,"Confirmed",'Use cases'!$J$4:$J$253,"OK — verify source"),IF(B786="CAP",COUNTIFS(Capabilities!$A$4:$A$253,C786,Capabilities!$J$4:$J$253,"Confirmed",Capabilities!$K$4:$K$253,"OK — verify source"),IF(B786="AIR",COUNTIFS('System map'!$A$4:$A$203,C786,'System map'!$B$4:$B$203,"&lt;&gt;",'System map'!$C$4:$C$203,"&lt;&gt;",'System map'!$D$4:$D$203,"&lt;&gt;"),COUNTIFS(Components!$A$4:$A$253,C786,Components!$B$4:$B$253,B786,Components!$K$4:$K$253,"Confirmed",Components!$L$4:$L$253,"OK — verify source"))))&lt;&gt;1,IF(E786="UC",COUNTIFS('Use cases'!$A$4:$A$253,F786,'Use cases'!$I$4:$I$253,"Confirmed",'Use cases'!$J$4:$J$253,"OK — verify source"),IF(E786="CAP",COUNTIFS(Capabilities!$A$4:$A$253,F786,Capabilities!$J$4:$J$253,"Confirmed",Capabilities!$K$4:$K$253,"OK — verify source"),IF(E786="AIR",COUNTIFS('System map'!$A$4:$A$203,F786,'System map'!$B$4:$B$203,"&lt;&gt;",'System map'!$C$4:$C$203,"&lt;&gt;",'System map'!$D$4:$D$203,"&lt;&gt;"),COUNTIFS(Components!$A$4:$A$253,F786,Components!$B$4:$B$253,E786,Components!$K$4:$K$253,"Confirmed",Components!$L$4:$L$253,"OK — verify source"))))&lt;&gt;1)),"Endpoint not source-reconciled",IF(AND(M786="Confirmed",OR(L786="",K786="",K786="Unknown",K786="Low")),"Confirmed link lacks verification","OK — verify source"))))))))))))))</f>
        <v/>
      </c>
    </row>
    <row r="787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8" t="n"/>
      <c r="M787" s="27" t="n"/>
      <c r="N787" s="27">
        <f>IF(COUNTA(A787:M787)=0,"",IF(OR(A787="",B787="",C787="",D787="",E787="",F787="",I787="",J787="",K787="",M787=""),"Required link detail missing",IF(COUNTIF($A$4:$A$1003,A787)&gt;1,"Duplicate Map Edge ID",IF(NOT(OR(AND(B787="UC",E787="CAP",D787="requires"),AND(B787="CAP",E787="AIR",D787="provided by"),AND(B787="AIR",OR(E787="MOD",E787="DATA",E787="IF",E787="AG",E787="TOOL"),D787="references"),AND(B787="AIR",E787="AIR",D787="depends on"))),"Invalid relationship",IF(AND(M787&lt;&gt;"Superseded",COUNTIFS($B$4:$B$1003,B787,$C$4:$C$1003,C787,$D$4:$D$1003,D787,$E$4:$E$1003,E787,$F$4:$F$1003,F787,$G$4:$G$1003,G787,$M$4:$M$1003,"&lt;&gt;Superseded")&gt;1),"Duplicate relationship",IF(OR(IF(B787="UC",COUNTIF('Use cases'!$A$4:$A$253,C787),IF(B787="CAP",COUNTIF(Capabilities!$A$4:$A$253,C787),IF(B787="AIR",COUNTIF('System map'!$A$4:$A$203,C787),COUNTIFS(Components!$A$4:$A$253,C787,Components!$B$4:$B$253,B787))))&lt;&gt;1,IF(E787="UC",COUNTIF('Use cases'!$A$4:$A$253,F787),IF(E787="CAP",COUNTIF(Capabilities!$A$4:$A$253,F787),IF(E787="AIR",COUNTIF('System map'!$A$4:$A$203,F787),COUNTIFS(Components!$A$4:$A$253,F787,Components!$B$4:$B$253,E787))))&lt;&gt;1),"Endpoint missing or duplicated",IF(AND(NOT(AND(B787="UC",E787="CAP")),OR(G787="",COUNTIF('System map'!$A$4:$A$203,G787)&lt;&gt;1)),"AIR context missing / unknown",IF(AND(B787="CAP",E787="AIR",G787&lt;&gt;F787),"AIR context mismatch",IF(AND(B787="AIR",G787&lt;&gt;C787),"AIR context mismatch",IF(AND(B787="AIR",E787="AIR",C787=F787),"Self-dependency",IF(AND(B787="AIR",E787="AIR",M787&lt;&gt;"Superseded",COUNTIFS($B$4:$B$1003,"AIR",$C$4:$C$1003,F787,$E$4:$E$1003,"AIR",$F$4:$F$1003,C787,$M$4:$M$1003,"&lt;&gt;Superseded")&gt;0),"Dependency cycle (A↔B) — review",IF(AND(B787="AIR",OR(E787="MOD",E787="DATA",E787="IF",E787="AG",E787="TOOL"),IFERROR(INDEX(Components!$G$4:$G$253,MATCH(F787,Components!$A$4:$A$253,0)),"")&lt;&gt;"",IFERROR(INDEX(Components!$G$4:$G$253,MATCH(F787,Components!$A$4:$A$253,0)),"")&lt;&gt;C787),"Component owned by another AIR-ID",IF(AND(M787="Confirmed",OR(IF(B787="UC",COUNTIFS('Use cases'!$A$4:$A$253,C787,'Use cases'!$I$4:$I$253,"Confirmed",'Use cases'!$J$4:$J$253,"OK — verify source"),IF(B787="CAP",COUNTIFS(Capabilities!$A$4:$A$253,C787,Capabilities!$J$4:$J$253,"Confirmed",Capabilities!$K$4:$K$253,"OK — verify source"),IF(B787="AIR",COUNTIFS('System map'!$A$4:$A$203,C787,'System map'!$B$4:$B$203,"&lt;&gt;",'System map'!$C$4:$C$203,"&lt;&gt;",'System map'!$D$4:$D$203,"&lt;&gt;"),COUNTIFS(Components!$A$4:$A$253,C787,Components!$B$4:$B$253,B787,Components!$K$4:$K$253,"Confirmed",Components!$L$4:$L$253,"OK — verify source"))))&lt;&gt;1,IF(E787="UC",COUNTIFS('Use cases'!$A$4:$A$253,F787,'Use cases'!$I$4:$I$253,"Confirmed",'Use cases'!$J$4:$J$253,"OK — verify source"),IF(E787="CAP",COUNTIFS(Capabilities!$A$4:$A$253,F787,Capabilities!$J$4:$J$253,"Confirmed",Capabilities!$K$4:$K$253,"OK — verify source"),IF(E787="AIR",COUNTIFS('System map'!$A$4:$A$203,F787,'System map'!$B$4:$B$203,"&lt;&gt;",'System map'!$C$4:$C$203,"&lt;&gt;",'System map'!$D$4:$D$203,"&lt;&gt;"),COUNTIFS(Components!$A$4:$A$253,F787,Components!$B$4:$B$253,E787,Components!$K$4:$K$253,"Confirmed",Components!$L$4:$L$253,"OK — verify source"))))&lt;&gt;1)),"Endpoint not source-reconciled",IF(AND(M787="Confirmed",OR(L787="",K787="",K787="Unknown",K787="Low")),"Confirmed link lacks verification","OK — verify source"))))))))))))))</f>
        <v/>
      </c>
    </row>
    <row r="788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6" t="n"/>
      <c r="M788" s="25" t="n"/>
      <c r="N788" s="25">
        <f>IF(COUNTA(A788:M788)=0,"",IF(OR(A788="",B788="",C788="",D788="",E788="",F788="",I788="",J788="",K788="",M788=""),"Required link detail missing",IF(COUNTIF($A$4:$A$1003,A788)&gt;1,"Duplicate Map Edge ID",IF(NOT(OR(AND(B788="UC",E788="CAP",D788="requires"),AND(B788="CAP",E788="AIR",D788="provided by"),AND(B788="AIR",OR(E788="MOD",E788="DATA",E788="IF",E788="AG",E788="TOOL"),D788="references"),AND(B788="AIR",E788="AIR",D788="depends on"))),"Invalid relationship",IF(AND(M788&lt;&gt;"Superseded",COUNTIFS($B$4:$B$1003,B788,$C$4:$C$1003,C788,$D$4:$D$1003,D788,$E$4:$E$1003,E788,$F$4:$F$1003,F788,$G$4:$G$1003,G788,$M$4:$M$1003,"&lt;&gt;Superseded")&gt;1),"Duplicate relationship",IF(OR(IF(B788="UC",COUNTIF('Use cases'!$A$4:$A$253,C788),IF(B788="CAP",COUNTIF(Capabilities!$A$4:$A$253,C788),IF(B788="AIR",COUNTIF('System map'!$A$4:$A$203,C788),COUNTIFS(Components!$A$4:$A$253,C788,Components!$B$4:$B$253,B788))))&lt;&gt;1,IF(E788="UC",COUNTIF('Use cases'!$A$4:$A$253,F788),IF(E788="CAP",COUNTIF(Capabilities!$A$4:$A$253,F788),IF(E788="AIR",COUNTIF('System map'!$A$4:$A$203,F788),COUNTIFS(Components!$A$4:$A$253,F788,Components!$B$4:$B$253,E788))))&lt;&gt;1),"Endpoint missing or duplicated",IF(AND(NOT(AND(B788="UC",E788="CAP")),OR(G788="",COUNTIF('System map'!$A$4:$A$203,G788)&lt;&gt;1)),"AIR context missing / unknown",IF(AND(B788="CAP",E788="AIR",G788&lt;&gt;F788),"AIR context mismatch",IF(AND(B788="AIR",G788&lt;&gt;C788),"AIR context mismatch",IF(AND(B788="AIR",E788="AIR",C788=F788),"Self-dependency",IF(AND(B788="AIR",E788="AIR",M788&lt;&gt;"Superseded",COUNTIFS($B$4:$B$1003,"AIR",$C$4:$C$1003,F788,$E$4:$E$1003,"AIR",$F$4:$F$1003,C788,$M$4:$M$1003,"&lt;&gt;Superseded")&gt;0),"Dependency cycle (A↔B) — review",IF(AND(B788="AIR",OR(E788="MOD",E788="DATA",E788="IF",E788="AG",E788="TOOL"),IFERROR(INDEX(Components!$G$4:$G$253,MATCH(F788,Components!$A$4:$A$253,0)),"")&lt;&gt;"",IFERROR(INDEX(Components!$G$4:$G$253,MATCH(F788,Components!$A$4:$A$253,0)),"")&lt;&gt;C788),"Component owned by another AIR-ID",IF(AND(M788="Confirmed",OR(IF(B788="UC",COUNTIFS('Use cases'!$A$4:$A$253,C788,'Use cases'!$I$4:$I$253,"Confirmed",'Use cases'!$J$4:$J$253,"OK — verify source"),IF(B788="CAP",COUNTIFS(Capabilities!$A$4:$A$253,C788,Capabilities!$J$4:$J$253,"Confirmed",Capabilities!$K$4:$K$253,"OK — verify source"),IF(B788="AIR",COUNTIFS('System map'!$A$4:$A$203,C788,'System map'!$B$4:$B$203,"&lt;&gt;",'System map'!$C$4:$C$203,"&lt;&gt;",'System map'!$D$4:$D$203,"&lt;&gt;"),COUNTIFS(Components!$A$4:$A$253,C788,Components!$B$4:$B$253,B788,Components!$K$4:$K$253,"Confirmed",Components!$L$4:$L$253,"OK — verify source"))))&lt;&gt;1,IF(E788="UC",COUNTIFS('Use cases'!$A$4:$A$253,F788,'Use cases'!$I$4:$I$253,"Confirmed",'Use cases'!$J$4:$J$253,"OK — verify source"),IF(E788="CAP",COUNTIFS(Capabilities!$A$4:$A$253,F788,Capabilities!$J$4:$J$253,"Confirmed",Capabilities!$K$4:$K$253,"OK — verify source"),IF(E788="AIR",COUNTIFS('System map'!$A$4:$A$203,F788,'System map'!$B$4:$B$203,"&lt;&gt;",'System map'!$C$4:$C$203,"&lt;&gt;",'System map'!$D$4:$D$203,"&lt;&gt;"),COUNTIFS(Components!$A$4:$A$253,F788,Components!$B$4:$B$253,E788,Components!$K$4:$K$253,"Confirmed",Components!$L$4:$L$253,"OK — verify source"))))&lt;&gt;1)),"Endpoint not source-reconciled",IF(AND(M788="Confirmed",OR(L788="",K788="",K788="Unknown",K788="Low")),"Confirmed link lacks verification","OK — verify source"))))))))))))))</f>
        <v/>
      </c>
    </row>
    <row r="789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8" t="n"/>
      <c r="M789" s="27" t="n"/>
      <c r="N789" s="27">
        <f>IF(COUNTA(A789:M789)=0,"",IF(OR(A789="",B789="",C789="",D789="",E789="",F789="",I789="",J789="",K789="",M789=""),"Required link detail missing",IF(COUNTIF($A$4:$A$1003,A789)&gt;1,"Duplicate Map Edge ID",IF(NOT(OR(AND(B789="UC",E789="CAP",D789="requires"),AND(B789="CAP",E789="AIR",D789="provided by"),AND(B789="AIR",OR(E789="MOD",E789="DATA",E789="IF",E789="AG",E789="TOOL"),D789="references"),AND(B789="AIR",E789="AIR",D789="depends on"))),"Invalid relationship",IF(AND(M789&lt;&gt;"Superseded",COUNTIFS($B$4:$B$1003,B789,$C$4:$C$1003,C789,$D$4:$D$1003,D789,$E$4:$E$1003,E789,$F$4:$F$1003,F789,$G$4:$G$1003,G789,$M$4:$M$1003,"&lt;&gt;Superseded")&gt;1),"Duplicate relationship",IF(OR(IF(B789="UC",COUNTIF('Use cases'!$A$4:$A$253,C789),IF(B789="CAP",COUNTIF(Capabilities!$A$4:$A$253,C789),IF(B789="AIR",COUNTIF('System map'!$A$4:$A$203,C789),COUNTIFS(Components!$A$4:$A$253,C789,Components!$B$4:$B$253,B789))))&lt;&gt;1,IF(E789="UC",COUNTIF('Use cases'!$A$4:$A$253,F789),IF(E789="CAP",COUNTIF(Capabilities!$A$4:$A$253,F789),IF(E789="AIR",COUNTIF('System map'!$A$4:$A$203,F789),COUNTIFS(Components!$A$4:$A$253,F789,Components!$B$4:$B$253,E789))))&lt;&gt;1),"Endpoint missing or duplicated",IF(AND(NOT(AND(B789="UC",E789="CAP")),OR(G789="",COUNTIF('System map'!$A$4:$A$203,G789)&lt;&gt;1)),"AIR context missing / unknown",IF(AND(B789="CAP",E789="AIR",G789&lt;&gt;F789),"AIR context mismatch",IF(AND(B789="AIR",G789&lt;&gt;C789),"AIR context mismatch",IF(AND(B789="AIR",E789="AIR",C789=F789),"Self-dependency",IF(AND(B789="AIR",E789="AIR",M789&lt;&gt;"Superseded",COUNTIFS($B$4:$B$1003,"AIR",$C$4:$C$1003,F789,$E$4:$E$1003,"AIR",$F$4:$F$1003,C789,$M$4:$M$1003,"&lt;&gt;Superseded")&gt;0),"Dependency cycle (A↔B) — review",IF(AND(B789="AIR",OR(E789="MOD",E789="DATA",E789="IF",E789="AG",E789="TOOL"),IFERROR(INDEX(Components!$G$4:$G$253,MATCH(F789,Components!$A$4:$A$253,0)),"")&lt;&gt;"",IFERROR(INDEX(Components!$G$4:$G$253,MATCH(F789,Components!$A$4:$A$253,0)),"")&lt;&gt;C789),"Component owned by another AIR-ID",IF(AND(M789="Confirmed",OR(IF(B789="UC",COUNTIFS('Use cases'!$A$4:$A$253,C789,'Use cases'!$I$4:$I$253,"Confirmed",'Use cases'!$J$4:$J$253,"OK — verify source"),IF(B789="CAP",COUNTIFS(Capabilities!$A$4:$A$253,C789,Capabilities!$J$4:$J$253,"Confirmed",Capabilities!$K$4:$K$253,"OK — verify source"),IF(B789="AIR",COUNTIFS('System map'!$A$4:$A$203,C789,'System map'!$B$4:$B$203,"&lt;&gt;",'System map'!$C$4:$C$203,"&lt;&gt;",'System map'!$D$4:$D$203,"&lt;&gt;"),COUNTIFS(Components!$A$4:$A$253,C789,Components!$B$4:$B$253,B789,Components!$K$4:$K$253,"Confirmed",Components!$L$4:$L$253,"OK — verify source"))))&lt;&gt;1,IF(E789="UC",COUNTIFS('Use cases'!$A$4:$A$253,F789,'Use cases'!$I$4:$I$253,"Confirmed",'Use cases'!$J$4:$J$253,"OK — verify source"),IF(E789="CAP",COUNTIFS(Capabilities!$A$4:$A$253,F789,Capabilities!$J$4:$J$253,"Confirmed",Capabilities!$K$4:$K$253,"OK — verify source"),IF(E789="AIR",COUNTIFS('System map'!$A$4:$A$203,F789,'System map'!$B$4:$B$203,"&lt;&gt;",'System map'!$C$4:$C$203,"&lt;&gt;",'System map'!$D$4:$D$203,"&lt;&gt;"),COUNTIFS(Components!$A$4:$A$253,F789,Components!$B$4:$B$253,E789,Components!$K$4:$K$253,"Confirmed",Components!$L$4:$L$253,"OK — verify source"))))&lt;&gt;1)),"Endpoint not source-reconciled",IF(AND(M789="Confirmed",OR(L789="",K789="",K789="Unknown",K789="Low")),"Confirmed link lacks verification","OK — verify source"))))))))))))))</f>
        <v/>
      </c>
    </row>
    <row r="790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6" t="n"/>
      <c r="M790" s="25" t="n"/>
      <c r="N790" s="25">
        <f>IF(COUNTA(A790:M790)=0,"",IF(OR(A790="",B790="",C790="",D790="",E790="",F790="",I790="",J790="",K790="",M790=""),"Required link detail missing",IF(COUNTIF($A$4:$A$1003,A790)&gt;1,"Duplicate Map Edge ID",IF(NOT(OR(AND(B790="UC",E790="CAP",D790="requires"),AND(B790="CAP",E790="AIR",D790="provided by"),AND(B790="AIR",OR(E790="MOD",E790="DATA",E790="IF",E790="AG",E790="TOOL"),D790="references"),AND(B790="AIR",E790="AIR",D790="depends on"))),"Invalid relationship",IF(AND(M790&lt;&gt;"Superseded",COUNTIFS($B$4:$B$1003,B790,$C$4:$C$1003,C790,$D$4:$D$1003,D790,$E$4:$E$1003,E790,$F$4:$F$1003,F790,$G$4:$G$1003,G790,$M$4:$M$1003,"&lt;&gt;Superseded")&gt;1),"Duplicate relationship",IF(OR(IF(B790="UC",COUNTIF('Use cases'!$A$4:$A$253,C790),IF(B790="CAP",COUNTIF(Capabilities!$A$4:$A$253,C790),IF(B790="AIR",COUNTIF('System map'!$A$4:$A$203,C790),COUNTIFS(Components!$A$4:$A$253,C790,Components!$B$4:$B$253,B790))))&lt;&gt;1,IF(E790="UC",COUNTIF('Use cases'!$A$4:$A$253,F790),IF(E790="CAP",COUNTIF(Capabilities!$A$4:$A$253,F790),IF(E790="AIR",COUNTIF('System map'!$A$4:$A$203,F790),COUNTIFS(Components!$A$4:$A$253,F790,Components!$B$4:$B$253,E790))))&lt;&gt;1),"Endpoint missing or duplicated",IF(AND(NOT(AND(B790="UC",E790="CAP")),OR(G790="",COUNTIF('System map'!$A$4:$A$203,G790)&lt;&gt;1)),"AIR context missing / unknown",IF(AND(B790="CAP",E790="AIR",G790&lt;&gt;F790),"AIR context mismatch",IF(AND(B790="AIR",G790&lt;&gt;C790),"AIR context mismatch",IF(AND(B790="AIR",E790="AIR",C790=F790),"Self-dependency",IF(AND(B790="AIR",E790="AIR",M790&lt;&gt;"Superseded",COUNTIFS($B$4:$B$1003,"AIR",$C$4:$C$1003,F790,$E$4:$E$1003,"AIR",$F$4:$F$1003,C790,$M$4:$M$1003,"&lt;&gt;Superseded")&gt;0),"Dependency cycle (A↔B) — review",IF(AND(B790="AIR",OR(E790="MOD",E790="DATA",E790="IF",E790="AG",E790="TOOL"),IFERROR(INDEX(Components!$G$4:$G$253,MATCH(F790,Components!$A$4:$A$253,0)),"")&lt;&gt;"",IFERROR(INDEX(Components!$G$4:$G$253,MATCH(F790,Components!$A$4:$A$253,0)),"")&lt;&gt;C790),"Component owned by another AIR-ID",IF(AND(M790="Confirmed",OR(IF(B790="UC",COUNTIFS('Use cases'!$A$4:$A$253,C790,'Use cases'!$I$4:$I$253,"Confirmed",'Use cases'!$J$4:$J$253,"OK — verify source"),IF(B790="CAP",COUNTIFS(Capabilities!$A$4:$A$253,C790,Capabilities!$J$4:$J$253,"Confirmed",Capabilities!$K$4:$K$253,"OK — verify source"),IF(B790="AIR",COUNTIFS('System map'!$A$4:$A$203,C790,'System map'!$B$4:$B$203,"&lt;&gt;",'System map'!$C$4:$C$203,"&lt;&gt;",'System map'!$D$4:$D$203,"&lt;&gt;"),COUNTIFS(Components!$A$4:$A$253,C790,Components!$B$4:$B$253,B790,Components!$K$4:$K$253,"Confirmed",Components!$L$4:$L$253,"OK — verify source"))))&lt;&gt;1,IF(E790="UC",COUNTIFS('Use cases'!$A$4:$A$253,F790,'Use cases'!$I$4:$I$253,"Confirmed",'Use cases'!$J$4:$J$253,"OK — verify source"),IF(E790="CAP",COUNTIFS(Capabilities!$A$4:$A$253,F790,Capabilities!$J$4:$J$253,"Confirmed",Capabilities!$K$4:$K$253,"OK — verify source"),IF(E790="AIR",COUNTIFS('System map'!$A$4:$A$203,F790,'System map'!$B$4:$B$203,"&lt;&gt;",'System map'!$C$4:$C$203,"&lt;&gt;",'System map'!$D$4:$D$203,"&lt;&gt;"),COUNTIFS(Components!$A$4:$A$253,F790,Components!$B$4:$B$253,E790,Components!$K$4:$K$253,"Confirmed",Components!$L$4:$L$253,"OK — verify source"))))&lt;&gt;1)),"Endpoint not source-reconciled",IF(AND(M790="Confirmed",OR(L790="",K790="",K790="Unknown",K790="Low")),"Confirmed link lacks verification","OK — verify source"))))))))))))))</f>
        <v/>
      </c>
    </row>
    <row r="791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8" t="n"/>
      <c r="M791" s="27" t="n"/>
      <c r="N791" s="27">
        <f>IF(COUNTA(A791:M791)=0,"",IF(OR(A791="",B791="",C791="",D791="",E791="",F791="",I791="",J791="",K791="",M791=""),"Required link detail missing",IF(COUNTIF($A$4:$A$1003,A791)&gt;1,"Duplicate Map Edge ID",IF(NOT(OR(AND(B791="UC",E791="CAP",D791="requires"),AND(B791="CAP",E791="AIR",D791="provided by"),AND(B791="AIR",OR(E791="MOD",E791="DATA",E791="IF",E791="AG",E791="TOOL"),D791="references"),AND(B791="AIR",E791="AIR",D791="depends on"))),"Invalid relationship",IF(AND(M791&lt;&gt;"Superseded",COUNTIFS($B$4:$B$1003,B791,$C$4:$C$1003,C791,$D$4:$D$1003,D791,$E$4:$E$1003,E791,$F$4:$F$1003,F791,$G$4:$G$1003,G791,$M$4:$M$1003,"&lt;&gt;Superseded")&gt;1),"Duplicate relationship",IF(OR(IF(B791="UC",COUNTIF('Use cases'!$A$4:$A$253,C791),IF(B791="CAP",COUNTIF(Capabilities!$A$4:$A$253,C791),IF(B791="AIR",COUNTIF('System map'!$A$4:$A$203,C791),COUNTIFS(Components!$A$4:$A$253,C791,Components!$B$4:$B$253,B791))))&lt;&gt;1,IF(E791="UC",COUNTIF('Use cases'!$A$4:$A$253,F791),IF(E791="CAP",COUNTIF(Capabilities!$A$4:$A$253,F791),IF(E791="AIR",COUNTIF('System map'!$A$4:$A$203,F791),COUNTIFS(Components!$A$4:$A$253,F791,Components!$B$4:$B$253,E791))))&lt;&gt;1),"Endpoint missing or duplicated",IF(AND(NOT(AND(B791="UC",E791="CAP")),OR(G791="",COUNTIF('System map'!$A$4:$A$203,G791)&lt;&gt;1)),"AIR context missing / unknown",IF(AND(B791="CAP",E791="AIR",G791&lt;&gt;F791),"AIR context mismatch",IF(AND(B791="AIR",G791&lt;&gt;C791),"AIR context mismatch",IF(AND(B791="AIR",E791="AIR",C791=F791),"Self-dependency",IF(AND(B791="AIR",E791="AIR",M791&lt;&gt;"Superseded",COUNTIFS($B$4:$B$1003,"AIR",$C$4:$C$1003,F791,$E$4:$E$1003,"AIR",$F$4:$F$1003,C791,$M$4:$M$1003,"&lt;&gt;Superseded")&gt;0),"Dependency cycle (A↔B) — review",IF(AND(B791="AIR",OR(E791="MOD",E791="DATA",E791="IF",E791="AG",E791="TOOL"),IFERROR(INDEX(Components!$G$4:$G$253,MATCH(F791,Components!$A$4:$A$253,0)),"")&lt;&gt;"",IFERROR(INDEX(Components!$G$4:$G$253,MATCH(F791,Components!$A$4:$A$253,0)),"")&lt;&gt;C791),"Component owned by another AIR-ID",IF(AND(M791="Confirmed",OR(IF(B791="UC",COUNTIFS('Use cases'!$A$4:$A$253,C791,'Use cases'!$I$4:$I$253,"Confirmed",'Use cases'!$J$4:$J$253,"OK — verify source"),IF(B791="CAP",COUNTIFS(Capabilities!$A$4:$A$253,C791,Capabilities!$J$4:$J$253,"Confirmed",Capabilities!$K$4:$K$253,"OK — verify source"),IF(B791="AIR",COUNTIFS('System map'!$A$4:$A$203,C791,'System map'!$B$4:$B$203,"&lt;&gt;",'System map'!$C$4:$C$203,"&lt;&gt;",'System map'!$D$4:$D$203,"&lt;&gt;"),COUNTIFS(Components!$A$4:$A$253,C791,Components!$B$4:$B$253,B791,Components!$K$4:$K$253,"Confirmed",Components!$L$4:$L$253,"OK — verify source"))))&lt;&gt;1,IF(E791="UC",COUNTIFS('Use cases'!$A$4:$A$253,F791,'Use cases'!$I$4:$I$253,"Confirmed",'Use cases'!$J$4:$J$253,"OK — verify source"),IF(E791="CAP",COUNTIFS(Capabilities!$A$4:$A$253,F791,Capabilities!$J$4:$J$253,"Confirmed",Capabilities!$K$4:$K$253,"OK — verify source"),IF(E791="AIR",COUNTIFS('System map'!$A$4:$A$203,F791,'System map'!$B$4:$B$203,"&lt;&gt;",'System map'!$C$4:$C$203,"&lt;&gt;",'System map'!$D$4:$D$203,"&lt;&gt;"),COUNTIFS(Components!$A$4:$A$253,F791,Components!$B$4:$B$253,E791,Components!$K$4:$K$253,"Confirmed",Components!$L$4:$L$253,"OK — verify source"))))&lt;&gt;1)),"Endpoint not source-reconciled",IF(AND(M791="Confirmed",OR(L791="",K791="",K791="Unknown",K791="Low")),"Confirmed link lacks verification","OK — verify source"))))))))))))))</f>
        <v/>
      </c>
    </row>
    <row r="792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6" t="n"/>
      <c r="M792" s="25" t="n"/>
      <c r="N792" s="25">
        <f>IF(COUNTA(A792:M792)=0,"",IF(OR(A792="",B792="",C792="",D792="",E792="",F792="",I792="",J792="",K792="",M792=""),"Required link detail missing",IF(COUNTIF($A$4:$A$1003,A792)&gt;1,"Duplicate Map Edge ID",IF(NOT(OR(AND(B792="UC",E792="CAP",D792="requires"),AND(B792="CAP",E792="AIR",D792="provided by"),AND(B792="AIR",OR(E792="MOD",E792="DATA",E792="IF",E792="AG",E792="TOOL"),D792="references"),AND(B792="AIR",E792="AIR",D792="depends on"))),"Invalid relationship",IF(AND(M792&lt;&gt;"Superseded",COUNTIFS($B$4:$B$1003,B792,$C$4:$C$1003,C792,$D$4:$D$1003,D792,$E$4:$E$1003,E792,$F$4:$F$1003,F792,$G$4:$G$1003,G792,$M$4:$M$1003,"&lt;&gt;Superseded")&gt;1),"Duplicate relationship",IF(OR(IF(B792="UC",COUNTIF('Use cases'!$A$4:$A$253,C792),IF(B792="CAP",COUNTIF(Capabilities!$A$4:$A$253,C792),IF(B792="AIR",COUNTIF('System map'!$A$4:$A$203,C792),COUNTIFS(Components!$A$4:$A$253,C792,Components!$B$4:$B$253,B792))))&lt;&gt;1,IF(E792="UC",COUNTIF('Use cases'!$A$4:$A$253,F792),IF(E792="CAP",COUNTIF(Capabilities!$A$4:$A$253,F792),IF(E792="AIR",COUNTIF('System map'!$A$4:$A$203,F792),COUNTIFS(Components!$A$4:$A$253,F792,Components!$B$4:$B$253,E792))))&lt;&gt;1),"Endpoint missing or duplicated",IF(AND(NOT(AND(B792="UC",E792="CAP")),OR(G792="",COUNTIF('System map'!$A$4:$A$203,G792)&lt;&gt;1)),"AIR context missing / unknown",IF(AND(B792="CAP",E792="AIR",G792&lt;&gt;F792),"AIR context mismatch",IF(AND(B792="AIR",G792&lt;&gt;C792),"AIR context mismatch",IF(AND(B792="AIR",E792="AIR",C792=F792),"Self-dependency",IF(AND(B792="AIR",E792="AIR",M792&lt;&gt;"Superseded",COUNTIFS($B$4:$B$1003,"AIR",$C$4:$C$1003,F792,$E$4:$E$1003,"AIR",$F$4:$F$1003,C792,$M$4:$M$1003,"&lt;&gt;Superseded")&gt;0),"Dependency cycle (A↔B) — review",IF(AND(B792="AIR",OR(E792="MOD",E792="DATA",E792="IF",E792="AG",E792="TOOL"),IFERROR(INDEX(Components!$G$4:$G$253,MATCH(F792,Components!$A$4:$A$253,0)),"")&lt;&gt;"",IFERROR(INDEX(Components!$G$4:$G$253,MATCH(F792,Components!$A$4:$A$253,0)),"")&lt;&gt;C792),"Component owned by another AIR-ID",IF(AND(M792="Confirmed",OR(IF(B792="UC",COUNTIFS('Use cases'!$A$4:$A$253,C792,'Use cases'!$I$4:$I$253,"Confirmed",'Use cases'!$J$4:$J$253,"OK — verify source"),IF(B792="CAP",COUNTIFS(Capabilities!$A$4:$A$253,C792,Capabilities!$J$4:$J$253,"Confirmed",Capabilities!$K$4:$K$253,"OK — verify source"),IF(B792="AIR",COUNTIFS('System map'!$A$4:$A$203,C792,'System map'!$B$4:$B$203,"&lt;&gt;",'System map'!$C$4:$C$203,"&lt;&gt;",'System map'!$D$4:$D$203,"&lt;&gt;"),COUNTIFS(Components!$A$4:$A$253,C792,Components!$B$4:$B$253,B792,Components!$K$4:$K$253,"Confirmed",Components!$L$4:$L$253,"OK — verify source"))))&lt;&gt;1,IF(E792="UC",COUNTIFS('Use cases'!$A$4:$A$253,F792,'Use cases'!$I$4:$I$253,"Confirmed",'Use cases'!$J$4:$J$253,"OK — verify source"),IF(E792="CAP",COUNTIFS(Capabilities!$A$4:$A$253,F792,Capabilities!$J$4:$J$253,"Confirmed",Capabilities!$K$4:$K$253,"OK — verify source"),IF(E792="AIR",COUNTIFS('System map'!$A$4:$A$203,F792,'System map'!$B$4:$B$203,"&lt;&gt;",'System map'!$C$4:$C$203,"&lt;&gt;",'System map'!$D$4:$D$203,"&lt;&gt;"),COUNTIFS(Components!$A$4:$A$253,F792,Components!$B$4:$B$253,E792,Components!$K$4:$K$253,"Confirmed",Components!$L$4:$L$253,"OK — verify source"))))&lt;&gt;1)),"Endpoint not source-reconciled",IF(AND(M792="Confirmed",OR(L792="",K792="",K792="Unknown",K792="Low")),"Confirmed link lacks verification","OK — verify source"))))))))))))))</f>
        <v/>
      </c>
    </row>
    <row r="793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8" t="n"/>
      <c r="M793" s="27" t="n"/>
      <c r="N793" s="27">
        <f>IF(COUNTA(A793:M793)=0,"",IF(OR(A793="",B793="",C793="",D793="",E793="",F793="",I793="",J793="",K793="",M793=""),"Required link detail missing",IF(COUNTIF($A$4:$A$1003,A793)&gt;1,"Duplicate Map Edge ID",IF(NOT(OR(AND(B793="UC",E793="CAP",D793="requires"),AND(B793="CAP",E793="AIR",D793="provided by"),AND(B793="AIR",OR(E793="MOD",E793="DATA",E793="IF",E793="AG",E793="TOOL"),D793="references"),AND(B793="AIR",E793="AIR",D793="depends on"))),"Invalid relationship",IF(AND(M793&lt;&gt;"Superseded",COUNTIFS($B$4:$B$1003,B793,$C$4:$C$1003,C793,$D$4:$D$1003,D793,$E$4:$E$1003,E793,$F$4:$F$1003,F793,$G$4:$G$1003,G793,$M$4:$M$1003,"&lt;&gt;Superseded")&gt;1),"Duplicate relationship",IF(OR(IF(B793="UC",COUNTIF('Use cases'!$A$4:$A$253,C793),IF(B793="CAP",COUNTIF(Capabilities!$A$4:$A$253,C793),IF(B793="AIR",COUNTIF('System map'!$A$4:$A$203,C793),COUNTIFS(Components!$A$4:$A$253,C793,Components!$B$4:$B$253,B793))))&lt;&gt;1,IF(E793="UC",COUNTIF('Use cases'!$A$4:$A$253,F793),IF(E793="CAP",COUNTIF(Capabilities!$A$4:$A$253,F793),IF(E793="AIR",COUNTIF('System map'!$A$4:$A$203,F793),COUNTIFS(Components!$A$4:$A$253,F793,Components!$B$4:$B$253,E793))))&lt;&gt;1),"Endpoint missing or duplicated",IF(AND(NOT(AND(B793="UC",E793="CAP")),OR(G793="",COUNTIF('System map'!$A$4:$A$203,G793)&lt;&gt;1)),"AIR context missing / unknown",IF(AND(B793="CAP",E793="AIR",G793&lt;&gt;F793),"AIR context mismatch",IF(AND(B793="AIR",G793&lt;&gt;C793),"AIR context mismatch",IF(AND(B793="AIR",E793="AIR",C793=F793),"Self-dependency",IF(AND(B793="AIR",E793="AIR",M793&lt;&gt;"Superseded",COUNTIFS($B$4:$B$1003,"AIR",$C$4:$C$1003,F793,$E$4:$E$1003,"AIR",$F$4:$F$1003,C793,$M$4:$M$1003,"&lt;&gt;Superseded")&gt;0),"Dependency cycle (A↔B) — review",IF(AND(B793="AIR",OR(E793="MOD",E793="DATA",E793="IF",E793="AG",E793="TOOL"),IFERROR(INDEX(Components!$G$4:$G$253,MATCH(F793,Components!$A$4:$A$253,0)),"")&lt;&gt;"",IFERROR(INDEX(Components!$G$4:$G$253,MATCH(F793,Components!$A$4:$A$253,0)),"")&lt;&gt;C793),"Component owned by another AIR-ID",IF(AND(M793="Confirmed",OR(IF(B793="UC",COUNTIFS('Use cases'!$A$4:$A$253,C793,'Use cases'!$I$4:$I$253,"Confirmed",'Use cases'!$J$4:$J$253,"OK — verify source"),IF(B793="CAP",COUNTIFS(Capabilities!$A$4:$A$253,C793,Capabilities!$J$4:$J$253,"Confirmed",Capabilities!$K$4:$K$253,"OK — verify source"),IF(B793="AIR",COUNTIFS('System map'!$A$4:$A$203,C793,'System map'!$B$4:$B$203,"&lt;&gt;",'System map'!$C$4:$C$203,"&lt;&gt;",'System map'!$D$4:$D$203,"&lt;&gt;"),COUNTIFS(Components!$A$4:$A$253,C793,Components!$B$4:$B$253,B793,Components!$K$4:$K$253,"Confirmed",Components!$L$4:$L$253,"OK — verify source"))))&lt;&gt;1,IF(E793="UC",COUNTIFS('Use cases'!$A$4:$A$253,F793,'Use cases'!$I$4:$I$253,"Confirmed",'Use cases'!$J$4:$J$253,"OK — verify source"),IF(E793="CAP",COUNTIFS(Capabilities!$A$4:$A$253,F793,Capabilities!$J$4:$J$253,"Confirmed",Capabilities!$K$4:$K$253,"OK — verify source"),IF(E793="AIR",COUNTIFS('System map'!$A$4:$A$203,F793,'System map'!$B$4:$B$203,"&lt;&gt;",'System map'!$C$4:$C$203,"&lt;&gt;",'System map'!$D$4:$D$203,"&lt;&gt;"),COUNTIFS(Components!$A$4:$A$253,F793,Components!$B$4:$B$253,E793,Components!$K$4:$K$253,"Confirmed",Components!$L$4:$L$253,"OK — verify source"))))&lt;&gt;1)),"Endpoint not source-reconciled",IF(AND(M793="Confirmed",OR(L793="",K793="",K793="Unknown",K793="Low")),"Confirmed link lacks verification","OK — verify source"))))))))))))))</f>
        <v/>
      </c>
    </row>
    <row r="79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6" t="n"/>
      <c r="M794" s="25" t="n"/>
      <c r="N794" s="25">
        <f>IF(COUNTA(A794:M794)=0,"",IF(OR(A794="",B794="",C794="",D794="",E794="",F794="",I794="",J794="",K794="",M794=""),"Required link detail missing",IF(COUNTIF($A$4:$A$1003,A794)&gt;1,"Duplicate Map Edge ID",IF(NOT(OR(AND(B794="UC",E794="CAP",D794="requires"),AND(B794="CAP",E794="AIR",D794="provided by"),AND(B794="AIR",OR(E794="MOD",E794="DATA",E794="IF",E794="AG",E794="TOOL"),D794="references"),AND(B794="AIR",E794="AIR",D794="depends on"))),"Invalid relationship",IF(AND(M794&lt;&gt;"Superseded",COUNTIFS($B$4:$B$1003,B794,$C$4:$C$1003,C794,$D$4:$D$1003,D794,$E$4:$E$1003,E794,$F$4:$F$1003,F794,$G$4:$G$1003,G794,$M$4:$M$1003,"&lt;&gt;Superseded")&gt;1),"Duplicate relationship",IF(OR(IF(B794="UC",COUNTIF('Use cases'!$A$4:$A$253,C794),IF(B794="CAP",COUNTIF(Capabilities!$A$4:$A$253,C794),IF(B794="AIR",COUNTIF('System map'!$A$4:$A$203,C794),COUNTIFS(Components!$A$4:$A$253,C794,Components!$B$4:$B$253,B794))))&lt;&gt;1,IF(E794="UC",COUNTIF('Use cases'!$A$4:$A$253,F794),IF(E794="CAP",COUNTIF(Capabilities!$A$4:$A$253,F794),IF(E794="AIR",COUNTIF('System map'!$A$4:$A$203,F794),COUNTIFS(Components!$A$4:$A$253,F794,Components!$B$4:$B$253,E794))))&lt;&gt;1),"Endpoint missing or duplicated",IF(AND(NOT(AND(B794="UC",E794="CAP")),OR(G794="",COUNTIF('System map'!$A$4:$A$203,G794)&lt;&gt;1)),"AIR context missing / unknown",IF(AND(B794="CAP",E794="AIR",G794&lt;&gt;F794),"AIR context mismatch",IF(AND(B794="AIR",G794&lt;&gt;C794),"AIR context mismatch",IF(AND(B794="AIR",E794="AIR",C794=F794),"Self-dependency",IF(AND(B794="AIR",E794="AIR",M794&lt;&gt;"Superseded",COUNTIFS($B$4:$B$1003,"AIR",$C$4:$C$1003,F794,$E$4:$E$1003,"AIR",$F$4:$F$1003,C794,$M$4:$M$1003,"&lt;&gt;Superseded")&gt;0),"Dependency cycle (A↔B) — review",IF(AND(B794="AIR",OR(E794="MOD",E794="DATA",E794="IF",E794="AG",E794="TOOL"),IFERROR(INDEX(Components!$G$4:$G$253,MATCH(F794,Components!$A$4:$A$253,0)),"")&lt;&gt;"",IFERROR(INDEX(Components!$G$4:$G$253,MATCH(F794,Components!$A$4:$A$253,0)),"")&lt;&gt;C794),"Component owned by another AIR-ID",IF(AND(M794="Confirmed",OR(IF(B794="UC",COUNTIFS('Use cases'!$A$4:$A$253,C794,'Use cases'!$I$4:$I$253,"Confirmed",'Use cases'!$J$4:$J$253,"OK — verify source"),IF(B794="CAP",COUNTIFS(Capabilities!$A$4:$A$253,C794,Capabilities!$J$4:$J$253,"Confirmed",Capabilities!$K$4:$K$253,"OK — verify source"),IF(B794="AIR",COUNTIFS('System map'!$A$4:$A$203,C794,'System map'!$B$4:$B$203,"&lt;&gt;",'System map'!$C$4:$C$203,"&lt;&gt;",'System map'!$D$4:$D$203,"&lt;&gt;"),COUNTIFS(Components!$A$4:$A$253,C794,Components!$B$4:$B$253,B794,Components!$K$4:$K$253,"Confirmed",Components!$L$4:$L$253,"OK — verify source"))))&lt;&gt;1,IF(E794="UC",COUNTIFS('Use cases'!$A$4:$A$253,F794,'Use cases'!$I$4:$I$253,"Confirmed",'Use cases'!$J$4:$J$253,"OK — verify source"),IF(E794="CAP",COUNTIFS(Capabilities!$A$4:$A$253,F794,Capabilities!$J$4:$J$253,"Confirmed",Capabilities!$K$4:$K$253,"OK — verify source"),IF(E794="AIR",COUNTIFS('System map'!$A$4:$A$203,F794,'System map'!$B$4:$B$203,"&lt;&gt;",'System map'!$C$4:$C$203,"&lt;&gt;",'System map'!$D$4:$D$203,"&lt;&gt;"),COUNTIFS(Components!$A$4:$A$253,F794,Components!$B$4:$B$253,E794,Components!$K$4:$K$253,"Confirmed",Components!$L$4:$L$253,"OK — verify source"))))&lt;&gt;1)),"Endpoint not source-reconciled",IF(AND(M794="Confirmed",OR(L794="",K794="",K794="Unknown",K794="Low")),"Confirmed link lacks verification","OK — verify source"))))))))))))))</f>
        <v/>
      </c>
    </row>
    <row r="795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8" t="n"/>
      <c r="M795" s="27" t="n"/>
      <c r="N795" s="27">
        <f>IF(COUNTA(A795:M795)=0,"",IF(OR(A795="",B795="",C795="",D795="",E795="",F795="",I795="",J795="",K795="",M795=""),"Required link detail missing",IF(COUNTIF($A$4:$A$1003,A795)&gt;1,"Duplicate Map Edge ID",IF(NOT(OR(AND(B795="UC",E795="CAP",D795="requires"),AND(B795="CAP",E795="AIR",D795="provided by"),AND(B795="AIR",OR(E795="MOD",E795="DATA",E795="IF",E795="AG",E795="TOOL"),D795="references"),AND(B795="AIR",E795="AIR",D795="depends on"))),"Invalid relationship",IF(AND(M795&lt;&gt;"Superseded",COUNTIFS($B$4:$B$1003,B795,$C$4:$C$1003,C795,$D$4:$D$1003,D795,$E$4:$E$1003,E795,$F$4:$F$1003,F795,$G$4:$G$1003,G795,$M$4:$M$1003,"&lt;&gt;Superseded")&gt;1),"Duplicate relationship",IF(OR(IF(B795="UC",COUNTIF('Use cases'!$A$4:$A$253,C795),IF(B795="CAP",COUNTIF(Capabilities!$A$4:$A$253,C795),IF(B795="AIR",COUNTIF('System map'!$A$4:$A$203,C795),COUNTIFS(Components!$A$4:$A$253,C795,Components!$B$4:$B$253,B795))))&lt;&gt;1,IF(E795="UC",COUNTIF('Use cases'!$A$4:$A$253,F795),IF(E795="CAP",COUNTIF(Capabilities!$A$4:$A$253,F795),IF(E795="AIR",COUNTIF('System map'!$A$4:$A$203,F795),COUNTIFS(Components!$A$4:$A$253,F795,Components!$B$4:$B$253,E795))))&lt;&gt;1),"Endpoint missing or duplicated",IF(AND(NOT(AND(B795="UC",E795="CAP")),OR(G795="",COUNTIF('System map'!$A$4:$A$203,G795)&lt;&gt;1)),"AIR context missing / unknown",IF(AND(B795="CAP",E795="AIR",G795&lt;&gt;F795),"AIR context mismatch",IF(AND(B795="AIR",G795&lt;&gt;C795),"AIR context mismatch",IF(AND(B795="AIR",E795="AIR",C795=F795),"Self-dependency",IF(AND(B795="AIR",E795="AIR",M795&lt;&gt;"Superseded",COUNTIFS($B$4:$B$1003,"AIR",$C$4:$C$1003,F795,$E$4:$E$1003,"AIR",$F$4:$F$1003,C795,$M$4:$M$1003,"&lt;&gt;Superseded")&gt;0),"Dependency cycle (A↔B) — review",IF(AND(B795="AIR",OR(E795="MOD",E795="DATA",E795="IF",E795="AG",E795="TOOL"),IFERROR(INDEX(Components!$G$4:$G$253,MATCH(F795,Components!$A$4:$A$253,0)),"")&lt;&gt;"",IFERROR(INDEX(Components!$G$4:$G$253,MATCH(F795,Components!$A$4:$A$253,0)),"")&lt;&gt;C795),"Component owned by another AIR-ID",IF(AND(M795="Confirmed",OR(IF(B795="UC",COUNTIFS('Use cases'!$A$4:$A$253,C795,'Use cases'!$I$4:$I$253,"Confirmed",'Use cases'!$J$4:$J$253,"OK — verify source"),IF(B795="CAP",COUNTIFS(Capabilities!$A$4:$A$253,C795,Capabilities!$J$4:$J$253,"Confirmed",Capabilities!$K$4:$K$253,"OK — verify source"),IF(B795="AIR",COUNTIFS('System map'!$A$4:$A$203,C795,'System map'!$B$4:$B$203,"&lt;&gt;",'System map'!$C$4:$C$203,"&lt;&gt;",'System map'!$D$4:$D$203,"&lt;&gt;"),COUNTIFS(Components!$A$4:$A$253,C795,Components!$B$4:$B$253,B795,Components!$K$4:$K$253,"Confirmed",Components!$L$4:$L$253,"OK — verify source"))))&lt;&gt;1,IF(E795="UC",COUNTIFS('Use cases'!$A$4:$A$253,F795,'Use cases'!$I$4:$I$253,"Confirmed",'Use cases'!$J$4:$J$253,"OK — verify source"),IF(E795="CAP",COUNTIFS(Capabilities!$A$4:$A$253,F795,Capabilities!$J$4:$J$253,"Confirmed",Capabilities!$K$4:$K$253,"OK — verify source"),IF(E795="AIR",COUNTIFS('System map'!$A$4:$A$203,F795,'System map'!$B$4:$B$203,"&lt;&gt;",'System map'!$C$4:$C$203,"&lt;&gt;",'System map'!$D$4:$D$203,"&lt;&gt;"),COUNTIFS(Components!$A$4:$A$253,F795,Components!$B$4:$B$253,E795,Components!$K$4:$K$253,"Confirmed",Components!$L$4:$L$253,"OK — verify source"))))&lt;&gt;1)),"Endpoint not source-reconciled",IF(AND(M795="Confirmed",OR(L795="",K795="",K795="Unknown",K795="Low")),"Confirmed link lacks verification","OK — verify source"))))))))))))))</f>
        <v/>
      </c>
    </row>
    <row r="796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6" t="n"/>
      <c r="M796" s="25" t="n"/>
      <c r="N796" s="25">
        <f>IF(COUNTA(A796:M796)=0,"",IF(OR(A796="",B796="",C796="",D796="",E796="",F796="",I796="",J796="",K796="",M796=""),"Required link detail missing",IF(COUNTIF($A$4:$A$1003,A796)&gt;1,"Duplicate Map Edge ID",IF(NOT(OR(AND(B796="UC",E796="CAP",D796="requires"),AND(B796="CAP",E796="AIR",D796="provided by"),AND(B796="AIR",OR(E796="MOD",E796="DATA",E796="IF",E796="AG",E796="TOOL"),D796="references"),AND(B796="AIR",E796="AIR",D796="depends on"))),"Invalid relationship",IF(AND(M796&lt;&gt;"Superseded",COUNTIFS($B$4:$B$1003,B796,$C$4:$C$1003,C796,$D$4:$D$1003,D796,$E$4:$E$1003,E796,$F$4:$F$1003,F796,$G$4:$G$1003,G796,$M$4:$M$1003,"&lt;&gt;Superseded")&gt;1),"Duplicate relationship",IF(OR(IF(B796="UC",COUNTIF('Use cases'!$A$4:$A$253,C796),IF(B796="CAP",COUNTIF(Capabilities!$A$4:$A$253,C796),IF(B796="AIR",COUNTIF('System map'!$A$4:$A$203,C796),COUNTIFS(Components!$A$4:$A$253,C796,Components!$B$4:$B$253,B796))))&lt;&gt;1,IF(E796="UC",COUNTIF('Use cases'!$A$4:$A$253,F796),IF(E796="CAP",COUNTIF(Capabilities!$A$4:$A$253,F796),IF(E796="AIR",COUNTIF('System map'!$A$4:$A$203,F796),COUNTIFS(Components!$A$4:$A$253,F796,Components!$B$4:$B$253,E796))))&lt;&gt;1),"Endpoint missing or duplicated",IF(AND(NOT(AND(B796="UC",E796="CAP")),OR(G796="",COUNTIF('System map'!$A$4:$A$203,G796)&lt;&gt;1)),"AIR context missing / unknown",IF(AND(B796="CAP",E796="AIR",G796&lt;&gt;F796),"AIR context mismatch",IF(AND(B796="AIR",G796&lt;&gt;C796),"AIR context mismatch",IF(AND(B796="AIR",E796="AIR",C796=F796),"Self-dependency",IF(AND(B796="AIR",E796="AIR",M796&lt;&gt;"Superseded",COUNTIFS($B$4:$B$1003,"AIR",$C$4:$C$1003,F796,$E$4:$E$1003,"AIR",$F$4:$F$1003,C796,$M$4:$M$1003,"&lt;&gt;Superseded")&gt;0),"Dependency cycle (A↔B) — review",IF(AND(B796="AIR",OR(E796="MOD",E796="DATA",E796="IF",E796="AG",E796="TOOL"),IFERROR(INDEX(Components!$G$4:$G$253,MATCH(F796,Components!$A$4:$A$253,0)),"")&lt;&gt;"",IFERROR(INDEX(Components!$G$4:$G$253,MATCH(F796,Components!$A$4:$A$253,0)),"")&lt;&gt;C796),"Component owned by another AIR-ID",IF(AND(M796="Confirmed",OR(IF(B796="UC",COUNTIFS('Use cases'!$A$4:$A$253,C796,'Use cases'!$I$4:$I$253,"Confirmed",'Use cases'!$J$4:$J$253,"OK — verify source"),IF(B796="CAP",COUNTIFS(Capabilities!$A$4:$A$253,C796,Capabilities!$J$4:$J$253,"Confirmed",Capabilities!$K$4:$K$253,"OK — verify source"),IF(B796="AIR",COUNTIFS('System map'!$A$4:$A$203,C796,'System map'!$B$4:$B$203,"&lt;&gt;",'System map'!$C$4:$C$203,"&lt;&gt;",'System map'!$D$4:$D$203,"&lt;&gt;"),COUNTIFS(Components!$A$4:$A$253,C796,Components!$B$4:$B$253,B796,Components!$K$4:$K$253,"Confirmed",Components!$L$4:$L$253,"OK — verify source"))))&lt;&gt;1,IF(E796="UC",COUNTIFS('Use cases'!$A$4:$A$253,F796,'Use cases'!$I$4:$I$253,"Confirmed",'Use cases'!$J$4:$J$253,"OK — verify source"),IF(E796="CAP",COUNTIFS(Capabilities!$A$4:$A$253,F796,Capabilities!$J$4:$J$253,"Confirmed",Capabilities!$K$4:$K$253,"OK — verify source"),IF(E796="AIR",COUNTIFS('System map'!$A$4:$A$203,F796,'System map'!$B$4:$B$203,"&lt;&gt;",'System map'!$C$4:$C$203,"&lt;&gt;",'System map'!$D$4:$D$203,"&lt;&gt;"),COUNTIFS(Components!$A$4:$A$253,F796,Components!$B$4:$B$253,E796,Components!$K$4:$K$253,"Confirmed",Components!$L$4:$L$253,"OK — verify source"))))&lt;&gt;1)),"Endpoint not source-reconciled",IF(AND(M796="Confirmed",OR(L796="",K796="",K796="Unknown",K796="Low")),"Confirmed link lacks verification","OK — verify source"))))))))))))))</f>
        <v/>
      </c>
    </row>
    <row r="797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8" t="n"/>
      <c r="M797" s="27" t="n"/>
      <c r="N797" s="27">
        <f>IF(COUNTA(A797:M797)=0,"",IF(OR(A797="",B797="",C797="",D797="",E797="",F797="",I797="",J797="",K797="",M797=""),"Required link detail missing",IF(COUNTIF($A$4:$A$1003,A797)&gt;1,"Duplicate Map Edge ID",IF(NOT(OR(AND(B797="UC",E797="CAP",D797="requires"),AND(B797="CAP",E797="AIR",D797="provided by"),AND(B797="AIR",OR(E797="MOD",E797="DATA",E797="IF",E797="AG",E797="TOOL"),D797="references"),AND(B797="AIR",E797="AIR",D797="depends on"))),"Invalid relationship",IF(AND(M797&lt;&gt;"Superseded",COUNTIFS($B$4:$B$1003,B797,$C$4:$C$1003,C797,$D$4:$D$1003,D797,$E$4:$E$1003,E797,$F$4:$F$1003,F797,$G$4:$G$1003,G797,$M$4:$M$1003,"&lt;&gt;Superseded")&gt;1),"Duplicate relationship",IF(OR(IF(B797="UC",COUNTIF('Use cases'!$A$4:$A$253,C797),IF(B797="CAP",COUNTIF(Capabilities!$A$4:$A$253,C797),IF(B797="AIR",COUNTIF('System map'!$A$4:$A$203,C797),COUNTIFS(Components!$A$4:$A$253,C797,Components!$B$4:$B$253,B797))))&lt;&gt;1,IF(E797="UC",COUNTIF('Use cases'!$A$4:$A$253,F797),IF(E797="CAP",COUNTIF(Capabilities!$A$4:$A$253,F797),IF(E797="AIR",COUNTIF('System map'!$A$4:$A$203,F797),COUNTIFS(Components!$A$4:$A$253,F797,Components!$B$4:$B$253,E797))))&lt;&gt;1),"Endpoint missing or duplicated",IF(AND(NOT(AND(B797="UC",E797="CAP")),OR(G797="",COUNTIF('System map'!$A$4:$A$203,G797)&lt;&gt;1)),"AIR context missing / unknown",IF(AND(B797="CAP",E797="AIR",G797&lt;&gt;F797),"AIR context mismatch",IF(AND(B797="AIR",G797&lt;&gt;C797),"AIR context mismatch",IF(AND(B797="AIR",E797="AIR",C797=F797),"Self-dependency",IF(AND(B797="AIR",E797="AIR",M797&lt;&gt;"Superseded",COUNTIFS($B$4:$B$1003,"AIR",$C$4:$C$1003,F797,$E$4:$E$1003,"AIR",$F$4:$F$1003,C797,$M$4:$M$1003,"&lt;&gt;Superseded")&gt;0),"Dependency cycle (A↔B) — review",IF(AND(B797="AIR",OR(E797="MOD",E797="DATA",E797="IF",E797="AG",E797="TOOL"),IFERROR(INDEX(Components!$G$4:$G$253,MATCH(F797,Components!$A$4:$A$253,0)),"")&lt;&gt;"",IFERROR(INDEX(Components!$G$4:$G$253,MATCH(F797,Components!$A$4:$A$253,0)),"")&lt;&gt;C797),"Component owned by another AIR-ID",IF(AND(M797="Confirmed",OR(IF(B797="UC",COUNTIFS('Use cases'!$A$4:$A$253,C797,'Use cases'!$I$4:$I$253,"Confirmed",'Use cases'!$J$4:$J$253,"OK — verify source"),IF(B797="CAP",COUNTIFS(Capabilities!$A$4:$A$253,C797,Capabilities!$J$4:$J$253,"Confirmed",Capabilities!$K$4:$K$253,"OK — verify source"),IF(B797="AIR",COUNTIFS('System map'!$A$4:$A$203,C797,'System map'!$B$4:$B$203,"&lt;&gt;",'System map'!$C$4:$C$203,"&lt;&gt;",'System map'!$D$4:$D$203,"&lt;&gt;"),COUNTIFS(Components!$A$4:$A$253,C797,Components!$B$4:$B$253,B797,Components!$K$4:$K$253,"Confirmed",Components!$L$4:$L$253,"OK — verify source"))))&lt;&gt;1,IF(E797="UC",COUNTIFS('Use cases'!$A$4:$A$253,F797,'Use cases'!$I$4:$I$253,"Confirmed",'Use cases'!$J$4:$J$253,"OK — verify source"),IF(E797="CAP",COUNTIFS(Capabilities!$A$4:$A$253,F797,Capabilities!$J$4:$J$253,"Confirmed",Capabilities!$K$4:$K$253,"OK — verify source"),IF(E797="AIR",COUNTIFS('System map'!$A$4:$A$203,F797,'System map'!$B$4:$B$203,"&lt;&gt;",'System map'!$C$4:$C$203,"&lt;&gt;",'System map'!$D$4:$D$203,"&lt;&gt;"),COUNTIFS(Components!$A$4:$A$253,F797,Components!$B$4:$B$253,E797,Components!$K$4:$K$253,"Confirmed",Components!$L$4:$L$253,"OK — verify source"))))&lt;&gt;1)),"Endpoint not source-reconciled",IF(AND(M797="Confirmed",OR(L797="",K797="",K797="Unknown",K797="Low")),"Confirmed link lacks verification","OK — verify source"))))))))))))))</f>
        <v/>
      </c>
    </row>
    <row r="798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6" t="n"/>
      <c r="M798" s="25" t="n"/>
      <c r="N798" s="25">
        <f>IF(COUNTA(A798:M798)=0,"",IF(OR(A798="",B798="",C798="",D798="",E798="",F798="",I798="",J798="",K798="",M798=""),"Required link detail missing",IF(COUNTIF($A$4:$A$1003,A798)&gt;1,"Duplicate Map Edge ID",IF(NOT(OR(AND(B798="UC",E798="CAP",D798="requires"),AND(B798="CAP",E798="AIR",D798="provided by"),AND(B798="AIR",OR(E798="MOD",E798="DATA",E798="IF",E798="AG",E798="TOOL"),D798="references"),AND(B798="AIR",E798="AIR",D798="depends on"))),"Invalid relationship",IF(AND(M798&lt;&gt;"Superseded",COUNTIFS($B$4:$B$1003,B798,$C$4:$C$1003,C798,$D$4:$D$1003,D798,$E$4:$E$1003,E798,$F$4:$F$1003,F798,$G$4:$G$1003,G798,$M$4:$M$1003,"&lt;&gt;Superseded")&gt;1),"Duplicate relationship",IF(OR(IF(B798="UC",COUNTIF('Use cases'!$A$4:$A$253,C798),IF(B798="CAP",COUNTIF(Capabilities!$A$4:$A$253,C798),IF(B798="AIR",COUNTIF('System map'!$A$4:$A$203,C798),COUNTIFS(Components!$A$4:$A$253,C798,Components!$B$4:$B$253,B798))))&lt;&gt;1,IF(E798="UC",COUNTIF('Use cases'!$A$4:$A$253,F798),IF(E798="CAP",COUNTIF(Capabilities!$A$4:$A$253,F798),IF(E798="AIR",COUNTIF('System map'!$A$4:$A$203,F798),COUNTIFS(Components!$A$4:$A$253,F798,Components!$B$4:$B$253,E798))))&lt;&gt;1),"Endpoint missing or duplicated",IF(AND(NOT(AND(B798="UC",E798="CAP")),OR(G798="",COUNTIF('System map'!$A$4:$A$203,G798)&lt;&gt;1)),"AIR context missing / unknown",IF(AND(B798="CAP",E798="AIR",G798&lt;&gt;F798),"AIR context mismatch",IF(AND(B798="AIR",G798&lt;&gt;C798),"AIR context mismatch",IF(AND(B798="AIR",E798="AIR",C798=F798),"Self-dependency",IF(AND(B798="AIR",E798="AIR",M798&lt;&gt;"Superseded",COUNTIFS($B$4:$B$1003,"AIR",$C$4:$C$1003,F798,$E$4:$E$1003,"AIR",$F$4:$F$1003,C798,$M$4:$M$1003,"&lt;&gt;Superseded")&gt;0),"Dependency cycle (A↔B) — review",IF(AND(B798="AIR",OR(E798="MOD",E798="DATA",E798="IF",E798="AG",E798="TOOL"),IFERROR(INDEX(Components!$G$4:$G$253,MATCH(F798,Components!$A$4:$A$253,0)),"")&lt;&gt;"",IFERROR(INDEX(Components!$G$4:$G$253,MATCH(F798,Components!$A$4:$A$253,0)),"")&lt;&gt;C798),"Component owned by another AIR-ID",IF(AND(M798="Confirmed",OR(IF(B798="UC",COUNTIFS('Use cases'!$A$4:$A$253,C798,'Use cases'!$I$4:$I$253,"Confirmed",'Use cases'!$J$4:$J$253,"OK — verify source"),IF(B798="CAP",COUNTIFS(Capabilities!$A$4:$A$253,C798,Capabilities!$J$4:$J$253,"Confirmed",Capabilities!$K$4:$K$253,"OK — verify source"),IF(B798="AIR",COUNTIFS('System map'!$A$4:$A$203,C798,'System map'!$B$4:$B$203,"&lt;&gt;",'System map'!$C$4:$C$203,"&lt;&gt;",'System map'!$D$4:$D$203,"&lt;&gt;"),COUNTIFS(Components!$A$4:$A$253,C798,Components!$B$4:$B$253,B798,Components!$K$4:$K$253,"Confirmed",Components!$L$4:$L$253,"OK — verify source"))))&lt;&gt;1,IF(E798="UC",COUNTIFS('Use cases'!$A$4:$A$253,F798,'Use cases'!$I$4:$I$253,"Confirmed",'Use cases'!$J$4:$J$253,"OK — verify source"),IF(E798="CAP",COUNTIFS(Capabilities!$A$4:$A$253,F798,Capabilities!$J$4:$J$253,"Confirmed",Capabilities!$K$4:$K$253,"OK — verify source"),IF(E798="AIR",COUNTIFS('System map'!$A$4:$A$203,F798,'System map'!$B$4:$B$203,"&lt;&gt;",'System map'!$C$4:$C$203,"&lt;&gt;",'System map'!$D$4:$D$203,"&lt;&gt;"),COUNTIFS(Components!$A$4:$A$253,F798,Components!$B$4:$B$253,E798,Components!$K$4:$K$253,"Confirmed",Components!$L$4:$L$253,"OK — verify source"))))&lt;&gt;1)),"Endpoint not source-reconciled",IF(AND(M798="Confirmed",OR(L798="",K798="",K798="Unknown",K798="Low")),"Confirmed link lacks verification","OK — verify source"))))))))))))))</f>
        <v/>
      </c>
    </row>
    <row r="799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8" t="n"/>
      <c r="M799" s="27" t="n"/>
      <c r="N799" s="27">
        <f>IF(COUNTA(A799:M799)=0,"",IF(OR(A799="",B799="",C799="",D799="",E799="",F799="",I799="",J799="",K799="",M799=""),"Required link detail missing",IF(COUNTIF($A$4:$A$1003,A799)&gt;1,"Duplicate Map Edge ID",IF(NOT(OR(AND(B799="UC",E799="CAP",D799="requires"),AND(B799="CAP",E799="AIR",D799="provided by"),AND(B799="AIR",OR(E799="MOD",E799="DATA",E799="IF",E799="AG",E799="TOOL"),D799="references"),AND(B799="AIR",E799="AIR",D799="depends on"))),"Invalid relationship",IF(AND(M799&lt;&gt;"Superseded",COUNTIFS($B$4:$B$1003,B799,$C$4:$C$1003,C799,$D$4:$D$1003,D799,$E$4:$E$1003,E799,$F$4:$F$1003,F799,$G$4:$G$1003,G799,$M$4:$M$1003,"&lt;&gt;Superseded")&gt;1),"Duplicate relationship",IF(OR(IF(B799="UC",COUNTIF('Use cases'!$A$4:$A$253,C799),IF(B799="CAP",COUNTIF(Capabilities!$A$4:$A$253,C799),IF(B799="AIR",COUNTIF('System map'!$A$4:$A$203,C799),COUNTIFS(Components!$A$4:$A$253,C799,Components!$B$4:$B$253,B799))))&lt;&gt;1,IF(E799="UC",COUNTIF('Use cases'!$A$4:$A$253,F799),IF(E799="CAP",COUNTIF(Capabilities!$A$4:$A$253,F799),IF(E799="AIR",COUNTIF('System map'!$A$4:$A$203,F799),COUNTIFS(Components!$A$4:$A$253,F799,Components!$B$4:$B$253,E799))))&lt;&gt;1),"Endpoint missing or duplicated",IF(AND(NOT(AND(B799="UC",E799="CAP")),OR(G799="",COUNTIF('System map'!$A$4:$A$203,G799)&lt;&gt;1)),"AIR context missing / unknown",IF(AND(B799="CAP",E799="AIR",G799&lt;&gt;F799),"AIR context mismatch",IF(AND(B799="AIR",G799&lt;&gt;C799),"AIR context mismatch",IF(AND(B799="AIR",E799="AIR",C799=F799),"Self-dependency",IF(AND(B799="AIR",E799="AIR",M799&lt;&gt;"Superseded",COUNTIFS($B$4:$B$1003,"AIR",$C$4:$C$1003,F799,$E$4:$E$1003,"AIR",$F$4:$F$1003,C799,$M$4:$M$1003,"&lt;&gt;Superseded")&gt;0),"Dependency cycle (A↔B) — review",IF(AND(B799="AIR",OR(E799="MOD",E799="DATA",E799="IF",E799="AG",E799="TOOL"),IFERROR(INDEX(Components!$G$4:$G$253,MATCH(F799,Components!$A$4:$A$253,0)),"")&lt;&gt;"",IFERROR(INDEX(Components!$G$4:$G$253,MATCH(F799,Components!$A$4:$A$253,0)),"")&lt;&gt;C799),"Component owned by another AIR-ID",IF(AND(M799="Confirmed",OR(IF(B799="UC",COUNTIFS('Use cases'!$A$4:$A$253,C799,'Use cases'!$I$4:$I$253,"Confirmed",'Use cases'!$J$4:$J$253,"OK — verify source"),IF(B799="CAP",COUNTIFS(Capabilities!$A$4:$A$253,C799,Capabilities!$J$4:$J$253,"Confirmed",Capabilities!$K$4:$K$253,"OK — verify source"),IF(B799="AIR",COUNTIFS('System map'!$A$4:$A$203,C799,'System map'!$B$4:$B$203,"&lt;&gt;",'System map'!$C$4:$C$203,"&lt;&gt;",'System map'!$D$4:$D$203,"&lt;&gt;"),COUNTIFS(Components!$A$4:$A$253,C799,Components!$B$4:$B$253,B799,Components!$K$4:$K$253,"Confirmed",Components!$L$4:$L$253,"OK — verify source"))))&lt;&gt;1,IF(E799="UC",COUNTIFS('Use cases'!$A$4:$A$253,F799,'Use cases'!$I$4:$I$253,"Confirmed",'Use cases'!$J$4:$J$253,"OK — verify source"),IF(E799="CAP",COUNTIFS(Capabilities!$A$4:$A$253,F799,Capabilities!$J$4:$J$253,"Confirmed",Capabilities!$K$4:$K$253,"OK — verify source"),IF(E799="AIR",COUNTIFS('System map'!$A$4:$A$203,F799,'System map'!$B$4:$B$203,"&lt;&gt;",'System map'!$C$4:$C$203,"&lt;&gt;",'System map'!$D$4:$D$203,"&lt;&gt;"),COUNTIFS(Components!$A$4:$A$253,F799,Components!$B$4:$B$253,E799,Components!$K$4:$K$253,"Confirmed",Components!$L$4:$L$253,"OK — verify source"))))&lt;&gt;1)),"Endpoint not source-reconciled",IF(AND(M799="Confirmed",OR(L799="",K799="",K799="Unknown",K799="Low")),"Confirmed link lacks verification","OK — verify source"))))))))))))))</f>
        <v/>
      </c>
    </row>
    <row r="800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6" t="n"/>
      <c r="M800" s="25" t="n"/>
      <c r="N800" s="25">
        <f>IF(COUNTA(A800:M800)=0,"",IF(OR(A800="",B800="",C800="",D800="",E800="",F800="",I800="",J800="",K800="",M800=""),"Required link detail missing",IF(COUNTIF($A$4:$A$1003,A800)&gt;1,"Duplicate Map Edge ID",IF(NOT(OR(AND(B800="UC",E800="CAP",D800="requires"),AND(B800="CAP",E800="AIR",D800="provided by"),AND(B800="AIR",OR(E800="MOD",E800="DATA",E800="IF",E800="AG",E800="TOOL"),D800="references"),AND(B800="AIR",E800="AIR",D800="depends on"))),"Invalid relationship",IF(AND(M800&lt;&gt;"Superseded",COUNTIFS($B$4:$B$1003,B800,$C$4:$C$1003,C800,$D$4:$D$1003,D800,$E$4:$E$1003,E800,$F$4:$F$1003,F800,$G$4:$G$1003,G800,$M$4:$M$1003,"&lt;&gt;Superseded")&gt;1),"Duplicate relationship",IF(OR(IF(B800="UC",COUNTIF('Use cases'!$A$4:$A$253,C800),IF(B800="CAP",COUNTIF(Capabilities!$A$4:$A$253,C800),IF(B800="AIR",COUNTIF('System map'!$A$4:$A$203,C800),COUNTIFS(Components!$A$4:$A$253,C800,Components!$B$4:$B$253,B800))))&lt;&gt;1,IF(E800="UC",COUNTIF('Use cases'!$A$4:$A$253,F800),IF(E800="CAP",COUNTIF(Capabilities!$A$4:$A$253,F800),IF(E800="AIR",COUNTIF('System map'!$A$4:$A$203,F800),COUNTIFS(Components!$A$4:$A$253,F800,Components!$B$4:$B$253,E800))))&lt;&gt;1),"Endpoint missing or duplicated",IF(AND(NOT(AND(B800="UC",E800="CAP")),OR(G800="",COUNTIF('System map'!$A$4:$A$203,G800)&lt;&gt;1)),"AIR context missing / unknown",IF(AND(B800="CAP",E800="AIR",G800&lt;&gt;F800),"AIR context mismatch",IF(AND(B800="AIR",G800&lt;&gt;C800),"AIR context mismatch",IF(AND(B800="AIR",E800="AIR",C800=F800),"Self-dependency",IF(AND(B800="AIR",E800="AIR",M800&lt;&gt;"Superseded",COUNTIFS($B$4:$B$1003,"AIR",$C$4:$C$1003,F800,$E$4:$E$1003,"AIR",$F$4:$F$1003,C800,$M$4:$M$1003,"&lt;&gt;Superseded")&gt;0),"Dependency cycle (A↔B) — review",IF(AND(B800="AIR",OR(E800="MOD",E800="DATA",E800="IF",E800="AG",E800="TOOL"),IFERROR(INDEX(Components!$G$4:$G$253,MATCH(F800,Components!$A$4:$A$253,0)),"")&lt;&gt;"",IFERROR(INDEX(Components!$G$4:$G$253,MATCH(F800,Components!$A$4:$A$253,0)),"")&lt;&gt;C800),"Component owned by another AIR-ID",IF(AND(M800="Confirmed",OR(IF(B800="UC",COUNTIFS('Use cases'!$A$4:$A$253,C800,'Use cases'!$I$4:$I$253,"Confirmed",'Use cases'!$J$4:$J$253,"OK — verify source"),IF(B800="CAP",COUNTIFS(Capabilities!$A$4:$A$253,C800,Capabilities!$J$4:$J$253,"Confirmed",Capabilities!$K$4:$K$253,"OK — verify source"),IF(B800="AIR",COUNTIFS('System map'!$A$4:$A$203,C800,'System map'!$B$4:$B$203,"&lt;&gt;",'System map'!$C$4:$C$203,"&lt;&gt;",'System map'!$D$4:$D$203,"&lt;&gt;"),COUNTIFS(Components!$A$4:$A$253,C800,Components!$B$4:$B$253,B800,Components!$K$4:$K$253,"Confirmed",Components!$L$4:$L$253,"OK — verify source"))))&lt;&gt;1,IF(E800="UC",COUNTIFS('Use cases'!$A$4:$A$253,F800,'Use cases'!$I$4:$I$253,"Confirmed",'Use cases'!$J$4:$J$253,"OK — verify source"),IF(E800="CAP",COUNTIFS(Capabilities!$A$4:$A$253,F800,Capabilities!$J$4:$J$253,"Confirmed",Capabilities!$K$4:$K$253,"OK — verify source"),IF(E800="AIR",COUNTIFS('System map'!$A$4:$A$203,F800,'System map'!$B$4:$B$203,"&lt;&gt;",'System map'!$C$4:$C$203,"&lt;&gt;",'System map'!$D$4:$D$203,"&lt;&gt;"),COUNTIFS(Components!$A$4:$A$253,F800,Components!$B$4:$B$253,E800,Components!$K$4:$K$253,"Confirmed",Components!$L$4:$L$253,"OK — verify source"))))&lt;&gt;1)),"Endpoint not source-reconciled",IF(AND(M800="Confirmed",OR(L800="",K800="",K800="Unknown",K800="Low")),"Confirmed link lacks verification","OK — verify source"))))))))))))))</f>
        <v/>
      </c>
    </row>
    <row r="801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8" t="n"/>
      <c r="M801" s="27" t="n"/>
      <c r="N801" s="27">
        <f>IF(COUNTA(A801:M801)=0,"",IF(OR(A801="",B801="",C801="",D801="",E801="",F801="",I801="",J801="",K801="",M801=""),"Required link detail missing",IF(COUNTIF($A$4:$A$1003,A801)&gt;1,"Duplicate Map Edge ID",IF(NOT(OR(AND(B801="UC",E801="CAP",D801="requires"),AND(B801="CAP",E801="AIR",D801="provided by"),AND(B801="AIR",OR(E801="MOD",E801="DATA",E801="IF",E801="AG",E801="TOOL"),D801="references"),AND(B801="AIR",E801="AIR",D801="depends on"))),"Invalid relationship",IF(AND(M801&lt;&gt;"Superseded",COUNTIFS($B$4:$B$1003,B801,$C$4:$C$1003,C801,$D$4:$D$1003,D801,$E$4:$E$1003,E801,$F$4:$F$1003,F801,$G$4:$G$1003,G801,$M$4:$M$1003,"&lt;&gt;Superseded")&gt;1),"Duplicate relationship",IF(OR(IF(B801="UC",COUNTIF('Use cases'!$A$4:$A$253,C801),IF(B801="CAP",COUNTIF(Capabilities!$A$4:$A$253,C801),IF(B801="AIR",COUNTIF('System map'!$A$4:$A$203,C801),COUNTIFS(Components!$A$4:$A$253,C801,Components!$B$4:$B$253,B801))))&lt;&gt;1,IF(E801="UC",COUNTIF('Use cases'!$A$4:$A$253,F801),IF(E801="CAP",COUNTIF(Capabilities!$A$4:$A$253,F801),IF(E801="AIR",COUNTIF('System map'!$A$4:$A$203,F801),COUNTIFS(Components!$A$4:$A$253,F801,Components!$B$4:$B$253,E801))))&lt;&gt;1),"Endpoint missing or duplicated",IF(AND(NOT(AND(B801="UC",E801="CAP")),OR(G801="",COUNTIF('System map'!$A$4:$A$203,G801)&lt;&gt;1)),"AIR context missing / unknown",IF(AND(B801="CAP",E801="AIR",G801&lt;&gt;F801),"AIR context mismatch",IF(AND(B801="AIR",G801&lt;&gt;C801),"AIR context mismatch",IF(AND(B801="AIR",E801="AIR",C801=F801),"Self-dependency",IF(AND(B801="AIR",E801="AIR",M801&lt;&gt;"Superseded",COUNTIFS($B$4:$B$1003,"AIR",$C$4:$C$1003,F801,$E$4:$E$1003,"AIR",$F$4:$F$1003,C801,$M$4:$M$1003,"&lt;&gt;Superseded")&gt;0),"Dependency cycle (A↔B) — review",IF(AND(B801="AIR",OR(E801="MOD",E801="DATA",E801="IF",E801="AG",E801="TOOL"),IFERROR(INDEX(Components!$G$4:$G$253,MATCH(F801,Components!$A$4:$A$253,0)),"")&lt;&gt;"",IFERROR(INDEX(Components!$G$4:$G$253,MATCH(F801,Components!$A$4:$A$253,0)),"")&lt;&gt;C801),"Component owned by another AIR-ID",IF(AND(M801="Confirmed",OR(IF(B801="UC",COUNTIFS('Use cases'!$A$4:$A$253,C801,'Use cases'!$I$4:$I$253,"Confirmed",'Use cases'!$J$4:$J$253,"OK — verify source"),IF(B801="CAP",COUNTIFS(Capabilities!$A$4:$A$253,C801,Capabilities!$J$4:$J$253,"Confirmed",Capabilities!$K$4:$K$253,"OK — verify source"),IF(B801="AIR",COUNTIFS('System map'!$A$4:$A$203,C801,'System map'!$B$4:$B$203,"&lt;&gt;",'System map'!$C$4:$C$203,"&lt;&gt;",'System map'!$D$4:$D$203,"&lt;&gt;"),COUNTIFS(Components!$A$4:$A$253,C801,Components!$B$4:$B$253,B801,Components!$K$4:$K$253,"Confirmed",Components!$L$4:$L$253,"OK — verify source"))))&lt;&gt;1,IF(E801="UC",COUNTIFS('Use cases'!$A$4:$A$253,F801,'Use cases'!$I$4:$I$253,"Confirmed",'Use cases'!$J$4:$J$253,"OK — verify source"),IF(E801="CAP",COUNTIFS(Capabilities!$A$4:$A$253,F801,Capabilities!$J$4:$J$253,"Confirmed",Capabilities!$K$4:$K$253,"OK — verify source"),IF(E801="AIR",COUNTIFS('System map'!$A$4:$A$203,F801,'System map'!$B$4:$B$203,"&lt;&gt;",'System map'!$C$4:$C$203,"&lt;&gt;",'System map'!$D$4:$D$203,"&lt;&gt;"),COUNTIFS(Components!$A$4:$A$253,F801,Components!$B$4:$B$253,E801,Components!$K$4:$K$253,"Confirmed",Components!$L$4:$L$253,"OK — verify source"))))&lt;&gt;1)),"Endpoint not source-reconciled",IF(AND(M801="Confirmed",OR(L801="",K801="",K801="Unknown",K801="Low")),"Confirmed link lacks verification","OK — verify source"))))))))))))))</f>
        <v/>
      </c>
    </row>
    <row r="802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6" t="n"/>
      <c r="M802" s="25" t="n"/>
      <c r="N802" s="25">
        <f>IF(COUNTA(A802:M802)=0,"",IF(OR(A802="",B802="",C802="",D802="",E802="",F802="",I802="",J802="",K802="",M802=""),"Required link detail missing",IF(COUNTIF($A$4:$A$1003,A802)&gt;1,"Duplicate Map Edge ID",IF(NOT(OR(AND(B802="UC",E802="CAP",D802="requires"),AND(B802="CAP",E802="AIR",D802="provided by"),AND(B802="AIR",OR(E802="MOD",E802="DATA",E802="IF",E802="AG",E802="TOOL"),D802="references"),AND(B802="AIR",E802="AIR",D802="depends on"))),"Invalid relationship",IF(AND(M802&lt;&gt;"Superseded",COUNTIFS($B$4:$B$1003,B802,$C$4:$C$1003,C802,$D$4:$D$1003,D802,$E$4:$E$1003,E802,$F$4:$F$1003,F802,$G$4:$G$1003,G802,$M$4:$M$1003,"&lt;&gt;Superseded")&gt;1),"Duplicate relationship",IF(OR(IF(B802="UC",COUNTIF('Use cases'!$A$4:$A$253,C802),IF(B802="CAP",COUNTIF(Capabilities!$A$4:$A$253,C802),IF(B802="AIR",COUNTIF('System map'!$A$4:$A$203,C802),COUNTIFS(Components!$A$4:$A$253,C802,Components!$B$4:$B$253,B802))))&lt;&gt;1,IF(E802="UC",COUNTIF('Use cases'!$A$4:$A$253,F802),IF(E802="CAP",COUNTIF(Capabilities!$A$4:$A$253,F802),IF(E802="AIR",COUNTIF('System map'!$A$4:$A$203,F802),COUNTIFS(Components!$A$4:$A$253,F802,Components!$B$4:$B$253,E802))))&lt;&gt;1),"Endpoint missing or duplicated",IF(AND(NOT(AND(B802="UC",E802="CAP")),OR(G802="",COUNTIF('System map'!$A$4:$A$203,G802)&lt;&gt;1)),"AIR context missing / unknown",IF(AND(B802="CAP",E802="AIR",G802&lt;&gt;F802),"AIR context mismatch",IF(AND(B802="AIR",G802&lt;&gt;C802),"AIR context mismatch",IF(AND(B802="AIR",E802="AIR",C802=F802),"Self-dependency",IF(AND(B802="AIR",E802="AIR",M802&lt;&gt;"Superseded",COUNTIFS($B$4:$B$1003,"AIR",$C$4:$C$1003,F802,$E$4:$E$1003,"AIR",$F$4:$F$1003,C802,$M$4:$M$1003,"&lt;&gt;Superseded")&gt;0),"Dependency cycle (A↔B) — review",IF(AND(B802="AIR",OR(E802="MOD",E802="DATA",E802="IF",E802="AG",E802="TOOL"),IFERROR(INDEX(Components!$G$4:$G$253,MATCH(F802,Components!$A$4:$A$253,0)),"")&lt;&gt;"",IFERROR(INDEX(Components!$G$4:$G$253,MATCH(F802,Components!$A$4:$A$253,0)),"")&lt;&gt;C802),"Component owned by another AIR-ID",IF(AND(M802="Confirmed",OR(IF(B802="UC",COUNTIFS('Use cases'!$A$4:$A$253,C802,'Use cases'!$I$4:$I$253,"Confirmed",'Use cases'!$J$4:$J$253,"OK — verify source"),IF(B802="CAP",COUNTIFS(Capabilities!$A$4:$A$253,C802,Capabilities!$J$4:$J$253,"Confirmed",Capabilities!$K$4:$K$253,"OK — verify source"),IF(B802="AIR",COUNTIFS('System map'!$A$4:$A$203,C802,'System map'!$B$4:$B$203,"&lt;&gt;",'System map'!$C$4:$C$203,"&lt;&gt;",'System map'!$D$4:$D$203,"&lt;&gt;"),COUNTIFS(Components!$A$4:$A$253,C802,Components!$B$4:$B$253,B802,Components!$K$4:$K$253,"Confirmed",Components!$L$4:$L$253,"OK — verify source"))))&lt;&gt;1,IF(E802="UC",COUNTIFS('Use cases'!$A$4:$A$253,F802,'Use cases'!$I$4:$I$253,"Confirmed",'Use cases'!$J$4:$J$253,"OK — verify source"),IF(E802="CAP",COUNTIFS(Capabilities!$A$4:$A$253,F802,Capabilities!$J$4:$J$253,"Confirmed",Capabilities!$K$4:$K$253,"OK — verify source"),IF(E802="AIR",COUNTIFS('System map'!$A$4:$A$203,F802,'System map'!$B$4:$B$203,"&lt;&gt;",'System map'!$C$4:$C$203,"&lt;&gt;",'System map'!$D$4:$D$203,"&lt;&gt;"),COUNTIFS(Components!$A$4:$A$253,F802,Components!$B$4:$B$253,E802,Components!$K$4:$K$253,"Confirmed",Components!$L$4:$L$253,"OK — verify source"))))&lt;&gt;1)),"Endpoint not source-reconciled",IF(AND(M802="Confirmed",OR(L802="",K802="",K802="Unknown",K802="Low")),"Confirmed link lacks verification","OK — verify source"))))))))))))))</f>
        <v/>
      </c>
    </row>
    <row r="803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8" t="n"/>
      <c r="M803" s="27" t="n"/>
      <c r="N803" s="27">
        <f>IF(COUNTA(A803:M803)=0,"",IF(OR(A803="",B803="",C803="",D803="",E803="",F803="",I803="",J803="",K803="",M803=""),"Required link detail missing",IF(COUNTIF($A$4:$A$1003,A803)&gt;1,"Duplicate Map Edge ID",IF(NOT(OR(AND(B803="UC",E803="CAP",D803="requires"),AND(B803="CAP",E803="AIR",D803="provided by"),AND(B803="AIR",OR(E803="MOD",E803="DATA",E803="IF",E803="AG",E803="TOOL"),D803="references"),AND(B803="AIR",E803="AIR",D803="depends on"))),"Invalid relationship",IF(AND(M803&lt;&gt;"Superseded",COUNTIFS($B$4:$B$1003,B803,$C$4:$C$1003,C803,$D$4:$D$1003,D803,$E$4:$E$1003,E803,$F$4:$F$1003,F803,$G$4:$G$1003,G803,$M$4:$M$1003,"&lt;&gt;Superseded")&gt;1),"Duplicate relationship",IF(OR(IF(B803="UC",COUNTIF('Use cases'!$A$4:$A$253,C803),IF(B803="CAP",COUNTIF(Capabilities!$A$4:$A$253,C803),IF(B803="AIR",COUNTIF('System map'!$A$4:$A$203,C803),COUNTIFS(Components!$A$4:$A$253,C803,Components!$B$4:$B$253,B803))))&lt;&gt;1,IF(E803="UC",COUNTIF('Use cases'!$A$4:$A$253,F803),IF(E803="CAP",COUNTIF(Capabilities!$A$4:$A$253,F803),IF(E803="AIR",COUNTIF('System map'!$A$4:$A$203,F803),COUNTIFS(Components!$A$4:$A$253,F803,Components!$B$4:$B$253,E803))))&lt;&gt;1),"Endpoint missing or duplicated",IF(AND(NOT(AND(B803="UC",E803="CAP")),OR(G803="",COUNTIF('System map'!$A$4:$A$203,G803)&lt;&gt;1)),"AIR context missing / unknown",IF(AND(B803="CAP",E803="AIR",G803&lt;&gt;F803),"AIR context mismatch",IF(AND(B803="AIR",G803&lt;&gt;C803),"AIR context mismatch",IF(AND(B803="AIR",E803="AIR",C803=F803),"Self-dependency",IF(AND(B803="AIR",E803="AIR",M803&lt;&gt;"Superseded",COUNTIFS($B$4:$B$1003,"AIR",$C$4:$C$1003,F803,$E$4:$E$1003,"AIR",$F$4:$F$1003,C803,$M$4:$M$1003,"&lt;&gt;Superseded")&gt;0),"Dependency cycle (A↔B) — review",IF(AND(B803="AIR",OR(E803="MOD",E803="DATA",E803="IF",E803="AG",E803="TOOL"),IFERROR(INDEX(Components!$G$4:$G$253,MATCH(F803,Components!$A$4:$A$253,0)),"")&lt;&gt;"",IFERROR(INDEX(Components!$G$4:$G$253,MATCH(F803,Components!$A$4:$A$253,0)),"")&lt;&gt;C803),"Component owned by another AIR-ID",IF(AND(M803="Confirmed",OR(IF(B803="UC",COUNTIFS('Use cases'!$A$4:$A$253,C803,'Use cases'!$I$4:$I$253,"Confirmed",'Use cases'!$J$4:$J$253,"OK — verify source"),IF(B803="CAP",COUNTIFS(Capabilities!$A$4:$A$253,C803,Capabilities!$J$4:$J$253,"Confirmed",Capabilities!$K$4:$K$253,"OK — verify source"),IF(B803="AIR",COUNTIFS('System map'!$A$4:$A$203,C803,'System map'!$B$4:$B$203,"&lt;&gt;",'System map'!$C$4:$C$203,"&lt;&gt;",'System map'!$D$4:$D$203,"&lt;&gt;"),COUNTIFS(Components!$A$4:$A$253,C803,Components!$B$4:$B$253,B803,Components!$K$4:$K$253,"Confirmed",Components!$L$4:$L$253,"OK — verify source"))))&lt;&gt;1,IF(E803="UC",COUNTIFS('Use cases'!$A$4:$A$253,F803,'Use cases'!$I$4:$I$253,"Confirmed",'Use cases'!$J$4:$J$253,"OK — verify source"),IF(E803="CAP",COUNTIFS(Capabilities!$A$4:$A$253,F803,Capabilities!$J$4:$J$253,"Confirmed",Capabilities!$K$4:$K$253,"OK — verify source"),IF(E803="AIR",COUNTIFS('System map'!$A$4:$A$203,F803,'System map'!$B$4:$B$203,"&lt;&gt;",'System map'!$C$4:$C$203,"&lt;&gt;",'System map'!$D$4:$D$203,"&lt;&gt;"),COUNTIFS(Components!$A$4:$A$253,F803,Components!$B$4:$B$253,E803,Components!$K$4:$K$253,"Confirmed",Components!$L$4:$L$253,"OK — verify source"))))&lt;&gt;1)),"Endpoint not source-reconciled",IF(AND(M803="Confirmed",OR(L803="",K803="",K803="Unknown",K803="Low")),"Confirmed link lacks verification","OK — verify source"))))))))))))))</f>
        <v/>
      </c>
    </row>
    <row r="80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6" t="n"/>
      <c r="M804" s="25" t="n"/>
      <c r="N804" s="25">
        <f>IF(COUNTA(A804:M804)=0,"",IF(OR(A804="",B804="",C804="",D804="",E804="",F804="",I804="",J804="",K804="",M804=""),"Required link detail missing",IF(COUNTIF($A$4:$A$1003,A804)&gt;1,"Duplicate Map Edge ID",IF(NOT(OR(AND(B804="UC",E804="CAP",D804="requires"),AND(B804="CAP",E804="AIR",D804="provided by"),AND(B804="AIR",OR(E804="MOD",E804="DATA",E804="IF",E804="AG",E804="TOOL"),D804="references"),AND(B804="AIR",E804="AIR",D804="depends on"))),"Invalid relationship",IF(AND(M804&lt;&gt;"Superseded",COUNTIFS($B$4:$B$1003,B804,$C$4:$C$1003,C804,$D$4:$D$1003,D804,$E$4:$E$1003,E804,$F$4:$F$1003,F804,$G$4:$G$1003,G804,$M$4:$M$1003,"&lt;&gt;Superseded")&gt;1),"Duplicate relationship",IF(OR(IF(B804="UC",COUNTIF('Use cases'!$A$4:$A$253,C804),IF(B804="CAP",COUNTIF(Capabilities!$A$4:$A$253,C804),IF(B804="AIR",COUNTIF('System map'!$A$4:$A$203,C804),COUNTIFS(Components!$A$4:$A$253,C804,Components!$B$4:$B$253,B804))))&lt;&gt;1,IF(E804="UC",COUNTIF('Use cases'!$A$4:$A$253,F804),IF(E804="CAP",COUNTIF(Capabilities!$A$4:$A$253,F804),IF(E804="AIR",COUNTIF('System map'!$A$4:$A$203,F804),COUNTIFS(Components!$A$4:$A$253,F804,Components!$B$4:$B$253,E804))))&lt;&gt;1),"Endpoint missing or duplicated",IF(AND(NOT(AND(B804="UC",E804="CAP")),OR(G804="",COUNTIF('System map'!$A$4:$A$203,G804)&lt;&gt;1)),"AIR context missing / unknown",IF(AND(B804="CAP",E804="AIR",G804&lt;&gt;F804),"AIR context mismatch",IF(AND(B804="AIR",G804&lt;&gt;C804),"AIR context mismatch",IF(AND(B804="AIR",E804="AIR",C804=F804),"Self-dependency",IF(AND(B804="AIR",E804="AIR",M804&lt;&gt;"Superseded",COUNTIFS($B$4:$B$1003,"AIR",$C$4:$C$1003,F804,$E$4:$E$1003,"AIR",$F$4:$F$1003,C804,$M$4:$M$1003,"&lt;&gt;Superseded")&gt;0),"Dependency cycle (A↔B) — review",IF(AND(B804="AIR",OR(E804="MOD",E804="DATA",E804="IF",E804="AG",E804="TOOL"),IFERROR(INDEX(Components!$G$4:$G$253,MATCH(F804,Components!$A$4:$A$253,0)),"")&lt;&gt;"",IFERROR(INDEX(Components!$G$4:$G$253,MATCH(F804,Components!$A$4:$A$253,0)),"")&lt;&gt;C804),"Component owned by another AIR-ID",IF(AND(M804="Confirmed",OR(IF(B804="UC",COUNTIFS('Use cases'!$A$4:$A$253,C804,'Use cases'!$I$4:$I$253,"Confirmed",'Use cases'!$J$4:$J$253,"OK — verify source"),IF(B804="CAP",COUNTIFS(Capabilities!$A$4:$A$253,C804,Capabilities!$J$4:$J$253,"Confirmed",Capabilities!$K$4:$K$253,"OK — verify source"),IF(B804="AIR",COUNTIFS('System map'!$A$4:$A$203,C804,'System map'!$B$4:$B$203,"&lt;&gt;",'System map'!$C$4:$C$203,"&lt;&gt;",'System map'!$D$4:$D$203,"&lt;&gt;"),COUNTIFS(Components!$A$4:$A$253,C804,Components!$B$4:$B$253,B804,Components!$K$4:$K$253,"Confirmed",Components!$L$4:$L$253,"OK — verify source"))))&lt;&gt;1,IF(E804="UC",COUNTIFS('Use cases'!$A$4:$A$253,F804,'Use cases'!$I$4:$I$253,"Confirmed",'Use cases'!$J$4:$J$253,"OK — verify source"),IF(E804="CAP",COUNTIFS(Capabilities!$A$4:$A$253,F804,Capabilities!$J$4:$J$253,"Confirmed",Capabilities!$K$4:$K$253,"OK — verify source"),IF(E804="AIR",COUNTIFS('System map'!$A$4:$A$203,F804,'System map'!$B$4:$B$203,"&lt;&gt;",'System map'!$C$4:$C$203,"&lt;&gt;",'System map'!$D$4:$D$203,"&lt;&gt;"),COUNTIFS(Components!$A$4:$A$253,F804,Components!$B$4:$B$253,E804,Components!$K$4:$K$253,"Confirmed",Components!$L$4:$L$253,"OK — verify source"))))&lt;&gt;1)),"Endpoint not source-reconciled",IF(AND(M804="Confirmed",OR(L804="",K804="",K804="Unknown",K804="Low")),"Confirmed link lacks verification","OK — verify source"))))))))))))))</f>
        <v/>
      </c>
    </row>
    <row r="805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8" t="n"/>
      <c r="M805" s="27" t="n"/>
      <c r="N805" s="27">
        <f>IF(COUNTA(A805:M805)=0,"",IF(OR(A805="",B805="",C805="",D805="",E805="",F805="",I805="",J805="",K805="",M805=""),"Required link detail missing",IF(COUNTIF($A$4:$A$1003,A805)&gt;1,"Duplicate Map Edge ID",IF(NOT(OR(AND(B805="UC",E805="CAP",D805="requires"),AND(B805="CAP",E805="AIR",D805="provided by"),AND(B805="AIR",OR(E805="MOD",E805="DATA",E805="IF",E805="AG",E805="TOOL"),D805="references"),AND(B805="AIR",E805="AIR",D805="depends on"))),"Invalid relationship",IF(AND(M805&lt;&gt;"Superseded",COUNTIFS($B$4:$B$1003,B805,$C$4:$C$1003,C805,$D$4:$D$1003,D805,$E$4:$E$1003,E805,$F$4:$F$1003,F805,$G$4:$G$1003,G805,$M$4:$M$1003,"&lt;&gt;Superseded")&gt;1),"Duplicate relationship",IF(OR(IF(B805="UC",COUNTIF('Use cases'!$A$4:$A$253,C805),IF(B805="CAP",COUNTIF(Capabilities!$A$4:$A$253,C805),IF(B805="AIR",COUNTIF('System map'!$A$4:$A$203,C805),COUNTIFS(Components!$A$4:$A$253,C805,Components!$B$4:$B$253,B805))))&lt;&gt;1,IF(E805="UC",COUNTIF('Use cases'!$A$4:$A$253,F805),IF(E805="CAP",COUNTIF(Capabilities!$A$4:$A$253,F805),IF(E805="AIR",COUNTIF('System map'!$A$4:$A$203,F805),COUNTIFS(Components!$A$4:$A$253,F805,Components!$B$4:$B$253,E805))))&lt;&gt;1),"Endpoint missing or duplicated",IF(AND(NOT(AND(B805="UC",E805="CAP")),OR(G805="",COUNTIF('System map'!$A$4:$A$203,G805)&lt;&gt;1)),"AIR context missing / unknown",IF(AND(B805="CAP",E805="AIR",G805&lt;&gt;F805),"AIR context mismatch",IF(AND(B805="AIR",G805&lt;&gt;C805),"AIR context mismatch",IF(AND(B805="AIR",E805="AIR",C805=F805),"Self-dependency",IF(AND(B805="AIR",E805="AIR",M805&lt;&gt;"Superseded",COUNTIFS($B$4:$B$1003,"AIR",$C$4:$C$1003,F805,$E$4:$E$1003,"AIR",$F$4:$F$1003,C805,$M$4:$M$1003,"&lt;&gt;Superseded")&gt;0),"Dependency cycle (A↔B) — review",IF(AND(B805="AIR",OR(E805="MOD",E805="DATA",E805="IF",E805="AG",E805="TOOL"),IFERROR(INDEX(Components!$G$4:$G$253,MATCH(F805,Components!$A$4:$A$253,0)),"")&lt;&gt;"",IFERROR(INDEX(Components!$G$4:$G$253,MATCH(F805,Components!$A$4:$A$253,0)),"")&lt;&gt;C805),"Component owned by another AIR-ID",IF(AND(M805="Confirmed",OR(IF(B805="UC",COUNTIFS('Use cases'!$A$4:$A$253,C805,'Use cases'!$I$4:$I$253,"Confirmed",'Use cases'!$J$4:$J$253,"OK — verify source"),IF(B805="CAP",COUNTIFS(Capabilities!$A$4:$A$253,C805,Capabilities!$J$4:$J$253,"Confirmed",Capabilities!$K$4:$K$253,"OK — verify source"),IF(B805="AIR",COUNTIFS('System map'!$A$4:$A$203,C805,'System map'!$B$4:$B$203,"&lt;&gt;",'System map'!$C$4:$C$203,"&lt;&gt;",'System map'!$D$4:$D$203,"&lt;&gt;"),COUNTIFS(Components!$A$4:$A$253,C805,Components!$B$4:$B$253,B805,Components!$K$4:$K$253,"Confirmed",Components!$L$4:$L$253,"OK — verify source"))))&lt;&gt;1,IF(E805="UC",COUNTIFS('Use cases'!$A$4:$A$253,F805,'Use cases'!$I$4:$I$253,"Confirmed",'Use cases'!$J$4:$J$253,"OK — verify source"),IF(E805="CAP",COUNTIFS(Capabilities!$A$4:$A$253,F805,Capabilities!$J$4:$J$253,"Confirmed",Capabilities!$K$4:$K$253,"OK — verify source"),IF(E805="AIR",COUNTIFS('System map'!$A$4:$A$203,F805,'System map'!$B$4:$B$203,"&lt;&gt;",'System map'!$C$4:$C$203,"&lt;&gt;",'System map'!$D$4:$D$203,"&lt;&gt;"),COUNTIFS(Components!$A$4:$A$253,F805,Components!$B$4:$B$253,E805,Components!$K$4:$K$253,"Confirmed",Components!$L$4:$L$253,"OK — verify source"))))&lt;&gt;1)),"Endpoint not source-reconciled",IF(AND(M805="Confirmed",OR(L805="",K805="",K805="Unknown",K805="Low")),"Confirmed link lacks verification","OK — verify source"))))))))))))))</f>
        <v/>
      </c>
    </row>
    <row r="806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6" t="n"/>
      <c r="M806" s="25" t="n"/>
      <c r="N806" s="25">
        <f>IF(COUNTA(A806:M806)=0,"",IF(OR(A806="",B806="",C806="",D806="",E806="",F806="",I806="",J806="",K806="",M806=""),"Required link detail missing",IF(COUNTIF($A$4:$A$1003,A806)&gt;1,"Duplicate Map Edge ID",IF(NOT(OR(AND(B806="UC",E806="CAP",D806="requires"),AND(B806="CAP",E806="AIR",D806="provided by"),AND(B806="AIR",OR(E806="MOD",E806="DATA",E806="IF",E806="AG",E806="TOOL"),D806="references"),AND(B806="AIR",E806="AIR",D806="depends on"))),"Invalid relationship",IF(AND(M806&lt;&gt;"Superseded",COUNTIFS($B$4:$B$1003,B806,$C$4:$C$1003,C806,$D$4:$D$1003,D806,$E$4:$E$1003,E806,$F$4:$F$1003,F806,$G$4:$G$1003,G806,$M$4:$M$1003,"&lt;&gt;Superseded")&gt;1),"Duplicate relationship",IF(OR(IF(B806="UC",COUNTIF('Use cases'!$A$4:$A$253,C806),IF(B806="CAP",COUNTIF(Capabilities!$A$4:$A$253,C806),IF(B806="AIR",COUNTIF('System map'!$A$4:$A$203,C806),COUNTIFS(Components!$A$4:$A$253,C806,Components!$B$4:$B$253,B806))))&lt;&gt;1,IF(E806="UC",COUNTIF('Use cases'!$A$4:$A$253,F806),IF(E806="CAP",COUNTIF(Capabilities!$A$4:$A$253,F806),IF(E806="AIR",COUNTIF('System map'!$A$4:$A$203,F806),COUNTIFS(Components!$A$4:$A$253,F806,Components!$B$4:$B$253,E806))))&lt;&gt;1),"Endpoint missing or duplicated",IF(AND(NOT(AND(B806="UC",E806="CAP")),OR(G806="",COUNTIF('System map'!$A$4:$A$203,G806)&lt;&gt;1)),"AIR context missing / unknown",IF(AND(B806="CAP",E806="AIR",G806&lt;&gt;F806),"AIR context mismatch",IF(AND(B806="AIR",G806&lt;&gt;C806),"AIR context mismatch",IF(AND(B806="AIR",E806="AIR",C806=F806),"Self-dependency",IF(AND(B806="AIR",E806="AIR",M806&lt;&gt;"Superseded",COUNTIFS($B$4:$B$1003,"AIR",$C$4:$C$1003,F806,$E$4:$E$1003,"AIR",$F$4:$F$1003,C806,$M$4:$M$1003,"&lt;&gt;Superseded")&gt;0),"Dependency cycle (A↔B) — review",IF(AND(B806="AIR",OR(E806="MOD",E806="DATA",E806="IF",E806="AG",E806="TOOL"),IFERROR(INDEX(Components!$G$4:$G$253,MATCH(F806,Components!$A$4:$A$253,0)),"")&lt;&gt;"",IFERROR(INDEX(Components!$G$4:$G$253,MATCH(F806,Components!$A$4:$A$253,0)),"")&lt;&gt;C806),"Component owned by another AIR-ID",IF(AND(M806="Confirmed",OR(IF(B806="UC",COUNTIFS('Use cases'!$A$4:$A$253,C806,'Use cases'!$I$4:$I$253,"Confirmed",'Use cases'!$J$4:$J$253,"OK — verify source"),IF(B806="CAP",COUNTIFS(Capabilities!$A$4:$A$253,C806,Capabilities!$J$4:$J$253,"Confirmed",Capabilities!$K$4:$K$253,"OK — verify source"),IF(B806="AIR",COUNTIFS('System map'!$A$4:$A$203,C806,'System map'!$B$4:$B$203,"&lt;&gt;",'System map'!$C$4:$C$203,"&lt;&gt;",'System map'!$D$4:$D$203,"&lt;&gt;"),COUNTIFS(Components!$A$4:$A$253,C806,Components!$B$4:$B$253,B806,Components!$K$4:$K$253,"Confirmed",Components!$L$4:$L$253,"OK — verify source"))))&lt;&gt;1,IF(E806="UC",COUNTIFS('Use cases'!$A$4:$A$253,F806,'Use cases'!$I$4:$I$253,"Confirmed",'Use cases'!$J$4:$J$253,"OK — verify source"),IF(E806="CAP",COUNTIFS(Capabilities!$A$4:$A$253,F806,Capabilities!$J$4:$J$253,"Confirmed",Capabilities!$K$4:$K$253,"OK — verify source"),IF(E806="AIR",COUNTIFS('System map'!$A$4:$A$203,F806,'System map'!$B$4:$B$203,"&lt;&gt;",'System map'!$C$4:$C$203,"&lt;&gt;",'System map'!$D$4:$D$203,"&lt;&gt;"),COUNTIFS(Components!$A$4:$A$253,F806,Components!$B$4:$B$253,E806,Components!$K$4:$K$253,"Confirmed",Components!$L$4:$L$253,"OK — verify source"))))&lt;&gt;1)),"Endpoint not source-reconciled",IF(AND(M806="Confirmed",OR(L806="",K806="",K806="Unknown",K806="Low")),"Confirmed link lacks verification","OK — verify source"))))))))))))))</f>
        <v/>
      </c>
    </row>
    <row r="807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8" t="n"/>
      <c r="M807" s="27" t="n"/>
      <c r="N807" s="27">
        <f>IF(COUNTA(A807:M807)=0,"",IF(OR(A807="",B807="",C807="",D807="",E807="",F807="",I807="",J807="",K807="",M807=""),"Required link detail missing",IF(COUNTIF($A$4:$A$1003,A807)&gt;1,"Duplicate Map Edge ID",IF(NOT(OR(AND(B807="UC",E807="CAP",D807="requires"),AND(B807="CAP",E807="AIR",D807="provided by"),AND(B807="AIR",OR(E807="MOD",E807="DATA",E807="IF",E807="AG",E807="TOOL"),D807="references"),AND(B807="AIR",E807="AIR",D807="depends on"))),"Invalid relationship",IF(AND(M807&lt;&gt;"Superseded",COUNTIFS($B$4:$B$1003,B807,$C$4:$C$1003,C807,$D$4:$D$1003,D807,$E$4:$E$1003,E807,$F$4:$F$1003,F807,$G$4:$G$1003,G807,$M$4:$M$1003,"&lt;&gt;Superseded")&gt;1),"Duplicate relationship",IF(OR(IF(B807="UC",COUNTIF('Use cases'!$A$4:$A$253,C807),IF(B807="CAP",COUNTIF(Capabilities!$A$4:$A$253,C807),IF(B807="AIR",COUNTIF('System map'!$A$4:$A$203,C807),COUNTIFS(Components!$A$4:$A$253,C807,Components!$B$4:$B$253,B807))))&lt;&gt;1,IF(E807="UC",COUNTIF('Use cases'!$A$4:$A$253,F807),IF(E807="CAP",COUNTIF(Capabilities!$A$4:$A$253,F807),IF(E807="AIR",COUNTIF('System map'!$A$4:$A$203,F807),COUNTIFS(Components!$A$4:$A$253,F807,Components!$B$4:$B$253,E807))))&lt;&gt;1),"Endpoint missing or duplicated",IF(AND(NOT(AND(B807="UC",E807="CAP")),OR(G807="",COUNTIF('System map'!$A$4:$A$203,G807)&lt;&gt;1)),"AIR context missing / unknown",IF(AND(B807="CAP",E807="AIR",G807&lt;&gt;F807),"AIR context mismatch",IF(AND(B807="AIR",G807&lt;&gt;C807),"AIR context mismatch",IF(AND(B807="AIR",E807="AIR",C807=F807),"Self-dependency",IF(AND(B807="AIR",E807="AIR",M807&lt;&gt;"Superseded",COUNTIFS($B$4:$B$1003,"AIR",$C$4:$C$1003,F807,$E$4:$E$1003,"AIR",$F$4:$F$1003,C807,$M$4:$M$1003,"&lt;&gt;Superseded")&gt;0),"Dependency cycle (A↔B) — review",IF(AND(B807="AIR",OR(E807="MOD",E807="DATA",E807="IF",E807="AG",E807="TOOL"),IFERROR(INDEX(Components!$G$4:$G$253,MATCH(F807,Components!$A$4:$A$253,0)),"")&lt;&gt;"",IFERROR(INDEX(Components!$G$4:$G$253,MATCH(F807,Components!$A$4:$A$253,0)),"")&lt;&gt;C807),"Component owned by another AIR-ID",IF(AND(M807="Confirmed",OR(IF(B807="UC",COUNTIFS('Use cases'!$A$4:$A$253,C807,'Use cases'!$I$4:$I$253,"Confirmed",'Use cases'!$J$4:$J$253,"OK — verify source"),IF(B807="CAP",COUNTIFS(Capabilities!$A$4:$A$253,C807,Capabilities!$J$4:$J$253,"Confirmed",Capabilities!$K$4:$K$253,"OK — verify source"),IF(B807="AIR",COUNTIFS('System map'!$A$4:$A$203,C807,'System map'!$B$4:$B$203,"&lt;&gt;",'System map'!$C$4:$C$203,"&lt;&gt;",'System map'!$D$4:$D$203,"&lt;&gt;"),COUNTIFS(Components!$A$4:$A$253,C807,Components!$B$4:$B$253,B807,Components!$K$4:$K$253,"Confirmed",Components!$L$4:$L$253,"OK — verify source"))))&lt;&gt;1,IF(E807="UC",COUNTIFS('Use cases'!$A$4:$A$253,F807,'Use cases'!$I$4:$I$253,"Confirmed",'Use cases'!$J$4:$J$253,"OK — verify source"),IF(E807="CAP",COUNTIFS(Capabilities!$A$4:$A$253,F807,Capabilities!$J$4:$J$253,"Confirmed",Capabilities!$K$4:$K$253,"OK — verify source"),IF(E807="AIR",COUNTIFS('System map'!$A$4:$A$203,F807,'System map'!$B$4:$B$203,"&lt;&gt;",'System map'!$C$4:$C$203,"&lt;&gt;",'System map'!$D$4:$D$203,"&lt;&gt;"),COUNTIFS(Components!$A$4:$A$253,F807,Components!$B$4:$B$253,E807,Components!$K$4:$K$253,"Confirmed",Components!$L$4:$L$253,"OK — verify source"))))&lt;&gt;1)),"Endpoint not source-reconciled",IF(AND(M807="Confirmed",OR(L807="",K807="",K807="Unknown",K807="Low")),"Confirmed link lacks verification","OK — verify source"))))))))))))))</f>
        <v/>
      </c>
    </row>
    <row r="808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6" t="n"/>
      <c r="M808" s="25" t="n"/>
      <c r="N808" s="25">
        <f>IF(COUNTA(A808:M808)=0,"",IF(OR(A808="",B808="",C808="",D808="",E808="",F808="",I808="",J808="",K808="",M808=""),"Required link detail missing",IF(COUNTIF($A$4:$A$1003,A808)&gt;1,"Duplicate Map Edge ID",IF(NOT(OR(AND(B808="UC",E808="CAP",D808="requires"),AND(B808="CAP",E808="AIR",D808="provided by"),AND(B808="AIR",OR(E808="MOD",E808="DATA",E808="IF",E808="AG",E808="TOOL"),D808="references"),AND(B808="AIR",E808="AIR",D808="depends on"))),"Invalid relationship",IF(AND(M808&lt;&gt;"Superseded",COUNTIFS($B$4:$B$1003,B808,$C$4:$C$1003,C808,$D$4:$D$1003,D808,$E$4:$E$1003,E808,$F$4:$F$1003,F808,$G$4:$G$1003,G808,$M$4:$M$1003,"&lt;&gt;Superseded")&gt;1),"Duplicate relationship",IF(OR(IF(B808="UC",COUNTIF('Use cases'!$A$4:$A$253,C808),IF(B808="CAP",COUNTIF(Capabilities!$A$4:$A$253,C808),IF(B808="AIR",COUNTIF('System map'!$A$4:$A$203,C808),COUNTIFS(Components!$A$4:$A$253,C808,Components!$B$4:$B$253,B808))))&lt;&gt;1,IF(E808="UC",COUNTIF('Use cases'!$A$4:$A$253,F808),IF(E808="CAP",COUNTIF(Capabilities!$A$4:$A$253,F808),IF(E808="AIR",COUNTIF('System map'!$A$4:$A$203,F808),COUNTIFS(Components!$A$4:$A$253,F808,Components!$B$4:$B$253,E808))))&lt;&gt;1),"Endpoint missing or duplicated",IF(AND(NOT(AND(B808="UC",E808="CAP")),OR(G808="",COUNTIF('System map'!$A$4:$A$203,G808)&lt;&gt;1)),"AIR context missing / unknown",IF(AND(B808="CAP",E808="AIR",G808&lt;&gt;F808),"AIR context mismatch",IF(AND(B808="AIR",G808&lt;&gt;C808),"AIR context mismatch",IF(AND(B808="AIR",E808="AIR",C808=F808),"Self-dependency",IF(AND(B808="AIR",E808="AIR",M808&lt;&gt;"Superseded",COUNTIFS($B$4:$B$1003,"AIR",$C$4:$C$1003,F808,$E$4:$E$1003,"AIR",$F$4:$F$1003,C808,$M$4:$M$1003,"&lt;&gt;Superseded")&gt;0),"Dependency cycle (A↔B) — review",IF(AND(B808="AIR",OR(E808="MOD",E808="DATA",E808="IF",E808="AG",E808="TOOL"),IFERROR(INDEX(Components!$G$4:$G$253,MATCH(F808,Components!$A$4:$A$253,0)),"")&lt;&gt;"",IFERROR(INDEX(Components!$G$4:$G$253,MATCH(F808,Components!$A$4:$A$253,0)),"")&lt;&gt;C808),"Component owned by another AIR-ID",IF(AND(M808="Confirmed",OR(IF(B808="UC",COUNTIFS('Use cases'!$A$4:$A$253,C808,'Use cases'!$I$4:$I$253,"Confirmed",'Use cases'!$J$4:$J$253,"OK — verify source"),IF(B808="CAP",COUNTIFS(Capabilities!$A$4:$A$253,C808,Capabilities!$J$4:$J$253,"Confirmed",Capabilities!$K$4:$K$253,"OK — verify source"),IF(B808="AIR",COUNTIFS('System map'!$A$4:$A$203,C808,'System map'!$B$4:$B$203,"&lt;&gt;",'System map'!$C$4:$C$203,"&lt;&gt;",'System map'!$D$4:$D$203,"&lt;&gt;"),COUNTIFS(Components!$A$4:$A$253,C808,Components!$B$4:$B$253,B808,Components!$K$4:$K$253,"Confirmed",Components!$L$4:$L$253,"OK — verify source"))))&lt;&gt;1,IF(E808="UC",COUNTIFS('Use cases'!$A$4:$A$253,F808,'Use cases'!$I$4:$I$253,"Confirmed",'Use cases'!$J$4:$J$253,"OK — verify source"),IF(E808="CAP",COUNTIFS(Capabilities!$A$4:$A$253,F808,Capabilities!$J$4:$J$253,"Confirmed",Capabilities!$K$4:$K$253,"OK — verify source"),IF(E808="AIR",COUNTIFS('System map'!$A$4:$A$203,F808,'System map'!$B$4:$B$203,"&lt;&gt;",'System map'!$C$4:$C$203,"&lt;&gt;",'System map'!$D$4:$D$203,"&lt;&gt;"),COUNTIFS(Components!$A$4:$A$253,F808,Components!$B$4:$B$253,E808,Components!$K$4:$K$253,"Confirmed",Components!$L$4:$L$253,"OK — verify source"))))&lt;&gt;1)),"Endpoint not source-reconciled",IF(AND(M808="Confirmed",OR(L808="",K808="",K808="Unknown",K808="Low")),"Confirmed link lacks verification","OK — verify source"))))))))))))))</f>
        <v/>
      </c>
    </row>
    <row r="809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8" t="n"/>
      <c r="M809" s="27" t="n"/>
      <c r="N809" s="27">
        <f>IF(COUNTA(A809:M809)=0,"",IF(OR(A809="",B809="",C809="",D809="",E809="",F809="",I809="",J809="",K809="",M809=""),"Required link detail missing",IF(COUNTIF($A$4:$A$1003,A809)&gt;1,"Duplicate Map Edge ID",IF(NOT(OR(AND(B809="UC",E809="CAP",D809="requires"),AND(B809="CAP",E809="AIR",D809="provided by"),AND(B809="AIR",OR(E809="MOD",E809="DATA",E809="IF",E809="AG",E809="TOOL"),D809="references"),AND(B809="AIR",E809="AIR",D809="depends on"))),"Invalid relationship",IF(AND(M809&lt;&gt;"Superseded",COUNTIFS($B$4:$B$1003,B809,$C$4:$C$1003,C809,$D$4:$D$1003,D809,$E$4:$E$1003,E809,$F$4:$F$1003,F809,$G$4:$G$1003,G809,$M$4:$M$1003,"&lt;&gt;Superseded")&gt;1),"Duplicate relationship",IF(OR(IF(B809="UC",COUNTIF('Use cases'!$A$4:$A$253,C809),IF(B809="CAP",COUNTIF(Capabilities!$A$4:$A$253,C809),IF(B809="AIR",COUNTIF('System map'!$A$4:$A$203,C809),COUNTIFS(Components!$A$4:$A$253,C809,Components!$B$4:$B$253,B809))))&lt;&gt;1,IF(E809="UC",COUNTIF('Use cases'!$A$4:$A$253,F809),IF(E809="CAP",COUNTIF(Capabilities!$A$4:$A$253,F809),IF(E809="AIR",COUNTIF('System map'!$A$4:$A$203,F809),COUNTIFS(Components!$A$4:$A$253,F809,Components!$B$4:$B$253,E809))))&lt;&gt;1),"Endpoint missing or duplicated",IF(AND(NOT(AND(B809="UC",E809="CAP")),OR(G809="",COUNTIF('System map'!$A$4:$A$203,G809)&lt;&gt;1)),"AIR context missing / unknown",IF(AND(B809="CAP",E809="AIR",G809&lt;&gt;F809),"AIR context mismatch",IF(AND(B809="AIR",G809&lt;&gt;C809),"AIR context mismatch",IF(AND(B809="AIR",E809="AIR",C809=F809),"Self-dependency",IF(AND(B809="AIR",E809="AIR",M809&lt;&gt;"Superseded",COUNTIFS($B$4:$B$1003,"AIR",$C$4:$C$1003,F809,$E$4:$E$1003,"AIR",$F$4:$F$1003,C809,$M$4:$M$1003,"&lt;&gt;Superseded")&gt;0),"Dependency cycle (A↔B) — review",IF(AND(B809="AIR",OR(E809="MOD",E809="DATA",E809="IF",E809="AG",E809="TOOL"),IFERROR(INDEX(Components!$G$4:$G$253,MATCH(F809,Components!$A$4:$A$253,0)),"")&lt;&gt;"",IFERROR(INDEX(Components!$G$4:$G$253,MATCH(F809,Components!$A$4:$A$253,0)),"")&lt;&gt;C809),"Component owned by another AIR-ID",IF(AND(M809="Confirmed",OR(IF(B809="UC",COUNTIFS('Use cases'!$A$4:$A$253,C809,'Use cases'!$I$4:$I$253,"Confirmed",'Use cases'!$J$4:$J$253,"OK — verify source"),IF(B809="CAP",COUNTIFS(Capabilities!$A$4:$A$253,C809,Capabilities!$J$4:$J$253,"Confirmed",Capabilities!$K$4:$K$253,"OK — verify source"),IF(B809="AIR",COUNTIFS('System map'!$A$4:$A$203,C809,'System map'!$B$4:$B$203,"&lt;&gt;",'System map'!$C$4:$C$203,"&lt;&gt;",'System map'!$D$4:$D$203,"&lt;&gt;"),COUNTIFS(Components!$A$4:$A$253,C809,Components!$B$4:$B$253,B809,Components!$K$4:$K$253,"Confirmed",Components!$L$4:$L$253,"OK — verify source"))))&lt;&gt;1,IF(E809="UC",COUNTIFS('Use cases'!$A$4:$A$253,F809,'Use cases'!$I$4:$I$253,"Confirmed",'Use cases'!$J$4:$J$253,"OK — verify source"),IF(E809="CAP",COUNTIFS(Capabilities!$A$4:$A$253,F809,Capabilities!$J$4:$J$253,"Confirmed",Capabilities!$K$4:$K$253,"OK — verify source"),IF(E809="AIR",COUNTIFS('System map'!$A$4:$A$203,F809,'System map'!$B$4:$B$203,"&lt;&gt;",'System map'!$C$4:$C$203,"&lt;&gt;",'System map'!$D$4:$D$203,"&lt;&gt;"),COUNTIFS(Components!$A$4:$A$253,F809,Components!$B$4:$B$253,E809,Components!$K$4:$K$253,"Confirmed",Components!$L$4:$L$253,"OK — verify source"))))&lt;&gt;1)),"Endpoint not source-reconciled",IF(AND(M809="Confirmed",OR(L809="",K809="",K809="Unknown",K809="Low")),"Confirmed link lacks verification","OK — verify source"))))))))))))))</f>
        <v/>
      </c>
    </row>
    <row r="810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6" t="n"/>
      <c r="M810" s="25" t="n"/>
      <c r="N810" s="25">
        <f>IF(COUNTA(A810:M810)=0,"",IF(OR(A810="",B810="",C810="",D810="",E810="",F810="",I810="",J810="",K810="",M810=""),"Required link detail missing",IF(COUNTIF($A$4:$A$1003,A810)&gt;1,"Duplicate Map Edge ID",IF(NOT(OR(AND(B810="UC",E810="CAP",D810="requires"),AND(B810="CAP",E810="AIR",D810="provided by"),AND(B810="AIR",OR(E810="MOD",E810="DATA",E810="IF",E810="AG",E810="TOOL"),D810="references"),AND(B810="AIR",E810="AIR",D810="depends on"))),"Invalid relationship",IF(AND(M810&lt;&gt;"Superseded",COUNTIFS($B$4:$B$1003,B810,$C$4:$C$1003,C810,$D$4:$D$1003,D810,$E$4:$E$1003,E810,$F$4:$F$1003,F810,$G$4:$G$1003,G810,$M$4:$M$1003,"&lt;&gt;Superseded")&gt;1),"Duplicate relationship",IF(OR(IF(B810="UC",COUNTIF('Use cases'!$A$4:$A$253,C810),IF(B810="CAP",COUNTIF(Capabilities!$A$4:$A$253,C810),IF(B810="AIR",COUNTIF('System map'!$A$4:$A$203,C810),COUNTIFS(Components!$A$4:$A$253,C810,Components!$B$4:$B$253,B810))))&lt;&gt;1,IF(E810="UC",COUNTIF('Use cases'!$A$4:$A$253,F810),IF(E810="CAP",COUNTIF(Capabilities!$A$4:$A$253,F810),IF(E810="AIR",COUNTIF('System map'!$A$4:$A$203,F810),COUNTIFS(Components!$A$4:$A$253,F810,Components!$B$4:$B$253,E810))))&lt;&gt;1),"Endpoint missing or duplicated",IF(AND(NOT(AND(B810="UC",E810="CAP")),OR(G810="",COUNTIF('System map'!$A$4:$A$203,G810)&lt;&gt;1)),"AIR context missing / unknown",IF(AND(B810="CAP",E810="AIR",G810&lt;&gt;F810),"AIR context mismatch",IF(AND(B810="AIR",G810&lt;&gt;C810),"AIR context mismatch",IF(AND(B810="AIR",E810="AIR",C810=F810),"Self-dependency",IF(AND(B810="AIR",E810="AIR",M810&lt;&gt;"Superseded",COUNTIFS($B$4:$B$1003,"AIR",$C$4:$C$1003,F810,$E$4:$E$1003,"AIR",$F$4:$F$1003,C810,$M$4:$M$1003,"&lt;&gt;Superseded")&gt;0),"Dependency cycle (A↔B) — review",IF(AND(B810="AIR",OR(E810="MOD",E810="DATA",E810="IF",E810="AG",E810="TOOL"),IFERROR(INDEX(Components!$G$4:$G$253,MATCH(F810,Components!$A$4:$A$253,0)),"")&lt;&gt;"",IFERROR(INDEX(Components!$G$4:$G$253,MATCH(F810,Components!$A$4:$A$253,0)),"")&lt;&gt;C810),"Component owned by another AIR-ID",IF(AND(M810="Confirmed",OR(IF(B810="UC",COUNTIFS('Use cases'!$A$4:$A$253,C810,'Use cases'!$I$4:$I$253,"Confirmed",'Use cases'!$J$4:$J$253,"OK — verify source"),IF(B810="CAP",COUNTIFS(Capabilities!$A$4:$A$253,C810,Capabilities!$J$4:$J$253,"Confirmed",Capabilities!$K$4:$K$253,"OK — verify source"),IF(B810="AIR",COUNTIFS('System map'!$A$4:$A$203,C810,'System map'!$B$4:$B$203,"&lt;&gt;",'System map'!$C$4:$C$203,"&lt;&gt;",'System map'!$D$4:$D$203,"&lt;&gt;"),COUNTIFS(Components!$A$4:$A$253,C810,Components!$B$4:$B$253,B810,Components!$K$4:$K$253,"Confirmed",Components!$L$4:$L$253,"OK — verify source"))))&lt;&gt;1,IF(E810="UC",COUNTIFS('Use cases'!$A$4:$A$253,F810,'Use cases'!$I$4:$I$253,"Confirmed",'Use cases'!$J$4:$J$253,"OK — verify source"),IF(E810="CAP",COUNTIFS(Capabilities!$A$4:$A$253,F810,Capabilities!$J$4:$J$253,"Confirmed",Capabilities!$K$4:$K$253,"OK — verify source"),IF(E810="AIR",COUNTIFS('System map'!$A$4:$A$203,F810,'System map'!$B$4:$B$203,"&lt;&gt;",'System map'!$C$4:$C$203,"&lt;&gt;",'System map'!$D$4:$D$203,"&lt;&gt;"),COUNTIFS(Components!$A$4:$A$253,F810,Components!$B$4:$B$253,E810,Components!$K$4:$K$253,"Confirmed",Components!$L$4:$L$253,"OK — verify source"))))&lt;&gt;1)),"Endpoint not source-reconciled",IF(AND(M810="Confirmed",OR(L810="",K810="",K810="Unknown",K810="Low")),"Confirmed link lacks verification","OK — verify source"))))))))))))))</f>
        <v/>
      </c>
    </row>
    <row r="811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8" t="n"/>
      <c r="M811" s="27" t="n"/>
      <c r="N811" s="27">
        <f>IF(COUNTA(A811:M811)=0,"",IF(OR(A811="",B811="",C811="",D811="",E811="",F811="",I811="",J811="",K811="",M811=""),"Required link detail missing",IF(COUNTIF($A$4:$A$1003,A811)&gt;1,"Duplicate Map Edge ID",IF(NOT(OR(AND(B811="UC",E811="CAP",D811="requires"),AND(B811="CAP",E811="AIR",D811="provided by"),AND(B811="AIR",OR(E811="MOD",E811="DATA",E811="IF",E811="AG",E811="TOOL"),D811="references"),AND(B811="AIR",E811="AIR",D811="depends on"))),"Invalid relationship",IF(AND(M811&lt;&gt;"Superseded",COUNTIFS($B$4:$B$1003,B811,$C$4:$C$1003,C811,$D$4:$D$1003,D811,$E$4:$E$1003,E811,$F$4:$F$1003,F811,$G$4:$G$1003,G811,$M$4:$M$1003,"&lt;&gt;Superseded")&gt;1),"Duplicate relationship",IF(OR(IF(B811="UC",COUNTIF('Use cases'!$A$4:$A$253,C811),IF(B811="CAP",COUNTIF(Capabilities!$A$4:$A$253,C811),IF(B811="AIR",COUNTIF('System map'!$A$4:$A$203,C811),COUNTIFS(Components!$A$4:$A$253,C811,Components!$B$4:$B$253,B811))))&lt;&gt;1,IF(E811="UC",COUNTIF('Use cases'!$A$4:$A$253,F811),IF(E811="CAP",COUNTIF(Capabilities!$A$4:$A$253,F811),IF(E811="AIR",COUNTIF('System map'!$A$4:$A$203,F811),COUNTIFS(Components!$A$4:$A$253,F811,Components!$B$4:$B$253,E811))))&lt;&gt;1),"Endpoint missing or duplicated",IF(AND(NOT(AND(B811="UC",E811="CAP")),OR(G811="",COUNTIF('System map'!$A$4:$A$203,G811)&lt;&gt;1)),"AIR context missing / unknown",IF(AND(B811="CAP",E811="AIR",G811&lt;&gt;F811),"AIR context mismatch",IF(AND(B811="AIR",G811&lt;&gt;C811),"AIR context mismatch",IF(AND(B811="AIR",E811="AIR",C811=F811),"Self-dependency",IF(AND(B811="AIR",E811="AIR",M811&lt;&gt;"Superseded",COUNTIFS($B$4:$B$1003,"AIR",$C$4:$C$1003,F811,$E$4:$E$1003,"AIR",$F$4:$F$1003,C811,$M$4:$M$1003,"&lt;&gt;Superseded")&gt;0),"Dependency cycle (A↔B) — review",IF(AND(B811="AIR",OR(E811="MOD",E811="DATA",E811="IF",E811="AG",E811="TOOL"),IFERROR(INDEX(Components!$G$4:$G$253,MATCH(F811,Components!$A$4:$A$253,0)),"")&lt;&gt;"",IFERROR(INDEX(Components!$G$4:$G$253,MATCH(F811,Components!$A$4:$A$253,0)),"")&lt;&gt;C811),"Component owned by another AIR-ID",IF(AND(M811="Confirmed",OR(IF(B811="UC",COUNTIFS('Use cases'!$A$4:$A$253,C811,'Use cases'!$I$4:$I$253,"Confirmed",'Use cases'!$J$4:$J$253,"OK — verify source"),IF(B811="CAP",COUNTIFS(Capabilities!$A$4:$A$253,C811,Capabilities!$J$4:$J$253,"Confirmed",Capabilities!$K$4:$K$253,"OK — verify source"),IF(B811="AIR",COUNTIFS('System map'!$A$4:$A$203,C811,'System map'!$B$4:$B$203,"&lt;&gt;",'System map'!$C$4:$C$203,"&lt;&gt;",'System map'!$D$4:$D$203,"&lt;&gt;"),COUNTIFS(Components!$A$4:$A$253,C811,Components!$B$4:$B$253,B811,Components!$K$4:$K$253,"Confirmed",Components!$L$4:$L$253,"OK — verify source"))))&lt;&gt;1,IF(E811="UC",COUNTIFS('Use cases'!$A$4:$A$253,F811,'Use cases'!$I$4:$I$253,"Confirmed",'Use cases'!$J$4:$J$253,"OK — verify source"),IF(E811="CAP",COUNTIFS(Capabilities!$A$4:$A$253,F811,Capabilities!$J$4:$J$253,"Confirmed",Capabilities!$K$4:$K$253,"OK — verify source"),IF(E811="AIR",COUNTIFS('System map'!$A$4:$A$203,F811,'System map'!$B$4:$B$203,"&lt;&gt;",'System map'!$C$4:$C$203,"&lt;&gt;",'System map'!$D$4:$D$203,"&lt;&gt;"),COUNTIFS(Components!$A$4:$A$253,F811,Components!$B$4:$B$253,E811,Components!$K$4:$K$253,"Confirmed",Components!$L$4:$L$253,"OK — verify source"))))&lt;&gt;1)),"Endpoint not source-reconciled",IF(AND(M811="Confirmed",OR(L811="",K811="",K811="Unknown",K811="Low")),"Confirmed link lacks verification","OK — verify source"))))))))))))))</f>
        <v/>
      </c>
    </row>
    <row r="812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6" t="n"/>
      <c r="M812" s="25" t="n"/>
      <c r="N812" s="25">
        <f>IF(COUNTA(A812:M812)=0,"",IF(OR(A812="",B812="",C812="",D812="",E812="",F812="",I812="",J812="",K812="",M812=""),"Required link detail missing",IF(COUNTIF($A$4:$A$1003,A812)&gt;1,"Duplicate Map Edge ID",IF(NOT(OR(AND(B812="UC",E812="CAP",D812="requires"),AND(B812="CAP",E812="AIR",D812="provided by"),AND(B812="AIR",OR(E812="MOD",E812="DATA",E812="IF",E812="AG",E812="TOOL"),D812="references"),AND(B812="AIR",E812="AIR",D812="depends on"))),"Invalid relationship",IF(AND(M812&lt;&gt;"Superseded",COUNTIFS($B$4:$B$1003,B812,$C$4:$C$1003,C812,$D$4:$D$1003,D812,$E$4:$E$1003,E812,$F$4:$F$1003,F812,$G$4:$G$1003,G812,$M$4:$M$1003,"&lt;&gt;Superseded")&gt;1),"Duplicate relationship",IF(OR(IF(B812="UC",COUNTIF('Use cases'!$A$4:$A$253,C812),IF(B812="CAP",COUNTIF(Capabilities!$A$4:$A$253,C812),IF(B812="AIR",COUNTIF('System map'!$A$4:$A$203,C812),COUNTIFS(Components!$A$4:$A$253,C812,Components!$B$4:$B$253,B812))))&lt;&gt;1,IF(E812="UC",COUNTIF('Use cases'!$A$4:$A$253,F812),IF(E812="CAP",COUNTIF(Capabilities!$A$4:$A$253,F812),IF(E812="AIR",COUNTIF('System map'!$A$4:$A$203,F812),COUNTIFS(Components!$A$4:$A$253,F812,Components!$B$4:$B$253,E812))))&lt;&gt;1),"Endpoint missing or duplicated",IF(AND(NOT(AND(B812="UC",E812="CAP")),OR(G812="",COUNTIF('System map'!$A$4:$A$203,G812)&lt;&gt;1)),"AIR context missing / unknown",IF(AND(B812="CAP",E812="AIR",G812&lt;&gt;F812),"AIR context mismatch",IF(AND(B812="AIR",G812&lt;&gt;C812),"AIR context mismatch",IF(AND(B812="AIR",E812="AIR",C812=F812),"Self-dependency",IF(AND(B812="AIR",E812="AIR",M812&lt;&gt;"Superseded",COUNTIFS($B$4:$B$1003,"AIR",$C$4:$C$1003,F812,$E$4:$E$1003,"AIR",$F$4:$F$1003,C812,$M$4:$M$1003,"&lt;&gt;Superseded")&gt;0),"Dependency cycle (A↔B) — review",IF(AND(B812="AIR",OR(E812="MOD",E812="DATA",E812="IF",E812="AG",E812="TOOL"),IFERROR(INDEX(Components!$G$4:$G$253,MATCH(F812,Components!$A$4:$A$253,0)),"")&lt;&gt;"",IFERROR(INDEX(Components!$G$4:$G$253,MATCH(F812,Components!$A$4:$A$253,0)),"")&lt;&gt;C812),"Component owned by another AIR-ID",IF(AND(M812="Confirmed",OR(IF(B812="UC",COUNTIFS('Use cases'!$A$4:$A$253,C812,'Use cases'!$I$4:$I$253,"Confirmed",'Use cases'!$J$4:$J$253,"OK — verify source"),IF(B812="CAP",COUNTIFS(Capabilities!$A$4:$A$253,C812,Capabilities!$J$4:$J$253,"Confirmed",Capabilities!$K$4:$K$253,"OK — verify source"),IF(B812="AIR",COUNTIFS('System map'!$A$4:$A$203,C812,'System map'!$B$4:$B$203,"&lt;&gt;",'System map'!$C$4:$C$203,"&lt;&gt;",'System map'!$D$4:$D$203,"&lt;&gt;"),COUNTIFS(Components!$A$4:$A$253,C812,Components!$B$4:$B$253,B812,Components!$K$4:$K$253,"Confirmed",Components!$L$4:$L$253,"OK — verify source"))))&lt;&gt;1,IF(E812="UC",COUNTIFS('Use cases'!$A$4:$A$253,F812,'Use cases'!$I$4:$I$253,"Confirmed",'Use cases'!$J$4:$J$253,"OK — verify source"),IF(E812="CAP",COUNTIFS(Capabilities!$A$4:$A$253,F812,Capabilities!$J$4:$J$253,"Confirmed",Capabilities!$K$4:$K$253,"OK — verify source"),IF(E812="AIR",COUNTIFS('System map'!$A$4:$A$203,F812,'System map'!$B$4:$B$203,"&lt;&gt;",'System map'!$C$4:$C$203,"&lt;&gt;",'System map'!$D$4:$D$203,"&lt;&gt;"),COUNTIFS(Components!$A$4:$A$253,F812,Components!$B$4:$B$253,E812,Components!$K$4:$K$253,"Confirmed",Components!$L$4:$L$253,"OK — verify source"))))&lt;&gt;1)),"Endpoint not source-reconciled",IF(AND(M812="Confirmed",OR(L812="",K812="",K812="Unknown",K812="Low")),"Confirmed link lacks verification","OK — verify source"))))))))))))))</f>
        <v/>
      </c>
    </row>
    <row r="813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8" t="n"/>
      <c r="M813" s="27" t="n"/>
      <c r="N813" s="27">
        <f>IF(COUNTA(A813:M813)=0,"",IF(OR(A813="",B813="",C813="",D813="",E813="",F813="",I813="",J813="",K813="",M813=""),"Required link detail missing",IF(COUNTIF($A$4:$A$1003,A813)&gt;1,"Duplicate Map Edge ID",IF(NOT(OR(AND(B813="UC",E813="CAP",D813="requires"),AND(B813="CAP",E813="AIR",D813="provided by"),AND(B813="AIR",OR(E813="MOD",E813="DATA",E813="IF",E813="AG",E813="TOOL"),D813="references"),AND(B813="AIR",E813="AIR",D813="depends on"))),"Invalid relationship",IF(AND(M813&lt;&gt;"Superseded",COUNTIFS($B$4:$B$1003,B813,$C$4:$C$1003,C813,$D$4:$D$1003,D813,$E$4:$E$1003,E813,$F$4:$F$1003,F813,$G$4:$G$1003,G813,$M$4:$M$1003,"&lt;&gt;Superseded")&gt;1),"Duplicate relationship",IF(OR(IF(B813="UC",COUNTIF('Use cases'!$A$4:$A$253,C813),IF(B813="CAP",COUNTIF(Capabilities!$A$4:$A$253,C813),IF(B813="AIR",COUNTIF('System map'!$A$4:$A$203,C813),COUNTIFS(Components!$A$4:$A$253,C813,Components!$B$4:$B$253,B813))))&lt;&gt;1,IF(E813="UC",COUNTIF('Use cases'!$A$4:$A$253,F813),IF(E813="CAP",COUNTIF(Capabilities!$A$4:$A$253,F813),IF(E813="AIR",COUNTIF('System map'!$A$4:$A$203,F813),COUNTIFS(Components!$A$4:$A$253,F813,Components!$B$4:$B$253,E813))))&lt;&gt;1),"Endpoint missing or duplicated",IF(AND(NOT(AND(B813="UC",E813="CAP")),OR(G813="",COUNTIF('System map'!$A$4:$A$203,G813)&lt;&gt;1)),"AIR context missing / unknown",IF(AND(B813="CAP",E813="AIR",G813&lt;&gt;F813),"AIR context mismatch",IF(AND(B813="AIR",G813&lt;&gt;C813),"AIR context mismatch",IF(AND(B813="AIR",E813="AIR",C813=F813),"Self-dependency",IF(AND(B813="AIR",E813="AIR",M813&lt;&gt;"Superseded",COUNTIFS($B$4:$B$1003,"AIR",$C$4:$C$1003,F813,$E$4:$E$1003,"AIR",$F$4:$F$1003,C813,$M$4:$M$1003,"&lt;&gt;Superseded")&gt;0),"Dependency cycle (A↔B) — review",IF(AND(B813="AIR",OR(E813="MOD",E813="DATA",E813="IF",E813="AG",E813="TOOL"),IFERROR(INDEX(Components!$G$4:$G$253,MATCH(F813,Components!$A$4:$A$253,0)),"")&lt;&gt;"",IFERROR(INDEX(Components!$G$4:$G$253,MATCH(F813,Components!$A$4:$A$253,0)),"")&lt;&gt;C813),"Component owned by another AIR-ID",IF(AND(M813="Confirmed",OR(IF(B813="UC",COUNTIFS('Use cases'!$A$4:$A$253,C813,'Use cases'!$I$4:$I$253,"Confirmed",'Use cases'!$J$4:$J$253,"OK — verify source"),IF(B813="CAP",COUNTIFS(Capabilities!$A$4:$A$253,C813,Capabilities!$J$4:$J$253,"Confirmed",Capabilities!$K$4:$K$253,"OK — verify source"),IF(B813="AIR",COUNTIFS('System map'!$A$4:$A$203,C813,'System map'!$B$4:$B$203,"&lt;&gt;",'System map'!$C$4:$C$203,"&lt;&gt;",'System map'!$D$4:$D$203,"&lt;&gt;"),COUNTIFS(Components!$A$4:$A$253,C813,Components!$B$4:$B$253,B813,Components!$K$4:$K$253,"Confirmed",Components!$L$4:$L$253,"OK — verify source"))))&lt;&gt;1,IF(E813="UC",COUNTIFS('Use cases'!$A$4:$A$253,F813,'Use cases'!$I$4:$I$253,"Confirmed",'Use cases'!$J$4:$J$253,"OK — verify source"),IF(E813="CAP",COUNTIFS(Capabilities!$A$4:$A$253,F813,Capabilities!$J$4:$J$253,"Confirmed",Capabilities!$K$4:$K$253,"OK — verify source"),IF(E813="AIR",COUNTIFS('System map'!$A$4:$A$203,F813,'System map'!$B$4:$B$203,"&lt;&gt;",'System map'!$C$4:$C$203,"&lt;&gt;",'System map'!$D$4:$D$203,"&lt;&gt;"),COUNTIFS(Components!$A$4:$A$253,F813,Components!$B$4:$B$253,E813,Components!$K$4:$K$253,"Confirmed",Components!$L$4:$L$253,"OK — verify source"))))&lt;&gt;1)),"Endpoint not source-reconciled",IF(AND(M813="Confirmed",OR(L813="",K813="",K813="Unknown",K813="Low")),"Confirmed link lacks verification","OK — verify source"))))))))))))))</f>
        <v/>
      </c>
    </row>
    <row r="81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6" t="n"/>
      <c r="M814" s="25" t="n"/>
      <c r="N814" s="25">
        <f>IF(COUNTA(A814:M814)=0,"",IF(OR(A814="",B814="",C814="",D814="",E814="",F814="",I814="",J814="",K814="",M814=""),"Required link detail missing",IF(COUNTIF($A$4:$A$1003,A814)&gt;1,"Duplicate Map Edge ID",IF(NOT(OR(AND(B814="UC",E814="CAP",D814="requires"),AND(B814="CAP",E814="AIR",D814="provided by"),AND(B814="AIR",OR(E814="MOD",E814="DATA",E814="IF",E814="AG",E814="TOOL"),D814="references"),AND(B814="AIR",E814="AIR",D814="depends on"))),"Invalid relationship",IF(AND(M814&lt;&gt;"Superseded",COUNTIFS($B$4:$B$1003,B814,$C$4:$C$1003,C814,$D$4:$D$1003,D814,$E$4:$E$1003,E814,$F$4:$F$1003,F814,$G$4:$G$1003,G814,$M$4:$M$1003,"&lt;&gt;Superseded")&gt;1),"Duplicate relationship",IF(OR(IF(B814="UC",COUNTIF('Use cases'!$A$4:$A$253,C814),IF(B814="CAP",COUNTIF(Capabilities!$A$4:$A$253,C814),IF(B814="AIR",COUNTIF('System map'!$A$4:$A$203,C814),COUNTIFS(Components!$A$4:$A$253,C814,Components!$B$4:$B$253,B814))))&lt;&gt;1,IF(E814="UC",COUNTIF('Use cases'!$A$4:$A$253,F814),IF(E814="CAP",COUNTIF(Capabilities!$A$4:$A$253,F814),IF(E814="AIR",COUNTIF('System map'!$A$4:$A$203,F814),COUNTIFS(Components!$A$4:$A$253,F814,Components!$B$4:$B$253,E814))))&lt;&gt;1),"Endpoint missing or duplicated",IF(AND(NOT(AND(B814="UC",E814="CAP")),OR(G814="",COUNTIF('System map'!$A$4:$A$203,G814)&lt;&gt;1)),"AIR context missing / unknown",IF(AND(B814="CAP",E814="AIR",G814&lt;&gt;F814),"AIR context mismatch",IF(AND(B814="AIR",G814&lt;&gt;C814),"AIR context mismatch",IF(AND(B814="AIR",E814="AIR",C814=F814),"Self-dependency",IF(AND(B814="AIR",E814="AIR",M814&lt;&gt;"Superseded",COUNTIFS($B$4:$B$1003,"AIR",$C$4:$C$1003,F814,$E$4:$E$1003,"AIR",$F$4:$F$1003,C814,$M$4:$M$1003,"&lt;&gt;Superseded")&gt;0),"Dependency cycle (A↔B) — review",IF(AND(B814="AIR",OR(E814="MOD",E814="DATA",E814="IF",E814="AG",E814="TOOL"),IFERROR(INDEX(Components!$G$4:$G$253,MATCH(F814,Components!$A$4:$A$253,0)),"")&lt;&gt;"",IFERROR(INDEX(Components!$G$4:$G$253,MATCH(F814,Components!$A$4:$A$253,0)),"")&lt;&gt;C814),"Component owned by another AIR-ID",IF(AND(M814="Confirmed",OR(IF(B814="UC",COUNTIFS('Use cases'!$A$4:$A$253,C814,'Use cases'!$I$4:$I$253,"Confirmed",'Use cases'!$J$4:$J$253,"OK — verify source"),IF(B814="CAP",COUNTIFS(Capabilities!$A$4:$A$253,C814,Capabilities!$J$4:$J$253,"Confirmed",Capabilities!$K$4:$K$253,"OK — verify source"),IF(B814="AIR",COUNTIFS('System map'!$A$4:$A$203,C814,'System map'!$B$4:$B$203,"&lt;&gt;",'System map'!$C$4:$C$203,"&lt;&gt;",'System map'!$D$4:$D$203,"&lt;&gt;"),COUNTIFS(Components!$A$4:$A$253,C814,Components!$B$4:$B$253,B814,Components!$K$4:$K$253,"Confirmed",Components!$L$4:$L$253,"OK — verify source"))))&lt;&gt;1,IF(E814="UC",COUNTIFS('Use cases'!$A$4:$A$253,F814,'Use cases'!$I$4:$I$253,"Confirmed",'Use cases'!$J$4:$J$253,"OK — verify source"),IF(E814="CAP",COUNTIFS(Capabilities!$A$4:$A$253,F814,Capabilities!$J$4:$J$253,"Confirmed",Capabilities!$K$4:$K$253,"OK — verify source"),IF(E814="AIR",COUNTIFS('System map'!$A$4:$A$203,F814,'System map'!$B$4:$B$203,"&lt;&gt;",'System map'!$C$4:$C$203,"&lt;&gt;",'System map'!$D$4:$D$203,"&lt;&gt;"),COUNTIFS(Components!$A$4:$A$253,F814,Components!$B$4:$B$253,E814,Components!$K$4:$K$253,"Confirmed",Components!$L$4:$L$253,"OK — verify source"))))&lt;&gt;1)),"Endpoint not source-reconciled",IF(AND(M814="Confirmed",OR(L814="",K814="",K814="Unknown",K814="Low")),"Confirmed link lacks verification","OK — verify source"))))))))))))))</f>
        <v/>
      </c>
    </row>
    <row r="815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8" t="n"/>
      <c r="M815" s="27" t="n"/>
      <c r="N815" s="27">
        <f>IF(COUNTA(A815:M815)=0,"",IF(OR(A815="",B815="",C815="",D815="",E815="",F815="",I815="",J815="",K815="",M815=""),"Required link detail missing",IF(COUNTIF($A$4:$A$1003,A815)&gt;1,"Duplicate Map Edge ID",IF(NOT(OR(AND(B815="UC",E815="CAP",D815="requires"),AND(B815="CAP",E815="AIR",D815="provided by"),AND(B815="AIR",OR(E815="MOD",E815="DATA",E815="IF",E815="AG",E815="TOOL"),D815="references"),AND(B815="AIR",E815="AIR",D815="depends on"))),"Invalid relationship",IF(AND(M815&lt;&gt;"Superseded",COUNTIFS($B$4:$B$1003,B815,$C$4:$C$1003,C815,$D$4:$D$1003,D815,$E$4:$E$1003,E815,$F$4:$F$1003,F815,$G$4:$G$1003,G815,$M$4:$M$1003,"&lt;&gt;Superseded")&gt;1),"Duplicate relationship",IF(OR(IF(B815="UC",COUNTIF('Use cases'!$A$4:$A$253,C815),IF(B815="CAP",COUNTIF(Capabilities!$A$4:$A$253,C815),IF(B815="AIR",COUNTIF('System map'!$A$4:$A$203,C815),COUNTIFS(Components!$A$4:$A$253,C815,Components!$B$4:$B$253,B815))))&lt;&gt;1,IF(E815="UC",COUNTIF('Use cases'!$A$4:$A$253,F815),IF(E815="CAP",COUNTIF(Capabilities!$A$4:$A$253,F815),IF(E815="AIR",COUNTIF('System map'!$A$4:$A$203,F815),COUNTIFS(Components!$A$4:$A$253,F815,Components!$B$4:$B$253,E815))))&lt;&gt;1),"Endpoint missing or duplicated",IF(AND(NOT(AND(B815="UC",E815="CAP")),OR(G815="",COUNTIF('System map'!$A$4:$A$203,G815)&lt;&gt;1)),"AIR context missing / unknown",IF(AND(B815="CAP",E815="AIR",G815&lt;&gt;F815),"AIR context mismatch",IF(AND(B815="AIR",G815&lt;&gt;C815),"AIR context mismatch",IF(AND(B815="AIR",E815="AIR",C815=F815),"Self-dependency",IF(AND(B815="AIR",E815="AIR",M815&lt;&gt;"Superseded",COUNTIFS($B$4:$B$1003,"AIR",$C$4:$C$1003,F815,$E$4:$E$1003,"AIR",$F$4:$F$1003,C815,$M$4:$M$1003,"&lt;&gt;Superseded")&gt;0),"Dependency cycle (A↔B) — review",IF(AND(B815="AIR",OR(E815="MOD",E815="DATA",E815="IF",E815="AG",E815="TOOL"),IFERROR(INDEX(Components!$G$4:$G$253,MATCH(F815,Components!$A$4:$A$253,0)),"")&lt;&gt;"",IFERROR(INDEX(Components!$G$4:$G$253,MATCH(F815,Components!$A$4:$A$253,0)),"")&lt;&gt;C815),"Component owned by another AIR-ID",IF(AND(M815="Confirmed",OR(IF(B815="UC",COUNTIFS('Use cases'!$A$4:$A$253,C815,'Use cases'!$I$4:$I$253,"Confirmed",'Use cases'!$J$4:$J$253,"OK — verify source"),IF(B815="CAP",COUNTIFS(Capabilities!$A$4:$A$253,C815,Capabilities!$J$4:$J$253,"Confirmed",Capabilities!$K$4:$K$253,"OK — verify source"),IF(B815="AIR",COUNTIFS('System map'!$A$4:$A$203,C815,'System map'!$B$4:$B$203,"&lt;&gt;",'System map'!$C$4:$C$203,"&lt;&gt;",'System map'!$D$4:$D$203,"&lt;&gt;"),COUNTIFS(Components!$A$4:$A$253,C815,Components!$B$4:$B$253,B815,Components!$K$4:$K$253,"Confirmed",Components!$L$4:$L$253,"OK — verify source"))))&lt;&gt;1,IF(E815="UC",COUNTIFS('Use cases'!$A$4:$A$253,F815,'Use cases'!$I$4:$I$253,"Confirmed",'Use cases'!$J$4:$J$253,"OK — verify source"),IF(E815="CAP",COUNTIFS(Capabilities!$A$4:$A$253,F815,Capabilities!$J$4:$J$253,"Confirmed",Capabilities!$K$4:$K$253,"OK — verify source"),IF(E815="AIR",COUNTIFS('System map'!$A$4:$A$203,F815,'System map'!$B$4:$B$203,"&lt;&gt;",'System map'!$C$4:$C$203,"&lt;&gt;",'System map'!$D$4:$D$203,"&lt;&gt;"),COUNTIFS(Components!$A$4:$A$253,F815,Components!$B$4:$B$253,E815,Components!$K$4:$K$253,"Confirmed",Components!$L$4:$L$253,"OK — verify source"))))&lt;&gt;1)),"Endpoint not source-reconciled",IF(AND(M815="Confirmed",OR(L815="",K815="",K815="Unknown",K815="Low")),"Confirmed link lacks verification","OK — verify source"))))))))))))))</f>
        <v/>
      </c>
    </row>
    <row r="816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6" t="n"/>
      <c r="M816" s="25" t="n"/>
      <c r="N816" s="25">
        <f>IF(COUNTA(A816:M816)=0,"",IF(OR(A816="",B816="",C816="",D816="",E816="",F816="",I816="",J816="",K816="",M816=""),"Required link detail missing",IF(COUNTIF($A$4:$A$1003,A816)&gt;1,"Duplicate Map Edge ID",IF(NOT(OR(AND(B816="UC",E816="CAP",D816="requires"),AND(B816="CAP",E816="AIR",D816="provided by"),AND(B816="AIR",OR(E816="MOD",E816="DATA",E816="IF",E816="AG",E816="TOOL"),D816="references"),AND(B816="AIR",E816="AIR",D816="depends on"))),"Invalid relationship",IF(AND(M816&lt;&gt;"Superseded",COUNTIFS($B$4:$B$1003,B816,$C$4:$C$1003,C816,$D$4:$D$1003,D816,$E$4:$E$1003,E816,$F$4:$F$1003,F816,$G$4:$G$1003,G816,$M$4:$M$1003,"&lt;&gt;Superseded")&gt;1),"Duplicate relationship",IF(OR(IF(B816="UC",COUNTIF('Use cases'!$A$4:$A$253,C816),IF(B816="CAP",COUNTIF(Capabilities!$A$4:$A$253,C816),IF(B816="AIR",COUNTIF('System map'!$A$4:$A$203,C816),COUNTIFS(Components!$A$4:$A$253,C816,Components!$B$4:$B$253,B816))))&lt;&gt;1,IF(E816="UC",COUNTIF('Use cases'!$A$4:$A$253,F816),IF(E816="CAP",COUNTIF(Capabilities!$A$4:$A$253,F816),IF(E816="AIR",COUNTIF('System map'!$A$4:$A$203,F816),COUNTIFS(Components!$A$4:$A$253,F816,Components!$B$4:$B$253,E816))))&lt;&gt;1),"Endpoint missing or duplicated",IF(AND(NOT(AND(B816="UC",E816="CAP")),OR(G816="",COUNTIF('System map'!$A$4:$A$203,G816)&lt;&gt;1)),"AIR context missing / unknown",IF(AND(B816="CAP",E816="AIR",G816&lt;&gt;F816),"AIR context mismatch",IF(AND(B816="AIR",G816&lt;&gt;C816),"AIR context mismatch",IF(AND(B816="AIR",E816="AIR",C816=F816),"Self-dependency",IF(AND(B816="AIR",E816="AIR",M816&lt;&gt;"Superseded",COUNTIFS($B$4:$B$1003,"AIR",$C$4:$C$1003,F816,$E$4:$E$1003,"AIR",$F$4:$F$1003,C816,$M$4:$M$1003,"&lt;&gt;Superseded")&gt;0),"Dependency cycle (A↔B) — review",IF(AND(B816="AIR",OR(E816="MOD",E816="DATA",E816="IF",E816="AG",E816="TOOL"),IFERROR(INDEX(Components!$G$4:$G$253,MATCH(F816,Components!$A$4:$A$253,0)),"")&lt;&gt;"",IFERROR(INDEX(Components!$G$4:$G$253,MATCH(F816,Components!$A$4:$A$253,0)),"")&lt;&gt;C816),"Component owned by another AIR-ID",IF(AND(M816="Confirmed",OR(IF(B816="UC",COUNTIFS('Use cases'!$A$4:$A$253,C816,'Use cases'!$I$4:$I$253,"Confirmed",'Use cases'!$J$4:$J$253,"OK — verify source"),IF(B816="CAP",COUNTIFS(Capabilities!$A$4:$A$253,C816,Capabilities!$J$4:$J$253,"Confirmed",Capabilities!$K$4:$K$253,"OK — verify source"),IF(B816="AIR",COUNTIFS('System map'!$A$4:$A$203,C816,'System map'!$B$4:$B$203,"&lt;&gt;",'System map'!$C$4:$C$203,"&lt;&gt;",'System map'!$D$4:$D$203,"&lt;&gt;"),COUNTIFS(Components!$A$4:$A$253,C816,Components!$B$4:$B$253,B816,Components!$K$4:$K$253,"Confirmed",Components!$L$4:$L$253,"OK — verify source"))))&lt;&gt;1,IF(E816="UC",COUNTIFS('Use cases'!$A$4:$A$253,F816,'Use cases'!$I$4:$I$253,"Confirmed",'Use cases'!$J$4:$J$253,"OK — verify source"),IF(E816="CAP",COUNTIFS(Capabilities!$A$4:$A$253,F816,Capabilities!$J$4:$J$253,"Confirmed",Capabilities!$K$4:$K$253,"OK — verify source"),IF(E816="AIR",COUNTIFS('System map'!$A$4:$A$203,F816,'System map'!$B$4:$B$203,"&lt;&gt;",'System map'!$C$4:$C$203,"&lt;&gt;",'System map'!$D$4:$D$203,"&lt;&gt;"),COUNTIFS(Components!$A$4:$A$253,F816,Components!$B$4:$B$253,E816,Components!$K$4:$K$253,"Confirmed",Components!$L$4:$L$253,"OK — verify source"))))&lt;&gt;1)),"Endpoint not source-reconciled",IF(AND(M816="Confirmed",OR(L816="",K816="",K816="Unknown",K816="Low")),"Confirmed link lacks verification","OK — verify source"))))))))))))))</f>
        <v/>
      </c>
    </row>
    <row r="817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8" t="n"/>
      <c r="M817" s="27" t="n"/>
      <c r="N817" s="27">
        <f>IF(COUNTA(A817:M817)=0,"",IF(OR(A817="",B817="",C817="",D817="",E817="",F817="",I817="",J817="",K817="",M817=""),"Required link detail missing",IF(COUNTIF($A$4:$A$1003,A817)&gt;1,"Duplicate Map Edge ID",IF(NOT(OR(AND(B817="UC",E817="CAP",D817="requires"),AND(B817="CAP",E817="AIR",D817="provided by"),AND(B817="AIR",OR(E817="MOD",E817="DATA",E817="IF",E817="AG",E817="TOOL"),D817="references"),AND(B817="AIR",E817="AIR",D817="depends on"))),"Invalid relationship",IF(AND(M817&lt;&gt;"Superseded",COUNTIFS($B$4:$B$1003,B817,$C$4:$C$1003,C817,$D$4:$D$1003,D817,$E$4:$E$1003,E817,$F$4:$F$1003,F817,$G$4:$G$1003,G817,$M$4:$M$1003,"&lt;&gt;Superseded")&gt;1),"Duplicate relationship",IF(OR(IF(B817="UC",COUNTIF('Use cases'!$A$4:$A$253,C817),IF(B817="CAP",COUNTIF(Capabilities!$A$4:$A$253,C817),IF(B817="AIR",COUNTIF('System map'!$A$4:$A$203,C817),COUNTIFS(Components!$A$4:$A$253,C817,Components!$B$4:$B$253,B817))))&lt;&gt;1,IF(E817="UC",COUNTIF('Use cases'!$A$4:$A$253,F817),IF(E817="CAP",COUNTIF(Capabilities!$A$4:$A$253,F817),IF(E817="AIR",COUNTIF('System map'!$A$4:$A$203,F817),COUNTIFS(Components!$A$4:$A$253,F817,Components!$B$4:$B$253,E817))))&lt;&gt;1),"Endpoint missing or duplicated",IF(AND(NOT(AND(B817="UC",E817="CAP")),OR(G817="",COUNTIF('System map'!$A$4:$A$203,G817)&lt;&gt;1)),"AIR context missing / unknown",IF(AND(B817="CAP",E817="AIR",G817&lt;&gt;F817),"AIR context mismatch",IF(AND(B817="AIR",G817&lt;&gt;C817),"AIR context mismatch",IF(AND(B817="AIR",E817="AIR",C817=F817),"Self-dependency",IF(AND(B817="AIR",E817="AIR",M817&lt;&gt;"Superseded",COUNTIFS($B$4:$B$1003,"AIR",$C$4:$C$1003,F817,$E$4:$E$1003,"AIR",$F$4:$F$1003,C817,$M$4:$M$1003,"&lt;&gt;Superseded")&gt;0),"Dependency cycle (A↔B) — review",IF(AND(B817="AIR",OR(E817="MOD",E817="DATA",E817="IF",E817="AG",E817="TOOL"),IFERROR(INDEX(Components!$G$4:$G$253,MATCH(F817,Components!$A$4:$A$253,0)),"")&lt;&gt;"",IFERROR(INDEX(Components!$G$4:$G$253,MATCH(F817,Components!$A$4:$A$253,0)),"")&lt;&gt;C817),"Component owned by another AIR-ID",IF(AND(M817="Confirmed",OR(IF(B817="UC",COUNTIFS('Use cases'!$A$4:$A$253,C817,'Use cases'!$I$4:$I$253,"Confirmed",'Use cases'!$J$4:$J$253,"OK — verify source"),IF(B817="CAP",COUNTIFS(Capabilities!$A$4:$A$253,C817,Capabilities!$J$4:$J$253,"Confirmed",Capabilities!$K$4:$K$253,"OK — verify source"),IF(B817="AIR",COUNTIFS('System map'!$A$4:$A$203,C817,'System map'!$B$4:$B$203,"&lt;&gt;",'System map'!$C$4:$C$203,"&lt;&gt;",'System map'!$D$4:$D$203,"&lt;&gt;"),COUNTIFS(Components!$A$4:$A$253,C817,Components!$B$4:$B$253,B817,Components!$K$4:$K$253,"Confirmed",Components!$L$4:$L$253,"OK — verify source"))))&lt;&gt;1,IF(E817="UC",COUNTIFS('Use cases'!$A$4:$A$253,F817,'Use cases'!$I$4:$I$253,"Confirmed",'Use cases'!$J$4:$J$253,"OK — verify source"),IF(E817="CAP",COUNTIFS(Capabilities!$A$4:$A$253,F817,Capabilities!$J$4:$J$253,"Confirmed",Capabilities!$K$4:$K$253,"OK — verify source"),IF(E817="AIR",COUNTIFS('System map'!$A$4:$A$203,F817,'System map'!$B$4:$B$203,"&lt;&gt;",'System map'!$C$4:$C$203,"&lt;&gt;",'System map'!$D$4:$D$203,"&lt;&gt;"),COUNTIFS(Components!$A$4:$A$253,F817,Components!$B$4:$B$253,E817,Components!$K$4:$K$253,"Confirmed",Components!$L$4:$L$253,"OK — verify source"))))&lt;&gt;1)),"Endpoint not source-reconciled",IF(AND(M817="Confirmed",OR(L817="",K817="",K817="Unknown",K817="Low")),"Confirmed link lacks verification","OK — verify source"))))))))))))))</f>
        <v/>
      </c>
    </row>
    <row r="818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6" t="n"/>
      <c r="M818" s="25" t="n"/>
      <c r="N818" s="25">
        <f>IF(COUNTA(A818:M818)=0,"",IF(OR(A818="",B818="",C818="",D818="",E818="",F818="",I818="",J818="",K818="",M818=""),"Required link detail missing",IF(COUNTIF($A$4:$A$1003,A818)&gt;1,"Duplicate Map Edge ID",IF(NOT(OR(AND(B818="UC",E818="CAP",D818="requires"),AND(B818="CAP",E818="AIR",D818="provided by"),AND(B818="AIR",OR(E818="MOD",E818="DATA",E818="IF",E818="AG",E818="TOOL"),D818="references"),AND(B818="AIR",E818="AIR",D818="depends on"))),"Invalid relationship",IF(AND(M818&lt;&gt;"Superseded",COUNTIFS($B$4:$B$1003,B818,$C$4:$C$1003,C818,$D$4:$D$1003,D818,$E$4:$E$1003,E818,$F$4:$F$1003,F818,$G$4:$G$1003,G818,$M$4:$M$1003,"&lt;&gt;Superseded")&gt;1),"Duplicate relationship",IF(OR(IF(B818="UC",COUNTIF('Use cases'!$A$4:$A$253,C818),IF(B818="CAP",COUNTIF(Capabilities!$A$4:$A$253,C818),IF(B818="AIR",COUNTIF('System map'!$A$4:$A$203,C818),COUNTIFS(Components!$A$4:$A$253,C818,Components!$B$4:$B$253,B818))))&lt;&gt;1,IF(E818="UC",COUNTIF('Use cases'!$A$4:$A$253,F818),IF(E818="CAP",COUNTIF(Capabilities!$A$4:$A$253,F818),IF(E818="AIR",COUNTIF('System map'!$A$4:$A$203,F818),COUNTIFS(Components!$A$4:$A$253,F818,Components!$B$4:$B$253,E818))))&lt;&gt;1),"Endpoint missing or duplicated",IF(AND(NOT(AND(B818="UC",E818="CAP")),OR(G818="",COUNTIF('System map'!$A$4:$A$203,G818)&lt;&gt;1)),"AIR context missing / unknown",IF(AND(B818="CAP",E818="AIR",G818&lt;&gt;F818),"AIR context mismatch",IF(AND(B818="AIR",G818&lt;&gt;C818),"AIR context mismatch",IF(AND(B818="AIR",E818="AIR",C818=F818),"Self-dependency",IF(AND(B818="AIR",E818="AIR",M818&lt;&gt;"Superseded",COUNTIFS($B$4:$B$1003,"AIR",$C$4:$C$1003,F818,$E$4:$E$1003,"AIR",$F$4:$F$1003,C818,$M$4:$M$1003,"&lt;&gt;Superseded")&gt;0),"Dependency cycle (A↔B) — review",IF(AND(B818="AIR",OR(E818="MOD",E818="DATA",E818="IF",E818="AG",E818="TOOL"),IFERROR(INDEX(Components!$G$4:$G$253,MATCH(F818,Components!$A$4:$A$253,0)),"")&lt;&gt;"",IFERROR(INDEX(Components!$G$4:$G$253,MATCH(F818,Components!$A$4:$A$253,0)),"")&lt;&gt;C818),"Component owned by another AIR-ID",IF(AND(M818="Confirmed",OR(IF(B818="UC",COUNTIFS('Use cases'!$A$4:$A$253,C818,'Use cases'!$I$4:$I$253,"Confirmed",'Use cases'!$J$4:$J$253,"OK — verify source"),IF(B818="CAP",COUNTIFS(Capabilities!$A$4:$A$253,C818,Capabilities!$J$4:$J$253,"Confirmed",Capabilities!$K$4:$K$253,"OK — verify source"),IF(B818="AIR",COUNTIFS('System map'!$A$4:$A$203,C818,'System map'!$B$4:$B$203,"&lt;&gt;",'System map'!$C$4:$C$203,"&lt;&gt;",'System map'!$D$4:$D$203,"&lt;&gt;"),COUNTIFS(Components!$A$4:$A$253,C818,Components!$B$4:$B$253,B818,Components!$K$4:$K$253,"Confirmed",Components!$L$4:$L$253,"OK — verify source"))))&lt;&gt;1,IF(E818="UC",COUNTIFS('Use cases'!$A$4:$A$253,F818,'Use cases'!$I$4:$I$253,"Confirmed",'Use cases'!$J$4:$J$253,"OK — verify source"),IF(E818="CAP",COUNTIFS(Capabilities!$A$4:$A$253,F818,Capabilities!$J$4:$J$253,"Confirmed",Capabilities!$K$4:$K$253,"OK — verify source"),IF(E818="AIR",COUNTIFS('System map'!$A$4:$A$203,F818,'System map'!$B$4:$B$203,"&lt;&gt;",'System map'!$C$4:$C$203,"&lt;&gt;",'System map'!$D$4:$D$203,"&lt;&gt;"),COUNTIFS(Components!$A$4:$A$253,F818,Components!$B$4:$B$253,E818,Components!$K$4:$K$253,"Confirmed",Components!$L$4:$L$253,"OK — verify source"))))&lt;&gt;1)),"Endpoint not source-reconciled",IF(AND(M818="Confirmed",OR(L818="",K818="",K818="Unknown",K818="Low")),"Confirmed link lacks verification","OK — verify source"))))))))))))))</f>
        <v/>
      </c>
    </row>
    <row r="819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8" t="n"/>
      <c r="M819" s="27" t="n"/>
      <c r="N819" s="27">
        <f>IF(COUNTA(A819:M819)=0,"",IF(OR(A819="",B819="",C819="",D819="",E819="",F819="",I819="",J819="",K819="",M819=""),"Required link detail missing",IF(COUNTIF($A$4:$A$1003,A819)&gt;1,"Duplicate Map Edge ID",IF(NOT(OR(AND(B819="UC",E819="CAP",D819="requires"),AND(B819="CAP",E819="AIR",D819="provided by"),AND(B819="AIR",OR(E819="MOD",E819="DATA",E819="IF",E819="AG",E819="TOOL"),D819="references"),AND(B819="AIR",E819="AIR",D819="depends on"))),"Invalid relationship",IF(AND(M819&lt;&gt;"Superseded",COUNTIFS($B$4:$B$1003,B819,$C$4:$C$1003,C819,$D$4:$D$1003,D819,$E$4:$E$1003,E819,$F$4:$F$1003,F819,$G$4:$G$1003,G819,$M$4:$M$1003,"&lt;&gt;Superseded")&gt;1),"Duplicate relationship",IF(OR(IF(B819="UC",COUNTIF('Use cases'!$A$4:$A$253,C819),IF(B819="CAP",COUNTIF(Capabilities!$A$4:$A$253,C819),IF(B819="AIR",COUNTIF('System map'!$A$4:$A$203,C819),COUNTIFS(Components!$A$4:$A$253,C819,Components!$B$4:$B$253,B819))))&lt;&gt;1,IF(E819="UC",COUNTIF('Use cases'!$A$4:$A$253,F819),IF(E819="CAP",COUNTIF(Capabilities!$A$4:$A$253,F819),IF(E819="AIR",COUNTIF('System map'!$A$4:$A$203,F819),COUNTIFS(Components!$A$4:$A$253,F819,Components!$B$4:$B$253,E819))))&lt;&gt;1),"Endpoint missing or duplicated",IF(AND(NOT(AND(B819="UC",E819="CAP")),OR(G819="",COUNTIF('System map'!$A$4:$A$203,G819)&lt;&gt;1)),"AIR context missing / unknown",IF(AND(B819="CAP",E819="AIR",G819&lt;&gt;F819),"AIR context mismatch",IF(AND(B819="AIR",G819&lt;&gt;C819),"AIR context mismatch",IF(AND(B819="AIR",E819="AIR",C819=F819),"Self-dependency",IF(AND(B819="AIR",E819="AIR",M819&lt;&gt;"Superseded",COUNTIFS($B$4:$B$1003,"AIR",$C$4:$C$1003,F819,$E$4:$E$1003,"AIR",$F$4:$F$1003,C819,$M$4:$M$1003,"&lt;&gt;Superseded")&gt;0),"Dependency cycle (A↔B) — review",IF(AND(B819="AIR",OR(E819="MOD",E819="DATA",E819="IF",E819="AG",E819="TOOL"),IFERROR(INDEX(Components!$G$4:$G$253,MATCH(F819,Components!$A$4:$A$253,0)),"")&lt;&gt;"",IFERROR(INDEX(Components!$G$4:$G$253,MATCH(F819,Components!$A$4:$A$253,0)),"")&lt;&gt;C819),"Component owned by another AIR-ID",IF(AND(M819="Confirmed",OR(IF(B819="UC",COUNTIFS('Use cases'!$A$4:$A$253,C819,'Use cases'!$I$4:$I$253,"Confirmed",'Use cases'!$J$4:$J$253,"OK — verify source"),IF(B819="CAP",COUNTIFS(Capabilities!$A$4:$A$253,C819,Capabilities!$J$4:$J$253,"Confirmed",Capabilities!$K$4:$K$253,"OK — verify source"),IF(B819="AIR",COUNTIFS('System map'!$A$4:$A$203,C819,'System map'!$B$4:$B$203,"&lt;&gt;",'System map'!$C$4:$C$203,"&lt;&gt;",'System map'!$D$4:$D$203,"&lt;&gt;"),COUNTIFS(Components!$A$4:$A$253,C819,Components!$B$4:$B$253,B819,Components!$K$4:$K$253,"Confirmed",Components!$L$4:$L$253,"OK — verify source"))))&lt;&gt;1,IF(E819="UC",COUNTIFS('Use cases'!$A$4:$A$253,F819,'Use cases'!$I$4:$I$253,"Confirmed",'Use cases'!$J$4:$J$253,"OK — verify source"),IF(E819="CAP",COUNTIFS(Capabilities!$A$4:$A$253,F819,Capabilities!$J$4:$J$253,"Confirmed",Capabilities!$K$4:$K$253,"OK — verify source"),IF(E819="AIR",COUNTIFS('System map'!$A$4:$A$203,F819,'System map'!$B$4:$B$203,"&lt;&gt;",'System map'!$C$4:$C$203,"&lt;&gt;",'System map'!$D$4:$D$203,"&lt;&gt;"),COUNTIFS(Components!$A$4:$A$253,F819,Components!$B$4:$B$253,E819,Components!$K$4:$K$253,"Confirmed",Components!$L$4:$L$253,"OK — verify source"))))&lt;&gt;1)),"Endpoint not source-reconciled",IF(AND(M819="Confirmed",OR(L819="",K819="",K819="Unknown",K819="Low")),"Confirmed link lacks verification","OK — verify source"))))))))))))))</f>
        <v/>
      </c>
    </row>
    <row r="820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6" t="n"/>
      <c r="M820" s="25" t="n"/>
      <c r="N820" s="25">
        <f>IF(COUNTA(A820:M820)=0,"",IF(OR(A820="",B820="",C820="",D820="",E820="",F820="",I820="",J820="",K820="",M820=""),"Required link detail missing",IF(COUNTIF($A$4:$A$1003,A820)&gt;1,"Duplicate Map Edge ID",IF(NOT(OR(AND(B820="UC",E820="CAP",D820="requires"),AND(B820="CAP",E820="AIR",D820="provided by"),AND(B820="AIR",OR(E820="MOD",E820="DATA",E820="IF",E820="AG",E820="TOOL"),D820="references"),AND(B820="AIR",E820="AIR",D820="depends on"))),"Invalid relationship",IF(AND(M820&lt;&gt;"Superseded",COUNTIFS($B$4:$B$1003,B820,$C$4:$C$1003,C820,$D$4:$D$1003,D820,$E$4:$E$1003,E820,$F$4:$F$1003,F820,$G$4:$G$1003,G820,$M$4:$M$1003,"&lt;&gt;Superseded")&gt;1),"Duplicate relationship",IF(OR(IF(B820="UC",COUNTIF('Use cases'!$A$4:$A$253,C820),IF(B820="CAP",COUNTIF(Capabilities!$A$4:$A$253,C820),IF(B820="AIR",COUNTIF('System map'!$A$4:$A$203,C820),COUNTIFS(Components!$A$4:$A$253,C820,Components!$B$4:$B$253,B820))))&lt;&gt;1,IF(E820="UC",COUNTIF('Use cases'!$A$4:$A$253,F820),IF(E820="CAP",COUNTIF(Capabilities!$A$4:$A$253,F820),IF(E820="AIR",COUNTIF('System map'!$A$4:$A$203,F820),COUNTIFS(Components!$A$4:$A$253,F820,Components!$B$4:$B$253,E820))))&lt;&gt;1),"Endpoint missing or duplicated",IF(AND(NOT(AND(B820="UC",E820="CAP")),OR(G820="",COUNTIF('System map'!$A$4:$A$203,G820)&lt;&gt;1)),"AIR context missing / unknown",IF(AND(B820="CAP",E820="AIR",G820&lt;&gt;F820),"AIR context mismatch",IF(AND(B820="AIR",G820&lt;&gt;C820),"AIR context mismatch",IF(AND(B820="AIR",E820="AIR",C820=F820),"Self-dependency",IF(AND(B820="AIR",E820="AIR",M820&lt;&gt;"Superseded",COUNTIFS($B$4:$B$1003,"AIR",$C$4:$C$1003,F820,$E$4:$E$1003,"AIR",$F$4:$F$1003,C820,$M$4:$M$1003,"&lt;&gt;Superseded")&gt;0),"Dependency cycle (A↔B) — review",IF(AND(B820="AIR",OR(E820="MOD",E820="DATA",E820="IF",E820="AG",E820="TOOL"),IFERROR(INDEX(Components!$G$4:$G$253,MATCH(F820,Components!$A$4:$A$253,0)),"")&lt;&gt;"",IFERROR(INDEX(Components!$G$4:$G$253,MATCH(F820,Components!$A$4:$A$253,0)),"")&lt;&gt;C820),"Component owned by another AIR-ID",IF(AND(M820="Confirmed",OR(IF(B820="UC",COUNTIFS('Use cases'!$A$4:$A$253,C820,'Use cases'!$I$4:$I$253,"Confirmed",'Use cases'!$J$4:$J$253,"OK — verify source"),IF(B820="CAP",COUNTIFS(Capabilities!$A$4:$A$253,C820,Capabilities!$J$4:$J$253,"Confirmed",Capabilities!$K$4:$K$253,"OK — verify source"),IF(B820="AIR",COUNTIFS('System map'!$A$4:$A$203,C820,'System map'!$B$4:$B$203,"&lt;&gt;",'System map'!$C$4:$C$203,"&lt;&gt;",'System map'!$D$4:$D$203,"&lt;&gt;"),COUNTIFS(Components!$A$4:$A$253,C820,Components!$B$4:$B$253,B820,Components!$K$4:$K$253,"Confirmed",Components!$L$4:$L$253,"OK — verify source"))))&lt;&gt;1,IF(E820="UC",COUNTIFS('Use cases'!$A$4:$A$253,F820,'Use cases'!$I$4:$I$253,"Confirmed",'Use cases'!$J$4:$J$253,"OK — verify source"),IF(E820="CAP",COUNTIFS(Capabilities!$A$4:$A$253,F820,Capabilities!$J$4:$J$253,"Confirmed",Capabilities!$K$4:$K$253,"OK — verify source"),IF(E820="AIR",COUNTIFS('System map'!$A$4:$A$203,F820,'System map'!$B$4:$B$203,"&lt;&gt;",'System map'!$C$4:$C$203,"&lt;&gt;",'System map'!$D$4:$D$203,"&lt;&gt;"),COUNTIFS(Components!$A$4:$A$253,F820,Components!$B$4:$B$253,E820,Components!$K$4:$K$253,"Confirmed",Components!$L$4:$L$253,"OK — verify source"))))&lt;&gt;1)),"Endpoint not source-reconciled",IF(AND(M820="Confirmed",OR(L820="",K820="",K820="Unknown",K820="Low")),"Confirmed link lacks verification","OK — verify source"))))))))))))))</f>
        <v/>
      </c>
    </row>
    <row r="821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8" t="n"/>
      <c r="M821" s="27" t="n"/>
      <c r="N821" s="27">
        <f>IF(COUNTA(A821:M821)=0,"",IF(OR(A821="",B821="",C821="",D821="",E821="",F821="",I821="",J821="",K821="",M821=""),"Required link detail missing",IF(COUNTIF($A$4:$A$1003,A821)&gt;1,"Duplicate Map Edge ID",IF(NOT(OR(AND(B821="UC",E821="CAP",D821="requires"),AND(B821="CAP",E821="AIR",D821="provided by"),AND(B821="AIR",OR(E821="MOD",E821="DATA",E821="IF",E821="AG",E821="TOOL"),D821="references"),AND(B821="AIR",E821="AIR",D821="depends on"))),"Invalid relationship",IF(AND(M821&lt;&gt;"Superseded",COUNTIFS($B$4:$B$1003,B821,$C$4:$C$1003,C821,$D$4:$D$1003,D821,$E$4:$E$1003,E821,$F$4:$F$1003,F821,$G$4:$G$1003,G821,$M$4:$M$1003,"&lt;&gt;Superseded")&gt;1),"Duplicate relationship",IF(OR(IF(B821="UC",COUNTIF('Use cases'!$A$4:$A$253,C821),IF(B821="CAP",COUNTIF(Capabilities!$A$4:$A$253,C821),IF(B821="AIR",COUNTIF('System map'!$A$4:$A$203,C821),COUNTIFS(Components!$A$4:$A$253,C821,Components!$B$4:$B$253,B821))))&lt;&gt;1,IF(E821="UC",COUNTIF('Use cases'!$A$4:$A$253,F821),IF(E821="CAP",COUNTIF(Capabilities!$A$4:$A$253,F821),IF(E821="AIR",COUNTIF('System map'!$A$4:$A$203,F821),COUNTIFS(Components!$A$4:$A$253,F821,Components!$B$4:$B$253,E821))))&lt;&gt;1),"Endpoint missing or duplicated",IF(AND(NOT(AND(B821="UC",E821="CAP")),OR(G821="",COUNTIF('System map'!$A$4:$A$203,G821)&lt;&gt;1)),"AIR context missing / unknown",IF(AND(B821="CAP",E821="AIR",G821&lt;&gt;F821),"AIR context mismatch",IF(AND(B821="AIR",G821&lt;&gt;C821),"AIR context mismatch",IF(AND(B821="AIR",E821="AIR",C821=F821),"Self-dependency",IF(AND(B821="AIR",E821="AIR",M821&lt;&gt;"Superseded",COUNTIFS($B$4:$B$1003,"AIR",$C$4:$C$1003,F821,$E$4:$E$1003,"AIR",$F$4:$F$1003,C821,$M$4:$M$1003,"&lt;&gt;Superseded")&gt;0),"Dependency cycle (A↔B) — review",IF(AND(B821="AIR",OR(E821="MOD",E821="DATA",E821="IF",E821="AG",E821="TOOL"),IFERROR(INDEX(Components!$G$4:$G$253,MATCH(F821,Components!$A$4:$A$253,0)),"")&lt;&gt;"",IFERROR(INDEX(Components!$G$4:$G$253,MATCH(F821,Components!$A$4:$A$253,0)),"")&lt;&gt;C821),"Component owned by another AIR-ID",IF(AND(M821="Confirmed",OR(IF(B821="UC",COUNTIFS('Use cases'!$A$4:$A$253,C821,'Use cases'!$I$4:$I$253,"Confirmed",'Use cases'!$J$4:$J$253,"OK — verify source"),IF(B821="CAP",COUNTIFS(Capabilities!$A$4:$A$253,C821,Capabilities!$J$4:$J$253,"Confirmed",Capabilities!$K$4:$K$253,"OK — verify source"),IF(B821="AIR",COUNTIFS('System map'!$A$4:$A$203,C821,'System map'!$B$4:$B$203,"&lt;&gt;",'System map'!$C$4:$C$203,"&lt;&gt;",'System map'!$D$4:$D$203,"&lt;&gt;"),COUNTIFS(Components!$A$4:$A$253,C821,Components!$B$4:$B$253,B821,Components!$K$4:$K$253,"Confirmed",Components!$L$4:$L$253,"OK — verify source"))))&lt;&gt;1,IF(E821="UC",COUNTIFS('Use cases'!$A$4:$A$253,F821,'Use cases'!$I$4:$I$253,"Confirmed",'Use cases'!$J$4:$J$253,"OK — verify source"),IF(E821="CAP",COUNTIFS(Capabilities!$A$4:$A$253,F821,Capabilities!$J$4:$J$253,"Confirmed",Capabilities!$K$4:$K$253,"OK — verify source"),IF(E821="AIR",COUNTIFS('System map'!$A$4:$A$203,F821,'System map'!$B$4:$B$203,"&lt;&gt;",'System map'!$C$4:$C$203,"&lt;&gt;",'System map'!$D$4:$D$203,"&lt;&gt;"),COUNTIFS(Components!$A$4:$A$253,F821,Components!$B$4:$B$253,E821,Components!$K$4:$K$253,"Confirmed",Components!$L$4:$L$253,"OK — verify source"))))&lt;&gt;1)),"Endpoint not source-reconciled",IF(AND(M821="Confirmed",OR(L821="",K821="",K821="Unknown",K821="Low")),"Confirmed link lacks verification","OK — verify source"))))))))))))))</f>
        <v/>
      </c>
    </row>
    <row r="822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6" t="n"/>
      <c r="M822" s="25" t="n"/>
      <c r="N822" s="25">
        <f>IF(COUNTA(A822:M822)=0,"",IF(OR(A822="",B822="",C822="",D822="",E822="",F822="",I822="",J822="",K822="",M822=""),"Required link detail missing",IF(COUNTIF($A$4:$A$1003,A822)&gt;1,"Duplicate Map Edge ID",IF(NOT(OR(AND(B822="UC",E822="CAP",D822="requires"),AND(B822="CAP",E822="AIR",D822="provided by"),AND(B822="AIR",OR(E822="MOD",E822="DATA",E822="IF",E822="AG",E822="TOOL"),D822="references"),AND(B822="AIR",E822="AIR",D822="depends on"))),"Invalid relationship",IF(AND(M822&lt;&gt;"Superseded",COUNTIFS($B$4:$B$1003,B822,$C$4:$C$1003,C822,$D$4:$D$1003,D822,$E$4:$E$1003,E822,$F$4:$F$1003,F822,$G$4:$G$1003,G822,$M$4:$M$1003,"&lt;&gt;Superseded")&gt;1),"Duplicate relationship",IF(OR(IF(B822="UC",COUNTIF('Use cases'!$A$4:$A$253,C822),IF(B822="CAP",COUNTIF(Capabilities!$A$4:$A$253,C822),IF(B822="AIR",COUNTIF('System map'!$A$4:$A$203,C822),COUNTIFS(Components!$A$4:$A$253,C822,Components!$B$4:$B$253,B822))))&lt;&gt;1,IF(E822="UC",COUNTIF('Use cases'!$A$4:$A$253,F822),IF(E822="CAP",COUNTIF(Capabilities!$A$4:$A$253,F822),IF(E822="AIR",COUNTIF('System map'!$A$4:$A$203,F822),COUNTIFS(Components!$A$4:$A$253,F822,Components!$B$4:$B$253,E822))))&lt;&gt;1),"Endpoint missing or duplicated",IF(AND(NOT(AND(B822="UC",E822="CAP")),OR(G822="",COUNTIF('System map'!$A$4:$A$203,G822)&lt;&gt;1)),"AIR context missing / unknown",IF(AND(B822="CAP",E822="AIR",G822&lt;&gt;F822),"AIR context mismatch",IF(AND(B822="AIR",G822&lt;&gt;C822),"AIR context mismatch",IF(AND(B822="AIR",E822="AIR",C822=F822),"Self-dependency",IF(AND(B822="AIR",E822="AIR",M822&lt;&gt;"Superseded",COUNTIFS($B$4:$B$1003,"AIR",$C$4:$C$1003,F822,$E$4:$E$1003,"AIR",$F$4:$F$1003,C822,$M$4:$M$1003,"&lt;&gt;Superseded")&gt;0),"Dependency cycle (A↔B) — review",IF(AND(B822="AIR",OR(E822="MOD",E822="DATA",E822="IF",E822="AG",E822="TOOL"),IFERROR(INDEX(Components!$G$4:$G$253,MATCH(F822,Components!$A$4:$A$253,0)),"")&lt;&gt;"",IFERROR(INDEX(Components!$G$4:$G$253,MATCH(F822,Components!$A$4:$A$253,0)),"")&lt;&gt;C822),"Component owned by another AIR-ID",IF(AND(M822="Confirmed",OR(IF(B822="UC",COUNTIFS('Use cases'!$A$4:$A$253,C822,'Use cases'!$I$4:$I$253,"Confirmed",'Use cases'!$J$4:$J$253,"OK — verify source"),IF(B822="CAP",COUNTIFS(Capabilities!$A$4:$A$253,C822,Capabilities!$J$4:$J$253,"Confirmed",Capabilities!$K$4:$K$253,"OK — verify source"),IF(B822="AIR",COUNTIFS('System map'!$A$4:$A$203,C822,'System map'!$B$4:$B$203,"&lt;&gt;",'System map'!$C$4:$C$203,"&lt;&gt;",'System map'!$D$4:$D$203,"&lt;&gt;"),COUNTIFS(Components!$A$4:$A$253,C822,Components!$B$4:$B$253,B822,Components!$K$4:$K$253,"Confirmed",Components!$L$4:$L$253,"OK — verify source"))))&lt;&gt;1,IF(E822="UC",COUNTIFS('Use cases'!$A$4:$A$253,F822,'Use cases'!$I$4:$I$253,"Confirmed",'Use cases'!$J$4:$J$253,"OK — verify source"),IF(E822="CAP",COUNTIFS(Capabilities!$A$4:$A$253,F822,Capabilities!$J$4:$J$253,"Confirmed",Capabilities!$K$4:$K$253,"OK — verify source"),IF(E822="AIR",COUNTIFS('System map'!$A$4:$A$203,F822,'System map'!$B$4:$B$203,"&lt;&gt;",'System map'!$C$4:$C$203,"&lt;&gt;",'System map'!$D$4:$D$203,"&lt;&gt;"),COUNTIFS(Components!$A$4:$A$253,F822,Components!$B$4:$B$253,E822,Components!$K$4:$K$253,"Confirmed",Components!$L$4:$L$253,"OK — verify source"))))&lt;&gt;1)),"Endpoint not source-reconciled",IF(AND(M822="Confirmed",OR(L822="",K822="",K822="Unknown",K822="Low")),"Confirmed link lacks verification","OK — verify source"))))))))))))))</f>
        <v/>
      </c>
    </row>
    <row r="823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8" t="n"/>
      <c r="M823" s="27" t="n"/>
      <c r="N823" s="27">
        <f>IF(COUNTA(A823:M823)=0,"",IF(OR(A823="",B823="",C823="",D823="",E823="",F823="",I823="",J823="",K823="",M823=""),"Required link detail missing",IF(COUNTIF($A$4:$A$1003,A823)&gt;1,"Duplicate Map Edge ID",IF(NOT(OR(AND(B823="UC",E823="CAP",D823="requires"),AND(B823="CAP",E823="AIR",D823="provided by"),AND(B823="AIR",OR(E823="MOD",E823="DATA",E823="IF",E823="AG",E823="TOOL"),D823="references"),AND(B823="AIR",E823="AIR",D823="depends on"))),"Invalid relationship",IF(AND(M823&lt;&gt;"Superseded",COUNTIFS($B$4:$B$1003,B823,$C$4:$C$1003,C823,$D$4:$D$1003,D823,$E$4:$E$1003,E823,$F$4:$F$1003,F823,$G$4:$G$1003,G823,$M$4:$M$1003,"&lt;&gt;Superseded")&gt;1),"Duplicate relationship",IF(OR(IF(B823="UC",COUNTIF('Use cases'!$A$4:$A$253,C823),IF(B823="CAP",COUNTIF(Capabilities!$A$4:$A$253,C823),IF(B823="AIR",COUNTIF('System map'!$A$4:$A$203,C823),COUNTIFS(Components!$A$4:$A$253,C823,Components!$B$4:$B$253,B823))))&lt;&gt;1,IF(E823="UC",COUNTIF('Use cases'!$A$4:$A$253,F823),IF(E823="CAP",COUNTIF(Capabilities!$A$4:$A$253,F823),IF(E823="AIR",COUNTIF('System map'!$A$4:$A$203,F823),COUNTIFS(Components!$A$4:$A$253,F823,Components!$B$4:$B$253,E823))))&lt;&gt;1),"Endpoint missing or duplicated",IF(AND(NOT(AND(B823="UC",E823="CAP")),OR(G823="",COUNTIF('System map'!$A$4:$A$203,G823)&lt;&gt;1)),"AIR context missing / unknown",IF(AND(B823="CAP",E823="AIR",G823&lt;&gt;F823),"AIR context mismatch",IF(AND(B823="AIR",G823&lt;&gt;C823),"AIR context mismatch",IF(AND(B823="AIR",E823="AIR",C823=F823),"Self-dependency",IF(AND(B823="AIR",E823="AIR",M823&lt;&gt;"Superseded",COUNTIFS($B$4:$B$1003,"AIR",$C$4:$C$1003,F823,$E$4:$E$1003,"AIR",$F$4:$F$1003,C823,$M$4:$M$1003,"&lt;&gt;Superseded")&gt;0),"Dependency cycle (A↔B) — review",IF(AND(B823="AIR",OR(E823="MOD",E823="DATA",E823="IF",E823="AG",E823="TOOL"),IFERROR(INDEX(Components!$G$4:$G$253,MATCH(F823,Components!$A$4:$A$253,0)),"")&lt;&gt;"",IFERROR(INDEX(Components!$G$4:$G$253,MATCH(F823,Components!$A$4:$A$253,0)),"")&lt;&gt;C823),"Component owned by another AIR-ID",IF(AND(M823="Confirmed",OR(IF(B823="UC",COUNTIFS('Use cases'!$A$4:$A$253,C823,'Use cases'!$I$4:$I$253,"Confirmed",'Use cases'!$J$4:$J$253,"OK — verify source"),IF(B823="CAP",COUNTIFS(Capabilities!$A$4:$A$253,C823,Capabilities!$J$4:$J$253,"Confirmed",Capabilities!$K$4:$K$253,"OK — verify source"),IF(B823="AIR",COUNTIFS('System map'!$A$4:$A$203,C823,'System map'!$B$4:$B$203,"&lt;&gt;",'System map'!$C$4:$C$203,"&lt;&gt;",'System map'!$D$4:$D$203,"&lt;&gt;"),COUNTIFS(Components!$A$4:$A$253,C823,Components!$B$4:$B$253,B823,Components!$K$4:$K$253,"Confirmed",Components!$L$4:$L$253,"OK — verify source"))))&lt;&gt;1,IF(E823="UC",COUNTIFS('Use cases'!$A$4:$A$253,F823,'Use cases'!$I$4:$I$253,"Confirmed",'Use cases'!$J$4:$J$253,"OK — verify source"),IF(E823="CAP",COUNTIFS(Capabilities!$A$4:$A$253,F823,Capabilities!$J$4:$J$253,"Confirmed",Capabilities!$K$4:$K$253,"OK — verify source"),IF(E823="AIR",COUNTIFS('System map'!$A$4:$A$203,F823,'System map'!$B$4:$B$203,"&lt;&gt;",'System map'!$C$4:$C$203,"&lt;&gt;",'System map'!$D$4:$D$203,"&lt;&gt;"),COUNTIFS(Components!$A$4:$A$253,F823,Components!$B$4:$B$253,E823,Components!$K$4:$K$253,"Confirmed",Components!$L$4:$L$253,"OK — verify source"))))&lt;&gt;1)),"Endpoint not source-reconciled",IF(AND(M823="Confirmed",OR(L823="",K823="",K823="Unknown",K823="Low")),"Confirmed link lacks verification","OK — verify source"))))))))))))))</f>
        <v/>
      </c>
    </row>
    <row r="82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6" t="n"/>
      <c r="M824" s="25" t="n"/>
      <c r="N824" s="25">
        <f>IF(COUNTA(A824:M824)=0,"",IF(OR(A824="",B824="",C824="",D824="",E824="",F824="",I824="",J824="",K824="",M824=""),"Required link detail missing",IF(COUNTIF($A$4:$A$1003,A824)&gt;1,"Duplicate Map Edge ID",IF(NOT(OR(AND(B824="UC",E824="CAP",D824="requires"),AND(B824="CAP",E824="AIR",D824="provided by"),AND(B824="AIR",OR(E824="MOD",E824="DATA",E824="IF",E824="AG",E824="TOOL"),D824="references"),AND(B824="AIR",E824="AIR",D824="depends on"))),"Invalid relationship",IF(AND(M824&lt;&gt;"Superseded",COUNTIFS($B$4:$B$1003,B824,$C$4:$C$1003,C824,$D$4:$D$1003,D824,$E$4:$E$1003,E824,$F$4:$F$1003,F824,$G$4:$G$1003,G824,$M$4:$M$1003,"&lt;&gt;Superseded")&gt;1),"Duplicate relationship",IF(OR(IF(B824="UC",COUNTIF('Use cases'!$A$4:$A$253,C824),IF(B824="CAP",COUNTIF(Capabilities!$A$4:$A$253,C824),IF(B824="AIR",COUNTIF('System map'!$A$4:$A$203,C824),COUNTIFS(Components!$A$4:$A$253,C824,Components!$B$4:$B$253,B824))))&lt;&gt;1,IF(E824="UC",COUNTIF('Use cases'!$A$4:$A$253,F824),IF(E824="CAP",COUNTIF(Capabilities!$A$4:$A$253,F824),IF(E824="AIR",COUNTIF('System map'!$A$4:$A$203,F824),COUNTIFS(Components!$A$4:$A$253,F824,Components!$B$4:$B$253,E824))))&lt;&gt;1),"Endpoint missing or duplicated",IF(AND(NOT(AND(B824="UC",E824="CAP")),OR(G824="",COUNTIF('System map'!$A$4:$A$203,G824)&lt;&gt;1)),"AIR context missing / unknown",IF(AND(B824="CAP",E824="AIR",G824&lt;&gt;F824),"AIR context mismatch",IF(AND(B824="AIR",G824&lt;&gt;C824),"AIR context mismatch",IF(AND(B824="AIR",E824="AIR",C824=F824),"Self-dependency",IF(AND(B824="AIR",E824="AIR",M824&lt;&gt;"Superseded",COUNTIFS($B$4:$B$1003,"AIR",$C$4:$C$1003,F824,$E$4:$E$1003,"AIR",$F$4:$F$1003,C824,$M$4:$M$1003,"&lt;&gt;Superseded")&gt;0),"Dependency cycle (A↔B) — review",IF(AND(B824="AIR",OR(E824="MOD",E824="DATA",E824="IF",E824="AG",E824="TOOL"),IFERROR(INDEX(Components!$G$4:$G$253,MATCH(F824,Components!$A$4:$A$253,0)),"")&lt;&gt;"",IFERROR(INDEX(Components!$G$4:$G$253,MATCH(F824,Components!$A$4:$A$253,0)),"")&lt;&gt;C824),"Component owned by another AIR-ID",IF(AND(M824="Confirmed",OR(IF(B824="UC",COUNTIFS('Use cases'!$A$4:$A$253,C824,'Use cases'!$I$4:$I$253,"Confirmed",'Use cases'!$J$4:$J$253,"OK — verify source"),IF(B824="CAP",COUNTIFS(Capabilities!$A$4:$A$253,C824,Capabilities!$J$4:$J$253,"Confirmed",Capabilities!$K$4:$K$253,"OK — verify source"),IF(B824="AIR",COUNTIFS('System map'!$A$4:$A$203,C824,'System map'!$B$4:$B$203,"&lt;&gt;",'System map'!$C$4:$C$203,"&lt;&gt;",'System map'!$D$4:$D$203,"&lt;&gt;"),COUNTIFS(Components!$A$4:$A$253,C824,Components!$B$4:$B$253,B824,Components!$K$4:$K$253,"Confirmed",Components!$L$4:$L$253,"OK — verify source"))))&lt;&gt;1,IF(E824="UC",COUNTIFS('Use cases'!$A$4:$A$253,F824,'Use cases'!$I$4:$I$253,"Confirmed",'Use cases'!$J$4:$J$253,"OK — verify source"),IF(E824="CAP",COUNTIFS(Capabilities!$A$4:$A$253,F824,Capabilities!$J$4:$J$253,"Confirmed",Capabilities!$K$4:$K$253,"OK — verify source"),IF(E824="AIR",COUNTIFS('System map'!$A$4:$A$203,F824,'System map'!$B$4:$B$203,"&lt;&gt;",'System map'!$C$4:$C$203,"&lt;&gt;",'System map'!$D$4:$D$203,"&lt;&gt;"),COUNTIFS(Components!$A$4:$A$253,F824,Components!$B$4:$B$253,E824,Components!$K$4:$K$253,"Confirmed",Components!$L$4:$L$253,"OK — verify source"))))&lt;&gt;1)),"Endpoint not source-reconciled",IF(AND(M824="Confirmed",OR(L824="",K824="",K824="Unknown",K824="Low")),"Confirmed link lacks verification","OK — verify source"))))))))))))))</f>
        <v/>
      </c>
    </row>
    <row r="825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8" t="n"/>
      <c r="M825" s="27" t="n"/>
      <c r="N825" s="27">
        <f>IF(COUNTA(A825:M825)=0,"",IF(OR(A825="",B825="",C825="",D825="",E825="",F825="",I825="",J825="",K825="",M825=""),"Required link detail missing",IF(COUNTIF($A$4:$A$1003,A825)&gt;1,"Duplicate Map Edge ID",IF(NOT(OR(AND(B825="UC",E825="CAP",D825="requires"),AND(B825="CAP",E825="AIR",D825="provided by"),AND(B825="AIR",OR(E825="MOD",E825="DATA",E825="IF",E825="AG",E825="TOOL"),D825="references"),AND(B825="AIR",E825="AIR",D825="depends on"))),"Invalid relationship",IF(AND(M825&lt;&gt;"Superseded",COUNTIFS($B$4:$B$1003,B825,$C$4:$C$1003,C825,$D$4:$D$1003,D825,$E$4:$E$1003,E825,$F$4:$F$1003,F825,$G$4:$G$1003,G825,$M$4:$M$1003,"&lt;&gt;Superseded")&gt;1),"Duplicate relationship",IF(OR(IF(B825="UC",COUNTIF('Use cases'!$A$4:$A$253,C825),IF(B825="CAP",COUNTIF(Capabilities!$A$4:$A$253,C825),IF(B825="AIR",COUNTIF('System map'!$A$4:$A$203,C825),COUNTIFS(Components!$A$4:$A$253,C825,Components!$B$4:$B$253,B825))))&lt;&gt;1,IF(E825="UC",COUNTIF('Use cases'!$A$4:$A$253,F825),IF(E825="CAP",COUNTIF(Capabilities!$A$4:$A$253,F825),IF(E825="AIR",COUNTIF('System map'!$A$4:$A$203,F825),COUNTIFS(Components!$A$4:$A$253,F825,Components!$B$4:$B$253,E825))))&lt;&gt;1),"Endpoint missing or duplicated",IF(AND(NOT(AND(B825="UC",E825="CAP")),OR(G825="",COUNTIF('System map'!$A$4:$A$203,G825)&lt;&gt;1)),"AIR context missing / unknown",IF(AND(B825="CAP",E825="AIR",G825&lt;&gt;F825),"AIR context mismatch",IF(AND(B825="AIR",G825&lt;&gt;C825),"AIR context mismatch",IF(AND(B825="AIR",E825="AIR",C825=F825),"Self-dependency",IF(AND(B825="AIR",E825="AIR",M825&lt;&gt;"Superseded",COUNTIFS($B$4:$B$1003,"AIR",$C$4:$C$1003,F825,$E$4:$E$1003,"AIR",$F$4:$F$1003,C825,$M$4:$M$1003,"&lt;&gt;Superseded")&gt;0),"Dependency cycle (A↔B) — review",IF(AND(B825="AIR",OR(E825="MOD",E825="DATA",E825="IF",E825="AG",E825="TOOL"),IFERROR(INDEX(Components!$G$4:$G$253,MATCH(F825,Components!$A$4:$A$253,0)),"")&lt;&gt;"",IFERROR(INDEX(Components!$G$4:$G$253,MATCH(F825,Components!$A$4:$A$253,0)),"")&lt;&gt;C825),"Component owned by another AIR-ID",IF(AND(M825="Confirmed",OR(IF(B825="UC",COUNTIFS('Use cases'!$A$4:$A$253,C825,'Use cases'!$I$4:$I$253,"Confirmed",'Use cases'!$J$4:$J$253,"OK — verify source"),IF(B825="CAP",COUNTIFS(Capabilities!$A$4:$A$253,C825,Capabilities!$J$4:$J$253,"Confirmed",Capabilities!$K$4:$K$253,"OK — verify source"),IF(B825="AIR",COUNTIFS('System map'!$A$4:$A$203,C825,'System map'!$B$4:$B$203,"&lt;&gt;",'System map'!$C$4:$C$203,"&lt;&gt;",'System map'!$D$4:$D$203,"&lt;&gt;"),COUNTIFS(Components!$A$4:$A$253,C825,Components!$B$4:$B$253,B825,Components!$K$4:$K$253,"Confirmed",Components!$L$4:$L$253,"OK — verify source"))))&lt;&gt;1,IF(E825="UC",COUNTIFS('Use cases'!$A$4:$A$253,F825,'Use cases'!$I$4:$I$253,"Confirmed",'Use cases'!$J$4:$J$253,"OK — verify source"),IF(E825="CAP",COUNTIFS(Capabilities!$A$4:$A$253,F825,Capabilities!$J$4:$J$253,"Confirmed",Capabilities!$K$4:$K$253,"OK — verify source"),IF(E825="AIR",COUNTIFS('System map'!$A$4:$A$203,F825,'System map'!$B$4:$B$203,"&lt;&gt;",'System map'!$C$4:$C$203,"&lt;&gt;",'System map'!$D$4:$D$203,"&lt;&gt;"),COUNTIFS(Components!$A$4:$A$253,F825,Components!$B$4:$B$253,E825,Components!$K$4:$K$253,"Confirmed",Components!$L$4:$L$253,"OK — verify source"))))&lt;&gt;1)),"Endpoint not source-reconciled",IF(AND(M825="Confirmed",OR(L825="",K825="",K825="Unknown",K825="Low")),"Confirmed link lacks verification","OK — verify source"))))))))))))))</f>
        <v/>
      </c>
    </row>
    <row r="826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6" t="n"/>
      <c r="M826" s="25" t="n"/>
      <c r="N826" s="25">
        <f>IF(COUNTA(A826:M826)=0,"",IF(OR(A826="",B826="",C826="",D826="",E826="",F826="",I826="",J826="",K826="",M826=""),"Required link detail missing",IF(COUNTIF($A$4:$A$1003,A826)&gt;1,"Duplicate Map Edge ID",IF(NOT(OR(AND(B826="UC",E826="CAP",D826="requires"),AND(B826="CAP",E826="AIR",D826="provided by"),AND(B826="AIR",OR(E826="MOD",E826="DATA",E826="IF",E826="AG",E826="TOOL"),D826="references"),AND(B826="AIR",E826="AIR",D826="depends on"))),"Invalid relationship",IF(AND(M826&lt;&gt;"Superseded",COUNTIFS($B$4:$B$1003,B826,$C$4:$C$1003,C826,$D$4:$D$1003,D826,$E$4:$E$1003,E826,$F$4:$F$1003,F826,$G$4:$G$1003,G826,$M$4:$M$1003,"&lt;&gt;Superseded")&gt;1),"Duplicate relationship",IF(OR(IF(B826="UC",COUNTIF('Use cases'!$A$4:$A$253,C826),IF(B826="CAP",COUNTIF(Capabilities!$A$4:$A$253,C826),IF(B826="AIR",COUNTIF('System map'!$A$4:$A$203,C826),COUNTIFS(Components!$A$4:$A$253,C826,Components!$B$4:$B$253,B826))))&lt;&gt;1,IF(E826="UC",COUNTIF('Use cases'!$A$4:$A$253,F826),IF(E826="CAP",COUNTIF(Capabilities!$A$4:$A$253,F826),IF(E826="AIR",COUNTIF('System map'!$A$4:$A$203,F826),COUNTIFS(Components!$A$4:$A$253,F826,Components!$B$4:$B$253,E826))))&lt;&gt;1),"Endpoint missing or duplicated",IF(AND(NOT(AND(B826="UC",E826="CAP")),OR(G826="",COUNTIF('System map'!$A$4:$A$203,G826)&lt;&gt;1)),"AIR context missing / unknown",IF(AND(B826="CAP",E826="AIR",G826&lt;&gt;F826),"AIR context mismatch",IF(AND(B826="AIR",G826&lt;&gt;C826),"AIR context mismatch",IF(AND(B826="AIR",E826="AIR",C826=F826),"Self-dependency",IF(AND(B826="AIR",E826="AIR",M826&lt;&gt;"Superseded",COUNTIFS($B$4:$B$1003,"AIR",$C$4:$C$1003,F826,$E$4:$E$1003,"AIR",$F$4:$F$1003,C826,$M$4:$M$1003,"&lt;&gt;Superseded")&gt;0),"Dependency cycle (A↔B) — review",IF(AND(B826="AIR",OR(E826="MOD",E826="DATA",E826="IF",E826="AG",E826="TOOL"),IFERROR(INDEX(Components!$G$4:$G$253,MATCH(F826,Components!$A$4:$A$253,0)),"")&lt;&gt;"",IFERROR(INDEX(Components!$G$4:$G$253,MATCH(F826,Components!$A$4:$A$253,0)),"")&lt;&gt;C826),"Component owned by another AIR-ID",IF(AND(M826="Confirmed",OR(IF(B826="UC",COUNTIFS('Use cases'!$A$4:$A$253,C826,'Use cases'!$I$4:$I$253,"Confirmed",'Use cases'!$J$4:$J$253,"OK — verify source"),IF(B826="CAP",COUNTIFS(Capabilities!$A$4:$A$253,C826,Capabilities!$J$4:$J$253,"Confirmed",Capabilities!$K$4:$K$253,"OK — verify source"),IF(B826="AIR",COUNTIFS('System map'!$A$4:$A$203,C826,'System map'!$B$4:$B$203,"&lt;&gt;",'System map'!$C$4:$C$203,"&lt;&gt;",'System map'!$D$4:$D$203,"&lt;&gt;"),COUNTIFS(Components!$A$4:$A$253,C826,Components!$B$4:$B$253,B826,Components!$K$4:$K$253,"Confirmed",Components!$L$4:$L$253,"OK — verify source"))))&lt;&gt;1,IF(E826="UC",COUNTIFS('Use cases'!$A$4:$A$253,F826,'Use cases'!$I$4:$I$253,"Confirmed",'Use cases'!$J$4:$J$253,"OK — verify source"),IF(E826="CAP",COUNTIFS(Capabilities!$A$4:$A$253,F826,Capabilities!$J$4:$J$253,"Confirmed",Capabilities!$K$4:$K$253,"OK — verify source"),IF(E826="AIR",COUNTIFS('System map'!$A$4:$A$203,F826,'System map'!$B$4:$B$203,"&lt;&gt;",'System map'!$C$4:$C$203,"&lt;&gt;",'System map'!$D$4:$D$203,"&lt;&gt;"),COUNTIFS(Components!$A$4:$A$253,F826,Components!$B$4:$B$253,E826,Components!$K$4:$K$253,"Confirmed",Components!$L$4:$L$253,"OK — verify source"))))&lt;&gt;1)),"Endpoint not source-reconciled",IF(AND(M826="Confirmed",OR(L826="",K826="",K826="Unknown",K826="Low")),"Confirmed link lacks verification","OK — verify source"))))))))))))))</f>
        <v/>
      </c>
    </row>
    <row r="827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8" t="n"/>
      <c r="M827" s="27" t="n"/>
      <c r="N827" s="27">
        <f>IF(COUNTA(A827:M827)=0,"",IF(OR(A827="",B827="",C827="",D827="",E827="",F827="",I827="",J827="",K827="",M827=""),"Required link detail missing",IF(COUNTIF($A$4:$A$1003,A827)&gt;1,"Duplicate Map Edge ID",IF(NOT(OR(AND(B827="UC",E827="CAP",D827="requires"),AND(B827="CAP",E827="AIR",D827="provided by"),AND(B827="AIR",OR(E827="MOD",E827="DATA",E827="IF",E827="AG",E827="TOOL"),D827="references"),AND(B827="AIR",E827="AIR",D827="depends on"))),"Invalid relationship",IF(AND(M827&lt;&gt;"Superseded",COUNTIFS($B$4:$B$1003,B827,$C$4:$C$1003,C827,$D$4:$D$1003,D827,$E$4:$E$1003,E827,$F$4:$F$1003,F827,$G$4:$G$1003,G827,$M$4:$M$1003,"&lt;&gt;Superseded")&gt;1),"Duplicate relationship",IF(OR(IF(B827="UC",COUNTIF('Use cases'!$A$4:$A$253,C827),IF(B827="CAP",COUNTIF(Capabilities!$A$4:$A$253,C827),IF(B827="AIR",COUNTIF('System map'!$A$4:$A$203,C827),COUNTIFS(Components!$A$4:$A$253,C827,Components!$B$4:$B$253,B827))))&lt;&gt;1,IF(E827="UC",COUNTIF('Use cases'!$A$4:$A$253,F827),IF(E827="CAP",COUNTIF(Capabilities!$A$4:$A$253,F827),IF(E827="AIR",COUNTIF('System map'!$A$4:$A$203,F827),COUNTIFS(Components!$A$4:$A$253,F827,Components!$B$4:$B$253,E827))))&lt;&gt;1),"Endpoint missing or duplicated",IF(AND(NOT(AND(B827="UC",E827="CAP")),OR(G827="",COUNTIF('System map'!$A$4:$A$203,G827)&lt;&gt;1)),"AIR context missing / unknown",IF(AND(B827="CAP",E827="AIR",G827&lt;&gt;F827),"AIR context mismatch",IF(AND(B827="AIR",G827&lt;&gt;C827),"AIR context mismatch",IF(AND(B827="AIR",E827="AIR",C827=F827),"Self-dependency",IF(AND(B827="AIR",E827="AIR",M827&lt;&gt;"Superseded",COUNTIFS($B$4:$B$1003,"AIR",$C$4:$C$1003,F827,$E$4:$E$1003,"AIR",$F$4:$F$1003,C827,$M$4:$M$1003,"&lt;&gt;Superseded")&gt;0),"Dependency cycle (A↔B) — review",IF(AND(B827="AIR",OR(E827="MOD",E827="DATA",E827="IF",E827="AG",E827="TOOL"),IFERROR(INDEX(Components!$G$4:$G$253,MATCH(F827,Components!$A$4:$A$253,0)),"")&lt;&gt;"",IFERROR(INDEX(Components!$G$4:$G$253,MATCH(F827,Components!$A$4:$A$253,0)),"")&lt;&gt;C827),"Component owned by another AIR-ID",IF(AND(M827="Confirmed",OR(IF(B827="UC",COUNTIFS('Use cases'!$A$4:$A$253,C827,'Use cases'!$I$4:$I$253,"Confirmed",'Use cases'!$J$4:$J$253,"OK — verify source"),IF(B827="CAP",COUNTIFS(Capabilities!$A$4:$A$253,C827,Capabilities!$J$4:$J$253,"Confirmed",Capabilities!$K$4:$K$253,"OK — verify source"),IF(B827="AIR",COUNTIFS('System map'!$A$4:$A$203,C827,'System map'!$B$4:$B$203,"&lt;&gt;",'System map'!$C$4:$C$203,"&lt;&gt;",'System map'!$D$4:$D$203,"&lt;&gt;"),COUNTIFS(Components!$A$4:$A$253,C827,Components!$B$4:$B$253,B827,Components!$K$4:$K$253,"Confirmed",Components!$L$4:$L$253,"OK — verify source"))))&lt;&gt;1,IF(E827="UC",COUNTIFS('Use cases'!$A$4:$A$253,F827,'Use cases'!$I$4:$I$253,"Confirmed",'Use cases'!$J$4:$J$253,"OK — verify source"),IF(E827="CAP",COUNTIFS(Capabilities!$A$4:$A$253,F827,Capabilities!$J$4:$J$253,"Confirmed",Capabilities!$K$4:$K$253,"OK — verify source"),IF(E827="AIR",COUNTIFS('System map'!$A$4:$A$203,F827,'System map'!$B$4:$B$203,"&lt;&gt;",'System map'!$C$4:$C$203,"&lt;&gt;",'System map'!$D$4:$D$203,"&lt;&gt;"),COUNTIFS(Components!$A$4:$A$253,F827,Components!$B$4:$B$253,E827,Components!$K$4:$K$253,"Confirmed",Components!$L$4:$L$253,"OK — verify source"))))&lt;&gt;1)),"Endpoint not source-reconciled",IF(AND(M827="Confirmed",OR(L827="",K827="",K827="Unknown",K827="Low")),"Confirmed link lacks verification","OK — verify source"))))))))))))))</f>
        <v/>
      </c>
    </row>
    <row r="828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6" t="n"/>
      <c r="M828" s="25" t="n"/>
      <c r="N828" s="25">
        <f>IF(COUNTA(A828:M828)=0,"",IF(OR(A828="",B828="",C828="",D828="",E828="",F828="",I828="",J828="",K828="",M828=""),"Required link detail missing",IF(COUNTIF($A$4:$A$1003,A828)&gt;1,"Duplicate Map Edge ID",IF(NOT(OR(AND(B828="UC",E828="CAP",D828="requires"),AND(B828="CAP",E828="AIR",D828="provided by"),AND(B828="AIR",OR(E828="MOD",E828="DATA",E828="IF",E828="AG",E828="TOOL"),D828="references"),AND(B828="AIR",E828="AIR",D828="depends on"))),"Invalid relationship",IF(AND(M828&lt;&gt;"Superseded",COUNTIFS($B$4:$B$1003,B828,$C$4:$C$1003,C828,$D$4:$D$1003,D828,$E$4:$E$1003,E828,$F$4:$F$1003,F828,$G$4:$G$1003,G828,$M$4:$M$1003,"&lt;&gt;Superseded")&gt;1),"Duplicate relationship",IF(OR(IF(B828="UC",COUNTIF('Use cases'!$A$4:$A$253,C828),IF(B828="CAP",COUNTIF(Capabilities!$A$4:$A$253,C828),IF(B828="AIR",COUNTIF('System map'!$A$4:$A$203,C828),COUNTIFS(Components!$A$4:$A$253,C828,Components!$B$4:$B$253,B828))))&lt;&gt;1,IF(E828="UC",COUNTIF('Use cases'!$A$4:$A$253,F828),IF(E828="CAP",COUNTIF(Capabilities!$A$4:$A$253,F828),IF(E828="AIR",COUNTIF('System map'!$A$4:$A$203,F828),COUNTIFS(Components!$A$4:$A$253,F828,Components!$B$4:$B$253,E828))))&lt;&gt;1),"Endpoint missing or duplicated",IF(AND(NOT(AND(B828="UC",E828="CAP")),OR(G828="",COUNTIF('System map'!$A$4:$A$203,G828)&lt;&gt;1)),"AIR context missing / unknown",IF(AND(B828="CAP",E828="AIR",G828&lt;&gt;F828),"AIR context mismatch",IF(AND(B828="AIR",G828&lt;&gt;C828),"AIR context mismatch",IF(AND(B828="AIR",E828="AIR",C828=F828),"Self-dependency",IF(AND(B828="AIR",E828="AIR",M828&lt;&gt;"Superseded",COUNTIFS($B$4:$B$1003,"AIR",$C$4:$C$1003,F828,$E$4:$E$1003,"AIR",$F$4:$F$1003,C828,$M$4:$M$1003,"&lt;&gt;Superseded")&gt;0),"Dependency cycle (A↔B) — review",IF(AND(B828="AIR",OR(E828="MOD",E828="DATA",E828="IF",E828="AG",E828="TOOL"),IFERROR(INDEX(Components!$G$4:$G$253,MATCH(F828,Components!$A$4:$A$253,0)),"")&lt;&gt;"",IFERROR(INDEX(Components!$G$4:$G$253,MATCH(F828,Components!$A$4:$A$253,0)),"")&lt;&gt;C828),"Component owned by another AIR-ID",IF(AND(M828="Confirmed",OR(IF(B828="UC",COUNTIFS('Use cases'!$A$4:$A$253,C828,'Use cases'!$I$4:$I$253,"Confirmed",'Use cases'!$J$4:$J$253,"OK — verify source"),IF(B828="CAP",COUNTIFS(Capabilities!$A$4:$A$253,C828,Capabilities!$J$4:$J$253,"Confirmed",Capabilities!$K$4:$K$253,"OK — verify source"),IF(B828="AIR",COUNTIFS('System map'!$A$4:$A$203,C828,'System map'!$B$4:$B$203,"&lt;&gt;",'System map'!$C$4:$C$203,"&lt;&gt;",'System map'!$D$4:$D$203,"&lt;&gt;"),COUNTIFS(Components!$A$4:$A$253,C828,Components!$B$4:$B$253,B828,Components!$K$4:$K$253,"Confirmed",Components!$L$4:$L$253,"OK — verify source"))))&lt;&gt;1,IF(E828="UC",COUNTIFS('Use cases'!$A$4:$A$253,F828,'Use cases'!$I$4:$I$253,"Confirmed",'Use cases'!$J$4:$J$253,"OK — verify source"),IF(E828="CAP",COUNTIFS(Capabilities!$A$4:$A$253,F828,Capabilities!$J$4:$J$253,"Confirmed",Capabilities!$K$4:$K$253,"OK — verify source"),IF(E828="AIR",COUNTIFS('System map'!$A$4:$A$203,F828,'System map'!$B$4:$B$203,"&lt;&gt;",'System map'!$C$4:$C$203,"&lt;&gt;",'System map'!$D$4:$D$203,"&lt;&gt;"),COUNTIFS(Components!$A$4:$A$253,F828,Components!$B$4:$B$253,E828,Components!$K$4:$K$253,"Confirmed",Components!$L$4:$L$253,"OK — verify source"))))&lt;&gt;1)),"Endpoint not source-reconciled",IF(AND(M828="Confirmed",OR(L828="",K828="",K828="Unknown",K828="Low")),"Confirmed link lacks verification","OK — verify source"))))))))))))))</f>
        <v/>
      </c>
    </row>
    <row r="829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8" t="n"/>
      <c r="M829" s="27" t="n"/>
      <c r="N829" s="27">
        <f>IF(COUNTA(A829:M829)=0,"",IF(OR(A829="",B829="",C829="",D829="",E829="",F829="",I829="",J829="",K829="",M829=""),"Required link detail missing",IF(COUNTIF($A$4:$A$1003,A829)&gt;1,"Duplicate Map Edge ID",IF(NOT(OR(AND(B829="UC",E829="CAP",D829="requires"),AND(B829="CAP",E829="AIR",D829="provided by"),AND(B829="AIR",OR(E829="MOD",E829="DATA",E829="IF",E829="AG",E829="TOOL"),D829="references"),AND(B829="AIR",E829="AIR",D829="depends on"))),"Invalid relationship",IF(AND(M829&lt;&gt;"Superseded",COUNTIFS($B$4:$B$1003,B829,$C$4:$C$1003,C829,$D$4:$D$1003,D829,$E$4:$E$1003,E829,$F$4:$F$1003,F829,$G$4:$G$1003,G829,$M$4:$M$1003,"&lt;&gt;Superseded")&gt;1),"Duplicate relationship",IF(OR(IF(B829="UC",COUNTIF('Use cases'!$A$4:$A$253,C829),IF(B829="CAP",COUNTIF(Capabilities!$A$4:$A$253,C829),IF(B829="AIR",COUNTIF('System map'!$A$4:$A$203,C829),COUNTIFS(Components!$A$4:$A$253,C829,Components!$B$4:$B$253,B829))))&lt;&gt;1,IF(E829="UC",COUNTIF('Use cases'!$A$4:$A$253,F829),IF(E829="CAP",COUNTIF(Capabilities!$A$4:$A$253,F829),IF(E829="AIR",COUNTIF('System map'!$A$4:$A$203,F829),COUNTIFS(Components!$A$4:$A$253,F829,Components!$B$4:$B$253,E829))))&lt;&gt;1),"Endpoint missing or duplicated",IF(AND(NOT(AND(B829="UC",E829="CAP")),OR(G829="",COUNTIF('System map'!$A$4:$A$203,G829)&lt;&gt;1)),"AIR context missing / unknown",IF(AND(B829="CAP",E829="AIR",G829&lt;&gt;F829),"AIR context mismatch",IF(AND(B829="AIR",G829&lt;&gt;C829),"AIR context mismatch",IF(AND(B829="AIR",E829="AIR",C829=F829),"Self-dependency",IF(AND(B829="AIR",E829="AIR",M829&lt;&gt;"Superseded",COUNTIFS($B$4:$B$1003,"AIR",$C$4:$C$1003,F829,$E$4:$E$1003,"AIR",$F$4:$F$1003,C829,$M$4:$M$1003,"&lt;&gt;Superseded")&gt;0),"Dependency cycle (A↔B) — review",IF(AND(B829="AIR",OR(E829="MOD",E829="DATA",E829="IF",E829="AG",E829="TOOL"),IFERROR(INDEX(Components!$G$4:$G$253,MATCH(F829,Components!$A$4:$A$253,0)),"")&lt;&gt;"",IFERROR(INDEX(Components!$G$4:$G$253,MATCH(F829,Components!$A$4:$A$253,0)),"")&lt;&gt;C829),"Component owned by another AIR-ID",IF(AND(M829="Confirmed",OR(IF(B829="UC",COUNTIFS('Use cases'!$A$4:$A$253,C829,'Use cases'!$I$4:$I$253,"Confirmed",'Use cases'!$J$4:$J$253,"OK — verify source"),IF(B829="CAP",COUNTIFS(Capabilities!$A$4:$A$253,C829,Capabilities!$J$4:$J$253,"Confirmed",Capabilities!$K$4:$K$253,"OK — verify source"),IF(B829="AIR",COUNTIFS('System map'!$A$4:$A$203,C829,'System map'!$B$4:$B$203,"&lt;&gt;",'System map'!$C$4:$C$203,"&lt;&gt;",'System map'!$D$4:$D$203,"&lt;&gt;"),COUNTIFS(Components!$A$4:$A$253,C829,Components!$B$4:$B$253,B829,Components!$K$4:$K$253,"Confirmed",Components!$L$4:$L$253,"OK — verify source"))))&lt;&gt;1,IF(E829="UC",COUNTIFS('Use cases'!$A$4:$A$253,F829,'Use cases'!$I$4:$I$253,"Confirmed",'Use cases'!$J$4:$J$253,"OK — verify source"),IF(E829="CAP",COUNTIFS(Capabilities!$A$4:$A$253,F829,Capabilities!$J$4:$J$253,"Confirmed",Capabilities!$K$4:$K$253,"OK — verify source"),IF(E829="AIR",COUNTIFS('System map'!$A$4:$A$203,F829,'System map'!$B$4:$B$203,"&lt;&gt;",'System map'!$C$4:$C$203,"&lt;&gt;",'System map'!$D$4:$D$203,"&lt;&gt;"),COUNTIFS(Components!$A$4:$A$253,F829,Components!$B$4:$B$253,E829,Components!$K$4:$K$253,"Confirmed",Components!$L$4:$L$253,"OK — verify source"))))&lt;&gt;1)),"Endpoint not source-reconciled",IF(AND(M829="Confirmed",OR(L829="",K829="",K829="Unknown",K829="Low")),"Confirmed link lacks verification","OK — verify source"))))))))))))))</f>
        <v/>
      </c>
    </row>
    <row r="830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6" t="n"/>
      <c r="M830" s="25" t="n"/>
      <c r="N830" s="25">
        <f>IF(COUNTA(A830:M830)=0,"",IF(OR(A830="",B830="",C830="",D830="",E830="",F830="",I830="",J830="",K830="",M830=""),"Required link detail missing",IF(COUNTIF($A$4:$A$1003,A830)&gt;1,"Duplicate Map Edge ID",IF(NOT(OR(AND(B830="UC",E830="CAP",D830="requires"),AND(B830="CAP",E830="AIR",D830="provided by"),AND(B830="AIR",OR(E830="MOD",E830="DATA",E830="IF",E830="AG",E830="TOOL"),D830="references"),AND(B830="AIR",E830="AIR",D830="depends on"))),"Invalid relationship",IF(AND(M830&lt;&gt;"Superseded",COUNTIFS($B$4:$B$1003,B830,$C$4:$C$1003,C830,$D$4:$D$1003,D830,$E$4:$E$1003,E830,$F$4:$F$1003,F830,$G$4:$G$1003,G830,$M$4:$M$1003,"&lt;&gt;Superseded")&gt;1),"Duplicate relationship",IF(OR(IF(B830="UC",COUNTIF('Use cases'!$A$4:$A$253,C830),IF(B830="CAP",COUNTIF(Capabilities!$A$4:$A$253,C830),IF(B830="AIR",COUNTIF('System map'!$A$4:$A$203,C830),COUNTIFS(Components!$A$4:$A$253,C830,Components!$B$4:$B$253,B830))))&lt;&gt;1,IF(E830="UC",COUNTIF('Use cases'!$A$4:$A$253,F830),IF(E830="CAP",COUNTIF(Capabilities!$A$4:$A$253,F830),IF(E830="AIR",COUNTIF('System map'!$A$4:$A$203,F830),COUNTIFS(Components!$A$4:$A$253,F830,Components!$B$4:$B$253,E830))))&lt;&gt;1),"Endpoint missing or duplicated",IF(AND(NOT(AND(B830="UC",E830="CAP")),OR(G830="",COUNTIF('System map'!$A$4:$A$203,G830)&lt;&gt;1)),"AIR context missing / unknown",IF(AND(B830="CAP",E830="AIR",G830&lt;&gt;F830),"AIR context mismatch",IF(AND(B830="AIR",G830&lt;&gt;C830),"AIR context mismatch",IF(AND(B830="AIR",E830="AIR",C830=F830),"Self-dependency",IF(AND(B830="AIR",E830="AIR",M830&lt;&gt;"Superseded",COUNTIFS($B$4:$B$1003,"AIR",$C$4:$C$1003,F830,$E$4:$E$1003,"AIR",$F$4:$F$1003,C830,$M$4:$M$1003,"&lt;&gt;Superseded")&gt;0),"Dependency cycle (A↔B) — review",IF(AND(B830="AIR",OR(E830="MOD",E830="DATA",E830="IF",E830="AG",E830="TOOL"),IFERROR(INDEX(Components!$G$4:$G$253,MATCH(F830,Components!$A$4:$A$253,0)),"")&lt;&gt;"",IFERROR(INDEX(Components!$G$4:$G$253,MATCH(F830,Components!$A$4:$A$253,0)),"")&lt;&gt;C830),"Component owned by another AIR-ID",IF(AND(M830="Confirmed",OR(IF(B830="UC",COUNTIFS('Use cases'!$A$4:$A$253,C830,'Use cases'!$I$4:$I$253,"Confirmed",'Use cases'!$J$4:$J$253,"OK — verify source"),IF(B830="CAP",COUNTIFS(Capabilities!$A$4:$A$253,C830,Capabilities!$J$4:$J$253,"Confirmed",Capabilities!$K$4:$K$253,"OK — verify source"),IF(B830="AIR",COUNTIFS('System map'!$A$4:$A$203,C830,'System map'!$B$4:$B$203,"&lt;&gt;",'System map'!$C$4:$C$203,"&lt;&gt;",'System map'!$D$4:$D$203,"&lt;&gt;"),COUNTIFS(Components!$A$4:$A$253,C830,Components!$B$4:$B$253,B830,Components!$K$4:$K$253,"Confirmed",Components!$L$4:$L$253,"OK — verify source"))))&lt;&gt;1,IF(E830="UC",COUNTIFS('Use cases'!$A$4:$A$253,F830,'Use cases'!$I$4:$I$253,"Confirmed",'Use cases'!$J$4:$J$253,"OK — verify source"),IF(E830="CAP",COUNTIFS(Capabilities!$A$4:$A$253,F830,Capabilities!$J$4:$J$253,"Confirmed",Capabilities!$K$4:$K$253,"OK — verify source"),IF(E830="AIR",COUNTIFS('System map'!$A$4:$A$203,F830,'System map'!$B$4:$B$203,"&lt;&gt;",'System map'!$C$4:$C$203,"&lt;&gt;",'System map'!$D$4:$D$203,"&lt;&gt;"),COUNTIFS(Components!$A$4:$A$253,F830,Components!$B$4:$B$253,E830,Components!$K$4:$K$253,"Confirmed",Components!$L$4:$L$253,"OK — verify source"))))&lt;&gt;1)),"Endpoint not source-reconciled",IF(AND(M830="Confirmed",OR(L830="",K830="",K830="Unknown",K830="Low")),"Confirmed link lacks verification","OK — verify source"))))))))))))))</f>
        <v/>
      </c>
    </row>
    <row r="831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8" t="n"/>
      <c r="M831" s="27" t="n"/>
      <c r="N831" s="27">
        <f>IF(COUNTA(A831:M831)=0,"",IF(OR(A831="",B831="",C831="",D831="",E831="",F831="",I831="",J831="",K831="",M831=""),"Required link detail missing",IF(COUNTIF($A$4:$A$1003,A831)&gt;1,"Duplicate Map Edge ID",IF(NOT(OR(AND(B831="UC",E831="CAP",D831="requires"),AND(B831="CAP",E831="AIR",D831="provided by"),AND(B831="AIR",OR(E831="MOD",E831="DATA",E831="IF",E831="AG",E831="TOOL"),D831="references"),AND(B831="AIR",E831="AIR",D831="depends on"))),"Invalid relationship",IF(AND(M831&lt;&gt;"Superseded",COUNTIFS($B$4:$B$1003,B831,$C$4:$C$1003,C831,$D$4:$D$1003,D831,$E$4:$E$1003,E831,$F$4:$F$1003,F831,$G$4:$G$1003,G831,$M$4:$M$1003,"&lt;&gt;Superseded")&gt;1),"Duplicate relationship",IF(OR(IF(B831="UC",COUNTIF('Use cases'!$A$4:$A$253,C831),IF(B831="CAP",COUNTIF(Capabilities!$A$4:$A$253,C831),IF(B831="AIR",COUNTIF('System map'!$A$4:$A$203,C831),COUNTIFS(Components!$A$4:$A$253,C831,Components!$B$4:$B$253,B831))))&lt;&gt;1,IF(E831="UC",COUNTIF('Use cases'!$A$4:$A$253,F831),IF(E831="CAP",COUNTIF(Capabilities!$A$4:$A$253,F831),IF(E831="AIR",COUNTIF('System map'!$A$4:$A$203,F831),COUNTIFS(Components!$A$4:$A$253,F831,Components!$B$4:$B$253,E831))))&lt;&gt;1),"Endpoint missing or duplicated",IF(AND(NOT(AND(B831="UC",E831="CAP")),OR(G831="",COUNTIF('System map'!$A$4:$A$203,G831)&lt;&gt;1)),"AIR context missing / unknown",IF(AND(B831="CAP",E831="AIR",G831&lt;&gt;F831),"AIR context mismatch",IF(AND(B831="AIR",G831&lt;&gt;C831),"AIR context mismatch",IF(AND(B831="AIR",E831="AIR",C831=F831),"Self-dependency",IF(AND(B831="AIR",E831="AIR",M831&lt;&gt;"Superseded",COUNTIFS($B$4:$B$1003,"AIR",$C$4:$C$1003,F831,$E$4:$E$1003,"AIR",$F$4:$F$1003,C831,$M$4:$M$1003,"&lt;&gt;Superseded")&gt;0),"Dependency cycle (A↔B) — review",IF(AND(B831="AIR",OR(E831="MOD",E831="DATA",E831="IF",E831="AG",E831="TOOL"),IFERROR(INDEX(Components!$G$4:$G$253,MATCH(F831,Components!$A$4:$A$253,0)),"")&lt;&gt;"",IFERROR(INDEX(Components!$G$4:$G$253,MATCH(F831,Components!$A$4:$A$253,0)),"")&lt;&gt;C831),"Component owned by another AIR-ID",IF(AND(M831="Confirmed",OR(IF(B831="UC",COUNTIFS('Use cases'!$A$4:$A$253,C831,'Use cases'!$I$4:$I$253,"Confirmed",'Use cases'!$J$4:$J$253,"OK — verify source"),IF(B831="CAP",COUNTIFS(Capabilities!$A$4:$A$253,C831,Capabilities!$J$4:$J$253,"Confirmed",Capabilities!$K$4:$K$253,"OK — verify source"),IF(B831="AIR",COUNTIFS('System map'!$A$4:$A$203,C831,'System map'!$B$4:$B$203,"&lt;&gt;",'System map'!$C$4:$C$203,"&lt;&gt;",'System map'!$D$4:$D$203,"&lt;&gt;"),COUNTIFS(Components!$A$4:$A$253,C831,Components!$B$4:$B$253,B831,Components!$K$4:$K$253,"Confirmed",Components!$L$4:$L$253,"OK — verify source"))))&lt;&gt;1,IF(E831="UC",COUNTIFS('Use cases'!$A$4:$A$253,F831,'Use cases'!$I$4:$I$253,"Confirmed",'Use cases'!$J$4:$J$253,"OK — verify source"),IF(E831="CAP",COUNTIFS(Capabilities!$A$4:$A$253,F831,Capabilities!$J$4:$J$253,"Confirmed",Capabilities!$K$4:$K$253,"OK — verify source"),IF(E831="AIR",COUNTIFS('System map'!$A$4:$A$203,F831,'System map'!$B$4:$B$203,"&lt;&gt;",'System map'!$C$4:$C$203,"&lt;&gt;",'System map'!$D$4:$D$203,"&lt;&gt;"),COUNTIFS(Components!$A$4:$A$253,F831,Components!$B$4:$B$253,E831,Components!$K$4:$K$253,"Confirmed",Components!$L$4:$L$253,"OK — verify source"))))&lt;&gt;1)),"Endpoint not source-reconciled",IF(AND(M831="Confirmed",OR(L831="",K831="",K831="Unknown",K831="Low")),"Confirmed link lacks verification","OK — verify source"))))))))))))))</f>
        <v/>
      </c>
    </row>
    <row r="832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6" t="n"/>
      <c r="M832" s="25" t="n"/>
      <c r="N832" s="25">
        <f>IF(COUNTA(A832:M832)=0,"",IF(OR(A832="",B832="",C832="",D832="",E832="",F832="",I832="",J832="",K832="",M832=""),"Required link detail missing",IF(COUNTIF($A$4:$A$1003,A832)&gt;1,"Duplicate Map Edge ID",IF(NOT(OR(AND(B832="UC",E832="CAP",D832="requires"),AND(B832="CAP",E832="AIR",D832="provided by"),AND(B832="AIR",OR(E832="MOD",E832="DATA",E832="IF",E832="AG",E832="TOOL"),D832="references"),AND(B832="AIR",E832="AIR",D832="depends on"))),"Invalid relationship",IF(AND(M832&lt;&gt;"Superseded",COUNTIFS($B$4:$B$1003,B832,$C$4:$C$1003,C832,$D$4:$D$1003,D832,$E$4:$E$1003,E832,$F$4:$F$1003,F832,$G$4:$G$1003,G832,$M$4:$M$1003,"&lt;&gt;Superseded")&gt;1),"Duplicate relationship",IF(OR(IF(B832="UC",COUNTIF('Use cases'!$A$4:$A$253,C832),IF(B832="CAP",COUNTIF(Capabilities!$A$4:$A$253,C832),IF(B832="AIR",COUNTIF('System map'!$A$4:$A$203,C832),COUNTIFS(Components!$A$4:$A$253,C832,Components!$B$4:$B$253,B832))))&lt;&gt;1,IF(E832="UC",COUNTIF('Use cases'!$A$4:$A$253,F832),IF(E832="CAP",COUNTIF(Capabilities!$A$4:$A$253,F832),IF(E832="AIR",COUNTIF('System map'!$A$4:$A$203,F832),COUNTIFS(Components!$A$4:$A$253,F832,Components!$B$4:$B$253,E832))))&lt;&gt;1),"Endpoint missing or duplicated",IF(AND(NOT(AND(B832="UC",E832="CAP")),OR(G832="",COUNTIF('System map'!$A$4:$A$203,G832)&lt;&gt;1)),"AIR context missing / unknown",IF(AND(B832="CAP",E832="AIR",G832&lt;&gt;F832),"AIR context mismatch",IF(AND(B832="AIR",G832&lt;&gt;C832),"AIR context mismatch",IF(AND(B832="AIR",E832="AIR",C832=F832),"Self-dependency",IF(AND(B832="AIR",E832="AIR",M832&lt;&gt;"Superseded",COUNTIFS($B$4:$B$1003,"AIR",$C$4:$C$1003,F832,$E$4:$E$1003,"AIR",$F$4:$F$1003,C832,$M$4:$M$1003,"&lt;&gt;Superseded")&gt;0),"Dependency cycle (A↔B) — review",IF(AND(B832="AIR",OR(E832="MOD",E832="DATA",E832="IF",E832="AG",E832="TOOL"),IFERROR(INDEX(Components!$G$4:$G$253,MATCH(F832,Components!$A$4:$A$253,0)),"")&lt;&gt;"",IFERROR(INDEX(Components!$G$4:$G$253,MATCH(F832,Components!$A$4:$A$253,0)),"")&lt;&gt;C832),"Component owned by another AIR-ID",IF(AND(M832="Confirmed",OR(IF(B832="UC",COUNTIFS('Use cases'!$A$4:$A$253,C832,'Use cases'!$I$4:$I$253,"Confirmed",'Use cases'!$J$4:$J$253,"OK — verify source"),IF(B832="CAP",COUNTIFS(Capabilities!$A$4:$A$253,C832,Capabilities!$J$4:$J$253,"Confirmed",Capabilities!$K$4:$K$253,"OK — verify source"),IF(B832="AIR",COUNTIFS('System map'!$A$4:$A$203,C832,'System map'!$B$4:$B$203,"&lt;&gt;",'System map'!$C$4:$C$203,"&lt;&gt;",'System map'!$D$4:$D$203,"&lt;&gt;"),COUNTIFS(Components!$A$4:$A$253,C832,Components!$B$4:$B$253,B832,Components!$K$4:$K$253,"Confirmed",Components!$L$4:$L$253,"OK — verify source"))))&lt;&gt;1,IF(E832="UC",COUNTIFS('Use cases'!$A$4:$A$253,F832,'Use cases'!$I$4:$I$253,"Confirmed",'Use cases'!$J$4:$J$253,"OK — verify source"),IF(E832="CAP",COUNTIFS(Capabilities!$A$4:$A$253,F832,Capabilities!$J$4:$J$253,"Confirmed",Capabilities!$K$4:$K$253,"OK — verify source"),IF(E832="AIR",COUNTIFS('System map'!$A$4:$A$203,F832,'System map'!$B$4:$B$203,"&lt;&gt;",'System map'!$C$4:$C$203,"&lt;&gt;",'System map'!$D$4:$D$203,"&lt;&gt;"),COUNTIFS(Components!$A$4:$A$253,F832,Components!$B$4:$B$253,E832,Components!$K$4:$K$253,"Confirmed",Components!$L$4:$L$253,"OK — verify source"))))&lt;&gt;1)),"Endpoint not source-reconciled",IF(AND(M832="Confirmed",OR(L832="",K832="",K832="Unknown",K832="Low")),"Confirmed link lacks verification","OK — verify source"))))))))))))))</f>
        <v/>
      </c>
    </row>
    <row r="833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8" t="n"/>
      <c r="M833" s="27" t="n"/>
      <c r="N833" s="27">
        <f>IF(COUNTA(A833:M833)=0,"",IF(OR(A833="",B833="",C833="",D833="",E833="",F833="",I833="",J833="",K833="",M833=""),"Required link detail missing",IF(COUNTIF($A$4:$A$1003,A833)&gt;1,"Duplicate Map Edge ID",IF(NOT(OR(AND(B833="UC",E833="CAP",D833="requires"),AND(B833="CAP",E833="AIR",D833="provided by"),AND(B833="AIR",OR(E833="MOD",E833="DATA",E833="IF",E833="AG",E833="TOOL"),D833="references"),AND(B833="AIR",E833="AIR",D833="depends on"))),"Invalid relationship",IF(AND(M833&lt;&gt;"Superseded",COUNTIFS($B$4:$B$1003,B833,$C$4:$C$1003,C833,$D$4:$D$1003,D833,$E$4:$E$1003,E833,$F$4:$F$1003,F833,$G$4:$G$1003,G833,$M$4:$M$1003,"&lt;&gt;Superseded")&gt;1),"Duplicate relationship",IF(OR(IF(B833="UC",COUNTIF('Use cases'!$A$4:$A$253,C833),IF(B833="CAP",COUNTIF(Capabilities!$A$4:$A$253,C833),IF(B833="AIR",COUNTIF('System map'!$A$4:$A$203,C833),COUNTIFS(Components!$A$4:$A$253,C833,Components!$B$4:$B$253,B833))))&lt;&gt;1,IF(E833="UC",COUNTIF('Use cases'!$A$4:$A$253,F833),IF(E833="CAP",COUNTIF(Capabilities!$A$4:$A$253,F833),IF(E833="AIR",COUNTIF('System map'!$A$4:$A$203,F833),COUNTIFS(Components!$A$4:$A$253,F833,Components!$B$4:$B$253,E833))))&lt;&gt;1),"Endpoint missing or duplicated",IF(AND(NOT(AND(B833="UC",E833="CAP")),OR(G833="",COUNTIF('System map'!$A$4:$A$203,G833)&lt;&gt;1)),"AIR context missing / unknown",IF(AND(B833="CAP",E833="AIR",G833&lt;&gt;F833),"AIR context mismatch",IF(AND(B833="AIR",G833&lt;&gt;C833),"AIR context mismatch",IF(AND(B833="AIR",E833="AIR",C833=F833),"Self-dependency",IF(AND(B833="AIR",E833="AIR",M833&lt;&gt;"Superseded",COUNTIFS($B$4:$B$1003,"AIR",$C$4:$C$1003,F833,$E$4:$E$1003,"AIR",$F$4:$F$1003,C833,$M$4:$M$1003,"&lt;&gt;Superseded")&gt;0),"Dependency cycle (A↔B) — review",IF(AND(B833="AIR",OR(E833="MOD",E833="DATA",E833="IF",E833="AG",E833="TOOL"),IFERROR(INDEX(Components!$G$4:$G$253,MATCH(F833,Components!$A$4:$A$253,0)),"")&lt;&gt;"",IFERROR(INDEX(Components!$G$4:$G$253,MATCH(F833,Components!$A$4:$A$253,0)),"")&lt;&gt;C833),"Component owned by another AIR-ID",IF(AND(M833="Confirmed",OR(IF(B833="UC",COUNTIFS('Use cases'!$A$4:$A$253,C833,'Use cases'!$I$4:$I$253,"Confirmed",'Use cases'!$J$4:$J$253,"OK — verify source"),IF(B833="CAP",COUNTIFS(Capabilities!$A$4:$A$253,C833,Capabilities!$J$4:$J$253,"Confirmed",Capabilities!$K$4:$K$253,"OK — verify source"),IF(B833="AIR",COUNTIFS('System map'!$A$4:$A$203,C833,'System map'!$B$4:$B$203,"&lt;&gt;",'System map'!$C$4:$C$203,"&lt;&gt;",'System map'!$D$4:$D$203,"&lt;&gt;"),COUNTIFS(Components!$A$4:$A$253,C833,Components!$B$4:$B$253,B833,Components!$K$4:$K$253,"Confirmed",Components!$L$4:$L$253,"OK — verify source"))))&lt;&gt;1,IF(E833="UC",COUNTIFS('Use cases'!$A$4:$A$253,F833,'Use cases'!$I$4:$I$253,"Confirmed",'Use cases'!$J$4:$J$253,"OK — verify source"),IF(E833="CAP",COUNTIFS(Capabilities!$A$4:$A$253,F833,Capabilities!$J$4:$J$253,"Confirmed",Capabilities!$K$4:$K$253,"OK — verify source"),IF(E833="AIR",COUNTIFS('System map'!$A$4:$A$203,F833,'System map'!$B$4:$B$203,"&lt;&gt;",'System map'!$C$4:$C$203,"&lt;&gt;",'System map'!$D$4:$D$203,"&lt;&gt;"),COUNTIFS(Components!$A$4:$A$253,F833,Components!$B$4:$B$253,E833,Components!$K$4:$K$253,"Confirmed",Components!$L$4:$L$253,"OK — verify source"))))&lt;&gt;1)),"Endpoint not source-reconciled",IF(AND(M833="Confirmed",OR(L833="",K833="",K833="Unknown",K833="Low")),"Confirmed link lacks verification","OK — verify source"))))))))))))))</f>
        <v/>
      </c>
    </row>
    <row r="83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6" t="n"/>
      <c r="M834" s="25" t="n"/>
      <c r="N834" s="25">
        <f>IF(COUNTA(A834:M834)=0,"",IF(OR(A834="",B834="",C834="",D834="",E834="",F834="",I834="",J834="",K834="",M834=""),"Required link detail missing",IF(COUNTIF($A$4:$A$1003,A834)&gt;1,"Duplicate Map Edge ID",IF(NOT(OR(AND(B834="UC",E834="CAP",D834="requires"),AND(B834="CAP",E834="AIR",D834="provided by"),AND(B834="AIR",OR(E834="MOD",E834="DATA",E834="IF",E834="AG",E834="TOOL"),D834="references"),AND(B834="AIR",E834="AIR",D834="depends on"))),"Invalid relationship",IF(AND(M834&lt;&gt;"Superseded",COUNTIFS($B$4:$B$1003,B834,$C$4:$C$1003,C834,$D$4:$D$1003,D834,$E$4:$E$1003,E834,$F$4:$F$1003,F834,$G$4:$G$1003,G834,$M$4:$M$1003,"&lt;&gt;Superseded")&gt;1),"Duplicate relationship",IF(OR(IF(B834="UC",COUNTIF('Use cases'!$A$4:$A$253,C834),IF(B834="CAP",COUNTIF(Capabilities!$A$4:$A$253,C834),IF(B834="AIR",COUNTIF('System map'!$A$4:$A$203,C834),COUNTIFS(Components!$A$4:$A$253,C834,Components!$B$4:$B$253,B834))))&lt;&gt;1,IF(E834="UC",COUNTIF('Use cases'!$A$4:$A$253,F834),IF(E834="CAP",COUNTIF(Capabilities!$A$4:$A$253,F834),IF(E834="AIR",COUNTIF('System map'!$A$4:$A$203,F834),COUNTIFS(Components!$A$4:$A$253,F834,Components!$B$4:$B$253,E834))))&lt;&gt;1),"Endpoint missing or duplicated",IF(AND(NOT(AND(B834="UC",E834="CAP")),OR(G834="",COUNTIF('System map'!$A$4:$A$203,G834)&lt;&gt;1)),"AIR context missing / unknown",IF(AND(B834="CAP",E834="AIR",G834&lt;&gt;F834),"AIR context mismatch",IF(AND(B834="AIR",G834&lt;&gt;C834),"AIR context mismatch",IF(AND(B834="AIR",E834="AIR",C834=F834),"Self-dependency",IF(AND(B834="AIR",E834="AIR",M834&lt;&gt;"Superseded",COUNTIFS($B$4:$B$1003,"AIR",$C$4:$C$1003,F834,$E$4:$E$1003,"AIR",$F$4:$F$1003,C834,$M$4:$M$1003,"&lt;&gt;Superseded")&gt;0),"Dependency cycle (A↔B) — review",IF(AND(B834="AIR",OR(E834="MOD",E834="DATA",E834="IF",E834="AG",E834="TOOL"),IFERROR(INDEX(Components!$G$4:$G$253,MATCH(F834,Components!$A$4:$A$253,0)),"")&lt;&gt;"",IFERROR(INDEX(Components!$G$4:$G$253,MATCH(F834,Components!$A$4:$A$253,0)),"")&lt;&gt;C834),"Component owned by another AIR-ID",IF(AND(M834="Confirmed",OR(IF(B834="UC",COUNTIFS('Use cases'!$A$4:$A$253,C834,'Use cases'!$I$4:$I$253,"Confirmed",'Use cases'!$J$4:$J$253,"OK — verify source"),IF(B834="CAP",COUNTIFS(Capabilities!$A$4:$A$253,C834,Capabilities!$J$4:$J$253,"Confirmed",Capabilities!$K$4:$K$253,"OK — verify source"),IF(B834="AIR",COUNTIFS('System map'!$A$4:$A$203,C834,'System map'!$B$4:$B$203,"&lt;&gt;",'System map'!$C$4:$C$203,"&lt;&gt;",'System map'!$D$4:$D$203,"&lt;&gt;"),COUNTIFS(Components!$A$4:$A$253,C834,Components!$B$4:$B$253,B834,Components!$K$4:$K$253,"Confirmed",Components!$L$4:$L$253,"OK — verify source"))))&lt;&gt;1,IF(E834="UC",COUNTIFS('Use cases'!$A$4:$A$253,F834,'Use cases'!$I$4:$I$253,"Confirmed",'Use cases'!$J$4:$J$253,"OK — verify source"),IF(E834="CAP",COUNTIFS(Capabilities!$A$4:$A$253,F834,Capabilities!$J$4:$J$253,"Confirmed",Capabilities!$K$4:$K$253,"OK — verify source"),IF(E834="AIR",COUNTIFS('System map'!$A$4:$A$203,F834,'System map'!$B$4:$B$203,"&lt;&gt;",'System map'!$C$4:$C$203,"&lt;&gt;",'System map'!$D$4:$D$203,"&lt;&gt;"),COUNTIFS(Components!$A$4:$A$253,F834,Components!$B$4:$B$253,E834,Components!$K$4:$K$253,"Confirmed",Components!$L$4:$L$253,"OK — verify source"))))&lt;&gt;1)),"Endpoint not source-reconciled",IF(AND(M834="Confirmed",OR(L834="",K834="",K834="Unknown",K834="Low")),"Confirmed link lacks verification","OK — verify source"))))))))))))))</f>
        <v/>
      </c>
    </row>
    <row r="835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8" t="n"/>
      <c r="M835" s="27" t="n"/>
      <c r="N835" s="27">
        <f>IF(COUNTA(A835:M835)=0,"",IF(OR(A835="",B835="",C835="",D835="",E835="",F835="",I835="",J835="",K835="",M835=""),"Required link detail missing",IF(COUNTIF($A$4:$A$1003,A835)&gt;1,"Duplicate Map Edge ID",IF(NOT(OR(AND(B835="UC",E835="CAP",D835="requires"),AND(B835="CAP",E835="AIR",D835="provided by"),AND(B835="AIR",OR(E835="MOD",E835="DATA",E835="IF",E835="AG",E835="TOOL"),D835="references"),AND(B835="AIR",E835="AIR",D835="depends on"))),"Invalid relationship",IF(AND(M835&lt;&gt;"Superseded",COUNTIFS($B$4:$B$1003,B835,$C$4:$C$1003,C835,$D$4:$D$1003,D835,$E$4:$E$1003,E835,$F$4:$F$1003,F835,$G$4:$G$1003,G835,$M$4:$M$1003,"&lt;&gt;Superseded")&gt;1),"Duplicate relationship",IF(OR(IF(B835="UC",COUNTIF('Use cases'!$A$4:$A$253,C835),IF(B835="CAP",COUNTIF(Capabilities!$A$4:$A$253,C835),IF(B835="AIR",COUNTIF('System map'!$A$4:$A$203,C835),COUNTIFS(Components!$A$4:$A$253,C835,Components!$B$4:$B$253,B835))))&lt;&gt;1,IF(E835="UC",COUNTIF('Use cases'!$A$4:$A$253,F835),IF(E835="CAP",COUNTIF(Capabilities!$A$4:$A$253,F835),IF(E835="AIR",COUNTIF('System map'!$A$4:$A$203,F835),COUNTIFS(Components!$A$4:$A$253,F835,Components!$B$4:$B$253,E835))))&lt;&gt;1),"Endpoint missing or duplicated",IF(AND(NOT(AND(B835="UC",E835="CAP")),OR(G835="",COUNTIF('System map'!$A$4:$A$203,G835)&lt;&gt;1)),"AIR context missing / unknown",IF(AND(B835="CAP",E835="AIR",G835&lt;&gt;F835),"AIR context mismatch",IF(AND(B835="AIR",G835&lt;&gt;C835),"AIR context mismatch",IF(AND(B835="AIR",E835="AIR",C835=F835),"Self-dependency",IF(AND(B835="AIR",E835="AIR",M835&lt;&gt;"Superseded",COUNTIFS($B$4:$B$1003,"AIR",$C$4:$C$1003,F835,$E$4:$E$1003,"AIR",$F$4:$F$1003,C835,$M$4:$M$1003,"&lt;&gt;Superseded")&gt;0),"Dependency cycle (A↔B) — review",IF(AND(B835="AIR",OR(E835="MOD",E835="DATA",E835="IF",E835="AG",E835="TOOL"),IFERROR(INDEX(Components!$G$4:$G$253,MATCH(F835,Components!$A$4:$A$253,0)),"")&lt;&gt;"",IFERROR(INDEX(Components!$G$4:$G$253,MATCH(F835,Components!$A$4:$A$253,0)),"")&lt;&gt;C835),"Component owned by another AIR-ID",IF(AND(M835="Confirmed",OR(IF(B835="UC",COUNTIFS('Use cases'!$A$4:$A$253,C835,'Use cases'!$I$4:$I$253,"Confirmed",'Use cases'!$J$4:$J$253,"OK — verify source"),IF(B835="CAP",COUNTIFS(Capabilities!$A$4:$A$253,C835,Capabilities!$J$4:$J$253,"Confirmed",Capabilities!$K$4:$K$253,"OK — verify source"),IF(B835="AIR",COUNTIFS('System map'!$A$4:$A$203,C835,'System map'!$B$4:$B$203,"&lt;&gt;",'System map'!$C$4:$C$203,"&lt;&gt;",'System map'!$D$4:$D$203,"&lt;&gt;"),COUNTIFS(Components!$A$4:$A$253,C835,Components!$B$4:$B$253,B835,Components!$K$4:$K$253,"Confirmed",Components!$L$4:$L$253,"OK — verify source"))))&lt;&gt;1,IF(E835="UC",COUNTIFS('Use cases'!$A$4:$A$253,F835,'Use cases'!$I$4:$I$253,"Confirmed",'Use cases'!$J$4:$J$253,"OK — verify source"),IF(E835="CAP",COUNTIFS(Capabilities!$A$4:$A$253,F835,Capabilities!$J$4:$J$253,"Confirmed",Capabilities!$K$4:$K$253,"OK — verify source"),IF(E835="AIR",COUNTIFS('System map'!$A$4:$A$203,F835,'System map'!$B$4:$B$203,"&lt;&gt;",'System map'!$C$4:$C$203,"&lt;&gt;",'System map'!$D$4:$D$203,"&lt;&gt;"),COUNTIFS(Components!$A$4:$A$253,F835,Components!$B$4:$B$253,E835,Components!$K$4:$K$253,"Confirmed",Components!$L$4:$L$253,"OK — verify source"))))&lt;&gt;1)),"Endpoint not source-reconciled",IF(AND(M835="Confirmed",OR(L835="",K835="",K835="Unknown",K835="Low")),"Confirmed link lacks verification","OK — verify source"))))))))))))))</f>
        <v/>
      </c>
    </row>
    <row r="836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6" t="n"/>
      <c r="M836" s="25" t="n"/>
      <c r="N836" s="25">
        <f>IF(COUNTA(A836:M836)=0,"",IF(OR(A836="",B836="",C836="",D836="",E836="",F836="",I836="",J836="",K836="",M836=""),"Required link detail missing",IF(COUNTIF($A$4:$A$1003,A836)&gt;1,"Duplicate Map Edge ID",IF(NOT(OR(AND(B836="UC",E836="CAP",D836="requires"),AND(B836="CAP",E836="AIR",D836="provided by"),AND(B836="AIR",OR(E836="MOD",E836="DATA",E836="IF",E836="AG",E836="TOOL"),D836="references"),AND(B836="AIR",E836="AIR",D836="depends on"))),"Invalid relationship",IF(AND(M836&lt;&gt;"Superseded",COUNTIFS($B$4:$B$1003,B836,$C$4:$C$1003,C836,$D$4:$D$1003,D836,$E$4:$E$1003,E836,$F$4:$F$1003,F836,$G$4:$G$1003,G836,$M$4:$M$1003,"&lt;&gt;Superseded")&gt;1),"Duplicate relationship",IF(OR(IF(B836="UC",COUNTIF('Use cases'!$A$4:$A$253,C836),IF(B836="CAP",COUNTIF(Capabilities!$A$4:$A$253,C836),IF(B836="AIR",COUNTIF('System map'!$A$4:$A$203,C836),COUNTIFS(Components!$A$4:$A$253,C836,Components!$B$4:$B$253,B836))))&lt;&gt;1,IF(E836="UC",COUNTIF('Use cases'!$A$4:$A$253,F836),IF(E836="CAP",COUNTIF(Capabilities!$A$4:$A$253,F836),IF(E836="AIR",COUNTIF('System map'!$A$4:$A$203,F836),COUNTIFS(Components!$A$4:$A$253,F836,Components!$B$4:$B$253,E836))))&lt;&gt;1),"Endpoint missing or duplicated",IF(AND(NOT(AND(B836="UC",E836="CAP")),OR(G836="",COUNTIF('System map'!$A$4:$A$203,G836)&lt;&gt;1)),"AIR context missing / unknown",IF(AND(B836="CAP",E836="AIR",G836&lt;&gt;F836),"AIR context mismatch",IF(AND(B836="AIR",G836&lt;&gt;C836),"AIR context mismatch",IF(AND(B836="AIR",E836="AIR",C836=F836),"Self-dependency",IF(AND(B836="AIR",E836="AIR",M836&lt;&gt;"Superseded",COUNTIFS($B$4:$B$1003,"AIR",$C$4:$C$1003,F836,$E$4:$E$1003,"AIR",$F$4:$F$1003,C836,$M$4:$M$1003,"&lt;&gt;Superseded")&gt;0),"Dependency cycle (A↔B) — review",IF(AND(B836="AIR",OR(E836="MOD",E836="DATA",E836="IF",E836="AG",E836="TOOL"),IFERROR(INDEX(Components!$G$4:$G$253,MATCH(F836,Components!$A$4:$A$253,0)),"")&lt;&gt;"",IFERROR(INDEX(Components!$G$4:$G$253,MATCH(F836,Components!$A$4:$A$253,0)),"")&lt;&gt;C836),"Component owned by another AIR-ID",IF(AND(M836="Confirmed",OR(IF(B836="UC",COUNTIFS('Use cases'!$A$4:$A$253,C836,'Use cases'!$I$4:$I$253,"Confirmed",'Use cases'!$J$4:$J$253,"OK — verify source"),IF(B836="CAP",COUNTIFS(Capabilities!$A$4:$A$253,C836,Capabilities!$J$4:$J$253,"Confirmed",Capabilities!$K$4:$K$253,"OK — verify source"),IF(B836="AIR",COUNTIFS('System map'!$A$4:$A$203,C836,'System map'!$B$4:$B$203,"&lt;&gt;",'System map'!$C$4:$C$203,"&lt;&gt;",'System map'!$D$4:$D$203,"&lt;&gt;"),COUNTIFS(Components!$A$4:$A$253,C836,Components!$B$4:$B$253,B836,Components!$K$4:$K$253,"Confirmed",Components!$L$4:$L$253,"OK — verify source"))))&lt;&gt;1,IF(E836="UC",COUNTIFS('Use cases'!$A$4:$A$253,F836,'Use cases'!$I$4:$I$253,"Confirmed",'Use cases'!$J$4:$J$253,"OK — verify source"),IF(E836="CAP",COUNTIFS(Capabilities!$A$4:$A$253,F836,Capabilities!$J$4:$J$253,"Confirmed",Capabilities!$K$4:$K$253,"OK — verify source"),IF(E836="AIR",COUNTIFS('System map'!$A$4:$A$203,F836,'System map'!$B$4:$B$203,"&lt;&gt;",'System map'!$C$4:$C$203,"&lt;&gt;",'System map'!$D$4:$D$203,"&lt;&gt;"),COUNTIFS(Components!$A$4:$A$253,F836,Components!$B$4:$B$253,E836,Components!$K$4:$K$253,"Confirmed",Components!$L$4:$L$253,"OK — verify source"))))&lt;&gt;1)),"Endpoint not source-reconciled",IF(AND(M836="Confirmed",OR(L836="",K836="",K836="Unknown",K836="Low")),"Confirmed link lacks verification","OK — verify source"))))))))))))))</f>
        <v/>
      </c>
    </row>
    <row r="837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8" t="n"/>
      <c r="M837" s="27" t="n"/>
      <c r="N837" s="27">
        <f>IF(COUNTA(A837:M837)=0,"",IF(OR(A837="",B837="",C837="",D837="",E837="",F837="",I837="",J837="",K837="",M837=""),"Required link detail missing",IF(COUNTIF($A$4:$A$1003,A837)&gt;1,"Duplicate Map Edge ID",IF(NOT(OR(AND(B837="UC",E837="CAP",D837="requires"),AND(B837="CAP",E837="AIR",D837="provided by"),AND(B837="AIR",OR(E837="MOD",E837="DATA",E837="IF",E837="AG",E837="TOOL"),D837="references"),AND(B837="AIR",E837="AIR",D837="depends on"))),"Invalid relationship",IF(AND(M837&lt;&gt;"Superseded",COUNTIFS($B$4:$B$1003,B837,$C$4:$C$1003,C837,$D$4:$D$1003,D837,$E$4:$E$1003,E837,$F$4:$F$1003,F837,$G$4:$G$1003,G837,$M$4:$M$1003,"&lt;&gt;Superseded")&gt;1),"Duplicate relationship",IF(OR(IF(B837="UC",COUNTIF('Use cases'!$A$4:$A$253,C837),IF(B837="CAP",COUNTIF(Capabilities!$A$4:$A$253,C837),IF(B837="AIR",COUNTIF('System map'!$A$4:$A$203,C837),COUNTIFS(Components!$A$4:$A$253,C837,Components!$B$4:$B$253,B837))))&lt;&gt;1,IF(E837="UC",COUNTIF('Use cases'!$A$4:$A$253,F837),IF(E837="CAP",COUNTIF(Capabilities!$A$4:$A$253,F837),IF(E837="AIR",COUNTIF('System map'!$A$4:$A$203,F837),COUNTIFS(Components!$A$4:$A$253,F837,Components!$B$4:$B$253,E837))))&lt;&gt;1),"Endpoint missing or duplicated",IF(AND(NOT(AND(B837="UC",E837="CAP")),OR(G837="",COUNTIF('System map'!$A$4:$A$203,G837)&lt;&gt;1)),"AIR context missing / unknown",IF(AND(B837="CAP",E837="AIR",G837&lt;&gt;F837),"AIR context mismatch",IF(AND(B837="AIR",G837&lt;&gt;C837),"AIR context mismatch",IF(AND(B837="AIR",E837="AIR",C837=F837),"Self-dependency",IF(AND(B837="AIR",E837="AIR",M837&lt;&gt;"Superseded",COUNTIFS($B$4:$B$1003,"AIR",$C$4:$C$1003,F837,$E$4:$E$1003,"AIR",$F$4:$F$1003,C837,$M$4:$M$1003,"&lt;&gt;Superseded")&gt;0),"Dependency cycle (A↔B) — review",IF(AND(B837="AIR",OR(E837="MOD",E837="DATA",E837="IF",E837="AG",E837="TOOL"),IFERROR(INDEX(Components!$G$4:$G$253,MATCH(F837,Components!$A$4:$A$253,0)),"")&lt;&gt;"",IFERROR(INDEX(Components!$G$4:$G$253,MATCH(F837,Components!$A$4:$A$253,0)),"")&lt;&gt;C837),"Component owned by another AIR-ID",IF(AND(M837="Confirmed",OR(IF(B837="UC",COUNTIFS('Use cases'!$A$4:$A$253,C837,'Use cases'!$I$4:$I$253,"Confirmed",'Use cases'!$J$4:$J$253,"OK — verify source"),IF(B837="CAP",COUNTIFS(Capabilities!$A$4:$A$253,C837,Capabilities!$J$4:$J$253,"Confirmed",Capabilities!$K$4:$K$253,"OK — verify source"),IF(B837="AIR",COUNTIFS('System map'!$A$4:$A$203,C837,'System map'!$B$4:$B$203,"&lt;&gt;",'System map'!$C$4:$C$203,"&lt;&gt;",'System map'!$D$4:$D$203,"&lt;&gt;"),COUNTIFS(Components!$A$4:$A$253,C837,Components!$B$4:$B$253,B837,Components!$K$4:$K$253,"Confirmed",Components!$L$4:$L$253,"OK — verify source"))))&lt;&gt;1,IF(E837="UC",COUNTIFS('Use cases'!$A$4:$A$253,F837,'Use cases'!$I$4:$I$253,"Confirmed",'Use cases'!$J$4:$J$253,"OK — verify source"),IF(E837="CAP",COUNTIFS(Capabilities!$A$4:$A$253,F837,Capabilities!$J$4:$J$253,"Confirmed",Capabilities!$K$4:$K$253,"OK — verify source"),IF(E837="AIR",COUNTIFS('System map'!$A$4:$A$203,F837,'System map'!$B$4:$B$203,"&lt;&gt;",'System map'!$C$4:$C$203,"&lt;&gt;",'System map'!$D$4:$D$203,"&lt;&gt;"),COUNTIFS(Components!$A$4:$A$253,F837,Components!$B$4:$B$253,E837,Components!$K$4:$K$253,"Confirmed",Components!$L$4:$L$253,"OK — verify source"))))&lt;&gt;1)),"Endpoint not source-reconciled",IF(AND(M837="Confirmed",OR(L837="",K837="",K837="Unknown",K837="Low")),"Confirmed link lacks verification","OK — verify source"))))))))))))))</f>
        <v/>
      </c>
    </row>
    <row r="838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6" t="n"/>
      <c r="M838" s="25" t="n"/>
      <c r="N838" s="25">
        <f>IF(COUNTA(A838:M838)=0,"",IF(OR(A838="",B838="",C838="",D838="",E838="",F838="",I838="",J838="",K838="",M838=""),"Required link detail missing",IF(COUNTIF($A$4:$A$1003,A838)&gt;1,"Duplicate Map Edge ID",IF(NOT(OR(AND(B838="UC",E838="CAP",D838="requires"),AND(B838="CAP",E838="AIR",D838="provided by"),AND(B838="AIR",OR(E838="MOD",E838="DATA",E838="IF",E838="AG",E838="TOOL"),D838="references"),AND(B838="AIR",E838="AIR",D838="depends on"))),"Invalid relationship",IF(AND(M838&lt;&gt;"Superseded",COUNTIFS($B$4:$B$1003,B838,$C$4:$C$1003,C838,$D$4:$D$1003,D838,$E$4:$E$1003,E838,$F$4:$F$1003,F838,$G$4:$G$1003,G838,$M$4:$M$1003,"&lt;&gt;Superseded")&gt;1),"Duplicate relationship",IF(OR(IF(B838="UC",COUNTIF('Use cases'!$A$4:$A$253,C838),IF(B838="CAP",COUNTIF(Capabilities!$A$4:$A$253,C838),IF(B838="AIR",COUNTIF('System map'!$A$4:$A$203,C838),COUNTIFS(Components!$A$4:$A$253,C838,Components!$B$4:$B$253,B838))))&lt;&gt;1,IF(E838="UC",COUNTIF('Use cases'!$A$4:$A$253,F838),IF(E838="CAP",COUNTIF(Capabilities!$A$4:$A$253,F838),IF(E838="AIR",COUNTIF('System map'!$A$4:$A$203,F838),COUNTIFS(Components!$A$4:$A$253,F838,Components!$B$4:$B$253,E838))))&lt;&gt;1),"Endpoint missing or duplicated",IF(AND(NOT(AND(B838="UC",E838="CAP")),OR(G838="",COUNTIF('System map'!$A$4:$A$203,G838)&lt;&gt;1)),"AIR context missing / unknown",IF(AND(B838="CAP",E838="AIR",G838&lt;&gt;F838),"AIR context mismatch",IF(AND(B838="AIR",G838&lt;&gt;C838),"AIR context mismatch",IF(AND(B838="AIR",E838="AIR",C838=F838),"Self-dependency",IF(AND(B838="AIR",E838="AIR",M838&lt;&gt;"Superseded",COUNTIFS($B$4:$B$1003,"AIR",$C$4:$C$1003,F838,$E$4:$E$1003,"AIR",$F$4:$F$1003,C838,$M$4:$M$1003,"&lt;&gt;Superseded")&gt;0),"Dependency cycle (A↔B) — review",IF(AND(B838="AIR",OR(E838="MOD",E838="DATA",E838="IF",E838="AG",E838="TOOL"),IFERROR(INDEX(Components!$G$4:$G$253,MATCH(F838,Components!$A$4:$A$253,0)),"")&lt;&gt;"",IFERROR(INDEX(Components!$G$4:$G$253,MATCH(F838,Components!$A$4:$A$253,0)),"")&lt;&gt;C838),"Component owned by another AIR-ID",IF(AND(M838="Confirmed",OR(IF(B838="UC",COUNTIFS('Use cases'!$A$4:$A$253,C838,'Use cases'!$I$4:$I$253,"Confirmed",'Use cases'!$J$4:$J$253,"OK — verify source"),IF(B838="CAP",COUNTIFS(Capabilities!$A$4:$A$253,C838,Capabilities!$J$4:$J$253,"Confirmed",Capabilities!$K$4:$K$253,"OK — verify source"),IF(B838="AIR",COUNTIFS('System map'!$A$4:$A$203,C838,'System map'!$B$4:$B$203,"&lt;&gt;",'System map'!$C$4:$C$203,"&lt;&gt;",'System map'!$D$4:$D$203,"&lt;&gt;"),COUNTIFS(Components!$A$4:$A$253,C838,Components!$B$4:$B$253,B838,Components!$K$4:$K$253,"Confirmed",Components!$L$4:$L$253,"OK — verify source"))))&lt;&gt;1,IF(E838="UC",COUNTIFS('Use cases'!$A$4:$A$253,F838,'Use cases'!$I$4:$I$253,"Confirmed",'Use cases'!$J$4:$J$253,"OK — verify source"),IF(E838="CAP",COUNTIFS(Capabilities!$A$4:$A$253,F838,Capabilities!$J$4:$J$253,"Confirmed",Capabilities!$K$4:$K$253,"OK — verify source"),IF(E838="AIR",COUNTIFS('System map'!$A$4:$A$203,F838,'System map'!$B$4:$B$203,"&lt;&gt;",'System map'!$C$4:$C$203,"&lt;&gt;",'System map'!$D$4:$D$203,"&lt;&gt;"),COUNTIFS(Components!$A$4:$A$253,F838,Components!$B$4:$B$253,E838,Components!$K$4:$K$253,"Confirmed",Components!$L$4:$L$253,"OK — verify source"))))&lt;&gt;1)),"Endpoint not source-reconciled",IF(AND(M838="Confirmed",OR(L838="",K838="",K838="Unknown",K838="Low")),"Confirmed link lacks verification","OK — verify source"))))))))))))))</f>
        <v/>
      </c>
    </row>
    <row r="839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8" t="n"/>
      <c r="M839" s="27" t="n"/>
      <c r="N839" s="27">
        <f>IF(COUNTA(A839:M839)=0,"",IF(OR(A839="",B839="",C839="",D839="",E839="",F839="",I839="",J839="",K839="",M839=""),"Required link detail missing",IF(COUNTIF($A$4:$A$1003,A839)&gt;1,"Duplicate Map Edge ID",IF(NOT(OR(AND(B839="UC",E839="CAP",D839="requires"),AND(B839="CAP",E839="AIR",D839="provided by"),AND(B839="AIR",OR(E839="MOD",E839="DATA",E839="IF",E839="AG",E839="TOOL"),D839="references"),AND(B839="AIR",E839="AIR",D839="depends on"))),"Invalid relationship",IF(AND(M839&lt;&gt;"Superseded",COUNTIFS($B$4:$B$1003,B839,$C$4:$C$1003,C839,$D$4:$D$1003,D839,$E$4:$E$1003,E839,$F$4:$F$1003,F839,$G$4:$G$1003,G839,$M$4:$M$1003,"&lt;&gt;Superseded")&gt;1),"Duplicate relationship",IF(OR(IF(B839="UC",COUNTIF('Use cases'!$A$4:$A$253,C839),IF(B839="CAP",COUNTIF(Capabilities!$A$4:$A$253,C839),IF(B839="AIR",COUNTIF('System map'!$A$4:$A$203,C839),COUNTIFS(Components!$A$4:$A$253,C839,Components!$B$4:$B$253,B839))))&lt;&gt;1,IF(E839="UC",COUNTIF('Use cases'!$A$4:$A$253,F839),IF(E839="CAP",COUNTIF(Capabilities!$A$4:$A$253,F839),IF(E839="AIR",COUNTIF('System map'!$A$4:$A$203,F839),COUNTIFS(Components!$A$4:$A$253,F839,Components!$B$4:$B$253,E839))))&lt;&gt;1),"Endpoint missing or duplicated",IF(AND(NOT(AND(B839="UC",E839="CAP")),OR(G839="",COUNTIF('System map'!$A$4:$A$203,G839)&lt;&gt;1)),"AIR context missing / unknown",IF(AND(B839="CAP",E839="AIR",G839&lt;&gt;F839),"AIR context mismatch",IF(AND(B839="AIR",G839&lt;&gt;C839),"AIR context mismatch",IF(AND(B839="AIR",E839="AIR",C839=F839),"Self-dependency",IF(AND(B839="AIR",E839="AIR",M839&lt;&gt;"Superseded",COUNTIFS($B$4:$B$1003,"AIR",$C$4:$C$1003,F839,$E$4:$E$1003,"AIR",$F$4:$F$1003,C839,$M$4:$M$1003,"&lt;&gt;Superseded")&gt;0),"Dependency cycle (A↔B) — review",IF(AND(B839="AIR",OR(E839="MOD",E839="DATA",E839="IF",E839="AG",E839="TOOL"),IFERROR(INDEX(Components!$G$4:$G$253,MATCH(F839,Components!$A$4:$A$253,0)),"")&lt;&gt;"",IFERROR(INDEX(Components!$G$4:$G$253,MATCH(F839,Components!$A$4:$A$253,0)),"")&lt;&gt;C839),"Component owned by another AIR-ID",IF(AND(M839="Confirmed",OR(IF(B839="UC",COUNTIFS('Use cases'!$A$4:$A$253,C839,'Use cases'!$I$4:$I$253,"Confirmed",'Use cases'!$J$4:$J$253,"OK — verify source"),IF(B839="CAP",COUNTIFS(Capabilities!$A$4:$A$253,C839,Capabilities!$J$4:$J$253,"Confirmed",Capabilities!$K$4:$K$253,"OK — verify source"),IF(B839="AIR",COUNTIFS('System map'!$A$4:$A$203,C839,'System map'!$B$4:$B$203,"&lt;&gt;",'System map'!$C$4:$C$203,"&lt;&gt;",'System map'!$D$4:$D$203,"&lt;&gt;"),COUNTIFS(Components!$A$4:$A$253,C839,Components!$B$4:$B$253,B839,Components!$K$4:$K$253,"Confirmed",Components!$L$4:$L$253,"OK — verify source"))))&lt;&gt;1,IF(E839="UC",COUNTIFS('Use cases'!$A$4:$A$253,F839,'Use cases'!$I$4:$I$253,"Confirmed",'Use cases'!$J$4:$J$253,"OK — verify source"),IF(E839="CAP",COUNTIFS(Capabilities!$A$4:$A$253,F839,Capabilities!$J$4:$J$253,"Confirmed",Capabilities!$K$4:$K$253,"OK — verify source"),IF(E839="AIR",COUNTIFS('System map'!$A$4:$A$203,F839,'System map'!$B$4:$B$203,"&lt;&gt;",'System map'!$C$4:$C$203,"&lt;&gt;",'System map'!$D$4:$D$203,"&lt;&gt;"),COUNTIFS(Components!$A$4:$A$253,F839,Components!$B$4:$B$253,E839,Components!$K$4:$K$253,"Confirmed",Components!$L$4:$L$253,"OK — verify source"))))&lt;&gt;1)),"Endpoint not source-reconciled",IF(AND(M839="Confirmed",OR(L839="",K839="",K839="Unknown",K839="Low")),"Confirmed link lacks verification","OK — verify source"))))))))))))))</f>
        <v/>
      </c>
    </row>
    <row r="840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6" t="n"/>
      <c r="M840" s="25" t="n"/>
      <c r="N840" s="25">
        <f>IF(COUNTA(A840:M840)=0,"",IF(OR(A840="",B840="",C840="",D840="",E840="",F840="",I840="",J840="",K840="",M840=""),"Required link detail missing",IF(COUNTIF($A$4:$A$1003,A840)&gt;1,"Duplicate Map Edge ID",IF(NOT(OR(AND(B840="UC",E840="CAP",D840="requires"),AND(B840="CAP",E840="AIR",D840="provided by"),AND(B840="AIR",OR(E840="MOD",E840="DATA",E840="IF",E840="AG",E840="TOOL"),D840="references"),AND(B840="AIR",E840="AIR",D840="depends on"))),"Invalid relationship",IF(AND(M840&lt;&gt;"Superseded",COUNTIFS($B$4:$B$1003,B840,$C$4:$C$1003,C840,$D$4:$D$1003,D840,$E$4:$E$1003,E840,$F$4:$F$1003,F840,$G$4:$G$1003,G840,$M$4:$M$1003,"&lt;&gt;Superseded")&gt;1),"Duplicate relationship",IF(OR(IF(B840="UC",COUNTIF('Use cases'!$A$4:$A$253,C840),IF(B840="CAP",COUNTIF(Capabilities!$A$4:$A$253,C840),IF(B840="AIR",COUNTIF('System map'!$A$4:$A$203,C840),COUNTIFS(Components!$A$4:$A$253,C840,Components!$B$4:$B$253,B840))))&lt;&gt;1,IF(E840="UC",COUNTIF('Use cases'!$A$4:$A$253,F840),IF(E840="CAP",COUNTIF(Capabilities!$A$4:$A$253,F840),IF(E840="AIR",COUNTIF('System map'!$A$4:$A$203,F840),COUNTIFS(Components!$A$4:$A$253,F840,Components!$B$4:$B$253,E840))))&lt;&gt;1),"Endpoint missing or duplicated",IF(AND(NOT(AND(B840="UC",E840="CAP")),OR(G840="",COUNTIF('System map'!$A$4:$A$203,G840)&lt;&gt;1)),"AIR context missing / unknown",IF(AND(B840="CAP",E840="AIR",G840&lt;&gt;F840),"AIR context mismatch",IF(AND(B840="AIR",G840&lt;&gt;C840),"AIR context mismatch",IF(AND(B840="AIR",E840="AIR",C840=F840),"Self-dependency",IF(AND(B840="AIR",E840="AIR",M840&lt;&gt;"Superseded",COUNTIFS($B$4:$B$1003,"AIR",$C$4:$C$1003,F840,$E$4:$E$1003,"AIR",$F$4:$F$1003,C840,$M$4:$M$1003,"&lt;&gt;Superseded")&gt;0),"Dependency cycle (A↔B) — review",IF(AND(B840="AIR",OR(E840="MOD",E840="DATA",E840="IF",E840="AG",E840="TOOL"),IFERROR(INDEX(Components!$G$4:$G$253,MATCH(F840,Components!$A$4:$A$253,0)),"")&lt;&gt;"",IFERROR(INDEX(Components!$G$4:$G$253,MATCH(F840,Components!$A$4:$A$253,0)),"")&lt;&gt;C840),"Component owned by another AIR-ID",IF(AND(M840="Confirmed",OR(IF(B840="UC",COUNTIFS('Use cases'!$A$4:$A$253,C840,'Use cases'!$I$4:$I$253,"Confirmed",'Use cases'!$J$4:$J$253,"OK — verify source"),IF(B840="CAP",COUNTIFS(Capabilities!$A$4:$A$253,C840,Capabilities!$J$4:$J$253,"Confirmed",Capabilities!$K$4:$K$253,"OK — verify source"),IF(B840="AIR",COUNTIFS('System map'!$A$4:$A$203,C840,'System map'!$B$4:$B$203,"&lt;&gt;",'System map'!$C$4:$C$203,"&lt;&gt;",'System map'!$D$4:$D$203,"&lt;&gt;"),COUNTIFS(Components!$A$4:$A$253,C840,Components!$B$4:$B$253,B840,Components!$K$4:$K$253,"Confirmed",Components!$L$4:$L$253,"OK — verify source"))))&lt;&gt;1,IF(E840="UC",COUNTIFS('Use cases'!$A$4:$A$253,F840,'Use cases'!$I$4:$I$253,"Confirmed",'Use cases'!$J$4:$J$253,"OK — verify source"),IF(E840="CAP",COUNTIFS(Capabilities!$A$4:$A$253,F840,Capabilities!$J$4:$J$253,"Confirmed",Capabilities!$K$4:$K$253,"OK — verify source"),IF(E840="AIR",COUNTIFS('System map'!$A$4:$A$203,F840,'System map'!$B$4:$B$203,"&lt;&gt;",'System map'!$C$4:$C$203,"&lt;&gt;",'System map'!$D$4:$D$203,"&lt;&gt;"),COUNTIFS(Components!$A$4:$A$253,F840,Components!$B$4:$B$253,E840,Components!$K$4:$K$253,"Confirmed",Components!$L$4:$L$253,"OK — verify source"))))&lt;&gt;1)),"Endpoint not source-reconciled",IF(AND(M840="Confirmed",OR(L840="",K840="",K840="Unknown",K840="Low")),"Confirmed link lacks verification","OK — verify source"))))))))))))))</f>
        <v/>
      </c>
    </row>
    <row r="841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8" t="n"/>
      <c r="M841" s="27" t="n"/>
      <c r="N841" s="27">
        <f>IF(COUNTA(A841:M841)=0,"",IF(OR(A841="",B841="",C841="",D841="",E841="",F841="",I841="",J841="",K841="",M841=""),"Required link detail missing",IF(COUNTIF($A$4:$A$1003,A841)&gt;1,"Duplicate Map Edge ID",IF(NOT(OR(AND(B841="UC",E841="CAP",D841="requires"),AND(B841="CAP",E841="AIR",D841="provided by"),AND(B841="AIR",OR(E841="MOD",E841="DATA",E841="IF",E841="AG",E841="TOOL"),D841="references"),AND(B841="AIR",E841="AIR",D841="depends on"))),"Invalid relationship",IF(AND(M841&lt;&gt;"Superseded",COUNTIFS($B$4:$B$1003,B841,$C$4:$C$1003,C841,$D$4:$D$1003,D841,$E$4:$E$1003,E841,$F$4:$F$1003,F841,$G$4:$G$1003,G841,$M$4:$M$1003,"&lt;&gt;Superseded")&gt;1),"Duplicate relationship",IF(OR(IF(B841="UC",COUNTIF('Use cases'!$A$4:$A$253,C841),IF(B841="CAP",COUNTIF(Capabilities!$A$4:$A$253,C841),IF(B841="AIR",COUNTIF('System map'!$A$4:$A$203,C841),COUNTIFS(Components!$A$4:$A$253,C841,Components!$B$4:$B$253,B841))))&lt;&gt;1,IF(E841="UC",COUNTIF('Use cases'!$A$4:$A$253,F841),IF(E841="CAP",COUNTIF(Capabilities!$A$4:$A$253,F841),IF(E841="AIR",COUNTIF('System map'!$A$4:$A$203,F841),COUNTIFS(Components!$A$4:$A$253,F841,Components!$B$4:$B$253,E841))))&lt;&gt;1),"Endpoint missing or duplicated",IF(AND(NOT(AND(B841="UC",E841="CAP")),OR(G841="",COUNTIF('System map'!$A$4:$A$203,G841)&lt;&gt;1)),"AIR context missing / unknown",IF(AND(B841="CAP",E841="AIR",G841&lt;&gt;F841),"AIR context mismatch",IF(AND(B841="AIR",G841&lt;&gt;C841),"AIR context mismatch",IF(AND(B841="AIR",E841="AIR",C841=F841),"Self-dependency",IF(AND(B841="AIR",E841="AIR",M841&lt;&gt;"Superseded",COUNTIFS($B$4:$B$1003,"AIR",$C$4:$C$1003,F841,$E$4:$E$1003,"AIR",$F$4:$F$1003,C841,$M$4:$M$1003,"&lt;&gt;Superseded")&gt;0),"Dependency cycle (A↔B) — review",IF(AND(B841="AIR",OR(E841="MOD",E841="DATA",E841="IF",E841="AG",E841="TOOL"),IFERROR(INDEX(Components!$G$4:$G$253,MATCH(F841,Components!$A$4:$A$253,0)),"")&lt;&gt;"",IFERROR(INDEX(Components!$G$4:$G$253,MATCH(F841,Components!$A$4:$A$253,0)),"")&lt;&gt;C841),"Component owned by another AIR-ID",IF(AND(M841="Confirmed",OR(IF(B841="UC",COUNTIFS('Use cases'!$A$4:$A$253,C841,'Use cases'!$I$4:$I$253,"Confirmed",'Use cases'!$J$4:$J$253,"OK — verify source"),IF(B841="CAP",COUNTIFS(Capabilities!$A$4:$A$253,C841,Capabilities!$J$4:$J$253,"Confirmed",Capabilities!$K$4:$K$253,"OK — verify source"),IF(B841="AIR",COUNTIFS('System map'!$A$4:$A$203,C841,'System map'!$B$4:$B$203,"&lt;&gt;",'System map'!$C$4:$C$203,"&lt;&gt;",'System map'!$D$4:$D$203,"&lt;&gt;"),COUNTIFS(Components!$A$4:$A$253,C841,Components!$B$4:$B$253,B841,Components!$K$4:$K$253,"Confirmed",Components!$L$4:$L$253,"OK — verify source"))))&lt;&gt;1,IF(E841="UC",COUNTIFS('Use cases'!$A$4:$A$253,F841,'Use cases'!$I$4:$I$253,"Confirmed",'Use cases'!$J$4:$J$253,"OK — verify source"),IF(E841="CAP",COUNTIFS(Capabilities!$A$4:$A$253,F841,Capabilities!$J$4:$J$253,"Confirmed",Capabilities!$K$4:$K$253,"OK — verify source"),IF(E841="AIR",COUNTIFS('System map'!$A$4:$A$203,F841,'System map'!$B$4:$B$203,"&lt;&gt;",'System map'!$C$4:$C$203,"&lt;&gt;",'System map'!$D$4:$D$203,"&lt;&gt;"),COUNTIFS(Components!$A$4:$A$253,F841,Components!$B$4:$B$253,E841,Components!$K$4:$K$253,"Confirmed",Components!$L$4:$L$253,"OK — verify source"))))&lt;&gt;1)),"Endpoint not source-reconciled",IF(AND(M841="Confirmed",OR(L841="",K841="",K841="Unknown",K841="Low")),"Confirmed link lacks verification","OK — verify source"))))))))))))))</f>
        <v/>
      </c>
    </row>
    <row r="842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6" t="n"/>
      <c r="M842" s="25" t="n"/>
      <c r="N842" s="25">
        <f>IF(COUNTA(A842:M842)=0,"",IF(OR(A842="",B842="",C842="",D842="",E842="",F842="",I842="",J842="",K842="",M842=""),"Required link detail missing",IF(COUNTIF($A$4:$A$1003,A842)&gt;1,"Duplicate Map Edge ID",IF(NOT(OR(AND(B842="UC",E842="CAP",D842="requires"),AND(B842="CAP",E842="AIR",D842="provided by"),AND(B842="AIR",OR(E842="MOD",E842="DATA",E842="IF",E842="AG",E842="TOOL"),D842="references"),AND(B842="AIR",E842="AIR",D842="depends on"))),"Invalid relationship",IF(AND(M842&lt;&gt;"Superseded",COUNTIFS($B$4:$B$1003,B842,$C$4:$C$1003,C842,$D$4:$D$1003,D842,$E$4:$E$1003,E842,$F$4:$F$1003,F842,$G$4:$G$1003,G842,$M$4:$M$1003,"&lt;&gt;Superseded")&gt;1),"Duplicate relationship",IF(OR(IF(B842="UC",COUNTIF('Use cases'!$A$4:$A$253,C842),IF(B842="CAP",COUNTIF(Capabilities!$A$4:$A$253,C842),IF(B842="AIR",COUNTIF('System map'!$A$4:$A$203,C842),COUNTIFS(Components!$A$4:$A$253,C842,Components!$B$4:$B$253,B842))))&lt;&gt;1,IF(E842="UC",COUNTIF('Use cases'!$A$4:$A$253,F842),IF(E842="CAP",COUNTIF(Capabilities!$A$4:$A$253,F842),IF(E842="AIR",COUNTIF('System map'!$A$4:$A$203,F842),COUNTIFS(Components!$A$4:$A$253,F842,Components!$B$4:$B$253,E842))))&lt;&gt;1),"Endpoint missing or duplicated",IF(AND(NOT(AND(B842="UC",E842="CAP")),OR(G842="",COUNTIF('System map'!$A$4:$A$203,G842)&lt;&gt;1)),"AIR context missing / unknown",IF(AND(B842="CAP",E842="AIR",G842&lt;&gt;F842),"AIR context mismatch",IF(AND(B842="AIR",G842&lt;&gt;C842),"AIR context mismatch",IF(AND(B842="AIR",E842="AIR",C842=F842),"Self-dependency",IF(AND(B842="AIR",E842="AIR",M842&lt;&gt;"Superseded",COUNTIFS($B$4:$B$1003,"AIR",$C$4:$C$1003,F842,$E$4:$E$1003,"AIR",$F$4:$F$1003,C842,$M$4:$M$1003,"&lt;&gt;Superseded")&gt;0),"Dependency cycle (A↔B) — review",IF(AND(B842="AIR",OR(E842="MOD",E842="DATA",E842="IF",E842="AG",E842="TOOL"),IFERROR(INDEX(Components!$G$4:$G$253,MATCH(F842,Components!$A$4:$A$253,0)),"")&lt;&gt;"",IFERROR(INDEX(Components!$G$4:$G$253,MATCH(F842,Components!$A$4:$A$253,0)),"")&lt;&gt;C842),"Component owned by another AIR-ID",IF(AND(M842="Confirmed",OR(IF(B842="UC",COUNTIFS('Use cases'!$A$4:$A$253,C842,'Use cases'!$I$4:$I$253,"Confirmed",'Use cases'!$J$4:$J$253,"OK — verify source"),IF(B842="CAP",COUNTIFS(Capabilities!$A$4:$A$253,C842,Capabilities!$J$4:$J$253,"Confirmed",Capabilities!$K$4:$K$253,"OK — verify source"),IF(B842="AIR",COUNTIFS('System map'!$A$4:$A$203,C842,'System map'!$B$4:$B$203,"&lt;&gt;",'System map'!$C$4:$C$203,"&lt;&gt;",'System map'!$D$4:$D$203,"&lt;&gt;"),COUNTIFS(Components!$A$4:$A$253,C842,Components!$B$4:$B$253,B842,Components!$K$4:$K$253,"Confirmed",Components!$L$4:$L$253,"OK — verify source"))))&lt;&gt;1,IF(E842="UC",COUNTIFS('Use cases'!$A$4:$A$253,F842,'Use cases'!$I$4:$I$253,"Confirmed",'Use cases'!$J$4:$J$253,"OK — verify source"),IF(E842="CAP",COUNTIFS(Capabilities!$A$4:$A$253,F842,Capabilities!$J$4:$J$253,"Confirmed",Capabilities!$K$4:$K$253,"OK — verify source"),IF(E842="AIR",COUNTIFS('System map'!$A$4:$A$203,F842,'System map'!$B$4:$B$203,"&lt;&gt;",'System map'!$C$4:$C$203,"&lt;&gt;",'System map'!$D$4:$D$203,"&lt;&gt;"),COUNTIFS(Components!$A$4:$A$253,F842,Components!$B$4:$B$253,E842,Components!$K$4:$K$253,"Confirmed",Components!$L$4:$L$253,"OK — verify source"))))&lt;&gt;1)),"Endpoint not source-reconciled",IF(AND(M842="Confirmed",OR(L842="",K842="",K842="Unknown",K842="Low")),"Confirmed link lacks verification","OK — verify source"))))))))))))))</f>
        <v/>
      </c>
    </row>
    <row r="843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8" t="n"/>
      <c r="M843" s="27" t="n"/>
      <c r="N843" s="27">
        <f>IF(COUNTA(A843:M843)=0,"",IF(OR(A843="",B843="",C843="",D843="",E843="",F843="",I843="",J843="",K843="",M843=""),"Required link detail missing",IF(COUNTIF($A$4:$A$1003,A843)&gt;1,"Duplicate Map Edge ID",IF(NOT(OR(AND(B843="UC",E843="CAP",D843="requires"),AND(B843="CAP",E843="AIR",D843="provided by"),AND(B843="AIR",OR(E843="MOD",E843="DATA",E843="IF",E843="AG",E843="TOOL"),D843="references"),AND(B843="AIR",E843="AIR",D843="depends on"))),"Invalid relationship",IF(AND(M843&lt;&gt;"Superseded",COUNTIFS($B$4:$B$1003,B843,$C$4:$C$1003,C843,$D$4:$D$1003,D843,$E$4:$E$1003,E843,$F$4:$F$1003,F843,$G$4:$G$1003,G843,$M$4:$M$1003,"&lt;&gt;Superseded")&gt;1),"Duplicate relationship",IF(OR(IF(B843="UC",COUNTIF('Use cases'!$A$4:$A$253,C843),IF(B843="CAP",COUNTIF(Capabilities!$A$4:$A$253,C843),IF(B843="AIR",COUNTIF('System map'!$A$4:$A$203,C843),COUNTIFS(Components!$A$4:$A$253,C843,Components!$B$4:$B$253,B843))))&lt;&gt;1,IF(E843="UC",COUNTIF('Use cases'!$A$4:$A$253,F843),IF(E843="CAP",COUNTIF(Capabilities!$A$4:$A$253,F843),IF(E843="AIR",COUNTIF('System map'!$A$4:$A$203,F843),COUNTIFS(Components!$A$4:$A$253,F843,Components!$B$4:$B$253,E843))))&lt;&gt;1),"Endpoint missing or duplicated",IF(AND(NOT(AND(B843="UC",E843="CAP")),OR(G843="",COUNTIF('System map'!$A$4:$A$203,G843)&lt;&gt;1)),"AIR context missing / unknown",IF(AND(B843="CAP",E843="AIR",G843&lt;&gt;F843),"AIR context mismatch",IF(AND(B843="AIR",G843&lt;&gt;C843),"AIR context mismatch",IF(AND(B843="AIR",E843="AIR",C843=F843),"Self-dependency",IF(AND(B843="AIR",E843="AIR",M843&lt;&gt;"Superseded",COUNTIFS($B$4:$B$1003,"AIR",$C$4:$C$1003,F843,$E$4:$E$1003,"AIR",$F$4:$F$1003,C843,$M$4:$M$1003,"&lt;&gt;Superseded")&gt;0),"Dependency cycle (A↔B) — review",IF(AND(B843="AIR",OR(E843="MOD",E843="DATA",E843="IF",E843="AG",E843="TOOL"),IFERROR(INDEX(Components!$G$4:$G$253,MATCH(F843,Components!$A$4:$A$253,0)),"")&lt;&gt;"",IFERROR(INDEX(Components!$G$4:$G$253,MATCH(F843,Components!$A$4:$A$253,0)),"")&lt;&gt;C843),"Component owned by another AIR-ID",IF(AND(M843="Confirmed",OR(IF(B843="UC",COUNTIFS('Use cases'!$A$4:$A$253,C843,'Use cases'!$I$4:$I$253,"Confirmed",'Use cases'!$J$4:$J$253,"OK — verify source"),IF(B843="CAP",COUNTIFS(Capabilities!$A$4:$A$253,C843,Capabilities!$J$4:$J$253,"Confirmed",Capabilities!$K$4:$K$253,"OK — verify source"),IF(B843="AIR",COUNTIFS('System map'!$A$4:$A$203,C843,'System map'!$B$4:$B$203,"&lt;&gt;",'System map'!$C$4:$C$203,"&lt;&gt;",'System map'!$D$4:$D$203,"&lt;&gt;"),COUNTIFS(Components!$A$4:$A$253,C843,Components!$B$4:$B$253,B843,Components!$K$4:$K$253,"Confirmed",Components!$L$4:$L$253,"OK — verify source"))))&lt;&gt;1,IF(E843="UC",COUNTIFS('Use cases'!$A$4:$A$253,F843,'Use cases'!$I$4:$I$253,"Confirmed",'Use cases'!$J$4:$J$253,"OK — verify source"),IF(E843="CAP",COUNTIFS(Capabilities!$A$4:$A$253,F843,Capabilities!$J$4:$J$253,"Confirmed",Capabilities!$K$4:$K$253,"OK — verify source"),IF(E843="AIR",COUNTIFS('System map'!$A$4:$A$203,F843,'System map'!$B$4:$B$203,"&lt;&gt;",'System map'!$C$4:$C$203,"&lt;&gt;",'System map'!$D$4:$D$203,"&lt;&gt;"),COUNTIFS(Components!$A$4:$A$253,F843,Components!$B$4:$B$253,E843,Components!$K$4:$K$253,"Confirmed",Components!$L$4:$L$253,"OK — verify source"))))&lt;&gt;1)),"Endpoint not source-reconciled",IF(AND(M843="Confirmed",OR(L843="",K843="",K843="Unknown",K843="Low")),"Confirmed link lacks verification","OK — verify source"))))))))))))))</f>
        <v/>
      </c>
    </row>
    <row r="84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6" t="n"/>
      <c r="M844" s="25" t="n"/>
      <c r="N844" s="25">
        <f>IF(COUNTA(A844:M844)=0,"",IF(OR(A844="",B844="",C844="",D844="",E844="",F844="",I844="",J844="",K844="",M844=""),"Required link detail missing",IF(COUNTIF($A$4:$A$1003,A844)&gt;1,"Duplicate Map Edge ID",IF(NOT(OR(AND(B844="UC",E844="CAP",D844="requires"),AND(B844="CAP",E844="AIR",D844="provided by"),AND(B844="AIR",OR(E844="MOD",E844="DATA",E844="IF",E844="AG",E844="TOOL"),D844="references"),AND(B844="AIR",E844="AIR",D844="depends on"))),"Invalid relationship",IF(AND(M844&lt;&gt;"Superseded",COUNTIFS($B$4:$B$1003,B844,$C$4:$C$1003,C844,$D$4:$D$1003,D844,$E$4:$E$1003,E844,$F$4:$F$1003,F844,$G$4:$G$1003,G844,$M$4:$M$1003,"&lt;&gt;Superseded")&gt;1),"Duplicate relationship",IF(OR(IF(B844="UC",COUNTIF('Use cases'!$A$4:$A$253,C844),IF(B844="CAP",COUNTIF(Capabilities!$A$4:$A$253,C844),IF(B844="AIR",COUNTIF('System map'!$A$4:$A$203,C844),COUNTIFS(Components!$A$4:$A$253,C844,Components!$B$4:$B$253,B844))))&lt;&gt;1,IF(E844="UC",COUNTIF('Use cases'!$A$4:$A$253,F844),IF(E844="CAP",COUNTIF(Capabilities!$A$4:$A$253,F844),IF(E844="AIR",COUNTIF('System map'!$A$4:$A$203,F844),COUNTIFS(Components!$A$4:$A$253,F844,Components!$B$4:$B$253,E844))))&lt;&gt;1),"Endpoint missing or duplicated",IF(AND(NOT(AND(B844="UC",E844="CAP")),OR(G844="",COUNTIF('System map'!$A$4:$A$203,G844)&lt;&gt;1)),"AIR context missing / unknown",IF(AND(B844="CAP",E844="AIR",G844&lt;&gt;F844),"AIR context mismatch",IF(AND(B844="AIR",G844&lt;&gt;C844),"AIR context mismatch",IF(AND(B844="AIR",E844="AIR",C844=F844),"Self-dependency",IF(AND(B844="AIR",E844="AIR",M844&lt;&gt;"Superseded",COUNTIFS($B$4:$B$1003,"AIR",$C$4:$C$1003,F844,$E$4:$E$1003,"AIR",$F$4:$F$1003,C844,$M$4:$M$1003,"&lt;&gt;Superseded")&gt;0),"Dependency cycle (A↔B) — review",IF(AND(B844="AIR",OR(E844="MOD",E844="DATA",E844="IF",E844="AG",E844="TOOL"),IFERROR(INDEX(Components!$G$4:$G$253,MATCH(F844,Components!$A$4:$A$253,0)),"")&lt;&gt;"",IFERROR(INDEX(Components!$G$4:$G$253,MATCH(F844,Components!$A$4:$A$253,0)),"")&lt;&gt;C844),"Component owned by another AIR-ID",IF(AND(M844="Confirmed",OR(IF(B844="UC",COUNTIFS('Use cases'!$A$4:$A$253,C844,'Use cases'!$I$4:$I$253,"Confirmed",'Use cases'!$J$4:$J$253,"OK — verify source"),IF(B844="CAP",COUNTIFS(Capabilities!$A$4:$A$253,C844,Capabilities!$J$4:$J$253,"Confirmed",Capabilities!$K$4:$K$253,"OK — verify source"),IF(B844="AIR",COUNTIFS('System map'!$A$4:$A$203,C844,'System map'!$B$4:$B$203,"&lt;&gt;",'System map'!$C$4:$C$203,"&lt;&gt;",'System map'!$D$4:$D$203,"&lt;&gt;"),COUNTIFS(Components!$A$4:$A$253,C844,Components!$B$4:$B$253,B844,Components!$K$4:$K$253,"Confirmed",Components!$L$4:$L$253,"OK — verify source"))))&lt;&gt;1,IF(E844="UC",COUNTIFS('Use cases'!$A$4:$A$253,F844,'Use cases'!$I$4:$I$253,"Confirmed",'Use cases'!$J$4:$J$253,"OK — verify source"),IF(E844="CAP",COUNTIFS(Capabilities!$A$4:$A$253,F844,Capabilities!$J$4:$J$253,"Confirmed",Capabilities!$K$4:$K$253,"OK — verify source"),IF(E844="AIR",COUNTIFS('System map'!$A$4:$A$203,F844,'System map'!$B$4:$B$203,"&lt;&gt;",'System map'!$C$4:$C$203,"&lt;&gt;",'System map'!$D$4:$D$203,"&lt;&gt;"),COUNTIFS(Components!$A$4:$A$253,F844,Components!$B$4:$B$253,E844,Components!$K$4:$K$253,"Confirmed",Components!$L$4:$L$253,"OK — verify source"))))&lt;&gt;1)),"Endpoint not source-reconciled",IF(AND(M844="Confirmed",OR(L844="",K844="",K844="Unknown",K844="Low")),"Confirmed link lacks verification","OK — verify source"))))))))))))))</f>
        <v/>
      </c>
    </row>
    <row r="845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8" t="n"/>
      <c r="M845" s="27" t="n"/>
      <c r="N845" s="27">
        <f>IF(COUNTA(A845:M845)=0,"",IF(OR(A845="",B845="",C845="",D845="",E845="",F845="",I845="",J845="",K845="",M845=""),"Required link detail missing",IF(COUNTIF($A$4:$A$1003,A845)&gt;1,"Duplicate Map Edge ID",IF(NOT(OR(AND(B845="UC",E845="CAP",D845="requires"),AND(B845="CAP",E845="AIR",D845="provided by"),AND(B845="AIR",OR(E845="MOD",E845="DATA",E845="IF",E845="AG",E845="TOOL"),D845="references"),AND(B845="AIR",E845="AIR",D845="depends on"))),"Invalid relationship",IF(AND(M845&lt;&gt;"Superseded",COUNTIFS($B$4:$B$1003,B845,$C$4:$C$1003,C845,$D$4:$D$1003,D845,$E$4:$E$1003,E845,$F$4:$F$1003,F845,$G$4:$G$1003,G845,$M$4:$M$1003,"&lt;&gt;Superseded")&gt;1),"Duplicate relationship",IF(OR(IF(B845="UC",COUNTIF('Use cases'!$A$4:$A$253,C845),IF(B845="CAP",COUNTIF(Capabilities!$A$4:$A$253,C845),IF(B845="AIR",COUNTIF('System map'!$A$4:$A$203,C845),COUNTIFS(Components!$A$4:$A$253,C845,Components!$B$4:$B$253,B845))))&lt;&gt;1,IF(E845="UC",COUNTIF('Use cases'!$A$4:$A$253,F845),IF(E845="CAP",COUNTIF(Capabilities!$A$4:$A$253,F845),IF(E845="AIR",COUNTIF('System map'!$A$4:$A$203,F845),COUNTIFS(Components!$A$4:$A$253,F845,Components!$B$4:$B$253,E845))))&lt;&gt;1),"Endpoint missing or duplicated",IF(AND(NOT(AND(B845="UC",E845="CAP")),OR(G845="",COUNTIF('System map'!$A$4:$A$203,G845)&lt;&gt;1)),"AIR context missing / unknown",IF(AND(B845="CAP",E845="AIR",G845&lt;&gt;F845),"AIR context mismatch",IF(AND(B845="AIR",G845&lt;&gt;C845),"AIR context mismatch",IF(AND(B845="AIR",E845="AIR",C845=F845),"Self-dependency",IF(AND(B845="AIR",E845="AIR",M845&lt;&gt;"Superseded",COUNTIFS($B$4:$B$1003,"AIR",$C$4:$C$1003,F845,$E$4:$E$1003,"AIR",$F$4:$F$1003,C845,$M$4:$M$1003,"&lt;&gt;Superseded")&gt;0),"Dependency cycle (A↔B) — review",IF(AND(B845="AIR",OR(E845="MOD",E845="DATA",E845="IF",E845="AG",E845="TOOL"),IFERROR(INDEX(Components!$G$4:$G$253,MATCH(F845,Components!$A$4:$A$253,0)),"")&lt;&gt;"",IFERROR(INDEX(Components!$G$4:$G$253,MATCH(F845,Components!$A$4:$A$253,0)),"")&lt;&gt;C845),"Component owned by another AIR-ID",IF(AND(M845="Confirmed",OR(IF(B845="UC",COUNTIFS('Use cases'!$A$4:$A$253,C845,'Use cases'!$I$4:$I$253,"Confirmed",'Use cases'!$J$4:$J$253,"OK — verify source"),IF(B845="CAP",COUNTIFS(Capabilities!$A$4:$A$253,C845,Capabilities!$J$4:$J$253,"Confirmed",Capabilities!$K$4:$K$253,"OK — verify source"),IF(B845="AIR",COUNTIFS('System map'!$A$4:$A$203,C845,'System map'!$B$4:$B$203,"&lt;&gt;",'System map'!$C$4:$C$203,"&lt;&gt;",'System map'!$D$4:$D$203,"&lt;&gt;"),COUNTIFS(Components!$A$4:$A$253,C845,Components!$B$4:$B$253,B845,Components!$K$4:$K$253,"Confirmed",Components!$L$4:$L$253,"OK — verify source"))))&lt;&gt;1,IF(E845="UC",COUNTIFS('Use cases'!$A$4:$A$253,F845,'Use cases'!$I$4:$I$253,"Confirmed",'Use cases'!$J$4:$J$253,"OK — verify source"),IF(E845="CAP",COUNTIFS(Capabilities!$A$4:$A$253,F845,Capabilities!$J$4:$J$253,"Confirmed",Capabilities!$K$4:$K$253,"OK — verify source"),IF(E845="AIR",COUNTIFS('System map'!$A$4:$A$203,F845,'System map'!$B$4:$B$203,"&lt;&gt;",'System map'!$C$4:$C$203,"&lt;&gt;",'System map'!$D$4:$D$203,"&lt;&gt;"),COUNTIFS(Components!$A$4:$A$253,F845,Components!$B$4:$B$253,E845,Components!$K$4:$K$253,"Confirmed",Components!$L$4:$L$253,"OK — verify source"))))&lt;&gt;1)),"Endpoint not source-reconciled",IF(AND(M845="Confirmed",OR(L845="",K845="",K845="Unknown",K845="Low")),"Confirmed link lacks verification","OK — verify source"))))))))))))))</f>
        <v/>
      </c>
    </row>
    <row r="846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6" t="n"/>
      <c r="M846" s="25" t="n"/>
      <c r="N846" s="25">
        <f>IF(COUNTA(A846:M846)=0,"",IF(OR(A846="",B846="",C846="",D846="",E846="",F846="",I846="",J846="",K846="",M846=""),"Required link detail missing",IF(COUNTIF($A$4:$A$1003,A846)&gt;1,"Duplicate Map Edge ID",IF(NOT(OR(AND(B846="UC",E846="CAP",D846="requires"),AND(B846="CAP",E846="AIR",D846="provided by"),AND(B846="AIR",OR(E846="MOD",E846="DATA",E846="IF",E846="AG",E846="TOOL"),D846="references"),AND(B846="AIR",E846="AIR",D846="depends on"))),"Invalid relationship",IF(AND(M846&lt;&gt;"Superseded",COUNTIFS($B$4:$B$1003,B846,$C$4:$C$1003,C846,$D$4:$D$1003,D846,$E$4:$E$1003,E846,$F$4:$F$1003,F846,$G$4:$G$1003,G846,$M$4:$M$1003,"&lt;&gt;Superseded")&gt;1),"Duplicate relationship",IF(OR(IF(B846="UC",COUNTIF('Use cases'!$A$4:$A$253,C846),IF(B846="CAP",COUNTIF(Capabilities!$A$4:$A$253,C846),IF(B846="AIR",COUNTIF('System map'!$A$4:$A$203,C846),COUNTIFS(Components!$A$4:$A$253,C846,Components!$B$4:$B$253,B846))))&lt;&gt;1,IF(E846="UC",COUNTIF('Use cases'!$A$4:$A$253,F846),IF(E846="CAP",COUNTIF(Capabilities!$A$4:$A$253,F846),IF(E846="AIR",COUNTIF('System map'!$A$4:$A$203,F846),COUNTIFS(Components!$A$4:$A$253,F846,Components!$B$4:$B$253,E846))))&lt;&gt;1),"Endpoint missing or duplicated",IF(AND(NOT(AND(B846="UC",E846="CAP")),OR(G846="",COUNTIF('System map'!$A$4:$A$203,G846)&lt;&gt;1)),"AIR context missing / unknown",IF(AND(B846="CAP",E846="AIR",G846&lt;&gt;F846),"AIR context mismatch",IF(AND(B846="AIR",G846&lt;&gt;C846),"AIR context mismatch",IF(AND(B846="AIR",E846="AIR",C846=F846),"Self-dependency",IF(AND(B846="AIR",E846="AIR",M846&lt;&gt;"Superseded",COUNTIFS($B$4:$B$1003,"AIR",$C$4:$C$1003,F846,$E$4:$E$1003,"AIR",$F$4:$F$1003,C846,$M$4:$M$1003,"&lt;&gt;Superseded")&gt;0),"Dependency cycle (A↔B) — review",IF(AND(B846="AIR",OR(E846="MOD",E846="DATA",E846="IF",E846="AG",E846="TOOL"),IFERROR(INDEX(Components!$G$4:$G$253,MATCH(F846,Components!$A$4:$A$253,0)),"")&lt;&gt;"",IFERROR(INDEX(Components!$G$4:$G$253,MATCH(F846,Components!$A$4:$A$253,0)),"")&lt;&gt;C846),"Component owned by another AIR-ID",IF(AND(M846="Confirmed",OR(IF(B846="UC",COUNTIFS('Use cases'!$A$4:$A$253,C846,'Use cases'!$I$4:$I$253,"Confirmed",'Use cases'!$J$4:$J$253,"OK — verify source"),IF(B846="CAP",COUNTIFS(Capabilities!$A$4:$A$253,C846,Capabilities!$J$4:$J$253,"Confirmed",Capabilities!$K$4:$K$253,"OK — verify source"),IF(B846="AIR",COUNTIFS('System map'!$A$4:$A$203,C846,'System map'!$B$4:$B$203,"&lt;&gt;",'System map'!$C$4:$C$203,"&lt;&gt;",'System map'!$D$4:$D$203,"&lt;&gt;"),COUNTIFS(Components!$A$4:$A$253,C846,Components!$B$4:$B$253,B846,Components!$K$4:$K$253,"Confirmed",Components!$L$4:$L$253,"OK — verify source"))))&lt;&gt;1,IF(E846="UC",COUNTIFS('Use cases'!$A$4:$A$253,F846,'Use cases'!$I$4:$I$253,"Confirmed",'Use cases'!$J$4:$J$253,"OK — verify source"),IF(E846="CAP",COUNTIFS(Capabilities!$A$4:$A$253,F846,Capabilities!$J$4:$J$253,"Confirmed",Capabilities!$K$4:$K$253,"OK — verify source"),IF(E846="AIR",COUNTIFS('System map'!$A$4:$A$203,F846,'System map'!$B$4:$B$203,"&lt;&gt;",'System map'!$C$4:$C$203,"&lt;&gt;",'System map'!$D$4:$D$203,"&lt;&gt;"),COUNTIFS(Components!$A$4:$A$253,F846,Components!$B$4:$B$253,E846,Components!$K$4:$K$253,"Confirmed",Components!$L$4:$L$253,"OK — verify source"))))&lt;&gt;1)),"Endpoint not source-reconciled",IF(AND(M846="Confirmed",OR(L846="",K846="",K846="Unknown",K846="Low")),"Confirmed link lacks verification","OK — verify source"))))))))))))))</f>
        <v/>
      </c>
    </row>
    <row r="847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8" t="n"/>
      <c r="M847" s="27" t="n"/>
      <c r="N847" s="27">
        <f>IF(COUNTA(A847:M847)=0,"",IF(OR(A847="",B847="",C847="",D847="",E847="",F847="",I847="",J847="",K847="",M847=""),"Required link detail missing",IF(COUNTIF($A$4:$A$1003,A847)&gt;1,"Duplicate Map Edge ID",IF(NOT(OR(AND(B847="UC",E847="CAP",D847="requires"),AND(B847="CAP",E847="AIR",D847="provided by"),AND(B847="AIR",OR(E847="MOD",E847="DATA",E847="IF",E847="AG",E847="TOOL"),D847="references"),AND(B847="AIR",E847="AIR",D847="depends on"))),"Invalid relationship",IF(AND(M847&lt;&gt;"Superseded",COUNTIFS($B$4:$B$1003,B847,$C$4:$C$1003,C847,$D$4:$D$1003,D847,$E$4:$E$1003,E847,$F$4:$F$1003,F847,$G$4:$G$1003,G847,$M$4:$M$1003,"&lt;&gt;Superseded")&gt;1),"Duplicate relationship",IF(OR(IF(B847="UC",COUNTIF('Use cases'!$A$4:$A$253,C847),IF(B847="CAP",COUNTIF(Capabilities!$A$4:$A$253,C847),IF(B847="AIR",COUNTIF('System map'!$A$4:$A$203,C847),COUNTIFS(Components!$A$4:$A$253,C847,Components!$B$4:$B$253,B847))))&lt;&gt;1,IF(E847="UC",COUNTIF('Use cases'!$A$4:$A$253,F847),IF(E847="CAP",COUNTIF(Capabilities!$A$4:$A$253,F847),IF(E847="AIR",COUNTIF('System map'!$A$4:$A$203,F847),COUNTIFS(Components!$A$4:$A$253,F847,Components!$B$4:$B$253,E847))))&lt;&gt;1),"Endpoint missing or duplicated",IF(AND(NOT(AND(B847="UC",E847="CAP")),OR(G847="",COUNTIF('System map'!$A$4:$A$203,G847)&lt;&gt;1)),"AIR context missing / unknown",IF(AND(B847="CAP",E847="AIR",G847&lt;&gt;F847),"AIR context mismatch",IF(AND(B847="AIR",G847&lt;&gt;C847),"AIR context mismatch",IF(AND(B847="AIR",E847="AIR",C847=F847),"Self-dependency",IF(AND(B847="AIR",E847="AIR",M847&lt;&gt;"Superseded",COUNTIFS($B$4:$B$1003,"AIR",$C$4:$C$1003,F847,$E$4:$E$1003,"AIR",$F$4:$F$1003,C847,$M$4:$M$1003,"&lt;&gt;Superseded")&gt;0),"Dependency cycle (A↔B) — review",IF(AND(B847="AIR",OR(E847="MOD",E847="DATA",E847="IF",E847="AG",E847="TOOL"),IFERROR(INDEX(Components!$G$4:$G$253,MATCH(F847,Components!$A$4:$A$253,0)),"")&lt;&gt;"",IFERROR(INDEX(Components!$G$4:$G$253,MATCH(F847,Components!$A$4:$A$253,0)),"")&lt;&gt;C847),"Component owned by another AIR-ID",IF(AND(M847="Confirmed",OR(IF(B847="UC",COUNTIFS('Use cases'!$A$4:$A$253,C847,'Use cases'!$I$4:$I$253,"Confirmed",'Use cases'!$J$4:$J$253,"OK — verify source"),IF(B847="CAP",COUNTIFS(Capabilities!$A$4:$A$253,C847,Capabilities!$J$4:$J$253,"Confirmed",Capabilities!$K$4:$K$253,"OK — verify source"),IF(B847="AIR",COUNTIFS('System map'!$A$4:$A$203,C847,'System map'!$B$4:$B$203,"&lt;&gt;",'System map'!$C$4:$C$203,"&lt;&gt;",'System map'!$D$4:$D$203,"&lt;&gt;"),COUNTIFS(Components!$A$4:$A$253,C847,Components!$B$4:$B$253,B847,Components!$K$4:$K$253,"Confirmed",Components!$L$4:$L$253,"OK — verify source"))))&lt;&gt;1,IF(E847="UC",COUNTIFS('Use cases'!$A$4:$A$253,F847,'Use cases'!$I$4:$I$253,"Confirmed",'Use cases'!$J$4:$J$253,"OK — verify source"),IF(E847="CAP",COUNTIFS(Capabilities!$A$4:$A$253,F847,Capabilities!$J$4:$J$253,"Confirmed",Capabilities!$K$4:$K$253,"OK — verify source"),IF(E847="AIR",COUNTIFS('System map'!$A$4:$A$203,F847,'System map'!$B$4:$B$203,"&lt;&gt;",'System map'!$C$4:$C$203,"&lt;&gt;",'System map'!$D$4:$D$203,"&lt;&gt;"),COUNTIFS(Components!$A$4:$A$253,F847,Components!$B$4:$B$253,E847,Components!$K$4:$K$253,"Confirmed",Components!$L$4:$L$253,"OK — verify source"))))&lt;&gt;1)),"Endpoint not source-reconciled",IF(AND(M847="Confirmed",OR(L847="",K847="",K847="Unknown",K847="Low")),"Confirmed link lacks verification","OK — verify source"))))))))))))))</f>
        <v/>
      </c>
    </row>
    <row r="848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6" t="n"/>
      <c r="M848" s="25" t="n"/>
      <c r="N848" s="25">
        <f>IF(COUNTA(A848:M848)=0,"",IF(OR(A848="",B848="",C848="",D848="",E848="",F848="",I848="",J848="",K848="",M848=""),"Required link detail missing",IF(COUNTIF($A$4:$A$1003,A848)&gt;1,"Duplicate Map Edge ID",IF(NOT(OR(AND(B848="UC",E848="CAP",D848="requires"),AND(B848="CAP",E848="AIR",D848="provided by"),AND(B848="AIR",OR(E848="MOD",E848="DATA",E848="IF",E848="AG",E848="TOOL"),D848="references"),AND(B848="AIR",E848="AIR",D848="depends on"))),"Invalid relationship",IF(AND(M848&lt;&gt;"Superseded",COUNTIFS($B$4:$B$1003,B848,$C$4:$C$1003,C848,$D$4:$D$1003,D848,$E$4:$E$1003,E848,$F$4:$F$1003,F848,$G$4:$G$1003,G848,$M$4:$M$1003,"&lt;&gt;Superseded")&gt;1),"Duplicate relationship",IF(OR(IF(B848="UC",COUNTIF('Use cases'!$A$4:$A$253,C848),IF(B848="CAP",COUNTIF(Capabilities!$A$4:$A$253,C848),IF(B848="AIR",COUNTIF('System map'!$A$4:$A$203,C848),COUNTIFS(Components!$A$4:$A$253,C848,Components!$B$4:$B$253,B848))))&lt;&gt;1,IF(E848="UC",COUNTIF('Use cases'!$A$4:$A$253,F848),IF(E848="CAP",COUNTIF(Capabilities!$A$4:$A$253,F848),IF(E848="AIR",COUNTIF('System map'!$A$4:$A$203,F848),COUNTIFS(Components!$A$4:$A$253,F848,Components!$B$4:$B$253,E848))))&lt;&gt;1),"Endpoint missing or duplicated",IF(AND(NOT(AND(B848="UC",E848="CAP")),OR(G848="",COUNTIF('System map'!$A$4:$A$203,G848)&lt;&gt;1)),"AIR context missing / unknown",IF(AND(B848="CAP",E848="AIR",G848&lt;&gt;F848),"AIR context mismatch",IF(AND(B848="AIR",G848&lt;&gt;C848),"AIR context mismatch",IF(AND(B848="AIR",E848="AIR",C848=F848),"Self-dependency",IF(AND(B848="AIR",E848="AIR",M848&lt;&gt;"Superseded",COUNTIFS($B$4:$B$1003,"AIR",$C$4:$C$1003,F848,$E$4:$E$1003,"AIR",$F$4:$F$1003,C848,$M$4:$M$1003,"&lt;&gt;Superseded")&gt;0),"Dependency cycle (A↔B) — review",IF(AND(B848="AIR",OR(E848="MOD",E848="DATA",E848="IF",E848="AG",E848="TOOL"),IFERROR(INDEX(Components!$G$4:$G$253,MATCH(F848,Components!$A$4:$A$253,0)),"")&lt;&gt;"",IFERROR(INDEX(Components!$G$4:$G$253,MATCH(F848,Components!$A$4:$A$253,0)),"")&lt;&gt;C848),"Component owned by another AIR-ID",IF(AND(M848="Confirmed",OR(IF(B848="UC",COUNTIFS('Use cases'!$A$4:$A$253,C848,'Use cases'!$I$4:$I$253,"Confirmed",'Use cases'!$J$4:$J$253,"OK — verify source"),IF(B848="CAP",COUNTIFS(Capabilities!$A$4:$A$253,C848,Capabilities!$J$4:$J$253,"Confirmed",Capabilities!$K$4:$K$253,"OK — verify source"),IF(B848="AIR",COUNTIFS('System map'!$A$4:$A$203,C848,'System map'!$B$4:$B$203,"&lt;&gt;",'System map'!$C$4:$C$203,"&lt;&gt;",'System map'!$D$4:$D$203,"&lt;&gt;"),COUNTIFS(Components!$A$4:$A$253,C848,Components!$B$4:$B$253,B848,Components!$K$4:$K$253,"Confirmed",Components!$L$4:$L$253,"OK — verify source"))))&lt;&gt;1,IF(E848="UC",COUNTIFS('Use cases'!$A$4:$A$253,F848,'Use cases'!$I$4:$I$253,"Confirmed",'Use cases'!$J$4:$J$253,"OK — verify source"),IF(E848="CAP",COUNTIFS(Capabilities!$A$4:$A$253,F848,Capabilities!$J$4:$J$253,"Confirmed",Capabilities!$K$4:$K$253,"OK — verify source"),IF(E848="AIR",COUNTIFS('System map'!$A$4:$A$203,F848,'System map'!$B$4:$B$203,"&lt;&gt;",'System map'!$C$4:$C$203,"&lt;&gt;",'System map'!$D$4:$D$203,"&lt;&gt;"),COUNTIFS(Components!$A$4:$A$253,F848,Components!$B$4:$B$253,E848,Components!$K$4:$K$253,"Confirmed",Components!$L$4:$L$253,"OK — verify source"))))&lt;&gt;1)),"Endpoint not source-reconciled",IF(AND(M848="Confirmed",OR(L848="",K848="",K848="Unknown",K848="Low")),"Confirmed link lacks verification","OK — verify source"))))))))))))))</f>
        <v/>
      </c>
    </row>
    <row r="849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8" t="n"/>
      <c r="M849" s="27" t="n"/>
      <c r="N849" s="27">
        <f>IF(COUNTA(A849:M849)=0,"",IF(OR(A849="",B849="",C849="",D849="",E849="",F849="",I849="",J849="",K849="",M849=""),"Required link detail missing",IF(COUNTIF($A$4:$A$1003,A849)&gt;1,"Duplicate Map Edge ID",IF(NOT(OR(AND(B849="UC",E849="CAP",D849="requires"),AND(B849="CAP",E849="AIR",D849="provided by"),AND(B849="AIR",OR(E849="MOD",E849="DATA",E849="IF",E849="AG",E849="TOOL"),D849="references"),AND(B849="AIR",E849="AIR",D849="depends on"))),"Invalid relationship",IF(AND(M849&lt;&gt;"Superseded",COUNTIFS($B$4:$B$1003,B849,$C$4:$C$1003,C849,$D$4:$D$1003,D849,$E$4:$E$1003,E849,$F$4:$F$1003,F849,$G$4:$G$1003,G849,$M$4:$M$1003,"&lt;&gt;Superseded")&gt;1),"Duplicate relationship",IF(OR(IF(B849="UC",COUNTIF('Use cases'!$A$4:$A$253,C849),IF(B849="CAP",COUNTIF(Capabilities!$A$4:$A$253,C849),IF(B849="AIR",COUNTIF('System map'!$A$4:$A$203,C849),COUNTIFS(Components!$A$4:$A$253,C849,Components!$B$4:$B$253,B849))))&lt;&gt;1,IF(E849="UC",COUNTIF('Use cases'!$A$4:$A$253,F849),IF(E849="CAP",COUNTIF(Capabilities!$A$4:$A$253,F849),IF(E849="AIR",COUNTIF('System map'!$A$4:$A$203,F849),COUNTIFS(Components!$A$4:$A$253,F849,Components!$B$4:$B$253,E849))))&lt;&gt;1),"Endpoint missing or duplicated",IF(AND(NOT(AND(B849="UC",E849="CAP")),OR(G849="",COUNTIF('System map'!$A$4:$A$203,G849)&lt;&gt;1)),"AIR context missing / unknown",IF(AND(B849="CAP",E849="AIR",G849&lt;&gt;F849),"AIR context mismatch",IF(AND(B849="AIR",G849&lt;&gt;C849),"AIR context mismatch",IF(AND(B849="AIR",E849="AIR",C849=F849),"Self-dependency",IF(AND(B849="AIR",E849="AIR",M849&lt;&gt;"Superseded",COUNTIFS($B$4:$B$1003,"AIR",$C$4:$C$1003,F849,$E$4:$E$1003,"AIR",$F$4:$F$1003,C849,$M$4:$M$1003,"&lt;&gt;Superseded")&gt;0),"Dependency cycle (A↔B) — review",IF(AND(B849="AIR",OR(E849="MOD",E849="DATA",E849="IF",E849="AG",E849="TOOL"),IFERROR(INDEX(Components!$G$4:$G$253,MATCH(F849,Components!$A$4:$A$253,0)),"")&lt;&gt;"",IFERROR(INDEX(Components!$G$4:$G$253,MATCH(F849,Components!$A$4:$A$253,0)),"")&lt;&gt;C849),"Component owned by another AIR-ID",IF(AND(M849="Confirmed",OR(IF(B849="UC",COUNTIFS('Use cases'!$A$4:$A$253,C849,'Use cases'!$I$4:$I$253,"Confirmed",'Use cases'!$J$4:$J$253,"OK — verify source"),IF(B849="CAP",COUNTIFS(Capabilities!$A$4:$A$253,C849,Capabilities!$J$4:$J$253,"Confirmed",Capabilities!$K$4:$K$253,"OK — verify source"),IF(B849="AIR",COUNTIFS('System map'!$A$4:$A$203,C849,'System map'!$B$4:$B$203,"&lt;&gt;",'System map'!$C$4:$C$203,"&lt;&gt;",'System map'!$D$4:$D$203,"&lt;&gt;"),COUNTIFS(Components!$A$4:$A$253,C849,Components!$B$4:$B$253,B849,Components!$K$4:$K$253,"Confirmed",Components!$L$4:$L$253,"OK — verify source"))))&lt;&gt;1,IF(E849="UC",COUNTIFS('Use cases'!$A$4:$A$253,F849,'Use cases'!$I$4:$I$253,"Confirmed",'Use cases'!$J$4:$J$253,"OK — verify source"),IF(E849="CAP",COUNTIFS(Capabilities!$A$4:$A$253,F849,Capabilities!$J$4:$J$253,"Confirmed",Capabilities!$K$4:$K$253,"OK — verify source"),IF(E849="AIR",COUNTIFS('System map'!$A$4:$A$203,F849,'System map'!$B$4:$B$203,"&lt;&gt;",'System map'!$C$4:$C$203,"&lt;&gt;",'System map'!$D$4:$D$203,"&lt;&gt;"),COUNTIFS(Components!$A$4:$A$253,F849,Components!$B$4:$B$253,E849,Components!$K$4:$K$253,"Confirmed",Components!$L$4:$L$253,"OK — verify source"))))&lt;&gt;1)),"Endpoint not source-reconciled",IF(AND(M849="Confirmed",OR(L849="",K849="",K849="Unknown",K849="Low")),"Confirmed link lacks verification","OK — verify source"))))))))))))))</f>
        <v/>
      </c>
    </row>
    <row r="850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6" t="n"/>
      <c r="M850" s="25" t="n"/>
      <c r="N850" s="25">
        <f>IF(COUNTA(A850:M850)=0,"",IF(OR(A850="",B850="",C850="",D850="",E850="",F850="",I850="",J850="",K850="",M850=""),"Required link detail missing",IF(COUNTIF($A$4:$A$1003,A850)&gt;1,"Duplicate Map Edge ID",IF(NOT(OR(AND(B850="UC",E850="CAP",D850="requires"),AND(B850="CAP",E850="AIR",D850="provided by"),AND(B850="AIR",OR(E850="MOD",E850="DATA",E850="IF",E850="AG",E850="TOOL"),D850="references"),AND(B850="AIR",E850="AIR",D850="depends on"))),"Invalid relationship",IF(AND(M850&lt;&gt;"Superseded",COUNTIFS($B$4:$B$1003,B850,$C$4:$C$1003,C850,$D$4:$D$1003,D850,$E$4:$E$1003,E850,$F$4:$F$1003,F850,$G$4:$G$1003,G850,$M$4:$M$1003,"&lt;&gt;Superseded")&gt;1),"Duplicate relationship",IF(OR(IF(B850="UC",COUNTIF('Use cases'!$A$4:$A$253,C850),IF(B850="CAP",COUNTIF(Capabilities!$A$4:$A$253,C850),IF(B850="AIR",COUNTIF('System map'!$A$4:$A$203,C850),COUNTIFS(Components!$A$4:$A$253,C850,Components!$B$4:$B$253,B850))))&lt;&gt;1,IF(E850="UC",COUNTIF('Use cases'!$A$4:$A$253,F850),IF(E850="CAP",COUNTIF(Capabilities!$A$4:$A$253,F850),IF(E850="AIR",COUNTIF('System map'!$A$4:$A$203,F850),COUNTIFS(Components!$A$4:$A$253,F850,Components!$B$4:$B$253,E850))))&lt;&gt;1),"Endpoint missing or duplicated",IF(AND(NOT(AND(B850="UC",E850="CAP")),OR(G850="",COUNTIF('System map'!$A$4:$A$203,G850)&lt;&gt;1)),"AIR context missing / unknown",IF(AND(B850="CAP",E850="AIR",G850&lt;&gt;F850),"AIR context mismatch",IF(AND(B850="AIR",G850&lt;&gt;C850),"AIR context mismatch",IF(AND(B850="AIR",E850="AIR",C850=F850),"Self-dependency",IF(AND(B850="AIR",E850="AIR",M850&lt;&gt;"Superseded",COUNTIFS($B$4:$B$1003,"AIR",$C$4:$C$1003,F850,$E$4:$E$1003,"AIR",$F$4:$F$1003,C850,$M$4:$M$1003,"&lt;&gt;Superseded")&gt;0),"Dependency cycle (A↔B) — review",IF(AND(B850="AIR",OR(E850="MOD",E850="DATA",E850="IF",E850="AG",E850="TOOL"),IFERROR(INDEX(Components!$G$4:$G$253,MATCH(F850,Components!$A$4:$A$253,0)),"")&lt;&gt;"",IFERROR(INDEX(Components!$G$4:$G$253,MATCH(F850,Components!$A$4:$A$253,0)),"")&lt;&gt;C850),"Component owned by another AIR-ID",IF(AND(M850="Confirmed",OR(IF(B850="UC",COUNTIFS('Use cases'!$A$4:$A$253,C850,'Use cases'!$I$4:$I$253,"Confirmed",'Use cases'!$J$4:$J$253,"OK — verify source"),IF(B850="CAP",COUNTIFS(Capabilities!$A$4:$A$253,C850,Capabilities!$J$4:$J$253,"Confirmed",Capabilities!$K$4:$K$253,"OK — verify source"),IF(B850="AIR",COUNTIFS('System map'!$A$4:$A$203,C850,'System map'!$B$4:$B$203,"&lt;&gt;",'System map'!$C$4:$C$203,"&lt;&gt;",'System map'!$D$4:$D$203,"&lt;&gt;"),COUNTIFS(Components!$A$4:$A$253,C850,Components!$B$4:$B$253,B850,Components!$K$4:$K$253,"Confirmed",Components!$L$4:$L$253,"OK — verify source"))))&lt;&gt;1,IF(E850="UC",COUNTIFS('Use cases'!$A$4:$A$253,F850,'Use cases'!$I$4:$I$253,"Confirmed",'Use cases'!$J$4:$J$253,"OK — verify source"),IF(E850="CAP",COUNTIFS(Capabilities!$A$4:$A$253,F850,Capabilities!$J$4:$J$253,"Confirmed",Capabilities!$K$4:$K$253,"OK — verify source"),IF(E850="AIR",COUNTIFS('System map'!$A$4:$A$203,F850,'System map'!$B$4:$B$203,"&lt;&gt;",'System map'!$C$4:$C$203,"&lt;&gt;",'System map'!$D$4:$D$203,"&lt;&gt;"),COUNTIFS(Components!$A$4:$A$253,F850,Components!$B$4:$B$253,E850,Components!$K$4:$K$253,"Confirmed",Components!$L$4:$L$253,"OK — verify source"))))&lt;&gt;1)),"Endpoint not source-reconciled",IF(AND(M850="Confirmed",OR(L850="",K850="",K850="Unknown",K850="Low")),"Confirmed link lacks verification","OK — verify source"))))))))))))))</f>
        <v/>
      </c>
    </row>
    <row r="851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8" t="n"/>
      <c r="M851" s="27" t="n"/>
      <c r="N851" s="27">
        <f>IF(COUNTA(A851:M851)=0,"",IF(OR(A851="",B851="",C851="",D851="",E851="",F851="",I851="",J851="",K851="",M851=""),"Required link detail missing",IF(COUNTIF($A$4:$A$1003,A851)&gt;1,"Duplicate Map Edge ID",IF(NOT(OR(AND(B851="UC",E851="CAP",D851="requires"),AND(B851="CAP",E851="AIR",D851="provided by"),AND(B851="AIR",OR(E851="MOD",E851="DATA",E851="IF",E851="AG",E851="TOOL"),D851="references"),AND(B851="AIR",E851="AIR",D851="depends on"))),"Invalid relationship",IF(AND(M851&lt;&gt;"Superseded",COUNTIFS($B$4:$B$1003,B851,$C$4:$C$1003,C851,$D$4:$D$1003,D851,$E$4:$E$1003,E851,$F$4:$F$1003,F851,$G$4:$G$1003,G851,$M$4:$M$1003,"&lt;&gt;Superseded")&gt;1),"Duplicate relationship",IF(OR(IF(B851="UC",COUNTIF('Use cases'!$A$4:$A$253,C851),IF(B851="CAP",COUNTIF(Capabilities!$A$4:$A$253,C851),IF(B851="AIR",COUNTIF('System map'!$A$4:$A$203,C851),COUNTIFS(Components!$A$4:$A$253,C851,Components!$B$4:$B$253,B851))))&lt;&gt;1,IF(E851="UC",COUNTIF('Use cases'!$A$4:$A$253,F851),IF(E851="CAP",COUNTIF(Capabilities!$A$4:$A$253,F851),IF(E851="AIR",COUNTIF('System map'!$A$4:$A$203,F851),COUNTIFS(Components!$A$4:$A$253,F851,Components!$B$4:$B$253,E851))))&lt;&gt;1),"Endpoint missing or duplicated",IF(AND(NOT(AND(B851="UC",E851="CAP")),OR(G851="",COUNTIF('System map'!$A$4:$A$203,G851)&lt;&gt;1)),"AIR context missing / unknown",IF(AND(B851="CAP",E851="AIR",G851&lt;&gt;F851),"AIR context mismatch",IF(AND(B851="AIR",G851&lt;&gt;C851),"AIR context mismatch",IF(AND(B851="AIR",E851="AIR",C851=F851),"Self-dependency",IF(AND(B851="AIR",E851="AIR",M851&lt;&gt;"Superseded",COUNTIFS($B$4:$B$1003,"AIR",$C$4:$C$1003,F851,$E$4:$E$1003,"AIR",$F$4:$F$1003,C851,$M$4:$M$1003,"&lt;&gt;Superseded")&gt;0),"Dependency cycle (A↔B) — review",IF(AND(B851="AIR",OR(E851="MOD",E851="DATA",E851="IF",E851="AG",E851="TOOL"),IFERROR(INDEX(Components!$G$4:$G$253,MATCH(F851,Components!$A$4:$A$253,0)),"")&lt;&gt;"",IFERROR(INDEX(Components!$G$4:$G$253,MATCH(F851,Components!$A$4:$A$253,0)),"")&lt;&gt;C851),"Component owned by another AIR-ID",IF(AND(M851="Confirmed",OR(IF(B851="UC",COUNTIFS('Use cases'!$A$4:$A$253,C851,'Use cases'!$I$4:$I$253,"Confirmed",'Use cases'!$J$4:$J$253,"OK — verify source"),IF(B851="CAP",COUNTIFS(Capabilities!$A$4:$A$253,C851,Capabilities!$J$4:$J$253,"Confirmed",Capabilities!$K$4:$K$253,"OK — verify source"),IF(B851="AIR",COUNTIFS('System map'!$A$4:$A$203,C851,'System map'!$B$4:$B$203,"&lt;&gt;",'System map'!$C$4:$C$203,"&lt;&gt;",'System map'!$D$4:$D$203,"&lt;&gt;"),COUNTIFS(Components!$A$4:$A$253,C851,Components!$B$4:$B$253,B851,Components!$K$4:$K$253,"Confirmed",Components!$L$4:$L$253,"OK — verify source"))))&lt;&gt;1,IF(E851="UC",COUNTIFS('Use cases'!$A$4:$A$253,F851,'Use cases'!$I$4:$I$253,"Confirmed",'Use cases'!$J$4:$J$253,"OK — verify source"),IF(E851="CAP",COUNTIFS(Capabilities!$A$4:$A$253,F851,Capabilities!$J$4:$J$253,"Confirmed",Capabilities!$K$4:$K$253,"OK — verify source"),IF(E851="AIR",COUNTIFS('System map'!$A$4:$A$203,F851,'System map'!$B$4:$B$203,"&lt;&gt;",'System map'!$C$4:$C$203,"&lt;&gt;",'System map'!$D$4:$D$203,"&lt;&gt;"),COUNTIFS(Components!$A$4:$A$253,F851,Components!$B$4:$B$253,E851,Components!$K$4:$K$253,"Confirmed",Components!$L$4:$L$253,"OK — verify source"))))&lt;&gt;1)),"Endpoint not source-reconciled",IF(AND(M851="Confirmed",OR(L851="",K851="",K851="Unknown",K851="Low")),"Confirmed link lacks verification","OK — verify source"))))))))))))))</f>
        <v/>
      </c>
    </row>
    <row r="852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6" t="n"/>
      <c r="M852" s="25" t="n"/>
      <c r="N852" s="25">
        <f>IF(COUNTA(A852:M852)=0,"",IF(OR(A852="",B852="",C852="",D852="",E852="",F852="",I852="",J852="",K852="",M852=""),"Required link detail missing",IF(COUNTIF($A$4:$A$1003,A852)&gt;1,"Duplicate Map Edge ID",IF(NOT(OR(AND(B852="UC",E852="CAP",D852="requires"),AND(B852="CAP",E852="AIR",D852="provided by"),AND(B852="AIR",OR(E852="MOD",E852="DATA",E852="IF",E852="AG",E852="TOOL"),D852="references"),AND(B852="AIR",E852="AIR",D852="depends on"))),"Invalid relationship",IF(AND(M852&lt;&gt;"Superseded",COUNTIFS($B$4:$B$1003,B852,$C$4:$C$1003,C852,$D$4:$D$1003,D852,$E$4:$E$1003,E852,$F$4:$F$1003,F852,$G$4:$G$1003,G852,$M$4:$M$1003,"&lt;&gt;Superseded")&gt;1),"Duplicate relationship",IF(OR(IF(B852="UC",COUNTIF('Use cases'!$A$4:$A$253,C852),IF(B852="CAP",COUNTIF(Capabilities!$A$4:$A$253,C852),IF(B852="AIR",COUNTIF('System map'!$A$4:$A$203,C852),COUNTIFS(Components!$A$4:$A$253,C852,Components!$B$4:$B$253,B852))))&lt;&gt;1,IF(E852="UC",COUNTIF('Use cases'!$A$4:$A$253,F852),IF(E852="CAP",COUNTIF(Capabilities!$A$4:$A$253,F852),IF(E852="AIR",COUNTIF('System map'!$A$4:$A$203,F852),COUNTIFS(Components!$A$4:$A$253,F852,Components!$B$4:$B$253,E852))))&lt;&gt;1),"Endpoint missing or duplicated",IF(AND(NOT(AND(B852="UC",E852="CAP")),OR(G852="",COUNTIF('System map'!$A$4:$A$203,G852)&lt;&gt;1)),"AIR context missing / unknown",IF(AND(B852="CAP",E852="AIR",G852&lt;&gt;F852),"AIR context mismatch",IF(AND(B852="AIR",G852&lt;&gt;C852),"AIR context mismatch",IF(AND(B852="AIR",E852="AIR",C852=F852),"Self-dependency",IF(AND(B852="AIR",E852="AIR",M852&lt;&gt;"Superseded",COUNTIFS($B$4:$B$1003,"AIR",$C$4:$C$1003,F852,$E$4:$E$1003,"AIR",$F$4:$F$1003,C852,$M$4:$M$1003,"&lt;&gt;Superseded")&gt;0),"Dependency cycle (A↔B) — review",IF(AND(B852="AIR",OR(E852="MOD",E852="DATA",E852="IF",E852="AG",E852="TOOL"),IFERROR(INDEX(Components!$G$4:$G$253,MATCH(F852,Components!$A$4:$A$253,0)),"")&lt;&gt;"",IFERROR(INDEX(Components!$G$4:$G$253,MATCH(F852,Components!$A$4:$A$253,0)),"")&lt;&gt;C852),"Component owned by another AIR-ID",IF(AND(M852="Confirmed",OR(IF(B852="UC",COUNTIFS('Use cases'!$A$4:$A$253,C852,'Use cases'!$I$4:$I$253,"Confirmed",'Use cases'!$J$4:$J$253,"OK — verify source"),IF(B852="CAP",COUNTIFS(Capabilities!$A$4:$A$253,C852,Capabilities!$J$4:$J$253,"Confirmed",Capabilities!$K$4:$K$253,"OK — verify source"),IF(B852="AIR",COUNTIFS('System map'!$A$4:$A$203,C852,'System map'!$B$4:$B$203,"&lt;&gt;",'System map'!$C$4:$C$203,"&lt;&gt;",'System map'!$D$4:$D$203,"&lt;&gt;"),COUNTIFS(Components!$A$4:$A$253,C852,Components!$B$4:$B$253,B852,Components!$K$4:$K$253,"Confirmed",Components!$L$4:$L$253,"OK — verify source"))))&lt;&gt;1,IF(E852="UC",COUNTIFS('Use cases'!$A$4:$A$253,F852,'Use cases'!$I$4:$I$253,"Confirmed",'Use cases'!$J$4:$J$253,"OK — verify source"),IF(E852="CAP",COUNTIFS(Capabilities!$A$4:$A$253,F852,Capabilities!$J$4:$J$253,"Confirmed",Capabilities!$K$4:$K$253,"OK — verify source"),IF(E852="AIR",COUNTIFS('System map'!$A$4:$A$203,F852,'System map'!$B$4:$B$203,"&lt;&gt;",'System map'!$C$4:$C$203,"&lt;&gt;",'System map'!$D$4:$D$203,"&lt;&gt;"),COUNTIFS(Components!$A$4:$A$253,F852,Components!$B$4:$B$253,E852,Components!$K$4:$K$253,"Confirmed",Components!$L$4:$L$253,"OK — verify source"))))&lt;&gt;1)),"Endpoint not source-reconciled",IF(AND(M852="Confirmed",OR(L852="",K852="",K852="Unknown",K852="Low")),"Confirmed link lacks verification","OK — verify source"))))))))))))))</f>
        <v/>
      </c>
    </row>
    <row r="853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8" t="n"/>
      <c r="M853" s="27" t="n"/>
      <c r="N853" s="27">
        <f>IF(COUNTA(A853:M853)=0,"",IF(OR(A853="",B853="",C853="",D853="",E853="",F853="",I853="",J853="",K853="",M853=""),"Required link detail missing",IF(COUNTIF($A$4:$A$1003,A853)&gt;1,"Duplicate Map Edge ID",IF(NOT(OR(AND(B853="UC",E853="CAP",D853="requires"),AND(B853="CAP",E853="AIR",D853="provided by"),AND(B853="AIR",OR(E853="MOD",E853="DATA",E853="IF",E853="AG",E853="TOOL"),D853="references"),AND(B853="AIR",E853="AIR",D853="depends on"))),"Invalid relationship",IF(AND(M853&lt;&gt;"Superseded",COUNTIFS($B$4:$B$1003,B853,$C$4:$C$1003,C853,$D$4:$D$1003,D853,$E$4:$E$1003,E853,$F$4:$F$1003,F853,$G$4:$G$1003,G853,$M$4:$M$1003,"&lt;&gt;Superseded")&gt;1),"Duplicate relationship",IF(OR(IF(B853="UC",COUNTIF('Use cases'!$A$4:$A$253,C853),IF(B853="CAP",COUNTIF(Capabilities!$A$4:$A$253,C853),IF(B853="AIR",COUNTIF('System map'!$A$4:$A$203,C853),COUNTIFS(Components!$A$4:$A$253,C853,Components!$B$4:$B$253,B853))))&lt;&gt;1,IF(E853="UC",COUNTIF('Use cases'!$A$4:$A$253,F853),IF(E853="CAP",COUNTIF(Capabilities!$A$4:$A$253,F853),IF(E853="AIR",COUNTIF('System map'!$A$4:$A$203,F853),COUNTIFS(Components!$A$4:$A$253,F853,Components!$B$4:$B$253,E853))))&lt;&gt;1),"Endpoint missing or duplicated",IF(AND(NOT(AND(B853="UC",E853="CAP")),OR(G853="",COUNTIF('System map'!$A$4:$A$203,G853)&lt;&gt;1)),"AIR context missing / unknown",IF(AND(B853="CAP",E853="AIR",G853&lt;&gt;F853),"AIR context mismatch",IF(AND(B853="AIR",G853&lt;&gt;C853),"AIR context mismatch",IF(AND(B853="AIR",E853="AIR",C853=F853),"Self-dependency",IF(AND(B853="AIR",E853="AIR",M853&lt;&gt;"Superseded",COUNTIFS($B$4:$B$1003,"AIR",$C$4:$C$1003,F853,$E$4:$E$1003,"AIR",$F$4:$F$1003,C853,$M$4:$M$1003,"&lt;&gt;Superseded")&gt;0),"Dependency cycle (A↔B) — review",IF(AND(B853="AIR",OR(E853="MOD",E853="DATA",E853="IF",E853="AG",E853="TOOL"),IFERROR(INDEX(Components!$G$4:$G$253,MATCH(F853,Components!$A$4:$A$253,0)),"")&lt;&gt;"",IFERROR(INDEX(Components!$G$4:$G$253,MATCH(F853,Components!$A$4:$A$253,0)),"")&lt;&gt;C853),"Component owned by another AIR-ID",IF(AND(M853="Confirmed",OR(IF(B853="UC",COUNTIFS('Use cases'!$A$4:$A$253,C853,'Use cases'!$I$4:$I$253,"Confirmed",'Use cases'!$J$4:$J$253,"OK — verify source"),IF(B853="CAP",COUNTIFS(Capabilities!$A$4:$A$253,C853,Capabilities!$J$4:$J$253,"Confirmed",Capabilities!$K$4:$K$253,"OK — verify source"),IF(B853="AIR",COUNTIFS('System map'!$A$4:$A$203,C853,'System map'!$B$4:$B$203,"&lt;&gt;",'System map'!$C$4:$C$203,"&lt;&gt;",'System map'!$D$4:$D$203,"&lt;&gt;"),COUNTIFS(Components!$A$4:$A$253,C853,Components!$B$4:$B$253,B853,Components!$K$4:$K$253,"Confirmed",Components!$L$4:$L$253,"OK — verify source"))))&lt;&gt;1,IF(E853="UC",COUNTIFS('Use cases'!$A$4:$A$253,F853,'Use cases'!$I$4:$I$253,"Confirmed",'Use cases'!$J$4:$J$253,"OK — verify source"),IF(E853="CAP",COUNTIFS(Capabilities!$A$4:$A$253,F853,Capabilities!$J$4:$J$253,"Confirmed",Capabilities!$K$4:$K$253,"OK — verify source"),IF(E853="AIR",COUNTIFS('System map'!$A$4:$A$203,F853,'System map'!$B$4:$B$203,"&lt;&gt;",'System map'!$C$4:$C$203,"&lt;&gt;",'System map'!$D$4:$D$203,"&lt;&gt;"),COUNTIFS(Components!$A$4:$A$253,F853,Components!$B$4:$B$253,E853,Components!$K$4:$K$253,"Confirmed",Components!$L$4:$L$253,"OK — verify source"))))&lt;&gt;1)),"Endpoint not source-reconciled",IF(AND(M853="Confirmed",OR(L853="",K853="",K853="Unknown",K853="Low")),"Confirmed link lacks verification","OK — verify source"))))))))))))))</f>
        <v/>
      </c>
    </row>
    <row r="85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6" t="n"/>
      <c r="M854" s="25" t="n"/>
      <c r="N854" s="25">
        <f>IF(COUNTA(A854:M854)=0,"",IF(OR(A854="",B854="",C854="",D854="",E854="",F854="",I854="",J854="",K854="",M854=""),"Required link detail missing",IF(COUNTIF($A$4:$A$1003,A854)&gt;1,"Duplicate Map Edge ID",IF(NOT(OR(AND(B854="UC",E854="CAP",D854="requires"),AND(B854="CAP",E854="AIR",D854="provided by"),AND(B854="AIR",OR(E854="MOD",E854="DATA",E854="IF",E854="AG",E854="TOOL"),D854="references"),AND(B854="AIR",E854="AIR",D854="depends on"))),"Invalid relationship",IF(AND(M854&lt;&gt;"Superseded",COUNTIFS($B$4:$B$1003,B854,$C$4:$C$1003,C854,$D$4:$D$1003,D854,$E$4:$E$1003,E854,$F$4:$F$1003,F854,$G$4:$G$1003,G854,$M$4:$M$1003,"&lt;&gt;Superseded")&gt;1),"Duplicate relationship",IF(OR(IF(B854="UC",COUNTIF('Use cases'!$A$4:$A$253,C854),IF(B854="CAP",COUNTIF(Capabilities!$A$4:$A$253,C854),IF(B854="AIR",COUNTIF('System map'!$A$4:$A$203,C854),COUNTIFS(Components!$A$4:$A$253,C854,Components!$B$4:$B$253,B854))))&lt;&gt;1,IF(E854="UC",COUNTIF('Use cases'!$A$4:$A$253,F854),IF(E854="CAP",COUNTIF(Capabilities!$A$4:$A$253,F854),IF(E854="AIR",COUNTIF('System map'!$A$4:$A$203,F854),COUNTIFS(Components!$A$4:$A$253,F854,Components!$B$4:$B$253,E854))))&lt;&gt;1),"Endpoint missing or duplicated",IF(AND(NOT(AND(B854="UC",E854="CAP")),OR(G854="",COUNTIF('System map'!$A$4:$A$203,G854)&lt;&gt;1)),"AIR context missing / unknown",IF(AND(B854="CAP",E854="AIR",G854&lt;&gt;F854),"AIR context mismatch",IF(AND(B854="AIR",G854&lt;&gt;C854),"AIR context mismatch",IF(AND(B854="AIR",E854="AIR",C854=F854),"Self-dependency",IF(AND(B854="AIR",E854="AIR",M854&lt;&gt;"Superseded",COUNTIFS($B$4:$B$1003,"AIR",$C$4:$C$1003,F854,$E$4:$E$1003,"AIR",$F$4:$F$1003,C854,$M$4:$M$1003,"&lt;&gt;Superseded")&gt;0),"Dependency cycle (A↔B) — review",IF(AND(B854="AIR",OR(E854="MOD",E854="DATA",E854="IF",E854="AG",E854="TOOL"),IFERROR(INDEX(Components!$G$4:$G$253,MATCH(F854,Components!$A$4:$A$253,0)),"")&lt;&gt;"",IFERROR(INDEX(Components!$G$4:$G$253,MATCH(F854,Components!$A$4:$A$253,0)),"")&lt;&gt;C854),"Component owned by another AIR-ID",IF(AND(M854="Confirmed",OR(IF(B854="UC",COUNTIFS('Use cases'!$A$4:$A$253,C854,'Use cases'!$I$4:$I$253,"Confirmed",'Use cases'!$J$4:$J$253,"OK — verify source"),IF(B854="CAP",COUNTIFS(Capabilities!$A$4:$A$253,C854,Capabilities!$J$4:$J$253,"Confirmed",Capabilities!$K$4:$K$253,"OK — verify source"),IF(B854="AIR",COUNTIFS('System map'!$A$4:$A$203,C854,'System map'!$B$4:$B$203,"&lt;&gt;",'System map'!$C$4:$C$203,"&lt;&gt;",'System map'!$D$4:$D$203,"&lt;&gt;"),COUNTIFS(Components!$A$4:$A$253,C854,Components!$B$4:$B$253,B854,Components!$K$4:$K$253,"Confirmed",Components!$L$4:$L$253,"OK — verify source"))))&lt;&gt;1,IF(E854="UC",COUNTIFS('Use cases'!$A$4:$A$253,F854,'Use cases'!$I$4:$I$253,"Confirmed",'Use cases'!$J$4:$J$253,"OK — verify source"),IF(E854="CAP",COUNTIFS(Capabilities!$A$4:$A$253,F854,Capabilities!$J$4:$J$253,"Confirmed",Capabilities!$K$4:$K$253,"OK — verify source"),IF(E854="AIR",COUNTIFS('System map'!$A$4:$A$203,F854,'System map'!$B$4:$B$203,"&lt;&gt;",'System map'!$C$4:$C$203,"&lt;&gt;",'System map'!$D$4:$D$203,"&lt;&gt;"),COUNTIFS(Components!$A$4:$A$253,F854,Components!$B$4:$B$253,E854,Components!$K$4:$K$253,"Confirmed",Components!$L$4:$L$253,"OK — verify source"))))&lt;&gt;1)),"Endpoint not source-reconciled",IF(AND(M854="Confirmed",OR(L854="",K854="",K854="Unknown",K854="Low")),"Confirmed link lacks verification","OK — verify source"))))))))))))))</f>
        <v/>
      </c>
    </row>
    <row r="855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8" t="n"/>
      <c r="M855" s="27" t="n"/>
      <c r="N855" s="27">
        <f>IF(COUNTA(A855:M855)=0,"",IF(OR(A855="",B855="",C855="",D855="",E855="",F855="",I855="",J855="",K855="",M855=""),"Required link detail missing",IF(COUNTIF($A$4:$A$1003,A855)&gt;1,"Duplicate Map Edge ID",IF(NOT(OR(AND(B855="UC",E855="CAP",D855="requires"),AND(B855="CAP",E855="AIR",D855="provided by"),AND(B855="AIR",OR(E855="MOD",E855="DATA",E855="IF",E855="AG",E855="TOOL"),D855="references"),AND(B855="AIR",E855="AIR",D855="depends on"))),"Invalid relationship",IF(AND(M855&lt;&gt;"Superseded",COUNTIFS($B$4:$B$1003,B855,$C$4:$C$1003,C855,$D$4:$D$1003,D855,$E$4:$E$1003,E855,$F$4:$F$1003,F855,$G$4:$G$1003,G855,$M$4:$M$1003,"&lt;&gt;Superseded")&gt;1),"Duplicate relationship",IF(OR(IF(B855="UC",COUNTIF('Use cases'!$A$4:$A$253,C855),IF(B855="CAP",COUNTIF(Capabilities!$A$4:$A$253,C855),IF(B855="AIR",COUNTIF('System map'!$A$4:$A$203,C855),COUNTIFS(Components!$A$4:$A$253,C855,Components!$B$4:$B$253,B855))))&lt;&gt;1,IF(E855="UC",COUNTIF('Use cases'!$A$4:$A$253,F855),IF(E855="CAP",COUNTIF(Capabilities!$A$4:$A$253,F855),IF(E855="AIR",COUNTIF('System map'!$A$4:$A$203,F855),COUNTIFS(Components!$A$4:$A$253,F855,Components!$B$4:$B$253,E855))))&lt;&gt;1),"Endpoint missing or duplicated",IF(AND(NOT(AND(B855="UC",E855="CAP")),OR(G855="",COUNTIF('System map'!$A$4:$A$203,G855)&lt;&gt;1)),"AIR context missing / unknown",IF(AND(B855="CAP",E855="AIR",G855&lt;&gt;F855),"AIR context mismatch",IF(AND(B855="AIR",G855&lt;&gt;C855),"AIR context mismatch",IF(AND(B855="AIR",E855="AIR",C855=F855),"Self-dependency",IF(AND(B855="AIR",E855="AIR",M855&lt;&gt;"Superseded",COUNTIFS($B$4:$B$1003,"AIR",$C$4:$C$1003,F855,$E$4:$E$1003,"AIR",$F$4:$F$1003,C855,$M$4:$M$1003,"&lt;&gt;Superseded")&gt;0),"Dependency cycle (A↔B) — review",IF(AND(B855="AIR",OR(E855="MOD",E855="DATA",E855="IF",E855="AG",E855="TOOL"),IFERROR(INDEX(Components!$G$4:$G$253,MATCH(F855,Components!$A$4:$A$253,0)),"")&lt;&gt;"",IFERROR(INDEX(Components!$G$4:$G$253,MATCH(F855,Components!$A$4:$A$253,0)),"")&lt;&gt;C855),"Component owned by another AIR-ID",IF(AND(M855="Confirmed",OR(IF(B855="UC",COUNTIFS('Use cases'!$A$4:$A$253,C855,'Use cases'!$I$4:$I$253,"Confirmed",'Use cases'!$J$4:$J$253,"OK — verify source"),IF(B855="CAP",COUNTIFS(Capabilities!$A$4:$A$253,C855,Capabilities!$J$4:$J$253,"Confirmed",Capabilities!$K$4:$K$253,"OK — verify source"),IF(B855="AIR",COUNTIFS('System map'!$A$4:$A$203,C855,'System map'!$B$4:$B$203,"&lt;&gt;",'System map'!$C$4:$C$203,"&lt;&gt;",'System map'!$D$4:$D$203,"&lt;&gt;"),COUNTIFS(Components!$A$4:$A$253,C855,Components!$B$4:$B$253,B855,Components!$K$4:$K$253,"Confirmed",Components!$L$4:$L$253,"OK — verify source"))))&lt;&gt;1,IF(E855="UC",COUNTIFS('Use cases'!$A$4:$A$253,F855,'Use cases'!$I$4:$I$253,"Confirmed",'Use cases'!$J$4:$J$253,"OK — verify source"),IF(E855="CAP",COUNTIFS(Capabilities!$A$4:$A$253,F855,Capabilities!$J$4:$J$253,"Confirmed",Capabilities!$K$4:$K$253,"OK — verify source"),IF(E855="AIR",COUNTIFS('System map'!$A$4:$A$203,F855,'System map'!$B$4:$B$203,"&lt;&gt;",'System map'!$C$4:$C$203,"&lt;&gt;",'System map'!$D$4:$D$203,"&lt;&gt;"),COUNTIFS(Components!$A$4:$A$253,F855,Components!$B$4:$B$253,E855,Components!$K$4:$K$253,"Confirmed",Components!$L$4:$L$253,"OK — verify source"))))&lt;&gt;1)),"Endpoint not source-reconciled",IF(AND(M855="Confirmed",OR(L855="",K855="",K855="Unknown",K855="Low")),"Confirmed link lacks verification","OK — verify source"))))))))))))))</f>
        <v/>
      </c>
    </row>
    <row r="856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6" t="n"/>
      <c r="M856" s="25" t="n"/>
      <c r="N856" s="25">
        <f>IF(COUNTA(A856:M856)=0,"",IF(OR(A856="",B856="",C856="",D856="",E856="",F856="",I856="",J856="",K856="",M856=""),"Required link detail missing",IF(COUNTIF($A$4:$A$1003,A856)&gt;1,"Duplicate Map Edge ID",IF(NOT(OR(AND(B856="UC",E856="CAP",D856="requires"),AND(B856="CAP",E856="AIR",D856="provided by"),AND(B856="AIR",OR(E856="MOD",E856="DATA",E856="IF",E856="AG",E856="TOOL"),D856="references"),AND(B856="AIR",E856="AIR",D856="depends on"))),"Invalid relationship",IF(AND(M856&lt;&gt;"Superseded",COUNTIFS($B$4:$B$1003,B856,$C$4:$C$1003,C856,$D$4:$D$1003,D856,$E$4:$E$1003,E856,$F$4:$F$1003,F856,$G$4:$G$1003,G856,$M$4:$M$1003,"&lt;&gt;Superseded")&gt;1),"Duplicate relationship",IF(OR(IF(B856="UC",COUNTIF('Use cases'!$A$4:$A$253,C856),IF(B856="CAP",COUNTIF(Capabilities!$A$4:$A$253,C856),IF(B856="AIR",COUNTIF('System map'!$A$4:$A$203,C856),COUNTIFS(Components!$A$4:$A$253,C856,Components!$B$4:$B$253,B856))))&lt;&gt;1,IF(E856="UC",COUNTIF('Use cases'!$A$4:$A$253,F856),IF(E856="CAP",COUNTIF(Capabilities!$A$4:$A$253,F856),IF(E856="AIR",COUNTIF('System map'!$A$4:$A$203,F856),COUNTIFS(Components!$A$4:$A$253,F856,Components!$B$4:$B$253,E856))))&lt;&gt;1),"Endpoint missing or duplicated",IF(AND(NOT(AND(B856="UC",E856="CAP")),OR(G856="",COUNTIF('System map'!$A$4:$A$203,G856)&lt;&gt;1)),"AIR context missing / unknown",IF(AND(B856="CAP",E856="AIR",G856&lt;&gt;F856),"AIR context mismatch",IF(AND(B856="AIR",G856&lt;&gt;C856),"AIR context mismatch",IF(AND(B856="AIR",E856="AIR",C856=F856),"Self-dependency",IF(AND(B856="AIR",E856="AIR",M856&lt;&gt;"Superseded",COUNTIFS($B$4:$B$1003,"AIR",$C$4:$C$1003,F856,$E$4:$E$1003,"AIR",$F$4:$F$1003,C856,$M$4:$M$1003,"&lt;&gt;Superseded")&gt;0),"Dependency cycle (A↔B) — review",IF(AND(B856="AIR",OR(E856="MOD",E856="DATA",E856="IF",E856="AG",E856="TOOL"),IFERROR(INDEX(Components!$G$4:$G$253,MATCH(F856,Components!$A$4:$A$253,0)),"")&lt;&gt;"",IFERROR(INDEX(Components!$G$4:$G$253,MATCH(F856,Components!$A$4:$A$253,0)),"")&lt;&gt;C856),"Component owned by another AIR-ID",IF(AND(M856="Confirmed",OR(IF(B856="UC",COUNTIFS('Use cases'!$A$4:$A$253,C856,'Use cases'!$I$4:$I$253,"Confirmed",'Use cases'!$J$4:$J$253,"OK — verify source"),IF(B856="CAP",COUNTIFS(Capabilities!$A$4:$A$253,C856,Capabilities!$J$4:$J$253,"Confirmed",Capabilities!$K$4:$K$253,"OK — verify source"),IF(B856="AIR",COUNTIFS('System map'!$A$4:$A$203,C856,'System map'!$B$4:$B$203,"&lt;&gt;",'System map'!$C$4:$C$203,"&lt;&gt;",'System map'!$D$4:$D$203,"&lt;&gt;"),COUNTIFS(Components!$A$4:$A$253,C856,Components!$B$4:$B$253,B856,Components!$K$4:$K$253,"Confirmed",Components!$L$4:$L$253,"OK — verify source"))))&lt;&gt;1,IF(E856="UC",COUNTIFS('Use cases'!$A$4:$A$253,F856,'Use cases'!$I$4:$I$253,"Confirmed",'Use cases'!$J$4:$J$253,"OK — verify source"),IF(E856="CAP",COUNTIFS(Capabilities!$A$4:$A$253,F856,Capabilities!$J$4:$J$253,"Confirmed",Capabilities!$K$4:$K$253,"OK — verify source"),IF(E856="AIR",COUNTIFS('System map'!$A$4:$A$203,F856,'System map'!$B$4:$B$203,"&lt;&gt;",'System map'!$C$4:$C$203,"&lt;&gt;",'System map'!$D$4:$D$203,"&lt;&gt;"),COUNTIFS(Components!$A$4:$A$253,F856,Components!$B$4:$B$253,E856,Components!$K$4:$K$253,"Confirmed",Components!$L$4:$L$253,"OK — verify source"))))&lt;&gt;1)),"Endpoint not source-reconciled",IF(AND(M856="Confirmed",OR(L856="",K856="",K856="Unknown",K856="Low")),"Confirmed link lacks verification","OK — verify source"))))))))))))))</f>
        <v/>
      </c>
    </row>
    <row r="857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8" t="n"/>
      <c r="M857" s="27" t="n"/>
      <c r="N857" s="27">
        <f>IF(COUNTA(A857:M857)=0,"",IF(OR(A857="",B857="",C857="",D857="",E857="",F857="",I857="",J857="",K857="",M857=""),"Required link detail missing",IF(COUNTIF($A$4:$A$1003,A857)&gt;1,"Duplicate Map Edge ID",IF(NOT(OR(AND(B857="UC",E857="CAP",D857="requires"),AND(B857="CAP",E857="AIR",D857="provided by"),AND(B857="AIR",OR(E857="MOD",E857="DATA",E857="IF",E857="AG",E857="TOOL"),D857="references"),AND(B857="AIR",E857="AIR",D857="depends on"))),"Invalid relationship",IF(AND(M857&lt;&gt;"Superseded",COUNTIFS($B$4:$B$1003,B857,$C$4:$C$1003,C857,$D$4:$D$1003,D857,$E$4:$E$1003,E857,$F$4:$F$1003,F857,$G$4:$G$1003,G857,$M$4:$M$1003,"&lt;&gt;Superseded")&gt;1),"Duplicate relationship",IF(OR(IF(B857="UC",COUNTIF('Use cases'!$A$4:$A$253,C857),IF(B857="CAP",COUNTIF(Capabilities!$A$4:$A$253,C857),IF(B857="AIR",COUNTIF('System map'!$A$4:$A$203,C857),COUNTIFS(Components!$A$4:$A$253,C857,Components!$B$4:$B$253,B857))))&lt;&gt;1,IF(E857="UC",COUNTIF('Use cases'!$A$4:$A$253,F857),IF(E857="CAP",COUNTIF(Capabilities!$A$4:$A$253,F857),IF(E857="AIR",COUNTIF('System map'!$A$4:$A$203,F857),COUNTIFS(Components!$A$4:$A$253,F857,Components!$B$4:$B$253,E857))))&lt;&gt;1),"Endpoint missing or duplicated",IF(AND(NOT(AND(B857="UC",E857="CAP")),OR(G857="",COUNTIF('System map'!$A$4:$A$203,G857)&lt;&gt;1)),"AIR context missing / unknown",IF(AND(B857="CAP",E857="AIR",G857&lt;&gt;F857),"AIR context mismatch",IF(AND(B857="AIR",G857&lt;&gt;C857),"AIR context mismatch",IF(AND(B857="AIR",E857="AIR",C857=F857),"Self-dependency",IF(AND(B857="AIR",E857="AIR",M857&lt;&gt;"Superseded",COUNTIFS($B$4:$B$1003,"AIR",$C$4:$C$1003,F857,$E$4:$E$1003,"AIR",$F$4:$F$1003,C857,$M$4:$M$1003,"&lt;&gt;Superseded")&gt;0),"Dependency cycle (A↔B) — review",IF(AND(B857="AIR",OR(E857="MOD",E857="DATA",E857="IF",E857="AG",E857="TOOL"),IFERROR(INDEX(Components!$G$4:$G$253,MATCH(F857,Components!$A$4:$A$253,0)),"")&lt;&gt;"",IFERROR(INDEX(Components!$G$4:$G$253,MATCH(F857,Components!$A$4:$A$253,0)),"")&lt;&gt;C857),"Component owned by another AIR-ID",IF(AND(M857="Confirmed",OR(IF(B857="UC",COUNTIFS('Use cases'!$A$4:$A$253,C857,'Use cases'!$I$4:$I$253,"Confirmed",'Use cases'!$J$4:$J$253,"OK — verify source"),IF(B857="CAP",COUNTIFS(Capabilities!$A$4:$A$253,C857,Capabilities!$J$4:$J$253,"Confirmed",Capabilities!$K$4:$K$253,"OK — verify source"),IF(B857="AIR",COUNTIFS('System map'!$A$4:$A$203,C857,'System map'!$B$4:$B$203,"&lt;&gt;",'System map'!$C$4:$C$203,"&lt;&gt;",'System map'!$D$4:$D$203,"&lt;&gt;"),COUNTIFS(Components!$A$4:$A$253,C857,Components!$B$4:$B$253,B857,Components!$K$4:$K$253,"Confirmed",Components!$L$4:$L$253,"OK — verify source"))))&lt;&gt;1,IF(E857="UC",COUNTIFS('Use cases'!$A$4:$A$253,F857,'Use cases'!$I$4:$I$253,"Confirmed",'Use cases'!$J$4:$J$253,"OK — verify source"),IF(E857="CAP",COUNTIFS(Capabilities!$A$4:$A$253,F857,Capabilities!$J$4:$J$253,"Confirmed",Capabilities!$K$4:$K$253,"OK — verify source"),IF(E857="AIR",COUNTIFS('System map'!$A$4:$A$203,F857,'System map'!$B$4:$B$203,"&lt;&gt;",'System map'!$C$4:$C$203,"&lt;&gt;",'System map'!$D$4:$D$203,"&lt;&gt;"),COUNTIFS(Components!$A$4:$A$253,F857,Components!$B$4:$B$253,E857,Components!$K$4:$K$253,"Confirmed",Components!$L$4:$L$253,"OK — verify source"))))&lt;&gt;1)),"Endpoint not source-reconciled",IF(AND(M857="Confirmed",OR(L857="",K857="",K857="Unknown",K857="Low")),"Confirmed link lacks verification","OK — verify source"))))))))))))))</f>
        <v/>
      </c>
    </row>
    <row r="858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6" t="n"/>
      <c r="M858" s="25" t="n"/>
      <c r="N858" s="25">
        <f>IF(COUNTA(A858:M858)=0,"",IF(OR(A858="",B858="",C858="",D858="",E858="",F858="",I858="",J858="",K858="",M858=""),"Required link detail missing",IF(COUNTIF($A$4:$A$1003,A858)&gt;1,"Duplicate Map Edge ID",IF(NOT(OR(AND(B858="UC",E858="CAP",D858="requires"),AND(B858="CAP",E858="AIR",D858="provided by"),AND(B858="AIR",OR(E858="MOD",E858="DATA",E858="IF",E858="AG",E858="TOOL"),D858="references"),AND(B858="AIR",E858="AIR",D858="depends on"))),"Invalid relationship",IF(AND(M858&lt;&gt;"Superseded",COUNTIFS($B$4:$B$1003,B858,$C$4:$C$1003,C858,$D$4:$D$1003,D858,$E$4:$E$1003,E858,$F$4:$F$1003,F858,$G$4:$G$1003,G858,$M$4:$M$1003,"&lt;&gt;Superseded")&gt;1),"Duplicate relationship",IF(OR(IF(B858="UC",COUNTIF('Use cases'!$A$4:$A$253,C858),IF(B858="CAP",COUNTIF(Capabilities!$A$4:$A$253,C858),IF(B858="AIR",COUNTIF('System map'!$A$4:$A$203,C858),COUNTIFS(Components!$A$4:$A$253,C858,Components!$B$4:$B$253,B858))))&lt;&gt;1,IF(E858="UC",COUNTIF('Use cases'!$A$4:$A$253,F858),IF(E858="CAP",COUNTIF(Capabilities!$A$4:$A$253,F858),IF(E858="AIR",COUNTIF('System map'!$A$4:$A$203,F858),COUNTIFS(Components!$A$4:$A$253,F858,Components!$B$4:$B$253,E858))))&lt;&gt;1),"Endpoint missing or duplicated",IF(AND(NOT(AND(B858="UC",E858="CAP")),OR(G858="",COUNTIF('System map'!$A$4:$A$203,G858)&lt;&gt;1)),"AIR context missing / unknown",IF(AND(B858="CAP",E858="AIR",G858&lt;&gt;F858),"AIR context mismatch",IF(AND(B858="AIR",G858&lt;&gt;C858),"AIR context mismatch",IF(AND(B858="AIR",E858="AIR",C858=F858),"Self-dependency",IF(AND(B858="AIR",E858="AIR",M858&lt;&gt;"Superseded",COUNTIFS($B$4:$B$1003,"AIR",$C$4:$C$1003,F858,$E$4:$E$1003,"AIR",$F$4:$F$1003,C858,$M$4:$M$1003,"&lt;&gt;Superseded")&gt;0),"Dependency cycle (A↔B) — review",IF(AND(B858="AIR",OR(E858="MOD",E858="DATA",E858="IF",E858="AG",E858="TOOL"),IFERROR(INDEX(Components!$G$4:$G$253,MATCH(F858,Components!$A$4:$A$253,0)),"")&lt;&gt;"",IFERROR(INDEX(Components!$G$4:$G$253,MATCH(F858,Components!$A$4:$A$253,0)),"")&lt;&gt;C858),"Component owned by another AIR-ID",IF(AND(M858="Confirmed",OR(IF(B858="UC",COUNTIFS('Use cases'!$A$4:$A$253,C858,'Use cases'!$I$4:$I$253,"Confirmed",'Use cases'!$J$4:$J$253,"OK — verify source"),IF(B858="CAP",COUNTIFS(Capabilities!$A$4:$A$253,C858,Capabilities!$J$4:$J$253,"Confirmed",Capabilities!$K$4:$K$253,"OK — verify source"),IF(B858="AIR",COUNTIFS('System map'!$A$4:$A$203,C858,'System map'!$B$4:$B$203,"&lt;&gt;",'System map'!$C$4:$C$203,"&lt;&gt;",'System map'!$D$4:$D$203,"&lt;&gt;"),COUNTIFS(Components!$A$4:$A$253,C858,Components!$B$4:$B$253,B858,Components!$K$4:$K$253,"Confirmed",Components!$L$4:$L$253,"OK — verify source"))))&lt;&gt;1,IF(E858="UC",COUNTIFS('Use cases'!$A$4:$A$253,F858,'Use cases'!$I$4:$I$253,"Confirmed",'Use cases'!$J$4:$J$253,"OK — verify source"),IF(E858="CAP",COUNTIFS(Capabilities!$A$4:$A$253,F858,Capabilities!$J$4:$J$253,"Confirmed",Capabilities!$K$4:$K$253,"OK — verify source"),IF(E858="AIR",COUNTIFS('System map'!$A$4:$A$203,F858,'System map'!$B$4:$B$203,"&lt;&gt;",'System map'!$C$4:$C$203,"&lt;&gt;",'System map'!$D$4:$D$203,"&lt;&gt;"),COUNTIFS(Components!$A$4:$A$253,F858,Components!$B$4:$B$253,E858,Components!$K$4:$K$253,"Confirmed",Components!$L$4:$L$253,"OK — verify source"))))&lt;&gt;1)),"Endpoint not source-reconciled",IF(AND(M858="Confirmed",OR(L858="",K858="",K858="Unknown",K858="Low")),"Confirmed link lacks verification","OK — verify source"))))))))))))))</f>
        <v/>
      </c>
    </row>
    <row r="859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8" t="n"/>
      <c r="M859" s="27" t="n"/>
      <c r="N859" s="27">
        <f>IF(COUNTA(A859:M859)=0,"",IF(OR(A859="",B859="",C859="",D859="",E859="",F859="",I859="",J859="",K859="",M859=""),"Required link detail missing",IF(COUNTIF($A$4:$A$1003,A859)&gt;1,"Duplicate Map Edge ID",IF(NOT(OR(AND(B859="UC",E859="CAP",D859="requires"),AND(B859="CAP",E859="AIR",D859="provided by"),AND(B859="AIR",OR(E859="MOD",E859="DATA",E859="IF",E859="AG",E859="TOOL"),D859="references"),AND(B859="AIR",E859="AIR",D859="depends on"))),"Invalid relationship",IF(AND(M859&lt;&gt;"Superseded",COUNTIFS($B$4:$B$1003,B859,$C$4:$C$1003,C859,$D$4:$D$1003,D859,$E$4:$E$1003,E859,$F$4:$F$1003,F859,$G$4:$G$1003,G859,$M$4:$M$1003,"&lt;&gt;Superseded")&gt;1),"Duplicate relationship",IF(OR(IF(B859="UC",COUNTIF('Use cases'!$A$4:$A$253,C859),IF(B859="CAP",COUNTIF(Capabilities!$A$4:$A$253,C859),IF(B859="AIR",COUNTIF('System map'!$A$4:$A$203,C859),COUNTIFS(Components!$A$4:$A$253,C859,Components!$B$4:$B$253,B859))))&lt;&gt;1,IF(E859="UC",COUNTIF('Use cases'!$A$4:$A$253,F859),IF(E859="CAP",COUNTIF(Capabilities!$A$4:$A$253,F859),IF(E859="AIR",COUNTIF('System map'!$A$4:$A$203,F859),COUNTIFS(Components!$A$4:$A$253,F859,Components!$B$4:$B$253,E859))))&lt;&gt;1),"Endpoint missing or duplicated",IF(AND(NOT(AND(B859="UC",E859="CAP")),OR(G859="",COUNTIF('System map'!$A$4:$A$203,G859)&lt;&gt;1)),"AIR context missing / unknown",IF(AND(B859="CAP",E859="AIR",G859&lt;&gt;F859),"AIR context mismatch",IF(AND(B859="AIR",G859&lt;&gt;C859),"AIR context mismatch",IF(AND(B859="AIR",E859="AIR",C859=F859),"Self-dependency",IF(AND(B859="AIR",E859="AIR",M859&lt;&gt;"Superseded",COUNTIFS($B$4:$B$1003,"AIR",$C$4:$C$1003,F859,$E$4:$E$1003,"AIR",$F$4:$F$1003,C859,$M$4:$M$1003,"&lt;&gt;Superseded")&gt;0),"Dependency cycle (A↔B) — review",IF(AND(B859="AIR",OR(E859="MOD",E859="DATA",E859="IF",E859="AG",E859="TOOL"),IFERROR(INDEX(Components!$G$4:$G$253,MATCH(F859,Components!$A$4:$A$253,0)),"")&lt;&gt;"",IFERROR(INDEX(Components!$G$4:$G$253,MATCH(F859,Components!$A$4:$A$253,0)),"")&lt;&gt;C859),"Component owned by another AIR-ID",IF(AND(M859="Confirmed",OR(IF(B859="UC",COUNTIFS('Use cases'!$A$4:$A$253,C859,'Use cases'!$I$4:$I$253,"Confirmed",'Use cases'!$J$4:$J$253,"OK — verify source"),IF(B859="CAP",COUNTIFS(Capabilities!$A$4:$A$253,C859,Capabilities!$J$4:$J$253,"Confirmed",Capabilities!$K$4:$K$253,"OK — verify source"),IF(B859="AIR",COUNTIFS('System map'!$A$4:$A$203,C859,'System map'!$B$4:$B$203,"&lt;&gt;",'System map'!$C$4:$C$203,"&lt;&gt;",'System map'!$D$4:$D$203,"&lt;&gt;"),COUNTIFS(Components!$A$4:$A$253,C859,Components!$B$4:$B$253,B859,Components!$K$4:$K$253,"Confirmed",Components!$L$4:$L$253,"OK — verify source"))))&lt;&gt;1,IF(E859="UC",COUNTIFS('Use cases'!$A$4:$A$253,F859,'Use cases'!$I$4:$I$253,"Confirmed",'Use cases'!$J$4:$J$253,"OK — verify source"),IF(E859="CAP",COUNTIFS(Capabilities!$A$4:$A$253,F859,Capabilities!$J$4:$J$253,"Confirmed",Capabilities!$K$4:$K$253,"OK — verify source"),IF(E859="AIR",COUNTIFS('System map'!$A$4:$A$203,F859,'System map'!$B$4:$B$203,"&lt;&gt;",'System map'!$C$4:$C$203,"&lt;&gt;",'System map'!$D$4:$D$203,"&lt;&gt;"),COUNTIFS(Components!$A$4:$A$253,F859,Components!$B$4:$B$253,E859,Components!$K$4:$K$253,"Confirmed",Components!$L$4:$L$253,"OK — verify source"))))&lt;&gt;1)),"Endpoint not source-reconciled",IF(AND(M859="Confirmed",OR(L859="",K859="",K859="Unknown",K859="Low")),"Confirmed link lacks verification","OK — verify source"))))))))))))))</f>
        <v/>
      </c>
    </row>
    <row r="860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6" t="n"/>
      <c r="M860" s="25" t="n"/>
      <c r="N860" s="25">
        <f>IF(COUNTA(A860:M860)=0,"",IF(OR(A860="",B860="",C860="",D860="",E860="",F860="",I860="",J860="",K860="",M860=""),"Required link detail missing",IF(COUNTIF($A$4:$A$1003,A860)&gt;1,"Duplicate Map Edge ID",IF(NOT(OR(AND(B860="UC",E860="CAP",D860="requires"),AND(B860="CAP",E860="AIR",D860="provided by"),AND(B860="AIR",OR(E860="MOD",E860="DATA",E860="IF",E860="AG",E860="TOOL"),D860="references"),AND(B860="AIR",E860="AIR",D860="depends on"))),"Invalid relationship",IF(AND(M860&lt;&gt;"Superseded",COUNTIFS($B$4:$B$1003,B860,$C$4:$C$1003,C860,$D$4:$D$1003,D860,$E$4:$E$1003,E860,$F$4:$F$1003,F860,$G$4:$G$1003,G860,$M$4:$M$1003,"&lt;&gt;Superseded")&gt;1),"Duplicate relationship",IF(OR(IF(B860="UC",COUNTIF('Use cases'!$A$4:$A$253,C860),IF(B860="CAP",COUNTIF(Capabilities!$A$4:$A$253,C860),IF(B860="AIR",COUNTIF('System map'!$A$4:$A$203,C860),COUNTIFS(Components!$A$4:$A$253,C860,Components!$B$4:$B$253,B860))))&lt;&gt;1,IF(E860="UC",COUNTIF('Use cases'!$A$4:$A$253,F860),IF(E860="CAP",COUNTIF(Capabilities!$A$4:$A$253,F860),IF(E860="AIR",COUNTIF('System map'!$A$4:$A$203,F860),COUNTIFS(Components!$A$4:$A$253,F860,Components!$B$4:$B$253,E860))))&lt;&gt;1),"Endpoint missing or duplicated",IF(AND(NOT(AND(B860="UC",E860="CAP")),OR(G860="",COUNTIF('System map'!$A$4:$A$203,G860)&lt;&gt;1)),"AIR context missing / unknown",IF(AND(B860="CAP",E860="AIR",G860&lt;&gt;F860),"AIR context mismatch",IF(AND(B860="AIR",G860&lt;&gt;C860),"AIR context mismatch",IF(AND(B860="AIR",E860="AIR",C860=F860),"Self-dependency",IF(AND(B860="AIR",E860="AIR",M860&lt;&gt;"Superseded",COUNTIFS($B$4:$B$1003,"AIR",$C$4:$C$1003,F860,$E$4:$E$1003,"AIR",$F$4:$F$1003,C860,$M$4:$M$1003,"&lt;&gt;Superseded")&gt;0),"Dependency cycle (A↔B) — review",IF(AND(B860="AIR",OR(E860="MOD",E860="DATA",E860="IF",E860="AG",E860="TOOL"),IFERROR(INDEX(Components!$G$4:$G$253,MATCH(F860,Components!$A$4:$A$253,0)),"")&lt;&gt;"",IFERROR(INDEX(Components!$G$4:$G$253,MATCH(F860,Components!$A$4:$A$253,0)),"")&lt;&gt;C860),"Component owned by another AIR-ID",IF(AND(M860="Confirmed",OR(IF(B860="UC",COUNTIFS('Use cases'!$A$4:$A$253,C860,'Use cases'!$I$4:$I$253,"Confirmed",'Use cases'!$J$4:$J$253,"OK — verify source"),IF(B860="CAP",COUNTIFS(Capabilities!$A$4:$A$253,C860,Capabilities!$J$4:$J$253,"Confirmed",Capabilities!$K$4:$K$253,"OK — verify source"),IF(B860="AIR",COUNTIFS('System map'!$A$4:$A$203,C860,'System map'!$B$4:$B$203,"&lt;&gt;",'System map'!$C$4:$C$203,"&lt;&gt;",'System map'!$D$4:$D$203,"&lt;&gt;"),COUNTIFS(Components!$A$4:$A$253,C860,Components!$B$4:$B$253,B860,Components!$K$4:$K$253,"Confirmed",Components!$L$4:$L$253,"OK — verify source"))))&lt;&gt;1,IF(E860="UC",COUNTIFS('Use cases'!$A$4:$A$253,F860,'Use cases'!$I$4:$I$253,"Confirmed",'Use cases'!$J$4:$J$253,"OK — verify source"),IF(E860="CAP",COUNTIFS(Capabilities!$A$4:$A$253,F860,Capabilities!$J$4:$J$253,"Confirmed",Capabilities!$K$4:$K$253,"OK — verify source"),IF(E860="AIR",COUNTIFS('System map'!$A$4:$A$203,F860,'System map'!$B$4:$B$203,"&lt;&gt;",'System map'!$C$4:$C$203,"&lt;&gt;",'System map'!$D$4:$D$203,"&lt;&gt;"),COUNTIFS(Components!$A$4:$A$253,F860,Components!$B$4:$B$253,E860,Components!$K$4:$K$253,"Confirmed",Components!$L$4:$L$253,"OK — verify source"))))&lt;&gt;1)),"Endpoint not source-reconciled",IF(AND(M860="Confirmed",OR(L860="",K860="",K860="Unknown",K860="Low")),"Confirmed link lacks verification","OK — verify source"))))))))))))))</f>
        <v/>
      </c>
    </row>
    <row r="861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8" t="n"/>
      <c r="M861" s="27" t="n"/>
      <c r="N861" s="27">
        <f>IF(COUNTA(A861:M861)=0,"",IF(OR(A861="",B861="",C861="",D861="",E861="",F861="",I861="",J861="",K861="",M861=""),"Required link detail missing",IF(COUNTIF($A$4:$A$1003,A861)&gt;1,"Duplicate Map Edge ID",IF(NOT(OR(AND(B861="UC",E861="CAP",D861="requires"),AND(B861="CAP",E861="AIR",D861="provided by"),AND(B861="AIR",OR(E861="MOD",E861="DATA",E861="IF",E861="AG",E861="TOOL"),D861="references"),AND(B861="AIR",E861="AIR",D861="depends on"))),"Invalid relationship",IF(AND(M861&lt;&gt;"Superseded",COUNTIFS($B$4:$B$1003,B861,$C$4:$C$1003,C861,$D$4:$D$1003,D861,$E$4:$E$1003,E861,$F$4:$F$1003,F861,$G$4:$G$1003,G861,$M$4:$M$1003,"&lt;&gt;Superseded")&gt;1),"Duplicate relationship",IF(OR(IF(B861="UC",COUNTIF('Use cases'!$A$4:$A$253,C861),IF(B861="CAP",COUNTIF(Capabilities!$A$4:$A$253,C861),IF(B861="AIR",COUNTIF('System map'!$A$4:$A$203,C861),COUNTIFS(Components!$A$4:$A$253,C861,Components!$B$4:$B$253,B861))))&lt;&gt;1,IF(E861="UC",COUNTIF('Use cases'!$A$4:$A$253,F861),IF(E861="CAP",COUNTIF(Capabilities!$A$4:$A$253,F861),IF(E861="AIR",COUNTIF('System map'!$A$4:$A$203,F861),COUNTIFS(Components!$A$4:$A$253,F861,Components!$B$4:$B$253,E861))))&lt;&gt;1),"Endpoint missing or duplicated",IF(AND(NOT(AND(B861="UC",E861="CAP")),OR(G861="",COUNTIF('System map'!$A$4:$A$203,G861)&lt;&gt;1)),"AIR context missing / unknown",IF(AND(B861="CAP",E861="AIR",G861&lt;&gt;F861),"AIR context mismatch",IF(AND(B861="AIR",G861&lt;&gt;C861),"AIR context mismatch",IF(AND(B861="AIR",E861="AIR",C861=F861),"Self-dependency",IF(AND(B861="AIR",E861="AIR",M861&lt;&gt;"Superseded",COUNTIFS($B$4:$B$1003,"AIR",$C$4:$C$1003,F861,$E$4:$E$1003,"AIR",$F$4:$F$1003,C861,$M$4:$M$1003,"&lt;&gt;Superseded")&gt;0),"Dependency cycle (A↔B) — review",IF(AND(B861="AIR",OR(E861="MOD",E861="DATA",E861="IF",E861="AG",E861="TOOL"),IFERROR(INDEX(Components!$G$4:$G$253,MATCH(F861,Components!$A$4:$A$253,0)),"")&lt;&gt;"",IFERROR(INDEX(Components!$G$4:$G$253,MATCH(F861,Components!$A$4:$A$253,0)),"")&lt;&gt;C861),"Component owned by another AIR-ID",IF(AND(M861="Confirmed",OR(IF(B861="UC",COUNTIFS('Use cases'!$A$4:$A$253,C861,'Use cases'!$I$4:$I$253,"Confirmed",'Use cases'!$J$4:$J$253,"OK — verify source"),IF(B861="CAP",COUNTIFS(Capabilities!$A$4:$A$253,C861,Capabilities!$J$4:$J$253,"Confirmed",Capabilities!$K$4:$K$253,"OK — verify source"),IF(B861="AIR",COUNTIFS('System map'!$A$4:$A$203,C861,'System map'!$B$4:$B$203,"&lt;&gt;",'System map'!$C$4:$C$203,"&lt;&gt;",'System map'!$D$4:$D$203,"&lt;&gt;"),COUNTIFS(Components!$A$4:$A$253,C861,Components!$B$4:$B$253,B861,Components!$K$4:$K$253,"Confirmed",Components!$L$4:$L$253,"OK — verify source"))))&lt;&gt;1,IF(E861="UC",COUNTIFS('Use cases'!$A$4:$A$253,F861,'Use cases'!$I$4:$I$253,"Confirmed",'Use cases'!$J$4:$J$253,"OK — verify source"),IF(E861="CAP",COUNTIFS(Capabilities!$A$4:$A$253,F861,Capabilities!$J$4:$J$253,"Confirmed",Capabilities!$K$4:$K$253,"OK — verify source"),IF(E861="AIR",COUNTIFS('System map'!$A$4:$A$203,F861,'System map'!$B$4:$B$203,"&lt;&gt;",'System map'!$C$4:$C$203,"&lt;&gt;",'System map'!$D$4:$D$203,"&lt;&gt;"),COUNTIFS(Components!$A$4:$A$253,F861,Components!$B$4:$B$253,E861,Components!$K$4:$K$253,"Confirmed",Components!$L$4:$L$253,"OK — verify source"))))&lt;&gt;1)),"Endpoint not source-reconciled",IF(AND(M861="Confirmed",OR(L861="",K861="",K861="Unknown",K861="Low")),"Confirmed link lacks verification","OK — verify source"))))))))))))))</f>
        <v/>
      </c>
    </row>
    <row r="862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6" t="n"/>
      <c r="M862" s="25" t="n"/>
      <c r="N862" s="25">
        <f>IF(COUNTA(A862:M862)=0,"",IF(OR(A862="",B862="",C862="",D862="",E862="",F862="",I862="",J862="",K862="",M862=""),"Required link detail missing",IF(COUNTIF($A$4:$A$1003,A862)&gt;1,"Duplicate Map Edge ID",IF(NOT(OR(AND(B862="UC",E862="CAP",D862="requires"),AND(B862="CAP",E862="AIR",D862="provided by"),AND(B862="AIR",OR(E862="MOD",E862="DATA",E862="IF",E862="AG",E862="TOOL"),D862="references"),AND(B862="AIR",E862="AIR",D862="depends on"))),"Invalid relationship",IF(AND(M862&lt;&gt;"Superseded",COUNTIFS($B$4:$B$1003,B862,$C$4:$C$1003,C862,$D$4:$D$1003,D862,$E$4:$E$1003,E862,$F$4:$F$1003,F862,$G$4:$G$1003,G862,$M$4:$M$1003,"&lt;&gt;Superseded")&gt;1),"Duplicate relationship",IF(OR(IF(B862="UC",COUNTIF('Use cases'!$A$4:$A$253,C862),IF(B862="CAP",COUNTIF(Capabilities!$A$4:$A$253,C862),IF(B862="AIR",COUNTIF('System map'!$A$4:$A$203,C862),COUNTIFS(Components!$A$4:$A$253,C862,Components!$B$4:$B$253,B862))))&lt;&gt;1,IF(E862="UC",COUNTIF('Use cases'!$A$4:$A$253,F862),IF(E862="CAP",COUNTIF(Capabilities!$A$4:$A$253,F862),IF(E862="AIR",COUNTIF('System map'!$A$4:$A$203,F862),COUNTIFS(Components!$A$4:$A$253,F862,Components!$B$4:$B$253,E862))))&lt;&gt;1),"Endpoint missing or duplicated",IF(AND(NOT(AND(B862="UC",E862="CAP")),OR(G862="",COUNTIF('System map'!$A$4:$A$203,G862)&lt;&gt;1)),"AIR context missing / unknown",IF(AND(B862="CAP",E862="AIR",G862&lt;&gt;F862),"AIR context mismatch",IF(AND(B862="AIR",G862&lt;&gt;C862),"AIR context mismatch",IF(AND(B862="AIR",E862="AIR",C862=F862),"Self-dependency",IF(AND(B862="AIR",E862="AIR",M862&lt;&gt;"Superseded",COUNTIFS($B$4:$B$1003,"AIR",$C$4:$C$1003,F862,$E$4:$E$1003,"AIR",$F$4:$F$1003,C862,$M$4:$M$1003,"&lt;&gt;Superseded")&gt;0),"Dependency cycle (A↔B) — review",IF(AND(B862="AIR",OR(E862="MOD",E862="DATA",E862="IF",E862="AG",E862="TOOL"),IFERROR(INDEX(Components!$G$4:$G$253,MATCH(F862,Components!$A$4:$A$253,0)),"")&lt;&gt;"",IFERROR(INDEX(Components!$G$4:$G$253,MATCH(F862,Components!$A$4:$A$253,0)),"")&lt;&gt;C862),"Component owned by another AIR-ID",IF(AND(M862="Confirmed",OR(IF(B862="UC",COUNTIFS('Use cases'!$A$4:$A$253,C862,'Use cases'!$I$4:$I$253,"Confirmed",'Use cases'!$J$4:$J$253,"OK — verify source"),IF(B862="CAP",COUNTIFS(Capabilities!$A$4:$A$253,C862,Capabilities!$J$4:$J$253,"Confirmed",Capabilities!$K$4:$K$253,"OK — verify source"),IF(B862="AIR",COUNTIFS('System map'!$A$4:$A$203,C862,'System map'!$B$4:$B$203,"&lt;&gt;",'System map'!$C$4:$C$203,"&lt;&gt;",'System map'!$D$4:$D$203,"&lt;&gt;"),COUNTIFS(Components!$A$4:$A$253,C862,Components!$B$4:$B$253,B862,Components!$K$4:$K$253,"Confirmed",Components!$L$4:$L$253,"OK — verify source"))))&lt;&gt;1,IF(E862="UC",COUNTIFS('Use cases'!$A$4:$A$253,F862,'Use cases'!$I$4:$I$253,"Confirmed",'Use cases'!$J$4:$J$253,"OK — verify source"),IF(E862="CAP",COUNTIFS(Capabilities!$A$4:$A$253,F862,Capabilities!$J$4:$J$253,"Confirmed",Capabilities!$K$4:$K$253,"OK — verify source"),IF(E862="AIR",COUNTIFS('System map'!$A$4:$A$203,F862,'System map'!$B$4:$B$203,"&lt;&gt;",'System map'!$C$4:$C$203,"&lt;&gt;",'System map'!$D$4:$D$203,"&lt;&gt;"),COUNTIFS(Components!$A$4:$A$253,F862,Components!$B$4:$B$253,E862,Components!$K$4:$K$253,"Confirmed",Components!$L$4:$L$253,"OK — verify source"))))&lt;&gt;1)),"Endpoint not source-reconciled",IF(AND(M862="Confirmed",OR(L862="",K862="",K862="Unknown",K862="Low")),"Confirmed link lacks verification","OK — verify source"))))))))))))))</f>
        <v/>
      </c>
    </row>
    <row r="863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8" t="n"/>
      <c r="M863" s="27" t="n"/>
      <c r="N863" s="27">
        <f>IF(COUNTA(A863:M863)=0,"",IF(OR(A863="",B863="",C863="",D863="",E863="",F863="",I863="",J863="",K863="",M863=""),"Required link detail missing",IF(COUNTIF($A$4:$A$1003,A863)&gt;1,"Duplicate Map Edge ID",IF(NOT(OR(AND(B863="UC",E863="CAP",D863="requires"),AND(B863="CAP",E863="AIR",D863="provided by"),AND(B863="AIR",OR(E863="MOD",E863="DATA",E863="IF",E863="AG",E863="TOOL"),D863="references"),AND(B863="AIR",E863="AIR",D863="depends on"))),"Invalid relationship",IF(AND(M863&lt;&gt;"Superseded",COUNTIFS($B$4:$B$1003,B863,$C$4:$C$1003,C863,$D$4:$D$1003,D863,$E$4:$E$1003,E863,$F$4:$F$1003,F863,$G$4:$G$1003,G863,$M$4:$M$1003,"&lt;&gt;Superseded")&gt;1),"Duplicate relationship",IF(OR(IF(B863="UC",COUNTIF('Use cases'!$A$4:$A$253,C863),IF(B863="CAP",COUNTIF(Capabilities!$A$4:$A$253,C863),IF(B863="AIR",COUNTIF('System map'!$A$4:$A$203,C863),COUNTIFS(Components!$A$4:$A$253,C863,Components!$B$4:$B$253,B863))))&lt;&gt;1,IF(E863="UC",COUNTIF('Use cases'!$A$4:$A$253,F863),IF(E863="CAP",COUNTIF(Capabilities!$A$4:$A$253,F863),IF(E863="AIR",COUNTIF('System map'!$A$4:$A$203,F863),COUNTIFS(Components!$A$4:$A$253,F863,Components!$B$4:$B$253,E863))))&lt;&gt;1),"Endpoint missing or duplicated",IF(AND(NOT(AND(B863="UC",E863="CAP")),OR(G863="",COUNTIF('System map'!$A$4:$A$203,G863)&lt;&gt;1)),"AIR context missing / unknown",IF(AND(B863="CAP",E863="AIR",G863&lt;&gt;F863),"AIR context mismatch",IF(AND(B863="AIR",G863&lt;&gt;C863),"AIR context mismatch",IF(AND(B863="AIR",E863="AIR",C863=F863),"Self-dependency",IF(AND(B863="AIR",E863="AIR",M863&lt;&gt;"Superseded",COUNTIFS($B$4:$B$1003,"AIR",$C$4:$C$1003,F863,$E$4:$E$1003,"AIR",$F$4:$F$1003,C863,$M$4:$M$1003,"&lt;&gt;Superseded")&gt;0),"Dependency cycle (A↔B) — review",IF(AND(B863="AIR",OR(E863="MOD",E863="DATA",E863="IF",E863="AG",E863="TOOL"),IFERROR(INDEX(Components!$G$4:$G$253,MATCH(F863,Components!$A$4:$A$253,0)),"")&lt;&gt;"",IFERROR(INDEX(Components!$G$4:$G$253,MATCH(F863,Components!$A$4:$A$253,0)),"")&lt;&gt;C863),"Component owned by another AIR-ID",IF(AND(M863="Confirmed",OR(IF(B863="UC",COUNTIFS('Use cases'!$A$4:$A$253,C863,'Use cases'!$I$4:$I$253,"Confirmed",'Use cases'!$J$4:$J$253,"OK — verify source"),IF(B863="CAP",COUNTIFS(Capabilities!$A$4:$A$253,C863,Capabilities!$J$4:$J$253,"Confirmed",Capabilities!$K$4:$K$253,"OK — verify source"),IF(B863="AIR",COUNTIFS('System map'!$A$4:$A$203,C863,'System map'!$B$4:$B$203,"&lt;&gt;",'System map'!$C$4:$C$203,"&lt;&gt;",'System map'!$D$4:$D$203,"&lt;&gt;"),COUNTIFS(Components!$A$4:$A$253,C863,Components!$B$4:$B$253,B863,Components!$K$4:$K$253,"Confirmed",Components!$L$4:$L$253,"OK — verify source"))))&lt;&gt;1,IF(E863="UC",COUNTIFS('Use cases'!$A$4:$A$253,F863,'Use cases'!$I$4:$I$253,"Confirmed",'Use cases'!$J$4:$J$253,"OK — verify source"),IF(E863="CAP",COUNTIFS(Capabilities!$A$4:$A$253,F863,Capabilities!$J$4:$J$253,"Confirmed",Capabilities!$K$4:$K$253,"OK — verify source"),IF(E863="AIR",COUNTIFS('System map'!$A$4:$A$203,F863,'System map'!$B$4:$B$203,"&lt;&gt;",'System map'!$C$4:$C$203,"&lt;&gt;",'System map'!$D$4:$D$203,"&lt;&gt;"),COUNTIFS(Components!$A$4:$A$253,F863,Components!$B$4:$B$253,E863,Components!$K$4:$K$253,"Confirmed",Components!$L$4:$L$253,"OK — verify source"))))&lt;&gt;1)),"Endpoint not source-reconciled",IF(AND(M863="Confirmed",OR(L863="",K863="",K863="Unknown",K863="Low")),"Confirmed link lacks verification","OK — verify source"))))))))))))))</f>
        <v/>
      </c>
    </row>
    <row r="8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6" t="n"/>
      <c r="M864" s="25" t="n"/>
      <c r="N864" s="25">
        <f>IF(COUNTA(A864:M864)=0,"",IF(OR(A864="",B864="",C864="",D864="",E864="",F864="",I864="",J864="",K864="",M864=""),"Required link detail missing",IF(COUNTIF($A$4:$A$1003,A864)&gt;1,"Duplicate Map Edge ID",IF(NOT(OR(AND(B864="UC",E864="CAP",D864="requires"),AND(B864="CAP",E864="AIR",D864="provided by"),AND(B864="AIR",OR(E864="MOD",E864="DATA",E864="IF",E864="AG",E864="TOOL"),D864="references"),AND(B864="AIR",E864="AIR",D864="depends on"))),"Invalid relationship",IF(AND(M864&lt;&gt;"Superseded",COUNTIFS($B$4:$B$1003,B864,$C$4:$C$1003,C864,$D$4:$D$1003,D864,$E$4:$E$1003,E864,$F$4:$F$1003,F864,$G$4:$G$1003,G864,$M$4:$M$1003,"&lt;&gt;Superseded")&gt;1),"Duplicate relationship",IF(OR(IF(B864="UC",COUNTIF('Use cases'!$A$4:$A$253,C864),IF(B864="CAP",COUNTIF(Capabilities!$A$4:$A$253,C864),IF(B864="AIR",COUNTIF('System map'!$A$4:$A$203,C864),COUNTIFS(Components!$A$4:$A$253,C864,Components!$B$4:$B$253,B864))))&lt;&gt;1,IF(E864="UC",COUNTIF('Use cases'!$A$4:$A$253,F864),IF(E864="CAP",COUNTIF(Capabilities!$A$4:$A$253,F864),IF(E864="AIR",COUNTIF('System map'!$A$4:$A$203,F864),COUNTIFS(Components!$A$4:$A$253,F864,Components!$B$4:$B$253,E864))))&lt;&gt;1),"Endpoint missing or duplicated",IF(AND(NOT(AND(B864="UC",E864="CAP")),OR(G864="",COUNTIF('System map'!$A$4:$A$203,G864)&lt;&gt;1)),"AIR context missing / unknown",IF(AND(B864="CAP",E864="AIR",G864&lt;&gt;F864),"AIR context mismatch",IF(AND(B864="AIR",G864&lt;&gt;C864),"AIR context mismatch",IF(AND(B864="AIR",E864="AIR",C864=F864),"Self-dependency",IF(AND(B864="AIR",E864="AIR",M864&lt;&gt;"Superseded",COUNTIFS($B$4:$B$1003,"AIR",$C$4:$C$1003,F864,$E$4:$E$1003,"AIR",$F$4:$F$1003,C864,$M$4:$M$1003,"&lt;&gt;Superseded")&gt;0),"Dependency cycle (A↔B) — review",IF(AND(B864="AIR",OR(E864="MOD",E864="DATA",E864="IF",E864="AG",E864="TOOL"),IFERROR(INDEX(Components!$G$4:$G$253,MATCH(F864,Components!$A$4:$A$253,0)),"")&lt;&gt;"",IFERROR(INDEX(Components!$G$4:$G$253,MATCH(F864,Components!$A$4:$A$253,0)),"")&lt;&gt;C864),"Component owned by another AIR-ID",IF(AND(M864="Confirmed",OR(IF(B864="UC",COUNTIFS('Use cases'!$A$4:$A$253,C864,'Use cases'!$I$4:$I$253,"Confirmed",'Use cases'!$J$4:$J$253,"OK — verify source"),IF(B864="CAP",COUNTIFS(Capabilities!$A$4:$A$253,C864,Capabilities!$J$4:$J$253,"Confirmed",Capabilities!$K$4:$K$253,"OK — verify source"),IF(B864="AIR",COUNTIFS('System map'!$A$4:$A$203,C864,'System map'!$B$4:$B$203,"&lt;&gt;",'System map'!$C$4:$C$203,"&lt;&gt;",'System map'!$D$4:$D$203,"&lt;&gt;"),COUNTIFS(Components!$A$4:$A$253,C864,Components!$B$4:$B$253,B864,Components!$K$4:$K$253,"Confirmed",Components!$L$4:$L$253,"OK — verify source"))))&lt;&gt;1,IF(E864="UC",COUNTIFS('Use cases'!$A$4:$A$253,F864,'Use cases'!$I$4:$I$253,"Confirmed",'Use cases'!$J$4:$J$253,"OK — verify source"),IF(E864="CAP",COUNTIFS(Capabilities!$A$4:$A$253,F864,Capabilities!$J$4:$J$253,"Confirmed",Capabilities!$K$4:$K$253,"OK — verify source"),IF(E864="AIR",COUNTIFS('System map'!$A$4:$A$203,F864,'System map'!$B$4:$B$203,"&lt;&gt;",'System map'!$C$4:$C$203,"&lt;&gt;",'System map'!$D$4:$D$203,"&lt;&gt;"),COUNTIFS(Components!$A$4:$A$253,F864,Components!$B$4:$B$253,E864,Components!$K$4:$K$253,"Confirmed",Components!$L$4:$L$253,"OK — verify source"))))&lt;&gt;1)),"Endpoint not source-reconciled",IF(AND(M864="Confirmed",OR(L864="",K864="",K864="Unknown",K864="Low")),"Confirmed link lacks verification","OK — verify source"))))))))))))))</f>
        <v/>
      </c>
    </row>
    <row r="865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8" t="n"/>
      <c r="M865" s="27" t="n"/>
      <c r="N865" s="27">
        <f>IF(COUNTA(A865:M865)=0,"",IF(OR(A865="",B865="",C865="",D865="",E865="",F865="",I865="",J865="",K865="",M865=""),"Required link detail missing",IF(COUNTIF($A$4:$A$1003,A865)&gt;1,"Duplicate Map Edge ID",IF(NOT(OR(AND(B865="UC",E865="CAP",D865="requires"),AND(B865="CAP",E865="AIR",D865="provided by"),AND(B865="AIR",OR(E865="MOD",E865="DATA",E865="IF",E865="AG",E865="TOOL"),D865="references"),AND(B865="AIR",E865="AIR",D865="depends on"))),"Invalid relationship",IF(AND(M865&lt;&gt;"Superseded",COUNTIFS($B$4:$B$1003,B865,$C$4:$C$1003,C865,$D$4:$D$1003,D865,$E$4:$E$1003,E865,$F$4:$F$1003,F865,$G$4:$G$1003,G865,$M$4:$M$1003,"&lt;&gt;Superseded")&gt;1),"Duplicate relationship",IF(OR(IF(B865="UC",COUNTIF('Use cases'!$A$4:$A$253,C865),IF(B865="CAP",COUNTIF(Capabilities!$A$4:$A$253,C865),IF(B865="AIR",COUNTIF('System map'!$A$4:$A$203,C865),COUNTIFS(Components!$A$4:$A$253,C865,Components!$B$4:$B$253,B865))))&lt;&gt;1,IF(E865="UC",COUNTIF('Use cases'!$A$4:$A$253,F865),IF(E865="CAP",COUNTIF(Capabilities!$A$4:$A$253,F865),IF(E865="AIR",COUNTIF('System map'!$A$4:$A$203,F865),COUNTIFS(Components!$A$4:$A$253,F865,Components!$B$4:$B$253,E865))))&lt;&gt;1),"Endpoint missing or duplicated",IF(AND(NOT(AND(B865="UC",E865="CAP")),OR(G865="",COUNTIF('System map'!$A$4:$A$203,G865)&lt;&gt;1)),"AIR context missing / unknown",IF(AND(B865="CAP",E865="AIR",G865&lt;&gt;F865),"AIR context mismatch",IF(AND(B865="AIR",G865&lt;&gt;C865),"AIR context mismatch",IF(AND(B865="AIR",E865="AIR",C865=F865),"Self-dependency",IF(AND(B865="AIR",E865="AIR",M865&lt;&gt;"Superseded",COUNTIFS($B$4:$B$1003,"AIR",$C$4:$C$1003,F865,$E$4:$E$1003,"AIR",$F$4:$F$1003,C865,$M$4:$M$1003,"&lt;&gt;Superseded")&gt;0),"Dependency cycle (A↔B) — review",IF(AND(B865="AIR",OR(E865="MOD",E865="DATA",E865="IF",E865="AG",E865="TOOL"),IFERROR(INDEX(Components!$G$4:$G$253,MATCH(F865,Components!$A$4:$A$253,0)),"")&lt;&gt;"",IFERROR(INDEX(Components!$G$4:$G$253,MATCH(F865,Components!$A$4:$A$253,0)),"")&lt;&gt;C865),"Component owned by another AIR-ID",IF(AND(M865="Confirmed",OR(IF(B865="UC",COUNTIFS('Use cases'!$A$4:$A$253,C865,'Use cases'!$I$4:$I$253,"Confirmed",'Use cases'!$J$4:$J$253,"OK — verify source"),IF(B865="CAP",COUNTIFS(Capabilities!$A$4:$A$253,C865,Capabilities!$J$4:$J$253,"Confirmed",Capabilities!$K$4:$K$253,"OK — verify source"),IF(B865="AIR",COUNTIFS('System map'!$A$4:$A$203,C865,'System map'!$B$4:$B$203,"&lt;&gt;",'System map'!$C$4:$C$203,"&lt;&gt;",'System map'!$D$4:$D$203,"&lt;&gt;"),COUNTIFS(Components!$A$4:$A$253,C865,Components!$B$4:$B$253,B865,Components!$K$4:$K$253,"Confirmed",Components!$L$4:$L$253,"OK — verify source"))))&lt;&gt;1,IF(E865="UC",COUNTIFS('Use cases'!$A$4:$A$253,F865,'Use cases'!$I$4:$I$253,"Confirmed",'Use cases'!$J$4:$J$253,"OK — verify source"),IF(E865="CAP",COUNTIFS(Capabilities!$A$4:$A$253,F865,Capabilities!$J$4:$J$253,"Confirmed",Capabilities!$K$4:$K$253,"OK — verify source"),IF(E865="AIR",COUNTIFS('System map'!$A$4:$A$203,F865,'System map'!$B$4:$B$203,"&lt;&gt;",'System map'!$C$4:$C$203,"&lt;&gt;",'System map'!$D$4:$D$203,"&lt;&gt;"),COUNTIFS(Components!$A$4:$A$253,F865,Components!$B$4:$B$253,E865,Components!$K$4:$K$253,"Confirmed",Components!$L$4:$L$253,"OK — verify source"))))&lt;&gt;1)),"Endpoint not source-reconciled",IF(AND(M865="Confirmed",OR(L865="",K865="",K865="Unknown",K865="Low")),"Confirmed link lacks verification","OK — verify source"))))))))))))))</f>
        <v/>
      </c>
    </row>
    <row r="866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6" t="n"/>
      <c r="M866" s="25" t="n"/>
      <c r="N866" s="25">
        <f>IF(COUNTA(A866:M866)=0,"",IF(OR(A866="",B866="",C866="",D866="",E866="",F866="",I866="",J866="",K866="",M866=""),"Required link detail missing",IF(COUNTIF($A$4:$A$1003,A866)&gt;1,"Duplicate Map Edge ID",IF(NOT(OR(AND(B866="UC",E866="CAP",D866="requires"),AND(B866="CAP",E866="AIR",D866="provided by"),AND(B866="AIR",OR(E866="MOD",E866="DATA",E866="IF",E866="AG",E866="TOOL"),D866="references"),AND(B866="AIR",E866="AIR",D866="depends on"))),"Invalid relationship",IF(AND(M866&lt;&gt;"Superseded",COUNTIFS($B$4:$B$1003,B866,$C$4:$C$1003,C866,$D$4:$D$1003,D866,$E$4:$E$1003,E866,$F$4:$F$1003,F866,$G$4:$G$1003,G866,$M$4:$M$1003,"&lt;&gt;Superseded")&gt;1),"Duplicate relationship",IF(OR(IF(B866="UC",COUNTIF('Use cases'!$A$4:$A$253,C866),IF(B866="CAP",COUNTIF(Capabilities!$A$4:$A$253,C866),IF(B866="AIR",COUNTIF('System map'!$A$4:$A$203,C866),COUNTIFS(Components!$A$4:$A$253,C866,Components!$B$4:$B$253,B866))))&lt;&gt;1,IF(E866="UC",COUNTIF('Use cases'!$A$4:$A$253,F866),IF(E866="CAP",COUNTIF(Capabilities!$A$4:$A$253,F866),IF(E866="AIR",COUNTIF('System map'!$A$4:$A$203,F866),COUNTIFS(Components!$A$4:$A$253,F866,Components!$B$4:$B$253,E866))))&lt;&gt;1),"Endpoint missing or duplicated",IF(AND(NOT(AND(B866="UC",E866="CAP")),OR(G866="",COUNTIF('System map'!$A$4:$A$203,G866)&lt;&gt;1)),"AIR context missing / unknown",IF(AND(B866="CAP",E866="AIR",G866&lt;&gt;F866),"AIR context mismatch",IF(AND(B866="AIR",G866&lt;&gt;C866),"AIR context mismatch",IF(AND(B866="AIR",E866="AIR",C866=F866),"Self-dependency",IF(AND(B866="AIR",E866="AIR",M866&lt;&gt;"Superseded",COUNTIFS($B$4:$B$1003,"AIR",$C$4:$C$1003,F866,$E$4:$E$1003,"AIR",$F$4:$F$1003,C866,$M$4:$M$1003,"&lt;&gt;Superseded")&gt;0),"Dependency cycle (A↔B) — review",IF(AND(B866="AIR",OR(E866="MOD",E866="DATA",E866="IF",E866="AG",E866="TOOL"),IFERROR(INDEX(Components!$G$4:$G$253,MATCH(F866,Components!$A$4:$A$253,0)),"")&lt;&gt;"",IFERROR(INDEX(Components!$G$4:$G$253,MATCH(F866,Components!$A$4:$A$253,0)),"")&lt;&gt;C866),"Component owned by another AIR-ID",IF(AND(M866="Confirmed",OR(IF(B866="UC",COUNTIFS('Use cases'!$A$4:$A$253,C866,'Use cases'!$I$4:$I$253,"Confirmed",'Use cases'!$J$4:$J$253,"OK — verify source"),IF(B866="CAP",COUNTIFS(Capabilities!$A$4:$A$253,C866,Capabilities!$J$4:$J$253,"Confirmed",Capabilities!$K$4:$K$253,"OK — verify source"),IF(B866="AIR",COUNTIFS('System map'!$A$4:$A$203,C866,'System map'!$B$4:$B$203,"&lt;&gt;",'System map'!$C$4:$C$203,"&lt;&gt;",'System map'!$D$4:$D$203,"&lt;&gt;"),COUNTIFS(Components!$A$4:$A$253,C866,Components!$B$4:$B$253,B866,Components!$K$4:$K$253,"Confirmed",Components!$L$4:$L$253,"OK — verify source"))))&lt;&gt;1,IF(E866="UC",COUNTIFS('Use cases'!$A$4:$A$253,F866,'Use cases'!$I$4:$I$253,"Confirmed",'Use cases'!$J$4:$J$253,"OK — verify source"),IF(E866="CAP",COUNTIFS(Capabilities!$A$4:$A$253,F866,Capabilities!$J$4:$J$253,"Confirmed",Capabilities!$K$4:$K$253,"OK — verify source"),IF(E866="AIR",COUNTIFS('System map'!$A$4:$A$203,F866,'System map'!$B$4:$B$203,"&lt;&gt;",'System map'!$C$4:$C$203,"&lt;&gt;",'System map'!$D$4:$D$203,"&lt;&gt;"),COUNTIFS(Components!$A$4:$A$253,F866,Components!$B$4:$B$253,E866,Components!$K$4:$K$253,"Confirmed",Components!$L$4:$L$253,"OK — verify source"))))&lt;&gt;1)),"Endpoint not source-reconciled",IF(AND(M866="Confirmed",OR(L866="",K866="",K866="Unknown",K866="Low")),"Confirmed link lacks verification","OK — verify source"))))))))))))))</f>
        <v/>
      </c>
    </row>
    <row r="867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8" t="n"/>
      <c r="M867" s="27" t="n"/>
      <c r="N867" s="27">
        <f>IF(COUNTA(A867:M867)=0,"",IF(OR(A867="",B867="",C867="",D867="",E867="",F867="",I867="",J867="",K867="",M867=""),"Required link detail missing",IF(COUNTIF($A$4:$A$1003,A867)&gt;1,"Duplicate Map Edge ID",IF(NOT(OR(AND(B867="UC",E867="CAP",D867="requires"),AND(B867="CAP",E867="AIR",D867="provided by"),AND(B867="AIR",OR(E867="MOD",E867="DATA",E867="IF",E867="AG",E867="TOOL"),D867="references"),AND(B867="AIR",E867="AIR",D867="depends on"))),"Invalid relationship",IF(AND(M867&lt;&gt;"Superseded",COUNTIFS($B$4:$B$1003,B867,$C$4:$C$1003,C867,$D$4:$D$1003,D867,$E$4:$E$1003,E867,$F$4:$F$1003,F867,$G$4:$G$1003,G867,$M$4:$M$1003,"&lt;&gt;Superseded")&gt;1),"Duplicate relationship",IF(OR(IF(B867="UC",COUNTIF('Use cases'!$A$4:$A$253,C867),IF(B867="CAP",COUNTIF(Capabilities!$A$4:$A$253,C867),IF(B867="AIR",COUNTIF('System map'!$A$4:$A$203,C867),COUNTIFS(Components!$A$4:$A$253,C867,Components!$B$4:$B$253,B867))))&lt;&gt;1,IF(E867="UC",COUNTIF('Use cases'!$A$4:$A$253,F867),IF(E867="CAP",COUNTIF(Capabilities!$A$4:$A$253,F867),IF(E867="AIR",COUNTIF('System map'!$A$4:$A$203,F867),COUNTIFS(Components!$A$4:$A$253,F867,Components!$B$4:$B$253,E867))))&lt;&gt;1),"Endpoint missing or duplicated",IF(AND(NOT(AND(B867="UC",E867="CAP")),OR(G867="",COUNTIF('System map'!$A$4:$A$203,G867)&lt;&gt;1)),"AIR context missing / unknown",IF(AND(B867="CAP",E867="AIR",G867&lt;&gt;F867),"AIR context mismatch",IF(AND(B867="AIR",G867&lt;&gt;C867),"AIR context mismatch",IF(AND(B867="AIR",E867="AIR",C867=F867),"Self-dependency",IF(AND(B867="AIR",E867="AIR",M867&lt;&gt;"Superseded",COUNTIFS($B$4:$B$1003,"AIR",$C$4:$C$1003,F867,$E$4:$E$1003,"AIR",$F$4:$F$1003,C867,$M$4:$M$1003,"&lt;&gt;Superseded")&gt;0),"Dependency cycle (A↔B) — review",IF(AND(B867="AIR",OR(E867="MOD",E867="DATA",E867="IF",E867="AG",E867="TOOL"),IFERROR(INDEX(Components!$G$4:$G$253,MATCH(F867,Components!$A$4:$A$253,0)),"")&lt;&gt;"",IFERROR(INDEX(Components!$G$4:$G$253,MATCH(F867,Components!$A$4:$A$253,0)),"")&lt;&gt;C867),"Component owned by another AIR-ID",IF(AND(M867="Confirmed",OR(IF(B867="UC",COUNTIFS('Use cases'!$A$4:$A$253,C867,'Use cases'!$I$4:$I$253,"Confirmed",'Use cases'!$J$4:$J$253,"OK — verify source"),IF(B867="CAP",COUNTIFS(Capabilities!$A$4:$A$253,C867,Capabilities!$J$4:$J$253,"Confirmed",Capabilities!$K$4:$K$253,"OK — verify source"),IF(B867="AIR",COUNTIFS('System map'!$A$4:$A$203,C867,'System map'!$B$4:$B$203,"&lt;&gt;",'System map'!$C$4:$C$203,"&lt;&gt;",'System map'!$D$4:$D$203,"&lt;&gt;"),COUNTIFS(Components!$A$4:$A$253,C867,Components!$B$4:$B$253,B867,Components!$K$4:$K$253,"Confirmed",Components!$L$4:$L$253,"OK — verify source"))))&lt;&gt;1,IF(E867="UC",COUNTIFS('Use cases'!$A$4:$A$253,F867,'Use cases'!$I$4:$I$253,"Confirmed",'Use cases'!$J$4:$J$253,"OK — verify source"),IF(E867="CAP",COUNTIFS(Capabilities!$A$4:$A$253,F867,Capabilities!$J$4:$J$253,"Confirmed",Capabilities!$K$4:$K$253,"OK — verify source"),IF(E867="AIR",COUNTIFS('System map'!$A$4:$A$203,F867,'System map'!$B$4:$B$203,"&lt;&gt;",'System map'!$C$4:$C$203,"&lt;&gt;",'System map'!$D$4:$D$203,"&lt;&gt;"),COUNTIFS(Components!$A$4:$A$253,F867,Components!$B$4:$B$253,E867,Components!$K$4:$K$253,"Confirmed",Components!$L$4:$L$253,"OK — verify source"))))&lt;&gt;1)),"Endpoint not source-reconciled",IF(AND(M867="Confirmed",OR(L867="",K867="",K867="Unknown",K867="Low")),"Confirmed link lacks verification","OK — verify source"))))))))))))))</f>
        <v/>
      </c>
    </row>
    <row r="868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6" t="n"/>
      <c r="M868" s="25" t="n"/>
      <c r="N868" s="25">
        <f>IF(COUNTA(A868:M868)=0,"",IF(OR(A868="",B868="",C868="",D868="",E868="",F868="",I868="",J868="",K868="",M868=""),"Required link detail missing",IF(COUNTIF($A$4:$A$1003,A868)&gt;1,"Duplicate Map Edge ID",IF(NOT(OR(AND(B868="UC",E868="CAP",D868="requires"),AND(B868="CAP",E868="AIR",D868="provided by"),AND(B868="AIR",OR(E868="MOD",E868="DATA",E868="IF",E868="AG",E868="TOOL"),D868="references"),AND(B868="AIR",E868="AIR",D868="depends on"))),"Invalid relationship",IF(AND(M868&lt;&gt;"Superseded",COUNTIFS($B$4:$B$1003,B868,$C$4:$C$1003,C868,$D$4:$D$1003,D868,$E$4:$E$1003,E868,$F$4:$F$1003,F868,$G$4:$G$1003,G868,$M$4:$M$1003,"&lt;&gt;Superseded")&gt;1),"Duplicate relationship",IF(OR(IF(B868="UC",COUNTIF('Use cases'!$A$4:$A$253,C868),IF(B868="CAP",COUNTIF(Capabilities!$A$4:$A$253,C868),IF(B868="AIR",COUNTIF('System map'!$A$4:$A$203,C868),COUNTIFS(Components!$A$4:$A$253,C868,Components!$B$4:$B$253,B868))))&lt;&gt;1,IF(E868="UC",COUNTIF('Use cases'!$A$4:$A$253,F868),IF(E868="CAP",COUNTIF(Capabilities!$A$4:$A$253,F868),IF(E868="AIR",COUNTIF('System map'!$A$4:$A$203,F868),COUNTIFS(Components!$A$4:$A$253,F868,Components!$B$4:$B$253,E868))))&lt;&gt;1),"Endpoint missing or duplicated",IF(AND(NOT(AND(B868="UC",E868="CAP")),OR(G868="",COUNTIF('System map'!$A$4:$A$203,G868)&lt;&gt;1)),"AIR context missing / unknown",IF(AND(B868="CAP",E868="AIR",G868&lt;&gt;F868),"AIR context mismatch",IF(AND(B868="AIR",G868&lt;&gt;C868),"AIR context mismatch",IF(AND(B868="AIR",E868="AIR",C868=F868),"Self-dependency",IF(AND(B868="AIR",E868="AIR",M868&lt;&gt;"Superseded",COUNTIFS($B$4:$B$1003,"AIR",$C$4:$C$1003,F868,$E$4:$E$1003,"AIR",$F$4:$F$1003,C868,$M$4:$M$1003,"&lt;&gt;Superseded")&gt;0),"Dependency cycle (A↔B) — review",IF(AND(B868="AIR",OR(E868="MOD",E868="DATA",E868="IF",E868="AG",E868="TOOL"),IFERROR(INDEX(Components!$G$4:$G$253,MATCH(F868,Components!$A$4:$A$253,0)),"")&lt;&gt;"",IFERROR(INDEX(Components!$G$4:$G$253,MATCH(F868,Components!$A$4:$A$253,0)),"")&lt;&gt;C868),"Component owned by another AIR-ID",IF(AND(M868="Confirmed",OR(IF(B868="UC",COUNTIFS('Use cases'!$A$4:$A$253,C868,'Use cases'!$I$4:$I$253,"Confirmed",'Use cases'!$J$4:$J$253,"OK — verify source"),IF(B868="CAP",COUNTIFS(Capabilities!$A$4:$A$253,C868,Capabilities!$J$4:$J$253,"Confirmed",Capabilities!$K$4:$K$253,"OK — verify source"),IF(B868="AIR",COUNTIFS('System map'!$A$4:$A$203,C868,'System map'!$B$4:$B$203,"&lt;&gt;",'System map'!$C$4:$C$203,"&lt;&gt;",'System map'!$D$4:$D$203,"&lt;&gt;"),COUNTIFS(Components!$A$4:$A$253,C868,Components!$B$4:$B$253,B868,Components!$K$4:$K$253,"Confirmed",Components!$L$4:$L$253,"OK — verify source"))))&lt;&gt;1,IF(E868="UC",COUNTIFS('Use cases'!$A$4:$A$253,F868,'Use cases'!$I$4:$I$253,"Confirmed",'Use cases'!$J$4:$J$253,"OK — verify source"),IF(E868="CAP",COUNTIFS(Capabilities!$A$4:$A$253,F868,Capabilities!$J$4:$J$253,"Confirmed",Capabilities!$K$4:$K$253,"OK — verify source"),IF(E868="AIR",COUNTIFS('System map'!$A$4:$A$203,F868,'System map'!$B$4:$B$203,"&lt;&gt;",'System map'!$C$4:$C$203,"&lt;&gt;",'System map'!$D$4:$D$203,"&lt;&gt;"),COUNTIFS(Components!$A$4:$A$253,F868,Components!$B$4:$B$253,E868,Components!$K$4:$K$253,"Confirmed",Components!$L$4:$L$253,"OK — verify source"))))&lt;&gt;1)),"Endpoint not source-reconciled",IF(AND(M868="Confirmed",OR(L868="",K868="",K868="Unknown",K868="Low")),"Confirmed link lacks verification","OK — verify source"))))))))))))))</f>
        <v/>
      </c>
    </row>
    <row r="869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8" t="n"/>
      <c r="M869" s="27" t="n"/>
      <c r="N869" s="27">
        <f>IF(COUNTA(A869:M869)=0,"",IF(OR(A869="",B869="",C869="",D869="",E869="",F869="",I869="",J869="",K869="",M869=""),"Required link detail missing",IF(COUNTIF($A$4:$A$1003,A869)&gt;1,"Duplicate Map Edge ID",IF(NOT(OR(AND(B869="UC",E869="CAP",D869="requires"),AND(B869="CAP",E869="AIR",D869="provided by"),AND(B869="AIR",OR(E869="MOD",E869="DATA",E869="IF",E869="AG",E869="TOOL"),D869="references"),AND(B869="AIR",E869="AIR",D869="depends on"))),"Invalid relationship",IF(AND(M869&lt;&gt;"Superseded",COUNTIFS($B$4:$B$1003,B869,$C$4:$C$1003,C869,$D$4:$D$1003,D869,$E$4:$E$1003,E869,$F$4:$F$1003,F869,$G$4:$G$1003,G869,$M$4:$M$1003,"&lt;&gt;Superseded")&gt;1),"Duplicate relationship",IF(OR(IF(B869="UC",COUNTIF('Use cases'!$A$4:$A$253,C869),IF(B869="CAP",COUNTIF(Capabilities!$A$4:$A$253,C869),IF(B869="AIR",COUNTIF('System map'!$A$4:$A$203,C869),COUNTIFS(Components!$A$4:$A$253,C869,Components!$B$4:$B$253,B869))))&lt;&gt;1,IF(E869="UC",COUNTIF('Use cases'!$A$4:$A$253,F869),IF(E869="CAP",COUNTIF(Capabilities!$A$4:$A$253,F869),IF(E869="AIR",COUNTIF('System map'!$A$4:$A$203,F869),COUNTIFS(Components!$A$4:$A$253,F869,Components!$B$4:$B$253,E869))))&lt;&gt;1),"Endpoint missing or duplicated",IF(AND(NOT(AND(B869="UC",E869="CAP")),OR(G869="",COUNTIF('System map'!$A$4:$A$203,G869)&lt;&gt;1)),"AIR context missing / unknown",IF(AND(B869="CAP",E869="AIR",G869&lt;&gt;F869),"AIR context mismatch",IF(AND(B869="AIR",G869&lt;&gt;C869),"AIR context mismatch",IF(AND(B869="AIR",E869="AIR",C869=F869),"Self-dependency",IF(AND(B869="AIR",E869="AIR",M869&lt;&gt;"Superseded",COUNTIFS($B$4:$B$1003,"AIR",$C$4:$C$1003,F869,$E$4:$E$1003,"AIR",$F$4:$F$1003,C869,$M$4:$M$1003,"&lt;&gt;Superseded")&gt;0),"Dependency cycle (A↔B) — review",IF(AND(B869="AIR",OR(E869="MOD",E869="DATA",E869="IF",E869="AG",E869="TOOL"),IFERROR(INDEX(Components!$G$4:$G$253,MATCH(F869,Components!$A$4:$A$253,0)),"")&lt;&gt;"",IFERROR(INDEX(Components!$G$4:$G$253,MATCH(F869,Components!$A$4:$A$253,0)),"")&lt;&gt;C869),"Component owned by another AIR-ID",IF(AND(M869="Confirmed",OR(IF(B869="UC",COUNTIFS('Use cases'!$A$4:$A$253,C869,'Use cases'!$I$4:$I$253,"Confirmed",'Use cases'!$J$4:$J$253,"OK — verify source"),IF(B869="CAP",COUNTIFS(Capabilities!$A$4:$A$253,C869,Capabilities!$J$4:$J$253,"Confirmed",Capabilities!$K$4:$K$253,"OK — verify source"),IF(B869="AIR",COUNTIFS('System map'!$A$4:$A$203,C869,'System map'!$B$4:$B$203,"&lt;&gt;",'System map'!$C$4:$C$203,"&lt;&gt;",'System map'!$D$4:$D$203,"&lt;&gt;"),COUNTIFS(Components!$A$4:$A$253,C869,Components!$B$4:$B$253,B869,Components!$K$4:$K$253,"Confirmed",Components!$L$4:$L$253,"OK — verify source"))))&lt;&gt;1,IF(E869="UC",COUNTIFS('Use cases'!$A$4:$A$253,F869,'Use cases'!$I$4:$I$253,"Confirmed",'Use cases'!$J$4:$J$253,"OK — verify source"),IF(E869="CAP",COUNTIFS(Capabilities!$A$4:$A$253,F869,Capabilities!$J$4:$J$253,"Confirmed",Capabilities!$K$4:$K$253,"OK — verify source"),IF(E869="AIR",COUNTIFS('System map'!$A$4:$A$203,F869,'System map'!$B$4:$B$203,"&lt;&gt;",'System map'!$C$4:$C$203,"&lt;&gt;",'System map'!$D$4:$D$203,"&lt;&gt;"),COUNTIFS(Components!$A$4:$A$253,F869,Components!$B$4:$B$253,E869,Components!$K$4:$K$253,"Confirmed",Components!$L$4:$L$253,"OK — verify source"))))&lt;&gt;1)),"Endpoint not source-reconciled",IF(AND(M869="Confirmed",OR(L869="",K869="",K869="Unknown",K869="Low")),"Confirmed link lacks verification","OK — verify source"))))))))))))))</f>
        <v/>
      </c>
    </row>
    <row r="870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6" t="n"/>
      <c r="M870" s="25" t="n"/>
      <c r="N870" s="25">
        <f>IF(COUNTA(A870:M870)=0,"",IF(OR(A870="",B870="",C870="",D870="",E870="",F870="",I870="",J870="",K870="",M870=""),"Required link detail missing",IF(COUNTIF($A$4:$A$1003,A870)&gt;1,"Duplicate Map Edge ID",IF(NOT(OR(AND(B870="UC",E870="CAP",D870="requires"),AND(B870="CAP",E870="AIR",D870="provided by"),AND(B870="AIR",OR(E870="MOD",E870="DATA",E870="IF",E870="AG",E870="TOOL"),D870="references"),AND(B870="AIR",E870="AIR",D870="depends on"))),"Invalid relationship",IF(AND(M870&lt;&gt;"Superseded",COUNTIFS($B$4:$B$1003,B870,$C$4:$C$1003,C870,$D$4:$D$1003,D870,$E$4:$E$1003,E870,$F$4:$F$1003,F870,$G$4:$G$1003,G870,$M$4:$M$1003,"&lt;&gt;Superseded")&gt;1),"Duplicate relationship",IF(OR(IF(B870="UC",COUNTIF('Use cases'!$A$4:$A$253,C870),IF(B870="CAP",COUNTIF(Capabilities!$A$4:$A$253,C870),IF(B870="AIR",COUNTIF('System map'!$A$4:$A$203,C870),COUNTIFS(Components!$A$4:$A$253,C870,Components!$B$4:$B$253,B870))))&lt;&gt;1,IF(E870="UC",COUNTIF('Use cases'!$A$4:$A$253,F870),IF(E870="CAP",COUNTIF(Capabilities!$A$4:$A$253,F870),IF(E870="AIR",COUNTIF('System map'!$A$4:$A$203,F870),COUNTIFS(Components!$A$4:$A$253,F870,Components!$B$4:$B$253,E870))))&lt;&gt;1),"Endpoint missing or duplicated",IF(AND(NOT(AND(B870="UC",E870="CAP")),OR(G870="",COUNTIF('System map'!$A$4:$A$203,G870)&lt;&gt;1)),"AIR context missing / unknown",IF(AND(B870="CAP",E870="AIR",G870&lt;&gt;F870),"AIR context mismatch",IF(AND(B870="AIR",G870&lt;&gt;C870),"AIR context mismatch",IF(AND(B870="AIR",E870="AIR",C870=F870),"Self-dependency",IF(AND(B870="AIR",E870="AIR",M870&lt;&gt;"Superseded",COUNTIFS($B$4:$B$1003,"AIR",$C$4:$C$1003,F870,$E$4:$E$1003,"AIR",$F$4:$F$1003,C870,$M$4:$M$1003,"&lt;&gt;Superseded")&gt;0),"Dependency cycle (A↔B) — review",IF(AND(B870="AIR",OR(E870="MOD",E870="DATA",E870="IF",E870="AG",E870="TOOL"),IFERROR(INDEX(Components!$G$4:$G$253,MATCH(F870,Components!$A$4:$A$253,0)),"")&lt;&gt;"",IFERROR(INDEX(Components!$G$4:$G$253,MATCH(F870,Components!$A$4:$A$253,0)),"")&lt;&gt;C870),"Component owned by another AIR-ID",IF(AND(M870="Confirmed",OR(IF(B870="UC",COUNTIFS('Use cases'!$A$4:$A$253,C870,'Use cases'!$I$4:$I$253,"Confirmed",'Use cases'!$J$4:$J$253,"OK — verify source"),IF(B870="CAP",COUNTIFS(Capabilities!$A$4:$A$253,C870,Capabilities!$J$4:$J$253,"Confirmed",Capabilities!$K$4:$K$253,"OK — verify source"),IF(B870="AIR",COUNTIFS('System map'!$A$4:$A$203,C870,'System map'!$B$4:$B$203,"&lt;&gt;",'System map'!$C$4:$C$203,"&lt;&gt;",'System map'!$D$4:$D$203,"&lt;&gt;"),COUNTIFS(Components!$A$4:$A$253,C870,Components!$B$4:$B$253,B870,Components!$K$4:$K$253,"Confirmed",Components!$L$4:$L$253,"OK — verify source"))))&lt;&gt;1,IF(E870="UC",COUNTIFS('Use cases'!$A$4:$A$253,F870,'Use cases'!$I$4:$I$253,"Confirmed",'Use cases'!$J$4:$J$253,"OK — verify source"),IF(E870="CAP",COUNTIFS(Capabilities!$A$4:$A$253,F870,Capabilities!$J$4:$J$253,"Confirmed",Capabilities!$K$4:$K$253,"OK — verify source"),IF(E870="AIR",COUNTIFS('System map'!$A$4:$A$203,F870,'System map'!$B$4:$B$203,"&lt;&gt;",'System map'!$C$4:$C$203,"&lt;&gt;",'System map'!$D$4:$D$203,"&lt;&gt;"),COUNTIFS(Components!$A$4:$A$253,F870,Components!$B$4:$B$253,E870,Components!$K$4:$K$253,"Confirmed",Components!$L$4:$L$253,"OK — verify source"))))&lt;&gt;1)),"Endpoint not source-reconciled",IF(AND(M870="Confirmed",OR(L870="",K870="",K870="Unknown",K870="Low")),"Confirmed link lacks verification","OK — verify source"))))))))))))))</f>
        <v/>
      </c>
    </row>
    <row r="871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8" t="n"/>
      <c r="M871" s="27" t="n"/>
      <c r="N871" s="27">
        <f>IF(COUNTA(A871:M871)=0,"",IF(OR(A871="",B871="",C871="",D871="",E871="",F871="",I871="",J871="",K871="",M871=""),"Required link detail missing",IF(COUNTIF($A$4:$A$1003,A871)&gt;1,"Duplicate Map Edge ID",IF(NOT(OR(AND(B871="UC",E871="CAP",D871="requires"),AND(B871="CAP",E871="AIR",D871="provided by"),AND(B871="AIR",OR(E871="MOD",E871="DATA",E871="IF",E871="AG",E871="TOOL"),D871="references"),AND(B871="AIR",E871="AIR",D871="depends on"))),"Invalid relationship",IF(AND(M871&lt;&gt;"Superseded",COUNTIFS($B$4:$B$1003,B871,$C$4:$C$1003,C871,$D$4:$D$1003,D871,$E$4:$E$1003,E871,$F$4:$F$1003,F871,$G$4:$G$1003,G871,$M$4:$M$1003,"&lt;&gt;Superseded")&gt;1),"Duplicate relationship",IF(OR(IF(B871="UC",COUNTIF('Use cases'!$A$4:$A$253,C871),IF(B871="CAP",COUNTIF(Capabilities!$A$4:$A$253,C871),IF(B871="AIR",COUNTIF('System map'!$A$4:$A$203,C871),COUNTIFS(Components!$A$4:$A$253,C871,Components!$B$4:$B$253,B871))))&lt;&gt;1,IF(E871="UC",COUNTIF('Use cases'!$A$4:$A$253,F871),IF(E871="CAP",COUNTIF(Capabilities!$A$4:$A$253,F871),IF(E871="AIR",COUNTIF('System map'!$A$4:$A$203,F871),COUNTIFS(Components!$A$4:$A$253,F871,Components!$B$4:$B$253,E871))))&lt;&gt;1),"Endpoint missing or duplicated",IF(AND(NOT(AND(B871="UC",E871="CAP")),OR(G871="",COUNTIF('System map'!$A$4:$A$203,G871)&lt;&gt;1)),"AIR context missing / unknown",IF(AND(B871="CAP",E871="AIR",G871&lt;&gt;F871),"AIR context mismatch",IF(AND(B871="AIR",G871&lt;&gt;C871),"AIR context mismatch",IF(AND(B871="AIR",E871="AIR",C871=F871),"Self-dependency",IF(AND(B871="AIR",E871="AIR",M871&lt;&gt;"Superseded",COUNTIFS($B$4:$B$1003,"AIR",$C$4:$C$1003,F871,$E$4:$E$1003,"AIR",$F$4:$F$1003,C871,$M$4:$M$1003,"&lt;&gt;Superseded")&gt;0),"Dependency cycle (A↔B) — review",IF(AND(B871="AIR",OR(E871="MOD",E871="DATA",E871="IF",E871="AG",E871="TOOL"),IFERROR(INDEX(Components!$G$4:$G$253,MATCH(F871,Components!$A$4:$A$253,0)),"")&lt;&gt;"",IFERROR(INDEX(Components!$G$4:$G$253,MATCH(F871,Components!$A$4:$A$253,0)),"")&lt;&gt;C871),"Component owned by another AIR-ID",IF(AND(M871="Confirmed",OR(IF(B871="UC",COUNTIFS('Use cases'!$A$4:$A$253,C871,'Use cases'!$I$4:$I$253,"Confirmed",'Use cases'!$J$4:$J$253,"OK — verify source"),IF(B871="CAP",COUNTIFS(Capabilities!$A$4:$A$253,C871,Capabilities!$J$4:$J$253,"Confirmed",Capabilities!$K$4:$K$253,"OK — verify source"),IF(B871="AIR",COUNTIFS('System map'!$A$4:$A$203,C871,'System map'!$B$4:$B$203,"&lt;&gt;",'System map'!$C$4:$C$203,"&lt;&gt;",'System map'!$D$4:$D$203,"&lt;&gt;"),COUNTIFS(Components!$A$4:$A$253,C871,Components!$B$4:$B$253,B871,Components!$K$4:$K$253,"Confirmed",Components!$L$4:$L$253,"OK — verify source"))))&lt;&gt;1,IF(E871="UC",COUNTIFS('Use cases'!$A$4:$A$253,F871,'Use cases'!$I$4:$I$253,"Confirmed",'Use cases'!$J$4:$J$253,"OK — verify source"),IF(E871="CAP",COUNTIFS(Capabilities!$A$4:$A$253,F871,Capabilities!$J$4:$J$253,"Confirmed",Capabilities!$K$4:$K$253,"OK — verify source"),IF(E871="AIR",COUNTIFS('System map'!$A$4:$A$203,F871,'System map'!$B$4:$B$203,"&lt;&gt;",'System map'!$C$4:$C$203,"&lt;&gt;",'System map'!$D$4:$D$203,"&lt;&gt;"),COUNTIFS(Components!$A$4:$A$253,F871,Components!$B$4:$B$253,E871,Components!$K$4:$K$253,"Confirmed",Components!$L$4:$L$253,"OK — verify source"))))&lt;&gt;1)),"Endpoint not source-reconciled",IF(AND(M871="Confirmed",OR(L871="",K871="",K871="Unknown",K871="Low")),"Confirmed link lacks verification","OK — verify source"))))))))))))))</f>
        <v/>
      </c>
    </row>
    <row r="872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6" t="n"/>
      <c r="M872" s="25" t="n"/>
      <c r="N872" s="25">
        <f>IF(COUNTA(A872:M872)=0,"",IF(OR(A872="",B872="",C872="",D872="",E872="",F872="",I872="",J872="",K872="",M872=""),"Required link detail missing",IF(COUNTIF($A$4:$A$1003,A872)&gt;1,"Duplicate Map Edge ID",IF(NOT(OR(AND(B872="UC",E872="CAP",D872="requires"),AND(B872="CAP",E872="AIR",D872="provided by"),AND(B872="AIR",OR(E872="MOD",E872="DATA",E872="IF",E872="AG",E872="TOOL"),D872="references"),AND(B872="AIR",E872="AIR",D872="depends on"))),"Invalid relationship",IF(AND(M872&lt;&gt;"Superseded",COUNTIFS($B$4:$B$1003,B872,$C$4:$C$1003,C872,$D$4:$D$1003,D872,$E$4:$E$1003,E872,$F$4:$F$1003,F872,$G$4:$G$1003,G872,$M$4:$M$1003,"&lt;&gt;Superseded")&gt;1),"Duplicate relationship",IF(OR(IF(B872="UC",COUNTIF('Use cases'!$A$4:$A$253,C872),IF(B872="CAP",COUNTIF(Capabilities!$A$4:$A$253,C872),IF(B872="AIR",COUNTIF('System map'!$A$4:$A$203,C872),COUNTIFS(Components!$A$4:$A$253,C872,Components!$B$4:$B$253,B872))))&lt;&gt;1,IF(E872="UC",COUNTIF('Use cases'!$A$4:$A$253,F872),IF(E872="CAP",COUNTIF(Capabilities!$A$4:$A$253,F872),IF(E872="AIR",COUNTIF('System map'!$A$4:$A$203,F872),COUNTIFS(Components!$A$4:$A$253,F872,Components!$B$4:$B$253,E872))))&lt;&gt;1),"Endpoint missing or duplicated",IF(AND(NOT(AND(B872="UC",E872="CAP")),OR(G872="",COUNTIF('System map'!$A$4:$A$203,G872)&lt;&gt;1)),"AIR context missing / unknown",IF(AND(B872="CAP",E872="AIR",G872&lt;&gt;F872),"AIR context mismatch",IF(AND(B872="AIR",G872&lt;&gt;C872),"AIR context mismatch",IF(AND(B872="AIR",E872="AIR",C872=F872),"Self-dependency",IF(AND(B872="AIR",E872="AIR",M872&lt;&gt;"Superseded",COUNTIFS($B$4:$B$1003,"AIR",$C$4:$C$1003,F872,$E$4:$E$1003,"AIR",$F$4:$F$1003,C872,$M$4:$M$1003,"&lt;&gt;Superseded")&gt;0),"Dependency cycle (A↔B) — review",IF(AND(B872="AIR",OR(E872="MOD",E872="DATA",E872="IF",E872="AG",E872="TOOL"),IFERROR(INDEX(Components!$G$4:$G$253,MATCH(F872,Components!$A$4:$A$253,0)),"")&lt;&gt;"",IFERROR(INDEX(Components!$G$4:$G$253,MATCH(F872,Components!$A$4:$A$253,0)),"")&lt;&gt;C872),"Component owned by another AIR-ID",IF(AND(M872="Confirmed",OR(IF(B872="UC",COUNTIFS('Use cases'!$A$4:$A$253,C872,'Use cases'!$I$4:$I$253,"Confirmed",'Use cases'!$J$4:$J$253,"OK — verify source"),IF(B872="CAP",COUNTIFS(Capabilities!$A$4:$A$253,C872,Capabilities!$J$4:$J$253,"Confirmed",Capabilities!$K$4:$K$253,"OK — verify source"),IF(B872="AIR",COUNTIFS('System map'!$A$4:$A$203,C872,'System map'!$B$4:$B$203,"&lt;&gt;",'System map'!$C$4:$C$203,"&lt;&gt;",'System map'!$D$4:$D$203,"&lt;&gt;"),COUNTIFS(Components!$A$4:$A$253,C872,Components!$B$4:$B$253,B872,Components!$K$4:$K$253,"Confirmed",Components!$L$4:$L$253,"OK — verify source"))))&lt;&gt;1,IF(E872="UC",COUNTIFS('Use cases'!$A$4:$A$253,F872,'Use cases'!$I$4:$I$253,"Confirmed",'Use cases'!$J$4:$J$253,"OK — verify source"),IF(E872="CAP",COUNTIFS(Capabilities!$A$4:$A$253,F872,Capabilities!$J$4:$J$253,"Confirmed",Capabilities!$K$4:$K$253,"OK — verify source"),IF(E872="AIR",COUNTIFS('System map'!$A$4:$A$203,F872,'System map'!$B$4:$B$203,"&lt;&gt;",'System map'!$C$4:$C$203,"&lt;&gt;",'System map'!$D$4:$D$203,"&lt;&gt;"),COUNTIFS(Components!$A$4:$A$253,F872,Components!$B$4:$B$253,E872,Components!$K$4:$K$253,"Confirmed",Components!$L$4:$L$253,"OK — verify source"))))&lt;&gt;1)),"Endpoint not source-reconciled",IF(AND(M872="Confirmed",OR(L872="",K872="",K872="Unknown",K872="Low")),"Confirmed link lacks verification","OK — verify source"))))))))))))))</f>
        <v/>
      </c>
    </row>
    <row r="873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8" t="n"/>
      <c r="M873" s="27" t="n"/>
      <c r="N873" s="27">
        <f>IF(COUNTA(A873:M873)=0,"",IF(OR(A873="",B873="",C873="",D873="",E873="",F873="",I873="",J873="",K873="",M873=""),"Required link detail missing",IF(COUNTIF($A$4:$A$1003,A873)&gt;1,"Duplicate Map Edge ID",IF(NOT(OR(AND(B873="UC",E873="CAP",D873="requires"),AND(B873="CAP",E873="AIR",D873="provided by"),AND(B873="AIR",OR(E873="MOD",E873="DATA",E873="IF",E873="AG",E873="TOOL"),D873="references"),AND(B873="AIR",E873="AIR",D873="depends on"))),"Invalid relationship",IF(AND(M873&lt;&gt;"Superseded",COUNTIFS($B$4:$B$1003,B873,$C$4:$C$1003,C873,$D$4:$D$1003,D873,$E$4:$E$1003,E873,$F$4:$F$1003,F873,$G$4:$G$1003,G873,$M$4:$M$1003,"&lt;&gt;Superseded")&gt;1),"Duplicate relationship",IF(OR(IF(B873="UC",COUNTIF('Use cases'!$A$4:$A$253,C873),IF(B873="CAP",COUNTIF(Capabilities!$A$4:$A$253,C873),IF(B873="AIR",COUNTIF('System map'!$A$4:$A$203,C873),COUNTIFS(Components!$A$4:$A$253,C873,Components!$B$4:$B$253,B873))))&lt;&gt;1,IF(E873="UC",COUNTIF('Use cases'!$A$4:$A$253,F873),IF(E873="CAP",COUNTIF(Capabilities!$A$4:$A$253,F873),IF(E873="AIR",COUNTIF('System map'!$A$4:$A$203,F873),COUNTIFS(Components!$A$4:$A$253,F873,Components!$B$4:$B$253,E873))))&lt;&gt;1),"Endpoint missing or duplicated",IF(AND(NOT(AND(B873="UC",E873="CAP")),OR(G873="",COUNTIF('System map'!$A$4:$A$203,G873)&lt;&gt;1)),"AIR context missing / unknown",IF(AND(B873="CAP",E873="AIR",G873&lt;&gt;F873),"AIR context mismatch",IF(AND(B873="AIR",G873&lt;&gt;C873),"AIR context mismatch",IF(AND(B873="AIR",E873="AIR",C873=F873),"Self-dependency",IF(AND(B873="AIR",E873="AIR",M873&lt;&gt;"Superseded",COUNTIFS($B$4:$B$1003,"AIR",$C$4:$C$1003,F873,$E$4:$E$1003,"AIR",$F$4:$F$1003,C873,$M$4:$M$1003,"&lt;&gt;Superseded")&gt;0),"Dependency cycle (A↔B) — review",IF(AND(B873="AIR",OR(E873="MOD",E873="DATA",E873="IF",E873="AG",E873="TOOL"),IFERROR(INDEX(Components!$G$4:$G$253,MATCH(F873,Components!$A$4:$A$253,0)),"")&lt;&gt;"",IFERROR(INDEX(Components!$G$4:$G$253,MATCH(F873,Components!$A$4:$A$253,0)),"")&lt;&gt;C873),"Component owned by another AIR-ID",IF(AND(M873="Confirmed",OR(IF(B873="UC",COUNTIFS('Use cases'!$A$4:$A$253,C873,'Use cases'!$I$4:$I$253,"Confirmed",'Use cases'!$J$4:$J$253,"OK — verify source"),IF(B873="CAP",COUNTIFS(Capabilities!$A$4:$A$253,C873,Capabilities!$J$4:$J$253,"Confirmed",Capabilities!$K$4:$K$253,"OK — verify source"),IF(B873="AIR",COUNTIFS('System map'!$A$4:$A$203,C873,'System map'!$B$4:$B$203,"&lt;&gt;",'System map'!$C$4:$C$203,"&lt;&gt;",'System map'!$D$4:$D$203,"&lt;&gt;"),COUNTIFS(Components!$A$4:$A$253,C873,Components!$B$4:$B$253,B873,Components!$K$4:$K$253,"Confirmed",Components!$L$4:$L$253,"OK — verify source"))))&lt;&gt;1,IF(E873="UC",COUNTIFS('Use cases'!$A$4:$A$253,F873,'Use cases'!$I$4:$I$253,"Confirmed",'Use cases'!$J$4:$J$253,"OK — verify source"),IF(E873="CAP",COUNTIFS(Capabilities!$A$4:$A$253,F873,Capabilities!$J$4:$J$253,"Confirmed",Capabilities!$K$4:$K$253,"OK — verify source"),IF(E873="AIR",COUNTIFS('System map'!$A$4:$A$203,F873,'System map'!$B$4:$B$203,"&lt;&gt;",'System map'!$C$4:$C$203,"&lt;&gt;",'System map'!$D$4:$D$203,"&lt;&gt;"),COUNTIFS(Components!$A$4:$A$253,F873,Components!$B$4:$B$253,E873,Components!$K$4:$K$253,"Confirmed",Components!$L$4:$L$253,"OK — verify source"))))&lt;&gt;1)),"Endpoint not source-reconciled",IF(AND(M873="Confirmed",OR(L873="",K873="",K873="Unknown",K873="Low")),"Confirmed link lacks verification","OK — verify source"))))))))))))))</f>
        <v/>
      </c>
    </row>
    <row r="87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6" t="n"/>
      <c r="M874" s="25" t="n"/>
      <c r="N874" s="25">
        <f>IF(COUNTA(A874:M874)=0,"",IF(OR(A874="",B874="",C874="",D874="",E874="",F874="",I874="",J874="",K874="",M874=""),"Required link detail missing",IF(COUNTIF($A$4:$A$1003,A874)&gt;1,"Duplicate Map Edge ID",IF(NOT(OR(AND(B874="UC",E874="CAP",D874="requires"),AND(B874="CAP",E874="AIR",D874="provided by"),AND(B874="AIR",OR(E874="MOD",E874="DATA",E874="IF",E874="AG",E874="TOOL"),D874="references"),AND(B874="AIR",E874="AIR",D874="depends on"))),"Invalid relationship",IF(AND(M874&lt;&gt;"Superseded",COUNTIFS($B$4:$B$1003,B874,$C$4:$C$1003,C874,$D$4:$D$1003,D874,$E$4:$E$1003,E874,$F$4:$F$1003,F874,$G$4:$G$1003,G874,$M$4:$M$1003,"&lt;&gt;Superseded")&gt;1),"Duplicate relationship",IF(OR(IF(B874="UC",COUNTIF('Use cases'!$A$4:$A$253,C874),IF(B874="CAP",COUNTIF(Capabilities!$A$4:$A$253,C874),IF(B874="AIR",COUNTIF('System map'!$A$4:$A$203,C874),COUNTIFS(Components!$A$4:$A$253,C874,Components!$B$4:$B$253,B874))))&lt;&gt;1,IF(E874="UC",COUNTIF('Use cases'!$A$4:$A$253,F874),IF(E874="CAP",COUNTIF(Capabilities!$A$4:$A$253,F874),IF(E874="AIR",COUNTIF('System map'!$A$4:$A$203,F874),COUNTIFS(Components!$A$4:$A$253,F874,Components!$B$4:$B$253,E874))))&lt;&gt;1),"Endpoint missing or duplicated",IF(AND(NOT(AND(B874="UC",E874="CAP")),OR(G874="",COUNTIF('System map'!$A$4:$A$203,G874)&lt;&gt;1)),"AIR context missing / unknown",IF(AND(B874="CAP",E874="AIR",G874&lt;&gt;F874),"AIR context mismatch",IF(AND(B874="AIR",G874&lt;&gt;C874),"AIR context mismatch",IF(AND(B874="AIR",E874="AIR",C874=F874),"Self-dependency",IF(AND(B874="AIR",E874="AIR",M874&lt;&gt;"Superseded",COUNTIFS($B$4:$B$1003,"AIR",$C$4:$C$1003,F874,$E$4:$E$1003,"AIR",$F$4:$F$1003,C874,$M$4:$M$1003,"&lt;&gt;Superseded")&gt;0),"Dependency cycle (A↔B) — review",IF(AND(B874="AIR",OR(E874="MOD",E874="DATA",E874="IF",E874="AG",E874="TOOL"),IFERROR(INDEX(Components!$G$4:$G$253,MATCH(F874,Components!$A$4:$A$253,0)),"")&lt;&gt;"",IFERROR(INDEX(Components!$G$4:$G$253,MATCH(F874,Components!$A$4:$A$253,0)),"")&lt;&gt;C874),"Component owned by another AIR-ID",IF(AND(M874="Confirmed",OR(IF(B874="UC",COUNTIFS('Use cases'!$A$4:$A$253,C874,'Use cases'!$I$4:$I$253,"Confirmed",'Use cases'!$J$4:$J$253,"OK — verify source"),IF(B874="CAP",COUNTIFS(Capabilities!$A$4:$A$253,C874,Capabilities!$J$4:$J$253,"Confirmed",Capabilities!$K$4:$K$253,"OK — verify source"),IF(B874="AIR",COUNTIFS('System map'!$A$4:$A$203,C874,'System map'!$B$4:$B$203,"&lt;&gt;",'System map'!$C$4:$C$203,"&lt;&gt;",'System map'!$D$4:$D$203,"&lt;&gt;"),COUNTIFS(Components!$A$4:$A$253,C874,Components!$B$4:$B$253,B874,Components!$K$4:$K$253,"Confirmed",Components!$L$4:$L$253,"OK — verify source"))))&lt;&gt;1,IF(E874="UC",COUNTIFS('Use cases'!$A$4:$A$253,F874,'Use cases'!$I$4:$I$253,"Confirmed",'Use cases'!$J$4:$J$253,"OK — verify source"),IF(E874="CAP",COUNTIFS(Capabilities!$A$4:$A$253,F874,Capabilities!$J$4:$J$253,"Confirmed",Capabilities!$K$4:$K$253,"OK — verify source"),IF(E874="AIR",COUNTIFS('System map'!$A$4:$A$203,F874,'System map'!$B$4:$B$203,"&lt;&gt;",'System map'!$C$4:$C$203,"&lt;&gt;",'System map'!$D$4:$D$203,"&lt;&gt;"),COUNTIFS(Components!$A$4:$A$253,F874,Components!$B$4:$B$253,E874,Components!$K$4:$K$253,"Confirmed",Components!$L$4:$L$253,"OK — verify source"))))&lt;&gt;1)),"Endpoint not source-reconciled",IF(AND(M874="Confirmed",OR(L874="",K874="",K874="Unknown",K874="Low")),"Confirmed link lacks verification","OK — verify source"))))))))))))))</f>
        <v/>
      </c>
    </row>
    <row r="875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8" t="n"/>
      <c r="M875" s="27" t="n"/>
      <c r="N875" s="27">
        <f>IF(COUNTA(A875:M875)=0,"",IF(OR(A875="",B875="",C875="",D875="",E875="",F875="",I875="",J875="",K875="",M875=""),"Required link detail missing",IF(COUNTIF($A$4:$A$1003,A875)&gt;1,"Duplicate Map Edge ID",IF(NOT(OR(AND(B875="UC",E875="CAP",D875="requires"),AND(B875="CAP",E875="AIR",D875="provided by"),AND(B875="AIR",OR(E875="MOD",E875="DATA",E875="IF",E875="AG",E875="TOOL"),D875="references"),AND(B875="AIR",E875="AIR",D875="depends on"))),"Invalid relationship",IF(AND(M875&lt;&gt;"Superseded",COUNTIFS($B$4:$B$1003,B875,$C$4:$C$1003,C875,$D$4:$D$1003,D875,$E$4:$E$1003,E875,$F$4:$F$1003,F875,$G$4:$G$1003,G875,$M$4:$M$1003,"&lt;&gt;Superseded")&gt;1),"Duplicate relationship",IF(OR(IF(B875="UC",COUNTIF('Use cases'!$A$4:$A$253,C875),IF(B875="CAP",COUNTIF(Capabilities!$A$4:$A$253,C875),IF(B875="AIR",COUNTIF('System map'!$A$4:$A$203,C875),COUNTIFS(Components!$A$4:$A$253,C875,Components!$B$4:$B$253,B875))))&lt;&gt;1,IF(E875="UC",COUNTIF('Use cases'!$A$4:$A$253,F875),IF(E875="CAP",COUNTIF(Capabilities!$A$4:$A$253,F875),IF(E875="AIR",COUNTIF('System map'!$A$4:$A$203,F875),COUNTIFS(Components!$A$4:$A$253,F875,Components!$B$4:$B$253,E875))))&lt;&gt;1),"Endpoint missing or duplicated",IF(AND(NOT(AND(B875="UC",E875="CAP")),OR(G875="",COUNTIF('System map'!$A$4:$A$203,G875)&lt;&gt;1)),"AIR context missing / unknown",IF(AND(B875="CAP",E875="AIR",G875&lt;&gt;F875),"AIR context mismatch",IF(AND(B875="AIR",G875&lt;&gt;C875),"AIR context mismatch",IF(AND(B875="AIR",E875="AIR",C875=F875),"Self-dependency",IF(AND(B875="AIR",E875="AIR",M875&lt;&gt;"Superseded",COUNTIFS($B$4:$B$1003,"AIR",$C$4:$C$1003,F875,$E$4:$E$1003,"AIR",$F$4:$F$1003,C875,$M$4:$M$1003,"&lt;&gt;Superseded")&gt;0),"Dependency cycle (A↔B) — review",IF(AND(B875="AIR",OR(E875="MOD",E875="DATA",E875="IF",E875="AG",E875="TOOL"),IFERROR(INDEX(Components!$G$4:$G$253,MATCH(F875,Components!$A$4:$A$253,0)),"")&lt;&gt;"",IFERROR(INDEX(Components!$G$4:$G$253,MATCH(F875,Components!$A$4:$A$253,0)),"")&lt;&gt;C875),"Component owned by another AIR-ID",IF(AND(M875="Confirmed",OR(IF(B875="UC",COUNTIFS('Use cases'!$A$4:$A$253,C875,'Use cases'!$I$4:$I$253,"Confirmed",'Use cases'!$J$4:$J$253,"OK — verify source"),IF(B875="CAP",COUNTIFS(Capabilities!$A$4:$A$253,C875,Capabilities!$J$4:$J$253,"Confirmed",Capabilities!$K$4:$K$253,"OK — verify source"),IF(B875="AIR",COUNTIFS('System map'!$A$4:$A$203,C875,'System map'!$B$4:$B$203,"&lt;&gt;",'System map'!$C$4:$C$203,"&lt;&gt;",'System map'!$D$4:$D$203,"&lt;&gt;"),COUNTIFS(Components!$A$4:$A$253,C875,Components!$B$4:$B$253,B875,Components!$K$4:$K$253,"Confirmed",Components!$L$4:$L$253,"OK — verify source"))))&lt;&gt;1,IF(E875="UC",COUNTIFS('Use cases'!$A$4:$A$253,F875,'Use cases'!$I$4:$I$253,"Confirmed",'Use cases'!$J$4:$J$253,"OK — verify source"),IF(E875="CAP",COUNTIFS(Capabilities!$A$4:$A$253,F875,Capabilities!$J$4:$J$253,"Confirmed",Capabilities!$K$4:$K$253,"OK — verify source"),IF(E875="AIR",COUNTIFS('System map'!$A$4:$A$203,F875,'System map'!$B$4:$B$203,"&lt;&gt;",'System map'!$C$4:$C$203,"&lt;&gt;",'System map'!$D$4:$D$203,"&lt;&gt;"),COUNTIFS(Components!$A$4:$A$253,F875,Components!$B$4:$B$253,E875,Components!$K$4:$K$253,"Confirmed",Components!$L$4:$L$253,"OK — verify source"))))&lt;&gt;1)),"Endpoint not source-reconciled",IF(AND(M875="Confirmed",OR(L875="",K875="",K875="Unknown",K875="Low")),"Confirmed link lacks verification","OK — verify source"))))))))))))))</f>
        <v/>
      </c>
    </row>
    <row r="876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6" t="n"/>
      <c r="M876" s="25" t="n"/>
      <c r="N876" s="25">
        <f>IF(COUNTA(A876:M876)=0,"",IF(OR(A876="",B876="",C876="",D876="",E876="",F876="",I876="",J876="",K876="",M876=""),"Required link detail missing",IF(COUNTIF($A$4:$A$1003,A876)&gt;1,"Duplicate Map Edge ID",IF(NOT(OR(AND(B876="UC",E876="CAP",D876="requires"),AND(B876="CAP",E876="AIR",D876="provided by"),AND(B876="AIR",OR(E876="MOD",E876="DATA",E876="IF",E876="AG",E876="TOOL"),D876="references"),AND(B876="AIR",E876="AIR",D876="depends on"))),"Invalid relationship",IF(AND(M876&lt;&gt;"Superseded",COUNTIFS($B$4:$B$1003,B876,$C$4:$C$1003,C876,$D$4:$D$1003,D876,$E$4:$E$1003,E876,$F$4:$F$1003,F876,$G$4:$G$1003,G876,$M$4:$M$1003,"&lt;&gt;Superseded")&gt;1),"Duplicate relationship",IF(OR(IF(B876="UC",COUNTIF('Use cases'!$A$4:$A$253,C876),IF(B876="CAP",COUNTIF(Capabilities!$A$4:$A$253,C876),IF(B876="AIR",COUNTIF('System map'!$A$4:$A$203,C876),COUNTIFS(Components!$A$4:$A$253,C876,Components!$B$4:$B$253,B876))))&lt;&gt;1,IF(E876="UC",COUNTIF('Use cases'!$A$4:$A$253,F876),IF(E876="CAP",COUNTIF(Capabilities!$A$4:$A$253,F876),IF(E876="AIR",COUNTIF('System map'!$A$4:$A$203,F876),COUNTIFS(Components!$A$4:$A$253,F876,Components!$B$4:$B$253,E876))))&lt;&gt;1),"Endpoint missing or duplicated",IF(AND(NOT(AND(B876="UC",E876="CAP")),OR(G876="",COUNTIF('System map'!$A$4:$A$203,G876)&lt;&gt;1)),"AIR context missing / unknown",IF(AND(B876="CAP",E876="AIR",G876&lt;&gt;F876),"AIR context mismatch",IF(AND(B876="AIR",G876&lt;&gt;C876),"AIR context mismatch",IF(AND(B876="AIR",E876="AIR",C876=F876),"Self-dependency",IF(AND(B876="AIR",E876="AIR",M876&lt;&gt;"Superseded",COUNTIFS($B$4:$B$1003,"AIR",$C$4:$C$1003,F876,$E$4:$E$1003,"AIR",$F$4:$F$1003,C876,$M$4:$M$1003,"&lt;&gt;Superseded")&gt;0),"Dependency cycle (A↔B) — review",IF(AND(B876="AIR",OR(E876="MOD",E876="DATA",E876="IF",E876="AG",E876="TOOL"),IFERROR(INDEX(Components!$G$4:$G$253,MATCH(F876,Components!$A$4:$A$253,0)),"")&lt;&gt;"",IFERROR(INDEX(Components!$G$4:$G$253,MATCH(F876,Components!$A$4:$A$253,0)),"")&lt;&gt;C876),"Component owned by another AIR-ID",IF(AND(M876="Confirmed",OR(IF(B876="UC",COUNTIFS('Use cases'!$A$4:$A$253,C876,'Use cases'!$I$4:$I$253,"Confirmed",'Use cases'!$J$4:$J$253,"OK — verify source"),IF(B876="CAP",COUNTIFS(Capabilities!$A$4:$A$253,C876,Capabilities!$J$4:$J$253,"Confirmed",Capabilities!$K$4:$K$253,"OK — verify source"),IF(B876="AIR",COUNTIFS('System map'!$A$4:$A$203,C876,'System map'!$B$4:$B$203,"&lt;&gt;",'System map'!$C$4:$C$203,"&lt;&gt;",'System map'!$D$4:$D$203,"&lt;&gt;"),COUNTIFS(Components!$A$4:$A$253,C876,Components!$B$4:$B$253,B876,Components!$K$4:$K$253,"Confirmed",Components!$L$4:$L$253,"OK — verify source"))))&lt;&gt;1,IF(E876="UC",COUNTIFS('Use cases'!$A$4:$A$253,F876,'Use cases'!$I$4:$I$253,"Confirmed",'Use cases'!$J$4:$J$253,"OK — verify source"),IF(E876="CAP",COUNTIFS(Capabilities!$A$4:$A$253,F876,Capabilities!$J$4:$J$253,"Confirmed",Capabilities!$K$4:$K$253,"OK — verify source"),IF(E876="AIR",COUNTIFS('System map'!$A$4:$A$203,F876,'System map'!$B$4:$B$203,"&lt;&gt;",'System map'!$C$4:$C$203,"&lt;&gt;",'System map'!$D$4:$D$203,"&lt;&gt;"),COUNTIFS(Components!$A$4:$A$253,F876,Components!$B$4:$B$253,E876,Components!$K$4:$K$253,"Confirmed",Components!$L$4:$L$253,"OK — verify source"))))&lt;&gt;1)),"Endpoint not source-reconciled",IF(AND(M876="Confirmed",OR(L876="",K876="",K876="Unknown",K876="Low")),"Confirmed link lacks verification","OK — verify source"))))))))))))))</f>
        <v/>
      </c>
    </row>
    <row r="877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8" t="n"/>
      <c r="M877" s="27" t="n"/>
      <c r="N877" s="27">
        <f>IF(COUNTA(A877:M877)=0,"",IF(OR(A877="",B877="",C877="",D877="",E877="",F877="",I877="",J877="",K877="",M877=""),"Required link detail missing",IF(COUNTIF($A$4:$A$1003,A877)&gt;1,"Duplicate Map Edge ID",IF(NOT(OR(AND(B877="UC",E877="CAP",D877="requires"),AND(B877="CAP",E877="AIR",D877="provided by"),AND(B877="AIR",OR(E877="MOD",E877="DATA",E877="IF",E877="AG",E877="TOOL"),D877="references"),AND(B877="AIR",E877="AIR",D877="depends on"))),"Invalid relationship",IF(AND(M877&lt;&gt;"Superseded",COUNTIFS($B$4:$B$1003,B877,$C$4:$C$1003,C877,$D$4:$D$1003,D877,$E$4:$E$1003,E877,$F$4:$F$1003,F877,$G$4:$G$1003,G877,$M$4:$M$1003,"&lt;&gt;Superseded")&gt;1),"Duplicate relationship",IF(OR(IF(B877="UC",COUNTIF('Use cases'!$A$4:$A$253,C877),IF(B877="CAP",COUNTIF(Capabilities!$A$4:$A$253,C877),IF(B877="AIR",COUNTIF('System map'!$A$4:$A$203,C877),COUNTIFS(Components!$A$4:$A$253,C877,Components!$B$4:$B$253,B877))))&lt;&gt;1,IF(E877="UC",COUNTIF('Use cases'!$A$4:$A$253,F877),IF(E877="CAP",COUNTIF(Capabilities!$A$4:$A$253,F877),IF(E877="AIR",COUNTIF('System map'!$A$4:$A$203,F877),COUNTIFS(Components!$A$4:$A$253,F877,Components!$B$4:$B$253,E877))))&lt;&gt;1),"Endpoint missing or duplicated",IF(AND(NOT(AND(B877="UC",E877="CAP")),OR(G877="",COUNTIF('System map'!$A$4:$A$203,G877)&lt;&gt;1)),"AIR context missing / unknown",IF(AND(B877="CAP",E877="AIR",G877&lt;&gt;F877),"AIR context mismatch",IF(AND(B877="AIR",G877&lt;&gt;C877),"AIR context mismatch",IF(AND(B877="AIR",E877="AIR",C877=F877),"Self-dependency",IF(AND(B877="AIR",E877="AIR",M877&lt;&gt;"Superseded",COUNTIFS($B$4:$B$1003,"AIR",$C$4:$C$1003,F877,$E$4:$E$1003,"AIR",$F$4:$F$1003,C877,$M$4:$M$1003,"&lt;&gt;Superseded")&gt;0),"Dependency cycle (A↔B) — review",IF(AND(B877="AIR",OR(E877="MOD",E877="DATA",E877="IF",E877="AG",E877="TOOL"),IFERROR(INDEX(Components!$G$4:$G$253,MATCH(F877,Components!$A$4:$A$253,0)),"")&lt;&gt;"",IFERROR(INDEX(Components!$G$4:$G$253,MATCH(F877,Components!$A$4:$A$253,0)),"")&lt;&gt;C877),"Component owned by another AIR-ID",IF(AND(M877="Confirmed",OR(IF(B877="UC",COUNTIFS('Use cases'!$A$4:$A$253,C877,'Use cases'!$I$4:$I$253,"Confirmed",'Use cases'!$J$4:$J$253,"OK — verify source"),IF(B877="CAP",COUNTIFS(Capabilities!$A$4:$A$253,C877,Capabilities!$J$4:$J$253,"Confirmed",Capabilities!$K$4:$K$253,"OK — verify source"),IF(B877="AIR",COUNTIFS('System map'!$A$4:$A$203,C877,'System map'!$B$4:$B$203,"&lt;&gt;",'System map'!$C$4:$C$203,"&lt;&gt;",'System map'!$D$4:$D$203,"&lt;&gt;"),COUNTIFS(Components!$A$4:$A$253,C877,Components!$B$4:$B$253,B877,Components!$K$4:$K$253,"Confirmed",Components!$L$4:$L$253,"OK — verify source"))))&lt;&gt;1,IF(E877="UC",COUNTIFS('Use cases'!$A$4:$A$253,F877,'Use cases'!$I$4:$I$253,"Confirmed",'Use cases'!$J$4:$J$253,"OK — verify source"),IF(E877="CAP",COUNTIFS(Capabilities!$A$4:$A$253,F877,Capabilities!$J$4:$J$253,"Confirmed",Capabilities!$K$4:$K$253,"OK — verify source"),IF(E877="AIR",COUNTIFS('System map'!$A$4:$A$203,F877,'System map'!$B$4:$B$203,"&lt;&gt;",'System map'!$C$4:$C$203,"&lt;&gt;",'System map'!$D$4:$D$203,"&lt;&gt;"),COUNTIFS(Components!$A$4:$A$253,F877,Components!$B$4:$B$253,E877,Components!$K$4:$K$253,"Confirmed",Components!$L$4:$L$253,"OK — verify source"))))&lt;&gt;1)),"Endpoint not source-reconciled",IF(AND(M877="Confirmed",OR(L877="",K877="",K877="Unknown",K877="Low")),"Confirmed link lacks verification","OK — verify source"))))))))))))))</f>
        <v/>
      </c>
    </row>
    <row r="878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6" t="n"/>
      <c r="M878" s="25" t="n"/>
      <c r="N878" s="25">
        <f>IF(COUNTA(A878:M878)=0,"",IF(OR(A878="",B878="",C878="",D878="",E878="",F878="",I878="",J878="",K878="",M878=""),"Required link detail missing",IF(COUNTIF($A$4:$A$1003,A878)&gt;1,"Duplicate Map Edge ID",IF(NOT(OR(AND(B878="UC",E878="CAP",D878="requires"),AND(B878="CAP",E878="AIR",D878="provided by"),AND(B878="AIR",OR(E878="MOD",E878="DATA",E878="IF",E878="AG",E878="TOOL"),D878="references"),AND(B878="AIR",E878="AIR",D878="depends on"))),"Invalid relationship",IF(AND(M878&lt;&gt;"Superseded",COUNTIFS($B$4:$B$1003,B878,$C$4:$C$1003,C878,$D$4:$D$1003,D878,$E$4:$E$1003,E878,$F$4:$F$1003,F878,$G$4:$G$1003,G878,$M$4:$M$1003,"&lt;&gt;Superseded")&gt;1),"Duplicate relationship",IF(OR(IF(B878="UC",COUNTIF('Use cases'!$A$4:$A$253,C878),IF(B878="CAP",COUNTIF(Capabilities!$A$4:$A$253,C878),IF(B878="AIR",COUNTIF('System map'!$A$4:$A$203,C878),COUNTIFS(Components!$A$4:$A$253,C878,Components!$B$4:$B$253,B878))))&lt;&gt;1,IF(E878="UC",COUNTIF('Use cases'!$A$4:$A$253,F878),IF(E878="CAP",COUNTIF(Capabilities!$A$4:$A$253,F878),IF(E878="AIR",COUNTIF('System map'!$A$4:$A$203,F878),COUNTIFS(Components!$A$4:$A$253,F878,Components!$B$4:$B$253,E878))))&lt;&gt;1),"Endpoint missing or duplicated",IF(AND(NOT(AND(B878="UC",E878="CAP")),OR(G878="",COUNTIF('System map'!$A$4:$A$203,G878)&lt;&gt;1)),"AIR context missing / unknown",IF(AND(B878="CAP",E878="AIR",G878&lt;&gt;F878),"AIR context mismatch",IF(AND(B878="AIR",G878&lt;&gt;C878),"AIR context mismatch",IF(AND(B878="AIR",E878="AIR",C878=F878),"Self-dependency",IF(AND(B878="AIR",E878="AIR",M878&lt;&gt;"Superseded",COUNTIFS($B$4:$B$1003,"AIR",$C$4:$C$1003,F878,$E$4:$E$1003,"AIR",$F$4:$F$1003,C878,$M$4:$M$1003,"&lt;&gt;Superseded")&gt;0),"Dependency cycle (A↔B) — review",IF(AND(B878="AIR",OR(E878="MOD",E878="DATA",E878="IF",E878="AG",E878="TOOL"),IFERROR(INDEX(Components!$G$4:$G$253,MATCH(F878,Components!$A$4:$A$253,0)),"")&lt;&gt;"",IFERROR(INDEX(Components!$G$4:$G$253,MATCH(F878,Components!$A$4:$A$253,0)),"")&lt;&gt;C878),"Component owned by another AIR-ID",IF(AND(M878="Confirmed",OR(IF(B878="UC",COUNTIFS('Use cases'!$A$4:$A$253,C878,'Use cases'!$I$4:$I$253,"Confirmed",'Use cases'!$J$4:$J$253,"OK — verify source"),IF(B878="CAP",COUNTIFS(Capabilities!$A$4:$A$253,C878,Capabilities!$J$4:$J$253,"Confirmed",Capabilities!$K$4:$K$253,"OK — verify source"),IF(B878="AIR",COUNTIFS('System map'!$A$4:$A$203,C878,'System map'!$B$4:$B$203,"&lt;&gt;",'System map'!$C$4:$C$203,"&lt;&gt;",'System map'!$D$4:$D$203,"&lt;&gt;"),COUNTIFS(Components!$A$4:$A$253,C878,Components!$B$4:$B$253,B878,Components!$K$4:$K$253,"Confirmed",Components!$L$4:$L$253,"OK — verify source"))))&lt;&gt;1,IF(E878="UC",COUNTIFS('Use cases'!$A$4:$A$253,F878,'Use cases'!$I$4:$I$253,"Confirmed",'Use cases'!$J$4:$J$253,"OK — verify source"),IF(E878="CAP",COUNTIFS(Capabilities!$A$4:$A$253,F878,Capabilities!$J$4:$J$253,"Confirmed",Capabilities!$K$4:$K$253,"OK — verify source"),IF(E878="AIR",COUNTIFS('System map'!$A$4:$A$203,F878,'System map'!$B$4:$B$203,"&lt;&gt;",'System map'!$C$4:$C$203,"&lt;&gt;",'System map'!$D$4:$D$203,"&lt;&gt;"),COUNTIFS(Components!$A$4:$A$253,F878,Components!$B$4:$B$253,E878,Components!$K$4:$K$253,"Confirmed",Components!$L$4:$L$253,"OK — verify source"))))&lt;&gt;1)),"Endpoint not source-reconciled",IF(AND(M878="Confirmed",OR(L878="",K878="",K878="Unknown",K878="Low")),"Confirmed link lacks verification","OK — verify source"))))))))))))))</f>
        <v/>
      </c>
    </row>
    <row r="879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8" t="n"/>
      <c r="M879" s="27" t="n"/>
      <c r="N879" s="27">
        <f>IF(COUNTA(A879:M879)=0,"",IF(OR(A879="",B879="",C879="",D879="",E879="",F879="",I879="",J879="",K879="",M879=""),"Required link detail missing",IF(COUNTIF($A$4:$A$1003,A879)&gt;1,"Duplicate Map Edge ID",IF(NOT(OR(AND(B879="UC",E879="CAP",D879="requires"),AND(B879="CAP",E879="AIR",D879="provided by"),AND(B879="AIR",OR(E879="MOD",E879="DATA",E879="IF",E879="AG",E879="TOOL"),D879="references"),AND(B879="AIR",E879="AIR",D879="depends on"))),"Invalid relationship",IF(AND(M879&lt;&gt;"Superseded",COUNTIFS($B$4:$B$1003,B879,$C$4:$C$1003,C879,$D$4:$D$1003,D879,$E$4:$E$1003,E879,$F$4:$F$1003,F879,$G$4:$G$1003,G879,$M$4:$M$1003,"&lt;&gt;Superseded")&gt;1),"Duplicate relationship",IF(OR(IF(B879="UC",COUNTIF('Use cases'!$A$4:$A$253,C879),IF(B879="CAP",COUNTIF(Capabilities!$A$4:$A$253,C879),IF(B879="AIR",COUNTIF('System map'!$A$4:$A$203,C879),COUNTIFS(Components!$A$4:$A$253,C879,Components!$B$4:$B$253,B879))))&lt;&gt;1,IF(E879="UC",COUNTIF('Use cases'!$A$4:$A$253,F879),IF(E879="CAP",COUNTIF(Capabilities!$A$4:$A$253,F879),IF(E879="AIR",COUNTIF('System map'!$A$4:$A$203,F879),COUNTIFS(Components!$A$4:$A$253,F879,Components!$B$4:$B$253,E879))))&lt;&gt;1),"Endpoint missing or duplicated",IF(AND(NOT(AND(B879="UC",E879="CAP")),OR(G879="",COUNTIF('System map'!$A$4:$A$203,G879)&lt;&gt;1)),"AIR context missing / unknown",IF(AND(B879="CAP",E879="AIR",G879&lt;&gt;F879),"AIR context mismatch",IF(AND(B879="AIR",G879&lt;&gt;C879),"AIR context mismatch",IF(AND(B879="AIR",E879="AIR",C879=F879),"Self-dependency",IF(AND(B879="AIR",E879="AIR",M879&lt;&gt;"Superseded",COUNTIFS($B$4:$B$1003,"AIR",$C$4:$C$1003,F879,$E$4:$E$1003,"AIR",$F$4:$F$1003,C879,$M$4:$M$1003,"&lt;&gt;Superseded")&gt;0),"Dependency cycle (A↔B) — review",IF(AND(B879="AIR",OR(E879="MOD",E879="DATA",E879="IF",E879="AG",E879="TOOL"),IFERROR(INDEX(Components!$G$4:$G$253,MATCH(F879,Components!$A$4:$A$253,0)),"")&lt;&gt;"",IFERROR(INDEX(Components!$G$4:$G$253,MATCH(F879,Components!$A$4:$A$253,0)),"")&lt;&gt;C879),"Component owned by another AIR-ID",IF(AND(M879="Confirmed",OR(IF(B879="UC",COUNTIFS('Use cases'!$A$4:$A$253,C879,'Use cases'!$I$4:$I$253,"Confirmed",'Use cases'!$J$4:$J$253,"OK — verify source"),IF(B879="CAP",COUNTIFS(Capabilities!$A$4:$A$253,C879,Capabilities!$J$4:$J$253,"Confirmed",Capabilities!$K$4:$K$253,"OK — verify source"),IF(B879="AIR",COUNTIFS('System map'!$A$4:$A$203,C879,'System map'!$B$4:$B$203,"&lt;&gt;",'System map'!$C$4:$C$203,"&lt;&gt;",'System map'!$D$4:$D$203,"&lt;&gt;"),COUNTIFS(Components!$A$4:$A$253,C879,Components!$B$4:$B$253,B879,Components!$K$4:$K$253,"Confirmed",Components!$L$4:$L$253,"OK — verify source"))))&lt;&gt;1,IF(E879="UC",COUNTIFS('Use cases'!$A$4:$A$253,F879,'Use cases'!$I$4:$I$253,"Confirmed",'Use cases'!$J$4:$J$253,"OK — verify source"),IF(E879="CAP",COUNTIFS(Capabilities!$A$4:$A$253,F879,Capabilities!$J$4:$J$253,"Confirmed",Capabilities!$K$4:$K$253,"OK — verify source"),IF(E879="AIR",COUNTIFS('System map'!$A$4:$A$203,F879,'System map'!$B$4:$B$203,"&lt;&gt;",'System map'!$C$4:$C$203,"&lt;&gt;",'System map'!$D$4:$D$203,"&lt;&gt;"),COUNTIFS(Components!$A$4:$A$253,F879,Components!$B$4:$B$253,E879,Components!$K$4:$K$253,"Confirmed",Components!$L$4:$L$253,"OK — verify source"))))&lt;&gt;1)),"Endpoint not source-reconciled",IF(AND(M879="Confirmed",OR(L879="",K879="",K879="Unknown",K879="Low")),"Confirmed link lacks verification","OK — verify source"))))))))))))))</f>
        <v/>
      </c>
    </row>
    <row r="880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6" t="n"/>
      <c r="M880" s="25" t="n"/>
      <c r="N880" s="25">
        <f>IF(COUNTA(A880:M880)=0,"",IF(OR(A880="",B880="",C880="",D880="",E880="",F880="",I880="",J880="",K880="",M880=""),"Required link detail missing",IF(COUNTIF($A$4:$A$1003,A880)&gt;1,"Duplicate Map Edge ID",IF(NOT(OR(AND(B880="UC",E880="CAP",D880="requires"),AND(B880="CAP",E880="AIR",D880="provided by"),AND(B880="AIR",OR(E880="MOD",E880="DATA",E880="IF",E880="AG",E880="TOOL"),D880="references"),AND(B880="AIR",E880="AIR",D880="depends on"))),"Invalid relationship",IF(AND(M880&lt;&gt;"Superseded",COUNTIFS($B$4:$B$1003,B880,$C$4:$C$1003,C880,$D$4:$D$1003,D880,$E$4:$E$1003,E880,$F$4:$F$1003,F880,$G$4:$G$1003,G880,$M$4:$M$1003,"&lt;&gt;Superseded")&gt;1),"Duplicate relationship",IF(OR(IF(B880="UC",COUNTIF('Use cases'!$A$4:$A$253,C880),IF(B880="CAP",COUNTIF(Capabilities!$A$4:$A$253,C880),IF(B880="AIR",COUNTIF('System map'!$A$4:$A$203,C880),COUNTIFS(Components!$A$4:$A$253,C880,Components!$B$4:$B$253,B880))))&lt;&gt;1,IF(E880="UC",COUNTIF('Use cases'!$A$4:$A$253,F880),IF(E880="CAP",COUNTIF(Capabilities!$A$4:$A$253,F880),IF(E880="AIR",COUNTIF('System map'!$A$4:$A$203,F880),COUNTIFS(Components!$A$4:$A$253,F880,Components!$B$4:$B$253,E880))))&lt;&gt;1),"Endpoint missing or duplicated",IF(AND(NOT(AND(B880="UC",E880="CAP")),OR(G880="",COUNTIF('System map'!$A$4:$A$203,G880)&lt;&gt;1)),"AIR context missing / unknown",IF(AND(B880="CAP",E880="AIR",G880&lt;&gt;F880),"AIR context mismatch",IF(AND(B880="AIR",G880&lt;&gt;C880),"AIR context mismatch",IF(AND(B880="AIR",E880="AIR",C880=F880),"Self-dependency",IF(AND(B880="AIR",E880="AIR",M880&lt;&gt;"Superseded",COUNTIFS($B$4:$B$1003,"AIR",$C$4:$C$1003,F880,$E$4:$E$1003,"AIR",$F$4:$F$1003,C880,$M$4:$M$1003,"&lt;&gt;Superseded")&gt;0),"Dependency cycle (A↔B) — review",IF(AND(B880="AIR",OR(E880="MOD",E880="DATA",E880="IF",E880="AG",E880="TOOL"),IFERROR(INDEX(Components!$G$4:$G$253,MATCH(F880,Components!$A$4:$A$253,0)),"")&lt;&gt;"",IFERROR(INDEX(Components!$G$4:$G$253,MATCH(F880,Components!$A$4:$A$253,0)),"")&lt;&gt;C880),"Component owned by another AIR-ID",IF(AND(M880="Confirmed",OR(IF(B880="UC",COUNTIFS('Use cases'!$A$4:$A$253,C880,'Use cases'!$I$4:$I$253,"Confirmed",'Use cases'!$J$4:$J$253,"OK — verify source"),IF(B880="CAP",COUNTIFS(Capabilities!$A$4:$A$253,C880,Capabilities!$J$4:$J$253,"Confirmed",Capabilities!$K$4:$K$253,"OK — verify source"),IF(B880="AIR",COUNTIFS('System map'!$A$4:$A$203,C880,'System map'!$B$4:$B$203,"&lt;&gt;",'System map'!$C$4:$C$203,"&lt;&gt;",'System map'!$D$4:$D$203,"&lt;&gt;"),COUNTIFS(Components!$A$4:$A$253,C880,Components!$B$4:$B$253,B880,Components!$K$4:$K$253,"Confirmed",Components!$L$4:$L$253,"OK — verify source"))))&lt;&gt;1,IF(E880="UC",COUNTIFS('Use cases'!$A$4:$A$253,F880,'Use cases'!$I$4:$I$253,"Confirmed",'Use cases'!$J$4:$J$253,"OK — verify source"),IF(E880="CAP",COUNTIFS(Capabilities!$A$4:$A$253,F880,Capabilities!$J$4:$J$253,"Confirmed",Capabilities!$K$4:$K$253,"OK — verify source"),IF(E880="AIR",COUNTIFS('System map'!$A$4:$A$203,F880,'System map'!$B$4:$B$203,"&lt;&gt;",'System map'!$C$4:$C$203,"&lt;&gt;",'System map'!$D$4:$D$203,"&lt;&gt;"),COUNTIFS(Components!$A$4:$A$253,F880,Components!$B$4:$B$253,E880,Components!$K$4:$K$253,"Confirmed",Components!$L$4:$L$253,"OK — verify source"))))&lt;&gt;1)),"Endpoint not source-reconciled",IF(AND(M880="Confirmed",OR(L880="",K880="",K880="Unknown",K880="Low")),"Confirmed link lacks verification","OK — verify source"))))))))))))))</f>
        <v/>
      </c>
    </row>
    <row r="881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8" t="n"/>
      <c r="M881" s="27" t="n"/>
      <c r="N881" s="27">
        <f>IF(COUNTA(A881:M881)=0,"",IF(OR(A881="",B881="",C881="",D881="",E881="",F881="",I881="",J881="",K881="",M881=""),"Required link detail missing",IF(COUNTIF($A$4:$A$1003,A881)&gt;1,"Duplicate Map Edge ID",IF(NOT(OR(AND(B881="UC",E881="CAP",D881="requires"),AND(B881="CAP",E881="AIR",D881="provided by"),AND(B881="AIR",OR(E881="MOD",E881="DATA",E881="IF",E881="AG",E881="TOOL"),D881="references"),AND(B881="AIR",E881="AIR",D881="depends on"))),"Invalid relationship",IF(AND(M881&lt;&gt;"Superseded",COUNTIFS($B$4:$B$1003,B881,$C$4:$C$1003,C881,$D$4:$D$1003,D881,$E$4:$E$1003,E881,$F$4:$F$1003,F881,$G$4:$G$1003,G881,$M$4:$M$1003,"&lt;&gt;Superseded")&gt;1),"Duplicate relationship",IF(OR(IF(B881="UC",COUNTIF('Use cases'!$A$4:$A$253,C881),IF(B881="CAP",COUNTIF(Capabilities!$A$4:$A$253,C881),IF(B881="AIR",COUNTIF('System map'!$A$4:$A$203,C881),COUNTIFS(Components!$A$4:$A$253,C881,Components!$B$4:$B$253,B881))))&lt;&gt;1,IF(E881="UC",COUNTIF('Use cases'!$A$4:$A$253,F881),IF(E881="CAP",COUNTIF(Capabilities!$A$4:$A$253,F881),IF(E881="AIR",COUNTIF('System map'!$A$4:$A$203,F881),COUNTIFS(Components!$A$4:$A$253,F881,Components!$B$4:$B$253,E881))))&lt;&gt;1),"Endpoint missing or duplicated",IF(AND(NOT(AND(B881="UC",E881="CAP")),OR(G881="",COUNTIF('System map'!$A$4:$A$203,G881)&lt;&gt;1)),"AIR context missing / unknown",IF(AND(B881="CAP",E881="AIR",G881&lt;&gt;F881),"AIR context mismatch",IF(AND(B881="AIR",G881&lt;&gt;C881),"AIR context mismatch",IF(AND(B881="AIR",E881="AIR",C881=F881),"Self-dependency",IF(AND(B881="AIR",E881="AIR",M881&lt;&gt;"Superseded",COUNTIFS($B$4:$B$1003,"AIR",$C$4:$C$1003,F881,$E$4:$E$1003,"AIR",$F$4:$F$1003,C881,$M$4:$M$1003,"&lt;&gt;Superseded")&gt;0),"Dependency cycle (A↔B) — review",IF(AND(B881="AIR",OR(E881="MOD",E881="DATA",E881="IF",E881="AG",E881="TOOL"),IFERROR(INDEX(Components!$G$4:$G$253,MATCH(F881,Components!$A$4:$A$253,0)),"")&lt;&gt;"",IFERROR(INDEX(Components!$G$4:$G$253,MATCH(F881,Components!$A$4:$A$253,0)),"")&lt;&gt;C881),"Component owned by another AIR-ID",IF(AND(M881="Confirmed",OR(IF(B881="UC",COUNTIFS('Use cases'!$A$4:$A$253,C881,'Use cases'!$I$4:$I$253,"Confirmed",'Use cases'!$J$4:$J$253,"OK — verify source"),IF(B881="CAP",COUNTIFS(Capabilities!$A$4:$A$253,C881,Capabilities!$J$4:$J$253,"Confirmed",Capabilities!$K$4:$K$253,"OK — verify source"),IF(B881="AIR",COUNTIFS('System map'!$A$4:$A$203,C881,'System map'!$B$4:$B$203,"&lt;&gt;",'System map'!$C$4:$C$203,"&lt;&gt;",'System map'!$D$4:$D$203,"&lt;&gt;"),COUNTIFS(Components!$A$4:$A$253,C881,Components!$B$4:$B$253,B881,Components!$K$4:$K$253,"Confirmed",Components!$L$4:$L$253,"OK — verify source"))))&lt;&gt;1,IF(E881="UC",COUNTIFS('Use cases'!$A$4:$A$253,F881,'Use cases'!$I$4:$I$253,"Confirmed",'Use cases'!$J$4:$J$253,"OK — verify source"),IF(E881="CAP",COUNTIFS(Capabilities!$A$4:$A$253,F881,Capabilities!$J$4:$J$253,"Confirmed",Capabilities!$K$4:$K$253,"OK — verify source"),IF(E881="AIR",COUNTIFS('System map'!$A$4:$A$203,F881,'System map'!$B$4:$B$203,"&lt;&gt;",'System map'!$C$4:$C$203,"&lt;&gt;",'System map'!$D$4:$D$203,"&lt;&gt;"),COUNTIFS(Components!$A$4:$A$253,F881,Components!$B$4:$B$253,E881,Components!$K$4:$K$253,"Confirmed",Components!$L$4:$L$253,"OK — verify source"))))&lt;&gt;1)),"Endpoint not source-reconciled",IF(AND(M881="Confirmed",OR(L881="",K881="",K881="Unknown",K881="Low")),"Confirmed link lacks verification","OK — verify source"))))))))))))))</f>
        <v/>
      </c>
    </row>
    <row r="882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6" t="n"/>
      <c r="M882" s="25" t="n"/>
      <c r="N882" s="25">
        <f>IF(COUNTA(A882:M882)=0,"",IF(OR(A882="",B882="",C882="",D882="",E882="",F882="",I882="",J882="",K882="",M882=""),"Required link detail missing",IF(COUNTIF($A$4:$A$1003,A882)&gt;1,"Duplicate Map Edge ID",IF(NOT(OR(AND(B882="UC",E882="CAP",D882="requires"),AND(B882="CAP",E882="AIR",D882="provided by"),AND(B882="AIR",OR(E882="MOD",E882="DATA",E882="IF",E882="AG",E882="TOOL"),D882="references"),AND(B882="AIR",E882="AIR",D882="depends on"))),"Invalid relationship",IF(AND(M882&lt;&gt;"Superseded",COUNTIFS($B$4:$B$1003,B882,$C$4:$C$1003,C882,$D$4:$D$1003,D882,$E$4:$E$1003,E882,$F$4:$F$1003,F882,$G$4:$G$1003,G882,$M$4:$M$1003,"&lt;&gt;Superseded")&gt;1),"Duplicate relationship",IF(OR(IF(B882="UC",COUNTIF('Use cases'!$A$4:$A$253,C882),IF(B882="CAP",COUNTIF(Capabilities!$A$4:$A$253,C882),IF(B882="AIR",COUNTIF('System map'!$A$4:$A$203,C882),COUNTIFS(Components!$A$4:$A$253,C882,Components!$B$4:$B$253,B882))))&lt;&gt;1,IF(E882="UC",COUNTIF('Use cases'!$A$4:$A$253,F882),IF(E882="CAP",COUNTIF(Capabilities!$A$4:$A$253,F882),IF(E882="AIR",COUNTIF('System map'!$A$4:$A$203,F882),COUNTIFS(Components!$A$4:$A$253,F882,Components!$B$4:$B$253,E882))))&lt;&gt;1),"Endpoint missing or duplicated",IF(AND(NOT(AND(B882="UC",E882="CAP")),OR(G882="",COUNTIF('System map'!$A$4:$A$203,G882)&lt;&gt;1)),"AIR context missing / unknown",IF(AND(B882="CAP",E882="AIR",G882&lt;&gt;F882),"AIR context mismatch",IF(AND(B882="AIR",G882&lt;&gt;C882),"AIR context mismatch",IF(AND(B882="AIR",E882="AIR",C882=F882),"Self-dependency",IF(AND(B882="AIR",E882="AIR",M882&lt;&gt;"Superseded",COUNTIFS($B$4:$B$1003,"AIR",$C$4:$C$1003,F882,$E$4:$E$1003,"AIR",$F$4:$F$1003,C882,$M$4:$M$1003,"&lt;&gt;Superseded")&gt;0),"Dependency cycle (A↔B) — review",IF(AND(B882="AIR",OR(E882="MOD",E882="DATA",E882="IF",E882="AG",E882="TOOL"),IFERROR(INDEX(Components!$G$4:$G$253,MATCH(F882,Components!$A$4:$A$253,0)),"")&lt;&gt;"",IFERROR(INDEX(Components!$G$4:$G$253,MATCH(F882,Components!$A$4:$A$253,0)),"")&lt;&gt;C882),"Component owned by another AIR-ID",IF(AND(M882="Confirmed",OR(IF(B882="UC",COUNTIFS('Use cases'!$A$4:$A$253,C882,'Use cases'!$I$4:$I$253,"Confirmed",'Use cases'!$J$4:$J$253,"OK — verify source"),IF(B882="CAP",COUNTIFS(Capabilities!$A$4:$A$253,C882,Capabilities!$J$4:$J$253,"Confirmed",Capabilities!$K$4:$K$253,"OK — verify source"),IF(B882="AIR",COUNTIFS('System map'!$A$4:$A$203,C882,'System map'!$B$4:$B$203,"&lt;&gt;",'System map'!$C$4:$C$203,"&lt;&gt;",'System map'!$D$4:$D$203,"&lt;&gt;"),COUNTIFS(Components!$A$4:$A$253,C882,Components!$B$4:$B$253,B882,Components!$K$4:$K$253,"Confirmed",Components!$L$4:$L$253,"OK — verify source"))))&lt;&gt;1,IF(E882="UC",COUNTIFS('Use cases'!$A$4:$A$253,F882,'Use cases'!$I$4:$I$253,"Confirmed",'Use cases'!$J$4:$J$253,"OK — verify source"),IF(E882="CAP",COUNTIFS(Capabilities!$A$4:$A$253,F882,Capabilities!$J$4:$J$253,"Confirmed",Capabilities!$K$4:$K$253,"OK — verify source"),IF(E882="AIR",COUNTIFS('System map'!$A$4:$A$203,F882,'System map'!$B$4:$B$203,"&lt;&gt;",'System map'!$C$4:$C$203,"&lt;&gt;",'System map'!$D$4:$D$203,"&lt;&gt;"),COUNTIFS(Components!$A$4:$A$253,F882,Components!$B$4:$B$253,E882,Components!$K$4:$K$253,"Confirmed",Components!$L$4:$L$253,"OK — verify source"))))&lt;&gt;1)),"Endpoint not source-reconciled",IF(AND(M882="Confirmed",OR(L882="",K882="",K882="Unknown",K882="Low")),"Confirmed link lacks verification","OK — verify source"))))))))))))))</f>
        <v/>
      </c>
    </row>
    <row r="883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8" t="n"/>
      <c r="M883" s="27" t="n"/>
      <c r="N883" s="27">
        <f>IF(COUNTA(A883:M883)=0,"",IF(OR(A883="",B883="",C883="",D883="",E883="",F883="",I883="",J883="",K883="",M883=""),"Required link detail missing",IF(COUNTIF($A$4:$A$1003,A883)&gt;1,"Duplicate Map Edge ID",IF(NOT(OR(AND(B883="UC",E883="CAP",D883="requires"),AND(B883="CAP",E883="AIR",D883="provided by"),AND(B883="AIR",OR(E883="MOD",E883="DATA",E883="IF",E883="AG",E883="TOOL"),D883="references"),AND(B883="AIR",E883="AIR",D883="depends on"))),"Invalid relationship",IF(AND(M883&lt;&gt;"Superseded",COUNTIFS($B$4:$B$1003,B883,$C$4:$C$1003,C883,$D$4:$D$1003,D883,$E$4:$E$1003,E883,$F$4:$F$1003,F883,$G$4:$G$1003,G883,$M$4:$M$1003,"&lt;&gt;Superseded")&gt;1),"Duplicate relationship",IF(OR(IF(B883="UC",COUNTIF('Use cases'!$A$4:$A$253,C883),IF(B883="CAP",COUNTIF(Capabilities!$A$4:$A$253,C883),IF(B883="AIR",COUNTIF('System map'!$A$4:$A$203,C883),COUNTIFS(Components!$A$4:$A$253,C883,Components!$B$4:$B$253,B883))))&lt;&gt;1,IF(E883="UC",COUNTIF('Use cases'!$A$4:$A$253,F883),IF(E883="CAP",COUNTIF(Capabilities!$A$4:$A$253,F883),IF(E883="AIR",COUNTIF('System map'!$A$4:$A$203,F883),COUNTIFS(Components!$A$4:$A$253,F883,Components!$B$4:$B$253,E883))))&lt;&gt;1),"Endpoint missing or duplicated",IF(AND(NOT(AND(B883="UC",E883="CAP")),OR(G883="",COUNTIF('System map'!$A$4:$A$203,G883)&lt;&gt;1)),"AIR context missing / unknown",IF(AND(B883="CAP",E883="AIR",G883&lt;&gt;F883),"AIR context mismatch",IF(AND(B883="AIR",G883&lt;&gt;C883),"AIR context mismatch",IF(AND(B883="AIR",E883="AIR",C883=F883),"Self-dependency",IF(AND(B883="AIR",E883="AIR",M883&lt;&gt;"Superseded",COUNTIFS($B$4:$B$1003,"AIR",$C$4:$C$1003,F883,$E$4:$E$1003,"AIR",$F$4:$F$1003,C883,$M$4:$M$1003,"&lt;&gt;Superseded")&gt;0),"Dependency cycle (A↔B) — review",IF(AND(B883="AIR",OR(E883="MOD",E883="DATA",E883="IF",E883="AG",E883="TOOL"),IFERROR(INDEX(Components!$G$4:$G$253,MATCH(F883,Components!$A$4:$A$253,0)),"")&lt;&gt;"",IFERROR(INDEX(Components!$G$4:$G$253,MATCH(F883,Components!$A$4:$A$253,0)),"")&lt;&gt;C883),"Component owned by another AIR-ID",IF(AND(M883="Confirmed",OR(IF(B883="UC",COUNTIFS('Use cases'!$A$4:$A$253,C883,'Use cases'!$I$4:$I$253,"Confirmed",'Use cases'!$J$4:$J$253,"OK — verify source"),IF(B883="CAP",COUNTIFS(Capabilities!$A$4:$A$253,C883,Capabilities!$J$4:$J$253,"Confirmed",Capabilities!$K$4:$K$253,"OK — verify source"),IF(B883="AIR",COUNTIFS('System map'!$A$4:$A$203,C883,'System map'!$B$4:$B$203,"&lt;&gt;",'System map'!$C$4:$C$203,"&lt;&gt;",'System map'!$D$4:$D$203,"&lt;&gt;"),COUNTIFS(Components!$A$4:$A$253,C883,Components!$B$4:$B$253,B883,Components!$K$4:$K$253,"Confirmed",Components!$L$4:$L$253,"OK — verify source"))))&lt;&gt;1,IF(E883="UC",COUNTIFS('Use cases'!$A$4:$A$253,F883,'Use cases'!$I$4:$I$253,"Confirmed",'Use cases'!$J$4:$J$253,"OK — verify source"),IF(E883="CAP",COUNTIFS(Capabilities!$A$4:$A$253,F883,Capabilities!$J$4:$J$253,"Confirmed",Capabilities!$K$4:$K$253,"OK — verify source"),IF(E883="AIR",COUNTIFS('System map'!$A$4:$A$203,F883,'System map'!$B$4:$B$203,"&lt;&gt;",'System map'!$C$4:$C$203,"&lt;&gt;",'System map'!$D$4:$D$203,"&lt;&gt;"),COUNTIFS(Components!$A$4:$A$253,F883,Components!$B$4:$B$253,E883,Components!$K$4:$K$253,"Confirmed",Components!$L$4:$L$253,"OK — verify source"))))&lt;&gt;1)),"Endpoint not source-reconciled",IF(AND(M883="Confirmed",OR(L883="",K883="",K883="Unknown",K883="Low")),"Confirmed link lacks verification","OK — verify source"))))))))))))))</f>
        <v/>
      </c>
    </row>
    <row r="88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6" t="n"/>
      <c r="M884" s="25" t="n"/>
      <c r="N884" s="25">
        <f>IF(COUNTA(A884:M884)=0,"",IF(OR(A884="",B884="",C884="",D884="",E884="",F884="",I884="",J884="",K884="",M884=""),"Required link detail missing",IF(COUNTIF($A$4:$A$1003,A884)&gt;1,"Duplicate Map Edge ID",IF(NOT(OR(AND(B884="UC",E884="CAP",D884="requires"),AND(B884="CAP",E884="AIR",D884="provided by"),AND(B884="AIR",OR(E884="MOD",E884="DATA",E884="IF",E884="AG",E884="TOOL"),D884="references"),AND(B884="AIR",E884="AIR",D884="depends on"))),"Invalid relationship",IF(AND(M884&lt;&gt;"Superseded",COUNTIFS($B$4:$B$1003,B884,$C$4:$C$1003,C884,$D$4:$D$1003,D884,$E$4:$E$1003,E884,$F$4:$F$1003,F884,$G$4:$G$1003,G884,$M$4:$M$1003,"&lt;&gt;Superseded")&gt;1),"Duplicate relationship",IF(OR(IF(B884="UC",COUNTIF('Use cases'!$A$4:$A$253,C884),IF(B884="CAP",COUNTIF(Capabilities!$A$4:$A$253,C884),IF(B884="AIR",COUNTIF('System map'!$A$4:$A$203,C884),COUNTIFS(Components!$A$4:$A$253,C884,Components!$B$4:$B$253,B884))))&lt;&gt;1,IF(E884="UC",COUNTIF('Use cases'!$A$4:$A$253,F884),IF(E884="CAP",COUNTIF(Capabilities!$A$4:$A$253,F884),IF(E884="AIR",COUNTIF('System map'!$A$4:$A$203,F884),COUNTIFS(Components!$A$4:$A$253,F884,Components!$B$4:$B$253,E884))))&lt;&gt;1),"Endpoint missing or duplicated",IF(AND(NOT(AND(B884="UC",E884="CAP")),OR(G884="",COUNTIF('System map'!$A$4:$A$203,G884)&lt;&gt;1)),"AIR context missing / unknown",IF(AND(B884="CAP",E884="AIR",G884&lt;&gt;F884),"AIR context mismatch",IF(AND(B884="AIR",G884&lt;&gt;C884),"AIR context mismatch",IF(AND(B884="AIR",E884="AIR",C884=F884),"Self-dependency",IF(AND(B884="AIR",E884="AIR",M884&lt;&gt;"Superseded",COUNTIFS($B$4:$B$1003,"AIR",$C$4:$C$1003,F884,$E$4:$E$1003,"AIR",$F$4:$F$1003,C884,$M$4:$M$1003,"&lt;&gt;Superseded")&gt;0),"Dependency cycle (A↔B) — review",IF(AND(B884="AIR",OR(E884="MOD",E884="DATA",E884="IF",E884="AG",E884="TOOL"),IFERROR(INDEX(Components!$G$4:$G$253,MATCH(F884,Components!$A$4:$A$253,0)),"")&lt;&gt;"",IFERROR(INDEX(Components!$G$4:$G$253,MATCH(F884,Components!$A$4:$A$253,0)),"")&lt;&gt;C884),"Component owned by another AIR-ID",IF(AND(M884="Confirmed",OR(IF(B884="UC",COUNTIFS('Use cases'!$A$4:$A$253,C884,'Use cases'!$I$4:$I$253,"Confirmed",'Use cases'!$J$4:$J$253,"OK — verify source"),IF(B884="CAP",COUNTIFS(Capabilities!$A$4:$A$253,C884,Capabilities!$J$4:$J$253,"Confirmed",Capabilities!$K$4:$K$253,"OK — verify source"),IF(B884="AIR",COUNTIFS('System map'!$A$4:$A$203,C884,'System map'!$B$4:$B$203,"&lt;&gt;",'System map'!$C$4:$C$203,"&lt;&gt;",'System map'!$D$4:$D$203,"&lt;&gt;"),COUNTIFS(Components!$A$4:$A$253,C884,Components!$B$4:$B$253,B884,Components!$K$4:$K$253,"Confirmed",Components!$L$4:$L$253,"OK — verify source"))))&lt;&gt;1,IF(E884="UC",COUNTIFS('Use cases'!$A$4:$A$253,F884,'Use cases'!$I$4:$I$253,"Confirmed",'Use cases'!$J$4:$J$253,"OK — verify source"),IF(E884="CAP",COUNTIFS(Capabilities!$A$4:$A$253,F884,Capabilities!$J$4:$J$253,"Confirmed",Capabilities!$K$4:$K$253,"OK — verify source"),IF(E884="AIR",COUNTIFS('System map'!$A$4:$A$203,F884,'System map'!$B$4:$B$203,"&lt;&gt;",'System map'!$C$4:$C$203,"&lt;&gt;",'System map'!$D$4:$D$203,"&lt;&gt;"),COUNTIFS(Components!$A$4:$A$253,F884,Components!$B$4:$B$253,E884,Components!$K$4:$K$253,"Confirmed",Components!$L$4:$L$253,"OK — verify source"))))&lt;&gt;1)),"Endpoint not source-reconciled",IF(AND(M884="Confirmed",OR(L884="",K884="",K884="Unknown",K884="Low")),"Confirmed link lacks verification","OK — verify source"))))))))))))))</f>
        <v/>
      </c>
    </row>
    <row r="885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8" t="n"/>
      <c r="M885" s="27" t="n"/>
      <c r="N885" s="27">
        <f>IF(COUNTA(A885:M885)=0,"",IF(OR(A885="",B885="",C885="",D885="",E885="",F885="",I885="",J885="",K885="",M885=""),"Required link detail missing",IF(COUNTIF($A$4:$A$1003,A885)&gt;1,"Duplicate Map Edge ID",IF(NOT(OR(AND(B885="UC",E885="CAP",D885="requires"),AND(B885="CAP",E885="AIR",D885="provided by"),AND(B885="AIR",OR(E885="MOD",E885="DATA",E885="IF",E885="AG",E885="TOOL"),D885="references"),AND(B885="AIR",E885="AIR",D885="depends on"))),"Invalid relationship",IF(AND(M885&lt;&gt;"Superseded",COUNTIFS($B$4:$B$1003,B885,$C$4:$C$1003,C885,$D$4:$D$1003,D885,$E$4:$E$1003,E885,$F$4:$F$1003,F885,$G$4:$G$1003,G885,$M$4:$M$1003,"&lt;&gt;Superseded")&gt;1),"Duplicate relationship",IF(OR(IF(B885="UC",COUNTIF('Use cases'!$A$4:$A$253,C885),IF(B885="CAP",COUNTIF(Capabilities!$A$4:$A$253,C885),IF(B885="AIR",COUNTIF('System map'!$A$4:$A$203,C885),COUNTIFS(Components!$A$4:$A$253,C885,Components!$B$4:$B$253,B885))))&lt;&gt;1,IF(E885="UC",COUNTIF('Use cases'!$A$4:$A$253,F885),IF(E885="CAP",COUNTIF(Capabilities!$A$4:$A$253,F885),IF(E885="AIR",COUNTIF('System map'!$A$4:$A$203,F885),COUNTIFS(Components!$A$4:$A$253,F885,Components!$B$4:$B$253,E885))))&lt;&gt;1),"Endpoint missing or duplicated",IF(AND(NOT(AND(B885="UC",E885="CAP")),OR(G885="",COUNTIF('System map'!$A$4:$A$203,G885)&lt;&gt;1)),"AIR context missing / unknown",IF(AND(B885="CAP",E885="AIR",G885&lt;&gt;F885),"AIR context mismatch",IF(AND(B885="AIR",G885&lt;&gt;C885),"AIR context mismatch",IF(AND(B885="AIR",E885="AIR",C885=F885),"Self-dependency",IF(AND(B885="AIR",E885="AIR",M885&lt;&gt;"Superseded",COUNTIFS($B$4:$B$1003,"AIR",$C$4:$C$1003,F885,$E$4:$E$1003,"AIR",$F$4:$F$1003,C885,$M$4:$M$1003,"&lt;&gt;Superseded")&gt;0),"Dependency cycle (A↔B) — review",IF(AND(B885="AIR",OR(E885="MOD",E885="DATA",E885="IF",E885="AG",E885="TOOL"),IFERROR(INDEX(Components!$G$4:$G$253,MATCH(F885,Components!$A$4:$A$253,0)),"")&lt;&gt;"",IFERROR(INDEX(Components!$G$4:$G$253,MATCH(F885,Components!$A$4:$A$253,0)),"")&lt;&gt;C885),"Component owned by another AIR-ID",IF(AND(M885="Confirmed",OR(IF(B885="UC",COUNTIFS('Use cases'!$A$4:$A$253,C885,'Use cases'!$I$4:$I$253,"Confirmed",'Use cases'!$J$4:$J$253,"OK — verify source"),IF(B885="CAP",COUNTIFS(Capabilities!$A$4:$A$253,C885,Capabilities!$J$4:$J$253,"Confirmed",Capabilities!$K$4:$K$253,"OK — verify source"),IF(B885="AIR",COUNTIFS('System map'!$A$4:$A$203,C885,'System map'!$B$4:$B$203,"&lt;&gt;",'System map'!$C$4:$C$203,"&lt;&gt;",'System map'!$D$4:$D$203,"&lt;&gt;"),COUNTIFS(Components!$A$4:$A$253,C885,Components!$B$4:$B$253,B885,Components!$K$4:$K$253,"Confirmed",Components!$L$4:$L$253,"OK — verify source"))))&lt;&gt;1,IF(E885="UC",COUNTIFS('Use cases'!$A$4:$A$253,F885,'Use cases'!$I$4:$I$253,"Confirmed",'Use cases'!$J$4:$J$253,"OK — verify source"),IF(E885="CAP",COUNTIFS(Capabilities!$A$4:$A$253,F885,Capabilities!$J$4:$J$253,"Confirmed",Capabilities!$K$4:$K$253,"OK — verify source"),IF(E885="AIR",COUNTIFS('System map'!$A$4:$A$203,F885,'System map'!$B$4:$B$203,"&lt;&gt;",'System map'!$C$4:$C$203,"&lt;&gt;",'System map'!$D$4:$D$203,"&lt;&gt;"),COUNTIFS(Components!$A$4:$A$253,F885,Components!$B$4:$B$253,E885,Components!$K$4:$K$253,"Confirmed",Components!$L$4:$L$253,"OK — verify source"))))&lt;&gt;1)),"Endpoint not source-reconciled",IF(AND(M885="Confirmed",OR(L885="",K885="",K885="Unknown",K885="Low")),"Confirmed link lacks verification","OK — verify source"))))))))))))))</f>
        <v/>
      </c>
    </row>
    <row r="886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6" t="n"/>
      <c r="M886" s="25" t="n"/>
      <c r="N886" s="25">
        <f>IF(COUNTA(A886:M886)=0,"",IF(OR(A886="",B886="",C886="",D886="",E886="",F886="",I886="",J886="",K886="",M886=""),"Required link detail missing",IF(COUNTIF($A$4:$A$1003,A886)&gt;1,"Duplicate Map Edge ID",IF(NOT(OR(AND(B886="UC",E886="CAP",D886="requires"),AND(B886="CAP",E886="AIR",D886="provided by"),AND(B886="AIR",OR(E886="MOD",E886="DATA",E886="IF",E886="AG",E886="TOOL"),D886="references"),AND(B886="AIR",E886="AIR",D886="depends on"))),"Invalid relationship",IF(AND(M886&lt;&gt;"Superseded",COUNTIFS($B$4:$B$1003,B886,$C$4:$C$1003,C886,$D$4:$D$1003,D886,$E$4:$E$1003,E886,$F$4:$F$1003,F886,$G$4:$G$1003,G886,$M$4:$M$1003,"&lt;&gt;Superseded")&gt;1),"Duplicate relationship",IF(OR(IF(B886="UC",COUNTIF('Use cases'!$A$4:$A$253,C886),IF(B886="CAP",COUNTIF(Capabilities!$A$4:$A$253,C886),IF(B886="AIR",COUNTIF('System map'!$A$4:$A$203,C886),COUNTIFS(Components!$A$4:$A$253,C886,Components!$B$4:$B$253,B886))))&lt;&gt;1,IF(E886="UC",COUNTIF('Use cases'!$A$4:$A$253,F886),IF(E886="CAP",COUNTIF(Capabilities!$A$4:$A$253,F886),IF(E886="AIR",COUNTIF('System map'!$A$4:$A$203,F886),COUNTIFS(Components!$A$4:$A$253,F886,Components!$B$4:$B$253,E886))))&lt;&gt;1),"Endpoint missing or duplicated",IF(AND(NOT(AND(B886="UC",E886="CAP")),OR(G886="",COUNTIF('System map'!$A$4:$A$203,G886)&lt;&gt;1)),"AIR context missing / unknown",IF(AND(B886="CAP",E886="AIR",G886&lt;&gt;F886),"AIR context mismatch",IF(AND(B886="AIR",G886&lt;&gt;C886),"AIR context mismatch",IF(AND(B886="AIR",E886="AIR",C886=F886),"Self-dependency",IF(AND(B886="AIR",E886="AIR",M886&lt;&gt;"Superseded",COUNTIFS($B$4:$B$1003,"AIR",$C$4:$C$1003,F886,$E$4:$E$1003,"AIR",$F$4:$F$1003,C886,$M$4:$M$1003,"&lt;&gt;Superseded")&gt;0),"Dependency cycle (A↔B) — review",IF(AND(B886="AIR",OR(E886="MOD",E886="DATA",E886="IF",E886="AG",E886="TOOL"),IFERROR(INDEX(Components!$G$4:$G$253,MATCH(F886,Components!$A$4:$A$253,0)),"")&lt;&gt;"",IFERROR(INDEX(Components!$G$4:$G$253,MATCH(F886,Components!$A$4:$A$253,0)),"")&lt;&gt;C886),"Component owned by another AIR-ID",IF(AND(M886="Confirmed",OR(IF(B886="UC",COUNTIFS('Use cases'!$A$4:$A$253,C886,'Use cases'!$I$4:$I$253,"Confirmed",'Use cases'!$J$4:$J$253,"OK — verify source"),IF(B886="CAP",COUNTIFS(Capabilities!$A$4:$A$253,C886,Capabilities!$J$4:$J$253,"Confirmed",Capabilities!$K$4:$K$253,"OK — verify source"),IF(B886="AIR",COUNTIFS('System map'!$A$4:$A$203,C886,'System map'!$B$4:$B$203,"&lt;&gt;",'System map'!$C$4:$C$203,"&lt;&gt;",'System map'!$D$4:$D$203,"&lt;&gt;"),COUNTIFS(Components!$A$4:$A$253,C886,Components!$B$4:$B$253,B886,Components!$K$4:$K$253,"Confirmed",Components!$L$4:$L$253,"OK — verify source"))))&lt;&gt;1,IF(E886="UC",COUNTIFS('Use cases'!$A$4:$A$253,F886,'Use cases'!$I$4:$I$253,"Confirmed",'Use cases'!$J$4:$J$253,"OK — verify source"),IF(E886="CAP",COUNTIFS(Capabilities!$A$4:$A$253,F886,Capabilities!$J$4:$J$253,"Confirmed",Capabilities!$K$4:$K$253,"OK — verify source"),IF(E886="AIR",COUNTIFS('System map'!$A$4:$A$203,F886,'System map'!$B$4:$B$203,"&lt;&gt;",'System map'!$C$4:$C$203,"&lt;&gt;",'System map'!$D$4:$D$203,"&lt;&gt;"),COUNTIFS(Components!$A$4:$A$253,F886,Components!$B$4:$B$253,E886,Components!$K$4:$K$253,"Confirmed",Components!$L$4:$L$253,"OK — verify source"))))&lt;&gt;1)),"Endpoint not source-reconciled",IF(AND(M886="Confirmed",OR(L886="",K886="",K886="Unknown",K886="Low")),"Confirmed link lacks verification","OK — verify source"))))))))))))))</f>
        <v/>
      </c>
    </row>
    <row r="887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8" t="n"/>
      <c r="M887" s="27" t="n"/>
      <c r="N887" s="27">
        <f>IF(COUNTA(A887:M887)=0,"",IF(OR(A887="",B887="",C887="",D887="",E887="",F887="",I887="",J887="",K887="",M887=""),"Required link detail missing",IF(COUNTIF($A$4:$A$1003,A887)&gt;1,"Duplicate Map Edge ID",IF(NOT(OR(AND(B887="UC",E887="CAP",D887="requires"),AND(B887="CAP",E887="AIR",D887="provided by"),AND(B887="AIR",OR(E887="MOD",E887="DATA",E887="IF",E887="AG",E887="TOOL"),D887="references"),AND(B887="AIR",E887="AIR",D887="depends on"))),"Invalid relationship",IF(AND(M887&lt;&gt;"Superseded",COUNTIFS($B$4:$B$1003,B887,$C$4:$C$1003,C887,$D$4:$D$1003,D887,$E$4:$E$1003,E887,$F$4:$F$1003,F887,$G$4:$G$1003,G887,$M$4:$M$1003,"&lt;&gt;Superseded")&gt;1),"Duplicate relationship",IF(OR(IF(B887="UC",COUNTIF('Use cases'!$A$4:$A$253,C887),IF(B887="CAP",COUNTIF(Capabilities!$A$4:$A$253,C887),IF(B887="AIR",COUNTIF('System map'!$A$4:$A$203,C887),COUNTIFS(Components!$A$4:$A$253,C887,Components!$B$4:$B$253,B887))))&lt;&gt;1,IF(E887="UC",COUNTIF('Use cases'!$A$4:$A$253,F887),IF(E887="CAP",COUNTIF(Capabilities!$A$4:$A$253,F887),IF(E887="AIR",COUNTIF('System map'!$A$4:$A$203,F887),COUNTIFS(Components!$A$4:$A$253,F887,Components!$B$4:$B$253,E887))))&lt;&gt;1),"Endpoint missing or duplicated",IF(AND(NOT(AND(B887="UC",E887="CAP")),OR(G887="",COUNTIF('System map'!$A$4:$A$203,G887)&lt;&gt;1)),"AIR context missing / unknown",IF(AND(B887="CAP",E887="AIR",G887&lt;&gt;F887),"AIR context mismatch",IF(AND(B887="AIR",G887&lt;&gt;C887),"AIR context mismatch",IF(AND(B887="AIR",E887="AIR",C887=F887),"Self-dependency",IF(AND(B887="AIR",E887="AIR",M887&lt;&gt;"Superseded",COUNTIFS($B$4:$B$1003,"AIR",$C$4:$C$1003,F887,$E$4:$E$1003,"AIR",$F$4:$F$1003,C887,$M$4:$M$1003,"&lt;&gt;Superseded")&gt;0),"Dependency cycle (A↔B) — review",IF(AND(B887="AIR",OR(E887="MOD",E887="DATA",E887="IF",E887="AG",E887="TOOL"),IFERROR(INDEX(Components!$G$4:$G$253,MATCH(F887,Components!$A$4:$A$253,0)),"")&lt;&gt;"",IFERROR(INDEX(Components!$G$4:$G$253,MATCH(F887,Components!$A$4:$A$253,0)),"")&lt;&gt;C887),"Component owned by another AIR-ID",IF(AND(M887="Confirmed",OR(IF(B887="UC",COUNTIFS('Use cases'!$A$4:$A$253,C887,'Use cases'!$I$4:$I$253,"Confirmed",'Use cases'!$J$4:$J$253,"OK — verify source"),IF(B887="CAP",COUNTIFS(Capabilities!$A$4:$A$253,C887,Capabilities!$J$4:$J$253,"Confirmed",Capabilities!$K$4:$K$253,"OK — verify source"),IF(B887="AIR",COUNTIFS('System map'!$A$4:$A$203,C887,'System map'!$B$4:$B$203,"&lt;&gt;",'System map'!$C$4:$C$203,"&lt;&gt;",'System map'!$D$4:$D$203,"&lt;&gt;"),COUNTIFS(Components!$A$4:$A$253,C887,Components!$B$4:$B$253,B887,Components!$K$4:$K$253,"Confirmed",Components!$L$4:$L$253,"OK — verify source"))))&lt;&gt;1,IF(E887="UC",COUNTIFS('Use cases'!$A$4:$A$253,F887,'Use cases'!$I$4:$I$253,"Confirmed",'Use cases'!$J$4:$J$253,"OK — verify source"),IF(E887="CAP",COUNTIFS(Capabilities!$A$4:$A$253,F887,Capabilities!$J$4:$J$253,"Confirmed",Capabilities!$K$4:$K$253,"OK — verify source"),IF(E887="AIR",COUNTIFS('System map'!$A$4:$A$203,F887,'System map'!$B$4:$B$203,"&lt;&gt;",'System map'!$C$4:$C$203,"&lt;&gt;",'System map'!$D$4:$D$203,"&lt;&gt;"),COUNTIFS(Components!$A$4:$A$253,F887,Components!$B$4:$B$253,E887,Components!$K$4:$K$253,"Confirmed",Components!$L$4:$L$253,"OK — verify source"))))&lt;&gt;1)),"Endpoint not source-reconciled",IF(AND(M887="Confirmed",OR(L887="",K887="",K887="Unknown",K887="Low")),"Confirmed link lacks verification","OK — verify source"))))))))))))))</f>
        <v/>
      </c>
    </row>
    <row r="888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6" t="n"/>
      <c r="M888" s="25" t="n"/>
      <c r="N888" s="25">
        <f>IF(COUNTA(A888:M888)=0,"",IF(OR(A888="",B888="",C888="",D888="",E888="",F888="",I888="",J888="",K888="",M888=""),"Required link detail missing",IF(COUNTIF($A$4:$A$1003,A888)&gt;1,"Duplicate Map Edge ID",IF(NOT(OR(AND(B888="UC",E888="CAP",D888="requires"),AND(B888="CAP",E888="AIR",D888="provided by"),AND(B888="AIR",OR(E888="MOD",E888="DATA",E888="IF",E888="AG",E888="TOOL"),D888="references"),AND(B888="AIR",E888="AIR",D888="depends on"))),"Invalid relationship",IF(AND(M888&lt;&gt;"Superseded",COUNTIFS($B$4:$B$1003,B888,$C$4:$C$1003,C888,$D$4:$D$1003,D888,$E$4:$E$1003,E888,$F$4:$F$1003,F888,$G$4:$G$1003,G888,$M$4:$M$1003,"&lt;&gt;Superseded")&gt;1),"Duplicate relationship",IF(OR(IF(B888="UC",COUNTIF('Use cases'!$A$4:$A$253,C888),IF(B888="CAP",COUNTIF(Capabilities!$A$4:$A$253,C888),IF(B888="AIR",COUNTIF('System map'!$A$4:$A$203,C888),COUNTIFS(Components!$A$4:$A$253,C888,Components!$B$4:$B$253,B888))))&lt;&gt;1,IF(E888="UC",COUNTIF('Use cases'!$A$4:$A$253,F888),IF(E888="CAP",COUNTIF(Capabilities!$A$4:$A$253,F888),IF(E888="AIR",COUNTIF('System map'!$A$4:$A$203,F888),COUNTIFS(Components!$A$4:$A$253,F888,Components!$B$4:$B$253,E888))))&lt;&gt;1),"Endpoint missing or duplicated",IF(AND(NOT(AND(B888="UC",E888="CAP")),OR(G888="",COUNTIF('System map'!$A$4:$A$203,G888)&lt;&gt;1)),"AIR context missing / unknown",IF(AND(B888="CAP",E888="AIR",G888&lt;&gt;F888),"AIR context mismatch",IF(AND(B888="AIR",G888&lt;&gt;C888),"AIR context mismatch",IF(AND(B888="AIR",E888="AIR",C888=F888),"Self-dependency",IF(AND(B888="AIR",E888="AIR",M888&lt;&gt;"Superseded",COUNTIFS($B$4:$B$1003,"AIR",$C$4:$C$1003,F888,$E$4:$E$1003,"AIR",$F$4:$F$1003,C888,$M$4:$M$1003,"&lt;&gt;Superseded")&gt;0),"Dependency cycle (A↔B) — review",IF(AND(B888="AIR",OR(E888="MOD",E888="DATA",E888="IF",E888="AG",E888="TOOL"),IFERROR(INDEX(Components!$G$4:$G$253,MATCH(F888,Components!$A$4:$A$253,0)),"")&lt;&gt;"",IFERROR(INDEX(Components!$G$4:$G$253,MATCH(F888,Components!$A$4:$A$253,0)),"")&lt;&gt;C888),"Component owned by another AIR-ID",IF(AND(M888="Confirmed",OR(IF(B888="UC",COUNTIFS('Use cases'!$A$4:$A$253,C888,'Use cases'!$I$4:$I$253,"Confirmed",'Use cases'!$J$4:$J$253,"OK — verify source"),IF(B888="CAP",COUNTIFS(Capabilities!$A$4:$A$253,C888,Capabilities!$J$4:$J$253,"Confirmed",Capabilities!$K$4:$K$253,"OK — verify source"),IF(B888="AIR",COUNTIFS('System map'!$A$4:$A$203,C888,'System map'!$B$4:$B$203,"&lt;&gt;",'System map'!$C$4:$C$203,"&lt;&gt;",'System map'!$D$4:$D$203,"&lt;&gt;"),COUNTIFS(Components!$A$4:$A$253,C888,Components!$B$4:$B$253,B888,Components!$K$4:$K$253,"Confirmed",Components!$L$4:$L$253,"OK — verify source"))))&lt;&gt;1,IF(E888="UC",COUNTIFS('Use cases'!$A$4:$A$253,F888,'Use cases'!$I$4:$I$253,"Confirmed",'Use cases'!$J$4:$J$253,"OK — verify source"),IF(E888="CAP",COUNTIFS(Capabilities!$A$4:$A$253,F888,Capabilities!$J$4:$J$253,"Confirmed",Capabilities!$K$4:$K$253,"OK — verify source"),IF(E888="AIR",COUNTIFS('System map'!$A$4:$A$203,F888,'System map'!$B$4:$B$203,"&lt;&gt;",'System map'!$C$4:$C$203,"&lt;&gt;",'System map'!$D$4:$D$203,"&lt;&gt;"),COUNTIFS(Components!$A$4:$A$253,F888,Components!$B$4:$B$253,E888,Components!$K$4:$K$253,"Confirmed",Components!$L$4:$L$253,"OK — verify source"))))&lt;&gt;1)),"Endpoint not source-reconciled",IF(AND(M888="Confirmed",OR(L888="",K888="",K888="Unknown",K888="Low")),"Confirmed link lacks verification","OK — verify source"))))))))))))))</f>
        <v/>
      </c>
    </row>
    <row r="889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8" t="n"/>
      <c r="M889" s="27" t="n"/>
      <c r="N889" s="27">
        <f>IF(COUNTA(A889:M889)=0,"",IF(OR(A889="",B889="",C889="",D889="",E889="",F889="",I889="",J889="",K889="",M889=""),"Required link detail missing",IF(COUNTIF($A$4:$A$1003,A889)&gt;1,"Duplicate Map Edge ID",IF(NOT(OR(AND(B889="UC",E889="CAP",D889="requires"),AND(B889="CAP",E889="AIR",D889="provided by"),AND(B889="AIR",OR(E889="MOD",E889="DATA",E889="IF",E889="AG",E889="TOOL"),D889="references"),AND(B889="AIR",E889="AIR",D889="depends on"))),"Invalid relationship",IF(AND(M889&lt;&gt;"Superseded",COUNTIFS($B$4:$B$1003,B889,$C$4:$C$1003,C889,$D$4:$D$1003,D889,$E$4:$E$1003,E889,$F$4:$F$1003,F889,$G$4:$G$1003,G889,$M$4:$M$1003,"&lt;&gt;Superseded")&gt;1),"Duplicate relationship",IF(OR(IF(B889="UC",COUNTIF('Use cases'!$A$4:$A$253,C889),IF(B889="CAP",COUNTIF(Capabilities!$A$4:$A$253,C889),IF(B889="AIR",COUNTIF('System map'!$A$4:$A$203,C889),COUNTIFS(Components!$A$4:$A$253,C889,Components!$B$4:$B$253,B889))))&lt;&gt;1,IF(E889="UC",COUNTIF('Use cases'!$A$4:$A$253,F889),IF(E889="CAP",COUNTIF(Capabilities!$A$4:$A$253,F889),IF(E889="AIR",COUNTIF('System map'!$A$4:$A$203,F889),COUNTIFS(Components!$A$4:$A$253,F889,Components!$B$4:$B$253,E889))))&lt;&gt;1),"Endpoint missing or duplicated",IF(AND(NOT(AND(B889="UC",E889="CAP")),OR(G889="",COUNTIF('System map'!$A$4:$A$203,G889)&lt;&gt;1)),"AIR context missing / unknown",IF(AND(B889="CAP",E889="AIR",G889&lt;&gt;F889),"AIR context mismatch",IF(AND(B889="AIR",G889&lt;&gt;C889),"AIR context mismatch",IF(AND(B889="AIR",E889="AIR",C889=F889),"Self-dependency",IF(AND(B889="AIR",E889="AIR",M889&lt;&gt;"Superseded",COUNTIFS($B$4:$B$1003,"AIR",$C$4:$C$1003,F889,$E$4:$E$1003,"AIR",$F$4:$F$1003,C889,$M$4:$M$1003,"&lt;&gt;Superseded")&gt;0),"Dependency cycle (A↔B) — review",IF(AND(B889="AIR",OR(E889="MOD",E889="DATA",E889="IF",E889="AG",E889="TOOL"),IFERROR(INDEX(Components!$G$4:$G$253,MATCH(F889,Components!$A$4:$A$253,0)),"")&lt;&gt;"",IFERROR(INDEX(Components!$G$4:$G$253,MATCH(F889,Components!$A$4:$A$253,0)),"")&lt;&gt;C889),"Component owned by another AIR-ID",IF(AND(M889="Confirmed",OR(IF(B889="UC",COUNTIFS('Use cases'!$A$4:$A$253,C889,'Use cases'!$I$4:$I$253,"Confirmed",'Use cases'!$J$4:$J$253,"OK — verify source"),IF(B889="CAP",COUNTIFS(Capabilities!$A$4:$A$253,C889,Capabilities!$J$4:$J$253,"Confirmed",Capabilities!$K$4:$K$253,"OK — verify source"),IF(B889="AIR",COUNTIFS('System map'!$A$4:$A$203,C889,'System map'!$B$4:$B$203,"&lt;&gt;",'System map'!$C$4:$C$203,"&lt;&gt;",'System map'!$D$4:$D$203,"&lt;&gt;"),COUNTIFS(Components!$A$4:$A$253,C889,Components!$B$4:$B$253,B889,Components!$K$4:$K$253,"Confirmed",Components!$L$4:$L$253,"OK — verify source"))))&lt;&gt;1,IF(E889="UC",COUNTIFS('Use cases'!$A$4:$A$253,F889,'Use cases'!$I$4:$I$253,"Confirmed",'Use cases'!$J$4:$J$253,"OK — verify source"),IF(E889="CAP",COUNTIFS(Capabilities!$A$4:$A$253,F889,Capabilities!$J$4:$J$253,"Confirmed",Capabilities!$K$4:$K$253,"OK — verify source"),IF(E889="AIR",COUNTIFS('System map'!$A$4:$A$203,F889,'System map'!$B$4:$B$203,"&lt;&gt;",'System map'!$C$4:$C$203,"&lt;&gt;",'System map'!$D$4:$D$203,"&lt;&gt;"),COUNTIFS(Components!$A$4:$A$253,F889,Components!$B$4:$B$253,E889,Components!$K$4:$K$253,"Confirmed",Components!$L$4:$L$253,"OK — verify source"))))&lt;&gt;1)),"Endpoint not source-reconciled",IF(AND(M889="Confirmed",OR(L889="",K889="",K889="Unknown",K889="Low")),"Confirmed link lacks verification","OK — verify source"))))))))))))))</f>
        <v/>
      </c>
    </row>
    <row r="890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6" t="n"/>
      <c r="M890" s="25" t="n"/>
      <c r="N890" s="25">
        <f>IF(COUNTA(A890:M890)=0,"",IF(OR(A890="",B890="",C890="",D890="",E890="",F890="",I890="",J890="",K890="",M890=""),"Required link detail missing",IF(COUNTIF($A$4:$A$1003,A890)&gt;1,"Duplicate Map Edge ID",IF(NOT(OR(AND(B890="UC",E890="CAP",D890="requires"),AND(B890="CAP",E890="AIR",D890="provided by"),AND(B890="AIR",OR(E890="MOD",E890="DATA",E890="IF",E890="AG",E890="TOOL"),D890="references"),AND(B890="AIR",E890="AIR",D890="depends on"))),"Invalid relationship",IF(AND(M890&lt;&gt;"Superseded",COUNTIFS($B$4:$B$1003,B890,$C$4:$C$1003,C890,$D$4:$D$1003,D890,$E$4:$E$1003,E890,$F$4:$F$1003,F890,$G$4:$G$1003,G890,$M$4:$M$1003,"&lt;&gt;Superseded")&gt;1),"Duplicate relationship",IF(OR(IF(B890="UC",COUNTIF('Use cases'!$A$4:$A$253,C890),IF(B890="CAP",COUNTIF(Capabilities!$A$4:$A$253,C890),IF(B890="AIR",COUNTIF('System map'!$A$4:$A$203,C890),COUNTIFS(Components!$A$4:$A$253,C890,Components!$B$4:$B$253,B890))))&lt;&gt;1,IF(E890="UC",COUNTIF('Use cases'!$A$4:$A$253,F890),IF(E890="CAP",COUNTIF(Capabilities!$A$4:$A$253,F890),IF(E890="AIR",COUNTIF('System map'!$A$4:$A$203,F890),COUNTIFS(Components!$A$4:$A$253,F890,Components!$B$4:$B$253,E890))))&lt;&gt;1),"Endpoint missing or duplicated",IF(AND(NOT(AND(B890="UC",E890="CAP")),OR(G890="",COUNTIF('System map'!$A$4:$A$203,G890)&lt;&gt;1)),"AIR context missing / unknown",IF(AND(B890="CAP",E890="AIR",G890&lt;&gt;F890),"AIR context mismatch",IF(AND(B890="AIR",G890&lt;&gt;C890),"AIR context mismatch",IF(AND(B890="AIR",E890="AIR",C890=F890),"Self-dependency",IF(AND(B890="AIR",E890="AIR",M890&lt;&gt;"Superseded",COUNTIFS($B$4:$B$1003,"AIR",$C$4:$C$1003,F890,$E$4:$E$1003,"AIR",$F$4:$F$1003,C890,$M$4:$M$1003,"&lt;&gt;Superseded")&gt;0),"Dependency cycle (A↔B) — review",IF(AND(B890="AIR",OR(E890="MOD",E890="DATA",E890="IF",E890="AG",E890="TOOL"),IFERROR(INDEX(Components!$G$4:$G$253,MATCH(F890,Components!$A$4:$A$253,0)),"")&lt;&gt;"",IFERROR(INDEX(Components!$G$4:$G$253,MATCH(F890,Components!$A$4:$A$253,0)),"")&lt;&gt;C890),"Component owned by another AIR-ID",IF(AND(M890="Confirmed",OR(IF(B890="UC",COUNTIFS('Use cases'!$A$4:$A$253,C890,'Use cases'!$I$4:$I$253,"Confirmed",'Use cases'!$J$4:$J$253,"OK — verify source"),IF(B890="CAP",COUNTIFS(Capabilities!$A$4:$A$253,C890,Capabilities!$J$4:$J$253,"Confirmed",Capabilities!$K$4:$K$253,"OK — verify source"),IF(B890="AIR",COUNTIFS('System map'!$A$4:$A$203,C890,'System map'!$B$4:$B$203,"&lt;&gt;",'System map'!$C$4:$C$203,"&lt;&gt;",'System map'!$D$4:$D$203,"&lt;&gt;"),COUNTIFS(Components!$A$4:$A$253,C890,Components!$B$4:$B$253,B890,Components!$K$4:$K$253,"Confirmed",Components!$L$4:$L$253,"OK — verify source"))))&lt;&gt;1,IF(E890="UC",COUNTIFS('Use cases'!$A$4:$A$253,F890,'Use cases'!$I$4:$I$253,"Confirmed",'Use cases'!$J$4:$J$253,"OK — verify source"),IF(E890="CAP",COUNTIFS(Capabilities!$A$4:$A$253,F890,Capabilities!$J$4:$J$253,"Confirmed",Capabilities!$K$4:$K$253,"OK — verify source"),IF(E890="AIR",COUNTIFS('System map'!$A$4:$A$203,F890,'System map'!$B$4:$B$203,"&lt;&gt;",'System map'!$C$4:$C$203,"&lt;&gt;",'System map'!$D$4:$D$203,"&lt;&gt;"),COUNTIFS(Components!$A$4:$A$253,F890,Components!$B$4:$B$253,E890,Components!$K$4:$K$253,"Confirmed",Components!$L$4:$L$253,"OK — verify source"))))&lt;&gt;1)),"Endpoint not source-reconciled",IF(AND(M890="Confirmed",OR(L890="",K890="",K890="Unknown",K890="Low")),"Confirmed link lacks verification","OK — verify source"))))))))))))))</f>
        <v/>
      </c>
    </row>
    <row r="891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8" t="n"/>
      <c r="M891" s="27" t="n"/>
      <c r="N891" s="27">
        <f>IF(COUNTA(A891:M891)=0,"",IF(OR(A891="",B891="",C891="",D891="",E891="",F891="",I891="",J891="",K891="",M891=""),"Required link detail missing",IF(COUNTIF($A$4:$A$1003,A891)&gt;1,"Duplicate Map Edge ID",IF(NOT(OR(AND(B891="UC",E891="CAP",D891="requires"),AND(B891="CAP",E891="AIR",D891="provided by"),AND(B891="AIR",OR(E891="MOD",E891="DATA",E891="IF",E891="AG",E891="TOOL"),D891="references"),AND(B891="AIR",E891="AIR",D891="depends on"))),"Invalid relationship",IF(AND(M891&lt;&gt;"Superseded",COUNTIFS($B$4:$B$1003,B891,$C$4:$C$1003,C891,$D$4:$D$1003,D891,$E$4:$E$1003,E891,$F$4:$F$1003,F891,$G$4:$G$1003,G891,$M$4:$M$1003,"&lt;&gt;Superseded")&gt;1),"Duplicate relationship",IF(OR(IF(B891="UC",COUNTIF('Use cases'!$A$4:$A$253,C891),IF(B891="CAP",COUNTIF(Capabilities!$A$4:$A$253,C891),IF(B891="AIR",COUNTIF('System map'!$A$4:$A$203,C891),COUNTIFS(Components!$A$4:$A$253,C891,Components!$B$4:$B$253,B891))))&lt;&gt;1,IF(E891="UC",COUNTIF('Use cases'!$A$4:$A$253,F891),IF(E891="CAP",COUNTIF(Capabilities!$A$4:$A$253,F891),IF(E891="AIR",COUNTIF('System map'!$A$4:$A$203,F891),COUNTIFS(Components!$A$4:$A$253,F891,Components!$B$4:$B$253,E891))))&lt;&gt;1),"Endpoint missing or duplicated",IF(AND(NOT(AND(B891="UC",E891="CAP")),OR(G891="",COUNTIF('System map'!$A$4:$A$203,G891)&lt;&gt;1)),"AIR context missing / unknown",IF(AND(B891="CAP",E891="AIR",G891&lt;&gt;F891),"AIR context mismatch",IF(AND(B891="AIR",G891&lt;&gt;C891),"AIR context mismatch",IF(AND(B891="AIR",E891="AIR",C891=F891),"Self-dependency",IF(AND(B891="AIR",E891="AIR",M891&lt;&gt;"Superseded",COUNTIFS($B$4:$B$1003,"AIR",$C$4:$C$1003,F891,$E$4:$E$1003,"AIR",$F$4:$F$1003,C891,$M$4:$M$1003,"&lt;&gt;Superseded")&gt;0),"Dependency cycle (A↔B) — review",IF(AND(B891="AIR",OR(E891="MOD",E891="DATA",E891="IF",E891="AG",E891="TOOL"),IFERROR(INDEX(Components!$G$4:$G$253,MATCH(F891,Components!$A$4:$A$253,0)),"")&lt;&gt;"",IFERROR(INDEX(Components!$G$4:$G$253,MATCH(F891,Components!$A$4:$A$253,0)),"")&lt;&gt;C891),"Component owned by another AIR-ID",IF(AND(M891="Confirmed",OR(IF(B891="UC",COUNTIFS('Use cases'!$A$4:$A$253,C891,'Use cases'!$I$4:$I$253,"Confirmed",'Use cases'!$J$4:$J$253,"OK — verify source"),IF(B891="CAP",COUNTIFS(Capabilities!$A$4:$A$253,C891,Capabilities!$J$4:$J$253,"Confirmed",Capabilities!$K$4:$K$253,"OK — verify source"),IF(B891="AIR",COUNTIFS('System map'!$A$4:$A$203,C891,'System map'!$B$4:$B$203,"&lt;&gt;",'System map'!$C$4:$C$203,"&lt;&gt;",'System map'!$D$4:$D$203,"&lt;&gt;"),COUNTIFS(Components!$A$4:$A$253,C891,Components!$B$4:$B$253,B891,Components!$K$4:$K$253,"Confirmed",Components!$L$4:$L$253,"OK — verify source"))))&lt;&gt;1,IF(E891="UC",COUNTIFS('Use cases'!$A$4:$A$253,F891,'Use cases'!$I$4:$I$253,"Confirmed",'Use cases'!$J$4:$J$253,"OK — verify source"),IF(E891="CAP",COUNTIFS(Capabilities!$A$4:$A$253,F891,Capabilities!$J$4:$J$253,"Confirmed",Capabilities!$K$4:$K$253,"OK — verify source"),IF(E891="AIR",COUNTIFS('System map'!$A$4:$A$203,F891,'System map'!$B$4:$B$203,"&lt;&gt;",'System map'!$C$4:$C$203,"&lt;&gt;",'System map'!$D$4:$D$203,"&lt;&gt;"),COUNTIFS(Components!$A$4:$A$253,F891,Components!$B$4:$B$253,E891,Components!$K$4:$K$253,"Confirmed",Components!$L$4:$L$253,"OK — verify source"))))&lt;&gt;1)),"Endpoint not source-reconciled",IF(AND(M891="Confirmed",OR(L891="",K891="",K891="Unknown",K891="Low")),"Confirmed link lacks verification","OK — verify source"))))))))))))))</f>
        <v/>
      </c>
    </row>
    <row r="892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6" t="n"/>
      <c r="M892" s="25" t="n"/>
      <c r="N892" s="25">
        <f>IF(COUNTA(A892:M892)=0,"",IF(OR(A892="",B892="",C892="",D892="",E892="",F892="",I892="",J892="",K892="",M892=""),"Required link detail missing",IF(COUNTIF($A$4:$A$1003,A892)&gt;1,"Duplicate Map Edge ID",IF(NOT(OR(AND(B892="UC",E892="CAP",D892="requires"),AND(B892="CAP",E892="AIR",D892="provided by"),AND(B892="AIR",OR(E892="MOD",E892="DATA",E892="IF",E892="AG",E892="TOOL"),D892="references"),AND(B892="AIR",E892="AIR",D892="depends on"))),"Invalid relationship",IF(AND(M892&lt;&gt;"Superseded",COUNTIFS($B$4:$B$1003,B892,$C$4:$C$1003,C892,$D$4:$D$1003,D892,$E$4:$E$1003,E892,$F$4:$F$1003,F892,$G$4:$G$1003,G892,$M$4:$M$1003,"&lt;&gt;Superseded")&gt;1),"Duplicate relationship",IF(OR(IF(B892="UC",COUNTIF('Use cases'!$A$4:$A$253,C892),IF(B892="CAP",COUNTIF(Capabilities!$A$4:$A$253,C892),IF(B892="AIR",COUNTIF('System map'!$A$4:$A$203,C892),COUNTIFS(Components!$A$4:$A$253,C892,Components!$B$4:$B$253,B892))))&lt;&gt;1,IF(E892="UC",COUNTIF('Use cases'!$A$4:$A$253,F892),IF(E892="CAP",COUNTIF(Capabilities!$A$4:$A$253,F892),IF(E892="AIR",COUNTIF('System map'!$A$4:$A$203,F892),COUNTIFS(Components!$A$4:$A$253,F892,Components!$B$4:$B$253,E892))))&lt;&gt;1),"Endpoint missing or duplicated",IF(AND(NOT(AND(B892="UC",E892="CAP")),OR(G892="",COUNTIF('System map'!$A$4:$A$203,G892)&lt;&gt;1)),"AIR context missing / unknown",IF(AND(B892="CAP",E892="AIR",G892&lt;&gt;F892),"AIR context mismatch",IF(AND(B892="AIR",G892&lt;&gt;C892),"AIR context mismatch",IF(AND(B892="AIR",E892="AIR",C892=F892),"Self-dependency",IF(AND(B892="AIR",E892="AIR",M892&lt;&gt;"Superseded",COUNTIFS($B$4:$B$1003,"AIR",$C$4:$C$1003,F892,$E$4:$E$1003,"AIR",$F$4:$F$1003,C892,$M$4:$M$1003,"&lt;&gt;Superseded")&gt;0),"Dependency cycle (A↔B) — review",IF(AND(B892="AIR",OR(E892="MOD",E892="DATA",E892="IF",E892="AG",E892="TOOL"),IFERROR(INDEX(Components!$G$4:$G$253,MATCH(F892,Components!$A$4:$A$253,0)),"")&lt;&gt;"",IFERROR(INDEX(Components!$G$4:$G$253,MATCH(F892,Components!$A$4:$A$253,0)),"")&lt;&gt;C892),"Component owned by another AIR-ID",IF(AND(M892="Confirmed",OR(IF(B892="UC",COUNTIFS('Use cases'!$A$4:$A$253,C892,'Use cases'!$I$4:$I$253,"Confirmed",'Use cases'!$J$4:$J$253,"OK — verify source"),IF(B892="CAP",COUNTIFS(Capabilities!$A$4:$A$253,C892,Capabilities!$J$4:$J$253,"Confirmed",Capabilities!$K$4:$K$253,"OK — verify source"),IF(B892="AIR",COUNTIFS('System map'!$A$4:$A$203,C892,'System map'!$B$4:$B$203,"&lt;&gt;",'System map'!$C$4:$C$203,"&lt;&gt;",'System map'!$D$4:$D$203,"&lt;&gt;"),COUNTIFS(Components!$A$4:$A$253,C892,Components!$B$4:$B$253,B892,Components!$K$4:$K$253,"Confirmed",Components!$L$4:$L$253,"OK — verify source"))))&lt;&gt;1,IF(E892="UC",COUNTIFS('Use cases'!$A$4:$A$253,F892,'Use cases'!$I$4:$I$253,"Confirmed",'Use cases'!$J$4:$J$253,"OK — verify source"),IF(E892="CAP",COUNTIFS(Capabilities!$A$4:$A$253,F892,Capabilities!$J$4:$J$253,"Confirmed",Capabilities!$K$4:$K$253,"OK — verify source"),IF(E892="AIR",COUNTIFS('System map'!$A$4:$A$203,F892,'System map'!$B$4:$B$203,"&lt;&gt;",'System map'!$C$4:$C$203,"&lt;&gt;",'System map'!$D$4:$D$203,"&lt;&gt;"),COUNTIFS(Components!$A$4:$A$253,F892,Components!$B$4:$B$253,E892,Components!$K$4:$K$253,"Confirmed",Components!$L$4:$L$253,"OK — verify source"))))&lt;&gt;1)),"Endpoint not source-reconciled",IF(AND(M892="Confirmed",OR(L892="",K892="",K892="Unknown",K892="Low")),"Confirmed link lacks verification","OK — verify source"))))))))))))))</f>
        <v/>
      </c>
    </row>
    <row r="893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8" t="n"/>
      <c r="M893" s="27" t="n"/>
      <c r="N893" s="27">
        <f>IF(COUNTA(A893:M893)=0,"",IF(OR(A893="",B893="",C893="",D893="",E893="",F893="",I893="",J893="",K893="",M893=""),"Required link detail missing",IF(COUNTIF($A$4:$A$1003,A893)&gt;1,"Duplicate Map Edge ID",IF(NOT(OR(AND(B893="UC",E893="CAP",D893="requires"),AND(B893="CAP",E893="AIR",D893="provided by"),AND(B893="AIR",OR(E893="MOD",E893="DATA",E893="IF",E893="AG",E893="TOOL"),D893="references"),AND(B893="AIR",E893="AIR",D893="depends on"))),"Invalid relationship",IF(AND(M893&lt;&gt;"Superseded",COUNTIFS($B$4:$B$1003,B893,$C$4:$C$1003,C893,$D$4:$D$1003,D893,$E$4:$E$1003,E893,$F$4:$F$1003,F893,$G$4:$G$1003,G893,$M$4:$M$1003,"&lt;&gt;Superseded")&gt;1),"Duplicate relationship",IF(OR(IF(B893="UC",COUNTIF('Use cases'!$A$4:$A$253,C893),IF(B893="CAP",COUNTIF(Capabilities!$A$4:$A$253,C893),IF(B893="AIR",COUNTIF('System map'!$A$4:$A$203,C893),COUNTIFS(Components!$A$4:$A$253,C893,Components!$B$4:$B$253,B893))))&lt;&gt;1,IF(E893="UC",COUNTIF('Use cases'!$A$4:$A$253,F893),IF(E893="CAP",COUNTIF(Capabilities!$A$4:$A$253,F893),IF(E893="AIR",COUNTIF('System map'!$A$4:$A$203,F893),COUNTIFS(Components!$A$4:$A$253,F893,Components!$B$4:$B$253,E893))))&lt;&gt;1),"Endpoint missing or duplicated",IF(AND(NOT(AND(B893="UC",E893="CAP")),OR(G893="",COUNTIF('System map'!$A$4:$A$203,G893)&lt;&gt;1)),"AIR context missing / unknown",IF(AND(B893="CAP",E893="AIR",G893&lt;&gt;F893),"AIR context mismatch",IF(AND(B893="AIR",G893&lt;&gt;C893),"AIR context mismatch",IF(AND(B893="AIR",E893="AIR",C893=F893),"Self-dependency",IF(AND(B893="AIR",E893="AIR",M893&lt;&gt;"Superseded",COUNTIFS($B$4:$B$1003,"AIR",$C$4:$C$1003,F893,$E$4:$E$1003,"AIR",$F$4:$F$1003,C893,$M$4:$M$1003,"&lt;&gt;Superseded")&gt;0),"Dependency cycle (A↔B) — review",IF(AND(B893="AIR",OR(E893="MOD",E893="DATA",E893="IF",E893="AG",E893="TOOL"),IFERROR(INDEX(Components!$G$4:$G$253,MATCH(F893,Components!$A$4:$A$253,0)),"")&lt;&gt;"",IFERROR(INDEX(Components!$G$4:$G$253,MATCH(F893,Components!$A$4:$A$253,0)),"")&lt;&gt;C893),"Component owned by another AIR-ID",IF(AND(M893="Confirmed",OR(IF(B893="UC",COUNTIFS('Use cases'!$A$4:$A$253,C893,'Use cases'!$I$4:$I$253,"Confirmed",'Use cases'!$J$4:$J$253,"OK — verify source"),IF(B893="CAP",COUNTIFS(Capabilities!$A$4:$A$253,C893,Capabilities!$J$4:$J$253,"Confirmed",Capabilities!$K$4:$K$253,"OK — verify source"),IF(B893="AIR",COUNTIFS('System map'!$A$4:$A$203,C893,'System map'!$B$4:$B$203,"&lt;&gt;",'System map'!$C$4:$C$203,"&lt;&gt;",'System map'!$D$4:$D$203,"&lt;&gt;"),COUNTIFS(Components!$A$4:$A$253,C893,Components!$B$4:$B$253,B893,Components!$K$4:$K$253,"Confirmed",Components!$L$4:$L$253,"OK — verify source"))))&lt;&gt;1,IF(E893="UC",COUNTIFS('Use cases'!$A$4:$A$253,F893,'Use cases'!$I$4:$I$253,"Confirmed",'Use cases'!$J$4:$J$253,"OK — verify source"),IF(E893="CAP",COUNTIFS(Capabilities!$A$4:$A$253,F893,Capabilities!$J$4:$J$253,"Confirmed",Capabilities!$K$4:$K$253,"OK — verify source"),IF(E893="AIR",COUNTIFS('System map'!$A$4:$A$203,F893,'System map'!$B$4:$B$203,"&lt;&gt;",'System map'!$C$4:$C$203,"&lt;&gt;",'System map'!$D$4:$D$203,"&lt;&gt;"),COUNTIFS(Components!$A$4:$A$253,F893,Components!$B$4:$B$253,E893,Components!$K$4:$K$253,"Confirmed",Components!$L$4:$L$253,"OK — verify source"))))&lt;&gt;1)),"Endpoint not source-reconciled",IF(AND(M893="Confirmed",OR(L893="",K893="",K893="Unknown",K893="Low")),"Confirmed link lacks verification","OK — verify source"))))))))))))))</f>
        <v/>
      </c>
    </row>
    <row r="89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6" t="n"/>
      <c r="M894" s="25" t="n"/>
      <c r="N894" s="25">
        <f>IF(COUNTA(A894:M894)=0,"",IF(OR(A894="",B894="",C894="",D894="",E894="",F894="",I894="",J894="",K894="",M894=""),"Required link detail missing",IF(COUNTIF($A$4:$A$1003,A894)&gt;1,"Duplicate Map Edge ID",IF(NOT(OR(AND(B894="UC",E894="CAP",D894="requires"),AND(B894="CAP",E894="AIR",D894="provided by"),AND(B894="AIR",OR(E894="MOD",E894="DATA",E894="IF",E894="AG",E894="TOOL"),D894="references"),AND(B894="AIR",E894="AIR",D894="depends on"))),"Invalid relationship",IF(AND(M894&lt;&gt;"Superseded",COUNTIFS($B$4:$B$1003,B894,$C$4:$C$1003,C894,$D$4:$D$1003,D894,$E$4:$E$1003,E894,$F$4:$F$1003,F894,$G$4:$G$1003,G894,$M$4:$M$1003,"&lt;&gt;Superseded")&gt;1),"Duplicate relationship",IF(OR(IF(B894="UC",COUNTIF('Use cases'!$A$4:$A$253,C894),IF(B894="CAP",COUNTIF(Capabilities!$A$4:$A$253,C894),IF(B894="AIR",COUNTIF('System map'!$A$4:$A$203,C894),COUNTIFS(Components!$A$4:$A$253,C894,Components!$B$4:$B$253,B894))))&lt;&gt;1,IF(E894="UC",COUNTIF('Use cases'!$A$4:$A$253,F894),IF(E894="CAP",COUNTIF(Capabilities!$A$4:$A$253,F894),IF(E894="AIR",COUNTIF('System map'!$A$4:$A$203,F894),COUNTIFS(Components!$A$4:$A$253,F894,Components!$B$4:$B$253,E894))))&lt;&gt;1),"Endpoint missing or duplicated",IF(AND(NOT(AND(B894="UC",E894="CAP")),OR(G894="",COUNTIF('System map'!$A$4:$A$203,G894)&lt;&gt;1)),"AIR context missing / unknown",IF(AND(B894="CAP",E894="AIR",G894&lt;&gt;F894),"AIR context mismatch",IF(AND(B894="AIR",G894&lt;&gt;C894),"AIR context mismatch",IF(AND(B894="AIR",E894="AIR",C894=F894),"Self-dependency",IF(AND(B894="AIR",E894="AIR",M894&lt;&gt;"Superseded",COUNTIFS($B$4:$B$1003,"AIR",$C$4:$C$1003,F894,$E$4:$E$1003,"AIR",$F$4:$F$1003,C894,$M$4:$M$1003,"&lt;&gt;Superseded")&gt;0),"Dependency cycle (A↔B) — review",IF(AND(B894="AIR",OR(E894="MOD",E894="DATA",E894="IF",E894="AG",E894="TOOL"),IFERROR(INDEX(Components!$G$4:$G$253,MATCH(F894,Components!$A$4:$A$253,0)),"")&lt;&gt;"",IFERROR(INDEX(Components!$G$4:$G$253,MATCH(F894,Components!$A$4:$A$253,0)),"")&lt;&gt;C894),"Component owned by another AIR-ID",IF(AND(M894="Confirmed",OR(IF(B894="UC",COUNTIFS('Use cases'!$A$4:$A$253,C894,'Use cases'!$I$4:$I$253,"Confirmed",'Use cases'!$J$4:$J$253,"OK — verify source"),IF(B894="CAP",COUNTIFS(Capabilities!$A$4:$A$253,C894,Capabilities!$J$4:$J$253,"Confirmed",Capabilities!$K$4:$K$253,"OK — verify source"),IF(B894="AIR",COUNTIFS('System map'!$A$4:$A$203,C894,'System map'!$B$4:$B$203,"&lt;&gt;",'System map'!$C$4:$C$203,"&lt;&gt;",'System map'!$D$4:$D$203,"&lt;&gt;"),COUNTIFS(Components!$A$4:$A$253,C894,Components!$B$4:$B$253,B894,Components!$K$4:$K$253,"Confirmed",Components!$L$4:$L$253,"OK — verify source"))))&lt;&gt;1,IF(E894="UC",COUNTIFS('Use cases'!$A$4:$A$253,F894,'Use cases'!$I$4:$I$253,"Confirmed",'Use cases'!$J$4:$J$253,"OK — verify source"),IF(E894="CAP",COUNTIFS(Capabilities!$A$4:$A$253,F894,Capabilities!$J$4:$J$253,"Confirmed",Capabilities!$K$4:$K$253,"OK — verify source"),IF(E894="AIR",COUNTIFS('System map'!$A$4:$A$203,F894,'System map'!$B$4:$B$203,"&lt;&gt;",'System map'!$C$4:$C$203,"&lt;&gt;",'System map'!$D$4:$D$203,"&lt;&gt;"),COUNTIFS(Components!$A$4:$A$253,F894,Components!$B$4:$B$253,E894,Components!$K$4:$K$253,"Confirmed",Components!$L$4:$L$253,"OK — verify source"))))&lt;&gt;1)),"Endpoint not source-reconciled",IF(AND(M894="Confirmed",OR(L894="",K894="",K894="Unknown",K894="Low")),"Confirmed link lacks verification","OK — verify source"))))))))))))))</f>
        <v/>
      </c>
    </row>
    <row r="895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8" t="n"/>
      <c r="M895" s="27" t="n"/>
      <c r="N895" s="27">
        <f>IF(COUNTA(A895:M895)=0,"",IF(OR(A895="",B895="",C895="",D895="",E895="",F895="",I895="",J895="",K895="",M895=""),"Required link detail missing",IF(COUNTIF($A$4:$A$1003,A895)&gt;1,"Duplicate Map Edge ID",IF(NOT(OR(AND(B895="UC",E895="CAP",D895="requires"),AND(B895="CAP",E895="AIR",D895="provided by"),AND(B895="AIR",OR(E895="MOD",E895="DATA",E895="IF",E895="AG",E895="TOOL"),D895="references"),AND(B895="AIR",E895="AIR",D895="depends on"))),"Invalid relationship",IF(AND(M895&lt;&gt;"Superseded",COUNTIFS($B$4:$B$1003,B895,$C$4:$C$1003,C895,$D$4:$D$1003,D895,$E$4:$E$1003,E895,$F$4:$F$1003,F895,$G$4:$G$1003,G895,$M$4:$M$1003,"&lt;&gt;Superseded")&gt;1),"Duplicate relationship",IF(OR(IF(B895="UC",COUNTIF('Use cases'!$A$4:$A$253,C895),IF(B895="CAP",COUNTIF(Capabilities!$A$4:$A$253,C895),IF(B895="AIR",COUNTIF('System map'!$A$4:$A$203,C895),COUNTIFS(Components!$A$4:$A$253,C895,Components!$B$4:$B$253,B895))))&lt;&gt;1,IF(E895="UC",COUNTIF('Use cases'!$A$4:$A$253,F895),IF(E895="CAP",COUNTIF(Capabilities!$A$4:$A$253,F895),IF(E895="AIR",COUNTIF('System map'!$A$4:$A$203,F895),COUNTIFS(Components!$A$4:$A$253,F895,Components!$B$4:$B$253,E895))))&lt;&gt;1),"Endpoint missing or duplicated",IF(AND(NOT(AND(B895="UC",E895="CAP")),OR(G895="",COUNTIF('System map'!$A$4:$A$203,G895)&lt;&gt;1)),"AIR context missing / unknown",IF(AND(B895="CAP",E895="AIR",G895&lt;&gt;F895),"AIR context mismatch",IF(AND(B895="AIR",G895&lt;&gt;C895),"AIR context mismatch",IF(AND(B895="AIR",E895="AIR",C895=F895),"Self-dependency",IF(AND(B895="AIR",E895="AIR",M895&lt;&gt;"Superseded",COUNTIFS($B$4:$B$1003,"AIR",$C$4:$C$1003,F895,$E$4:$E$1003,"AIR",$F$4:$F$1003,C895,$M$4:$M$1003,"&lt;&gt;Superseded")&gt;0),"Dependency cycle (A↔B) — review",IF(AND(B895="AIR",OR(E895="MOD",E895="DATA",E895="IF",E895="AG",E895="TOOL"),IFERROR(INDEX(Components!$G$4:$G$253,MATCH(F895,Components!$A$4:$A$253,0)),"")&lt;&gt;"",IFERROR(INDEX(Components!$G$4:$G$253,MATCH(F895,Components!$A$4:$A$253,0)),"")&lt;&gt;C895),"Component owned by another AIR-ID",IF(AND(M895="Confirmed",OR(IF(B895="UC",COUNTIFS('Use cases'!$A$4:$A$253,C895,'Use cases'!$I$4:$I$253,"Confirmed",'Use cases'!$J$4:$J$253,"OK — verify source"),IF(B895="CAP",COUNTIFS(Capabilities!$A$4:$A$253,C895,Capabilities!$J$4:$J$253,"Confirmed",Capabilities!$K$4:$K$253,"OK — verify source"),IF(B895="AIR",COUNTIFS('System map'!$A$4:$A$203,C895,'System map'!$B$4:$B$203,"&lt;&gt;",'System map'!$C$4:$C$203,"&lt;&gt;",'System map'!$D$4:$D$203,"&lt;&gt;"),COUNTIFS(Components!$A$4:$A$253,C895,Components!$B$4:$B$253,B895,Components!$K$4:$K$253,"Confirmed",Components!$L$4:$L$253,"OK — verify source"))))&lt;&gt;1,IF(E895="UC",COUNTIFS('Use cases'!$A$4:$A$253,F895,'Use cases'!$I$4:$I$253,"Confirmed",'Use cases'!$J$4:$J$253,"OK — verify source"),IF(E895="CAP",COUNTIFS(Capabilities!$A$4:$A$253,F895,Capabilities!$J$4:$J$253,"Confirmed",Capabilities!$K$4:$K$253,"OK — verify source"),IF(E895="AIR",COUNTIFS('System map'!$A$4:$A$203,F895,'System map'!$B$4:$B$203,"&lt;&gt;",'System map'!$C$4:$C$203,"&lt;&gt;",'System map'!$D$4:$D$203,"&lt;&gt;"),COUNTIFS(Components!$A$4:$A$253,F895,Components!$B$4:$B$253,E895,Components!$K$4:$K$253,"Confirmed",Components!$L$4:$L$253,"OK — verify source"))))&lt;&gt;1)),"Endpoint not source-reconciled",IF(AND(M895="Confirmed",OR(L895="",K895="",K895="Unknown",K895="Low")),"Confirmed link lacks verification","OK — verify source"))))))))))))))</f>
        <v/>
      </c>
    </row>
    <row r="896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6" t="n"/>
      <c r="M896" s="25" t="n"/>
      <c r="N896" s="25">
        <f>IF(COUNTA(A896:M896)=0,"",IF(OR(A896="",B896="",C896="",D896="",E896="",F896="",I896="",J896="",K896="",M896=""),"Required link detail missing",IF(COUNTIF($A$4:$A$1003,A896)&gt;1,"Duplicate Map Edge ID",IF(NOT(OR(AND(B896="UC",E896="CAP",D896="requires"),AND(B896="CAP",E896="AIR",D896="provided by"),AND(B896="AIR",OR(E896="MOD",E896="DATA",E896="IF",E896="AG",E896="TOOL"),D896="references"),AND(B896="AIR",E896="AIR",D896="depends on"))),"Invalid relationship",IF(AND(M896&lt;&gt;"Superseded",COUNTIFS($B$4:$B$1003,B896,$C$4:$C$1003,C896,$D$4:$D$1003,D896,$E$4:$E$1003,E896,$F$4:$F$1003,F896,$G$4:$G$1003,G896,$M$4:$M$1003,"&lt;&gt;Superseded")&gt;1),"Duplicate relationship",IF(OR(IF(B896="UC",COUNTIF('Use cases'!$A$4:$A$253,C896),IF(B896="CAP",COUNTIF(Capabilities!$A$4:$A$253,C896),IF(B896="AIR",COUNTIF('System map'!$A$4:$A$203,C896),COUNTIFS(Components!$A$4:$A$253,C896,Components!$B$4:$B$253,B896))))&lt;&gt;1,IF(E896="UC",COUNTIF('Use cases'!$A$4:$A$253,F896),IF(E896="CAP",COUNTIF(Capabilities!$A$4:$A$253,F896),IF(E896="AIR",COUNTIF('System map'!$A$4:$A$203,F896),COUNTIFS(Components!$A$4:$A$253,F896,Components!$B$4:$B$253,E896))))&lt;&gt;1),"Endpoint missing or duplicated",IF(AND(NOT(AND(B896="UC",E896="CAP")),OR(G896="",COUNTIF('System map'!$A$4:$A$203,G896)&lt;&gt;1)),"AIR context missing / unknown",IF(AND(B896="CAP",E896="AIR",G896&lt;&gt;F896),"AIR context mismatch",IF(AND(B896="AIR",G896&lt;&gt;C896),"AIR context mismatch",IF(AND(B896="AIR",E896="AIR",C896=F896),"Self-dependency",IF(AND(B896="AIR",E896="AIR",M896&lt;&gt;"Superseded",COUNTIFS($B$4:$B$1003,"AIR",$C$4:$C$1003,F896,$E$4:$E$1003,"AIR",$F$4:$F$1003,C896,$M$4:$M$1003,"&lt;&gt;Superseded")&gt;0),"Dependency cycle (A↔B) — review",IF(AND(B896="AIR",OR(E896="MOD",E896="DATA",E896="IF",E896="AG",E896="TOOL"),IFERROR(INDEX(Components!$G$4:$G$253,MATCH(F896,Components!$A$4:$A$253,0)),"")&lt;&gt;"",IFERROR(INDEX(Components!$G$4:$G$253,MATCH(F896,Components!$A$4:$A$253,0)),"")&lt;&gt;C896),"Component owned by another AIR-ID",IF(AND(M896="Confirmed",OR(IF(B896="UC",COUNTIFS('Use cases'!$A$4:$A$253,C896,'Use cases'!$I$4:$I$253,"Confirmed",'Use cases'!$J$4:$J$253,"OK — verify source"),IF(B896="CAP",COUNTIFS(Capabilities!$A$4:$A$253,C896,Capabilities!$J$4:$J$253,"Confirmed",Capabilities!$K$4:$K$253,"OK — verify source"),IF(B896="AIR",COUNTIFS('System map'!$A$4:$A$203,C896,'System map'!$B$4:$B$203,"&lt;&gt;",'System map'!$C$4:$C$203,"&lt;&gt;",'System map'!$D$4:$D$203,"&lt;&gt;"),COUNTIFS(Components!$A$4:$A$253,C896,Components!$B$4:$B$253,B896,Components!$K$4:$K$253,"Confirmed",Components!$L$4:$L$253,"OK — verify source"))))&lt;&gt;1,IF(E896="UC",COUNTIFS('Use cases'!$A$4:$A$253,F896,'Use cases'!$I$4:$I$253,"Confirmed",'Use cases'!$J$4:$J$253,"OK — verify source"),IF(E896="CAP",COUNTIFS(Capabilities!$A$4:$A$253,F896,Capabilities!$J$4:$J$253,"Confirmed",Capabilities!$K$4:$K$253,"OK — verify source"),IF(E896="AIR",COUNTIFS('System map'!$A$4:$A$203,F896,'System map'!$B$4:$B$203,"&lt;&gt;",'System map'!$C$4:$C$203,"&lt;&gt;",'System map'!$D$4:$D$203,"&lt;&gt;"),COUNTIFS(Components!$A$4:$A$253,F896,Components!$B$4:$B$253,E896,Components!$K$4:$K$253,"Confirmed",Components!$L$4:$L$253,"OK — verify source"))))&lt;&gt;1)),"Endpoint not source-reconciled",IF(AND(M896="Confirmed",OR(L896="",K896="",K896="Unknown",K896="Low")),"Confirmed link lacks verification","OK — verify source"))))))))))))))</f>
        <v/>
      </c>
    </row>
    <row r="897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8" t="n"/>
      <c r="M897" s="27" t="n"/>
      <c r="N897" s="27">
        <f>IF(COUNTA(A897:M897)=0,"",IF(OR(A897="",B897="",C897="",D897="",E897="",F897="",I897="",J897="",K897="",M897=""),"Required link detail missing",IF(COUNTIF($A$4:$A$1003,A897)&gt;1,"Duplicate Map Edge ID",IF(NOT(OR(AND(B897="UC",E897="CAP",D897="requires"),AND(B897="CAP",E897="AIR",D897="provided by"),AND(B897="AIR",OR(E897="MOD",E897="DATA",E897="IF",E897="AG",E897="TOOL"),D897="references"),AND(B897="AIR",E897="AIR",D897="depends on"))),"Invalid relationship",IF(AND(M897&lt;&gt;"Superseded",COUNTIFS($B$4:$B$1003,B897,$C$4:$C$1003,C897,$D$4:$D$1003,D897,$E$4:$E$1003,E897,$F$4:$F$1003,F897,$G$4:$G$1003,G897,$M$4:$M$1003,"&lt;&gt;Superseded")&gt;1),"Duplicate relationship",IF(OR(IF(B897="UC",COUNTIF('Use cases'!$A$4:$A$253,C897),IF(B897="CAP",COUNTIF(Capabilities!$A$4:$A$253,C897),IF(B897="AIR",COUNTIF('System map'!$A$4:$A$203,C897),COUNTIFS(Components!$A$4:$A$253,C897,Components!$B$4:$B$253,B897))))&lt;&gt;1,IF(E897="UC",COUNTIF('Use cases'!$A$4:$A$253,F897),IF(E897="CAP",COUNTIF(Capabilities!$A$4:$A$253,F897),IF(E897="AIR",COUNTIF('System map'!$A$4:$A$203,F897),COUNTIFS(Components!$A$4:$A$253,F897,Components!$B$4:$B$253,E897))))&lt;&gt;1),"Endpoint missing or duplicated",IF(AND(NOT(AND(B897="UC",E897="CAP")),OR(G897="",COUNTIF('System map'!$A$4:$A$203,G897)&lt;&gt;1)),"AIR context missing / unknown",IF(AND(B897="CAP",E897="AIR",G897&lt;&gt;F897),"AIR context mismatch",IF(AND(B897="AIR",G897&lt;&gt;C897),"AIR context mismatch",IF(AND(B897="AIR",E897="AIR",C897=F897),"Self-dependency",IF(AND(B897="AIR",E897="AIR",M897&lt;&gt;"Superseded",COUNTIFS($B$4:$B$1003,"AIR",$C$4:$C$1003,F897,$E$4:$E$1003,"AIR",$F$4:$F$1003,C897,$M$4:$M$1003,"&lt;&gt;Superseded")&gt;0),"Dependency cycle (A↔B) — review",IF(AND(B897="AIR",OR(E897="MOD",E897="DATA",E897="IF",E897="AG",E897="TOOL"),IFERROR(INDEX(Components!$G$4:$G$253,MATCH(F897,Components!$A$4:$A$253,0)),"")&lt;&gt;"",IFERROR(INDEX(Components!$G$4:$G$253,MATCH(F897,Components!$A$4:$A$253,0)),"")&lt;&gt;C897),"Component owned by another AIR-ID",IF(AND(M897="Confirmed",OR(IF(B897="UC",COUNTIFS('Use cases'!$A$4:$A$253,C897,'Use cases'!$I$4:$I$253,"Confirmed",'Use cases'!$J$4:$J$253,"OK — verify source"),IF(B897="CAP",COUNTIFS(Capabilities!$A$4:$A$253,C897,Capabilities!$J$4:$J$253,"Confirmed",Capabilities!$K$4:$K$253,"OK — verify source"),IF(B897="AIR",COUNTIFS('System map'!$A$4:$A$203,C897,'System map'!$B$4:$B$203,"&lt;&gt;",'System map'!$C$4:$C$203,"&lt;&gt;",'System map'!$D$4:$D$203,"&lt;&gt;"),COUNTIFS(Components!$A$4:$A$253,C897,Components!$B$4:$B$253,B897,Components!$K$4:$K$253,"Confirmed",Components!$L$4:$L$253,"OK — verify source"))))&lt;&gt;1,IF(E897="UC",COUNTIFS('Use cases'!$A$4:$A$253,F897,'Use cases'!$I$4:$I$253,"Confirmed",'Use cases'!$J$4:$J$253,"OK — verify source"),IF(E897="CAP",COUNTIFS(Capabilities!$A$4:$A$253,F897,Capabilities!$J$4:$J$253,"Confirmed",Capabilities!$K$4:$K$253,"OK — verify source"),IF(E897="AIR",COUNTIFS('System map'!$A$4:$A$203,F897,'System map'!$B$4:$B$203,"&lt;&gt;",'System map'!$C$4:$C$203,"&lt;&gt;",'System map'!$D$4:$D$203,"&lt;&gt;"),COUNTIFS(Components!$A$4:$A$253,F897,Components!$B$4:$B$253,E897,Components!$K$4:$K$253,"Confirmed",Components!$L$4:$L$253,"OK — verify source"))))&lt;&gt;1)),"Endpoint not source-reconciled",IF(AND(M897="Confirmed",OR(L897="",K897="",K897="Unknown",K897="Low")),"Confirmed link lacks verification","OK — verify source"))))))))))))))</f>
        <v/>
      </c>
    </row>
    <row r="898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6" t="n"/>
      <c r="M898" s="25" t="n"/>
      <c r="N898" s="25">
        <f>IF(COUNTA(A898:M898)=0,"",IF(OR(A898="",B898="",C898="",D898="",E898="",F898="",I898="",J898="",K898="",M898=""),"Required link detail missing",IF(COUNTIF($A$4:$A$1003,A898)&gt;1,"Duplicate Map Edge ID",IF(NOT(OR(AND(B898="UC",E898="CAP",D898="requires"),AND(B898="CAP",E898="AIR",D898="provided by"),AND(B898="AIR",OR(E898="MOD",E898="DATA",E898="IF",E898="AG",E898="TOOL"),D898="references"),AND(B898="AIR",E898="AIR",D898="depends on"))),"Invalid relationship",IF(AND(M898&lt;&gt;"Superseded",COUNTIFS($B$4:$B$1003,B898,$C$4:$C$1003,C898,$D$4:$D$1003,D898,$E$4:$E$1003,E898,$F$4:$F$1003,F898,$G$4:$G$1003,G898,$M$4:$M$1003,"&lt;&gt;Superseded")&gt;1),"Duplicate relationship",IF(OR(IF(B898="UC",COUNTIF('Use cases'!$A$4:$A$253,C898),IF(B898="CAP",COUNTIF(Capabilities!$A$4:$A$253,C898),IF(B898="AIR",COUNTIF('System map'!$A$4:$A$203,C898),COUNTIFS(Components!$A$4:$A$253,C898,Components!$B$4:$B$253,B898))))&lt;&gt;1,IF(E898="UC",COUNTIF('Use cases'!$A$4:$A$253,F898),IF(E898="CAP",COUNTIF(Capabilities!$A$4:$A$253,F898),IF(E898="AIR",COUNTIF('System map'!$A$4:$A$203,F898),COUNTIFS(Components!$A$4:$A$253,F898,Components!$B$4:$B$253,E898))))&lt;&gt;1),"Endpoint missing or duplicated",IF(AND(NOT(AND(B898="UC",E898="CAP")),OR(G898="",COUNTIF('System map'!$A$4:$A$203,G898)&lt;&gt;1)),"AIR context missing / unknown",IF(AND(B898="CAP",E898="AIR",G898&lt;&gt;F898),"AIR context mismatch",IF(AND(B898="AIR",G898&lt;&gt;C898),"AIR context mismatch",IF(AND(B898="AIR",E898="AIR",C898=F898),"Self-dependency",IF(AND(B898="AIR",E898="AIR",M898&lt;&gt;"Superseded",COUNTIFS($B$4:$B$1003,"AIR",$C$4:$C$1003,F898,$E$4:$E$1003,"AIR",$F$4:$F$1003,C898,$M$4:$M$1003,"&lt;&gt;Superseded")&gt;0),"Dependency cycle (A↔B) — review",IF(AND(B898="AIR",OR(E898="MOD",E898="DATA",E898="IF",E898="AG",E898="TOOL"),IFERROR(INDEX(Components!$G$4:$G$253,MATCH(F898,Components!$A$4:$A$253,0)),"")&lt;&gt;"",IFERROR(INDEX(Components!$G$4:$G$253,MATCH(F898,Components!$A$4:$A$253,0)),"")&lt;&gt;C898),"Component owned by another AIR-ID",IF(AND(M898="Confirmed",OR(IF(B898="UC",COUNTIFS('Use cases'!$A$4:$A$253,C898,'Use cases'!$I$4:$I$253,"Confirmed",'Use cases'!$J$4:$J$253,"OK — verify source"),IF(B898="CAP",COUNTIFS(Capabilities!$A$4:$A$253,C898,Capabilities!$J$4:$J$253,"Confirmed",Capabilities!$K$4:$K$253,"OK — verify source"),IF(B898="AIR",COUNTIFS('System map'!$A$4:$A$203,C898,'System map'!$B$4:$B$203,"&lt;&gt;",'System map'!$C$4:$C$203,"&lt;&gt;",'System map'!$D$4:$D$203,"&lt;&gt;"),COUNTIFS(Components!$A$4:$A$253,C898,Components!$B$4:$B$253,B898,Components!$K$4:$K$253,"Confirmed",Components!$L$4:$L$253,"OK — verify source"))))&lt;&gt;1,IF(E898="UC",COUNTIFS('Use cases'!$A$4:$A$253,F898,'Use cases'!$I$4:$I$253,"Confirmed",'Use cases'!$J$4:$J$253,"OK — verify source"),IF(E898="CAP",COUNTIFS(Capabilities!$A$4:$A$253,F898,Capabilities!$J$4:$J$253,"Confirmed",Capabilities!$K$4:$K$253,"OK — verify source"),IF(E898="AIR",COUNTIFS('System map'!$A$4:$A$203,F898,'System map'!$B$4:$B$203,"&lt;&gt;",'System map'!$C$4:$C$203,"&lt;&gt;",'System map'!$D$4:$D$203,"&lt;&gt;"),COUNTIFS(Components!$A$4:$A$253,F898,Components!$B$4:$B$253,E898,Components!$K$4:$K$253,"Confirmed",Components!$L$4:$L$253,"OK — verify source"))))&lt;&gt;1)),"Endpoint not source-reconciled",IF(AND(M898="Confirmed",OR(L898="",K898="",K898="Unknown",K898="Low")),"Confirmed link lacks verification","OK — verify source"))))))))))))))</f>
        <v/>
      </c>
    </row>
    <row r="899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8" t="n"/>
      <c r="M899" s="27" t="n"/>
      <c r="N899" s="27">
        <f>IF(COUNTA(A899:M899)=0,"",IF(OR(A899="",B899="",C899="",D899="",E899="",F899="",I899="",J899="",K899="",M899=""),"Required link detail missing",IF(COUNTIF($A$4:$A$1003,A899)&gt;1,"Duplicate Map Edge ID",IF(NOT(OR(AND(B899="UC",E899="CAP",D899="requires"),AND(B899="CAP",E899="AIR",D899="provided by"),AND(B899="AIR",OR(E899="MOD",E899="DATA",E899="IF",E899="AG",E899="TOOL"),D899="references"),AND(B899="AIR",E899="AIR",D899="depends on"))),"Invalid relationship",IF(AND(M899&lt;&gt;"Superseded",COUNTIFS($B$4:$B$1003,B899,$C$4:$C$1003,C899,$D$4:$D$1003,D899,$E$4:$E$1003,E899,$F$4:$F$1003,F899,$G$4:$G$1003,G899,$M$4:$M$1003,"&lt;&gt;Superseded")&gt;1),"Duplicate relationship",IF(OR(IF(B899="UC",COUNTIF('Use cases'!$A$4:$A$253,C899),IF(B899="CAP",COUNTIF(Capabilities!$A$4:$A$253,C899),IF(B899="AIR",COUNTIF('System map'!$A$4:$A$203,C899),COUNTIFS(Components!$A$4:$A$253,C899,Components!$B$4:$B$253,B899))))&lt;&gt;1,IF(E899="UC",COUNTIF('Use cases'!$A$4:$A$253,F899),IF(E899="CAP",COUNTIF(Capabilities!$A$4:$A$253,F899),IF(E899="AIR",COUNTIF('System map'!$A$4:$A$203,F899),COUNTIFS(Components!$A$4:$A$253,F899,Components!$B$4:$B$253,E899))))&lt;&gt;1),"Endpoint missing or duplicated",IF(AND(NOT(AND(B899="UC",E899="CAP")),OR(G899="",COUNTIF('System map'!$A$4:$A$203,G899)&lt;&gt;1)),"AIR context missing / unknown",IF(AND(B899="CAP",E899="AIR",G899&lt;&gt;F899),"AIR context mismatch",IF(AND(B899="AIR",G899&lt;&gt;C899),"AIR context mismatch",IF(AND(B899="AIR",E899="AIR",C899=F899),"Self-dependency",IF(AND(B899="AIR",E899="AIR",M899&lt;&gt;"Superseded",COUNTIFS($B$4:$B$1003,"AIR",$C$4:$C$1003,F899,$E$4:$E$1003,"AIR",$F$4:$F$1003,C899,$M$4:$M$1003,"&lt;&gt;Superseded")&gt;0),"Dependency cycle (A↔B) — review",IF(AND(B899="AIR",OR(E899="MOD",E899="DATA",E899="IF",E899="AG",E899="TOOL"),IFERROR(INDEX(Components!$G$4:$G$253,MATCH(F899,Components!$A$4:$A$253,0)),"")&lt;&gt;"",IFERROR(INDEX(Components!$G$4:$G$253,MATCH(F899,Components!$A$4:$A$253,0)),"")&lt;&gt;C899),"Component owned by another AIR-ID",IF(AND(M899="Confirmed",OR(IF(B899="UC",COUNTIFS('Use cases'!$A$4:$A$253,C899,'Use cases'!$I$4:$I$253,"Confirmed",'Use cases'!$J$4:$J$253,"OK — verify source"),IF(B899="CAP",COUNTIFS(Capabilities!$A$4:$A$253,C899,Capabilities!$J$4:$J$253,"Confirmed",Capabilities!$K$4:$K$253,"OK — verify source"),IF(B899="AIR",COUNTIFS('System map'!$A$4:$A$203,C899,'System map'!$B$4:$B$203,"&lt;&gt;",'System map'!$C$4:$C$203,"&lt;&gt;",'System map'!$D$4:$D$203,"&lt;&gt;"),COUNTIFS(Components!$A$4:$A$253,C899,Components!$B$4:$B$253,B899,Components!$K$4:$K$253,"Confirmed",Components!$L$4:$L$253,"OK — verify source"))))&lt;&gt;1,IF(E899="UC",COUNTIFS('Use cases'!$A$4:$A$253,F899,'Use cases'!$I$4:$I$253,"Confirmed",'Use cases'!$J$4:$J$253,"OK — verify source"),IF(E899="CAP",COUNTIFS(Capabilities!$A$4:$A$253,F899,Capabilities!$J$4:$J$253,"Confirmed",Capabilities!$K$4:$K$253,"OK — verify source"),IF(E899="AIR",COUNTIFS('System map'!$A$4:$A$203,F899,'System map'!$B$4:$B$203,"&lt;&gt;",'System map'!$C$4:$C$203,"&lt;&gt;",'System map'!$D$4:$D$203,"&lt;&gt;"),COUNTIFS(Components!$A$4:$A$253,F899,Components!$B$4:$B$253,E899,Components!$K$4:$K$253,"Confirmed",Components!$L$4:$L$253,"OK — verify source"))))&lt;&gt;1)),"Endpoint not source-reconciled",IF(AND(M899="Confirmed",OR(L899="",K899="",K899="Unknown",K899="Low")),"Confirmed link lacks verification","OK — verify source"))))))))))))))</f>
        <v/>
      </c>
    </row>
    <row r="900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6" t="n"/>
      <c r="M900" s="25" t="n"/>
      <c r="N900" s="25">
        <f>IF(COUNTA(A900:M900)=0,"",IF(OR(A900="",B900="",C900="",D900="",E900="",F900="",I900="",J900="",K900="",M900=""),"Required link detail missing",IF(COUNTIF($A$4:$A$1003,A900)&gt;1,"Duplicate Map Edge ID",IF(NOT(OR(AND(B900="UC",E900="CAP",D900="requires"),AND(B900="CAP",E900="AIR",D900="provided by"),AND(B900="AIR",OR(E900="MOD",E900="DATA",E900="IF",E900="AG",E900="TOOL"),D900="references"),AND(B900="AIR",E900="AIR",D900="depends on"))),"Invalid relationship",IF(AND(M900&lt;&gt;"Superseded",COUNTIFS($B$4:$B$1003,B900,$C$4:$C$1003,C900,$D$4:$D$1003,D900,$E$4:$E$1003,E900,$F$4:$F$1003,F900,$G$4:$G$1003,G900,$M$4:$M$1003,"&lt;&gt;Superseded")&gt;1),"Duplicate relationship",IF(OR(IF(B900="UC",COUNTIF('Use cases'!$A$4:$A$253,C900),IF(B900="CAP",COUNTIF(Capabilities!$A$4:$A$253,C900),IF(B900="AIR",COUNTIF('System map'!$A$4:$A$203,C900),COUNTIFS(Components!$A$4:$A$253,C900,Components!$B$4:$B$253,B900))))&lt;&gt;1,IF(E900="UC",COUNTIF('Use cases'!$A$4:$A$253,F900),IF(E900="CAP",COUNTIF(Capabilities!$A$4:$A$253,F900),IF(E900="AIR",COUNTIF('System map'!$A$4:$A$203,F900),COUNTIFS(Components!$A$4:$A$253,F900,Components!$B$4:$B$253,E900))))&lt;&gt;1),"Endpoint missing or duplicated",IF(AND(NOT(AND(B900="UC",E900="CAP")),OR(G900="",COUNTIF('System map'!$A$4:$A$203,G900)&lt;&gt;1)),"AIR context missing / unknown",IF(AND(B900="CAP",E900="AIR",G900&lt;&gt;F900),"AIR context mismatch",IF(AND(B900="AIR",G900&lt;&gt;C900),"AIR context mismatch",IF(AND(B900="AIR",E900="AIR",C900=F900),"Self-dependency",IF(AND(B900="AIR",E900="AIR",M900&lt;&gt;"Superseded",COUNTIFS($B$4:$B$1003,"AIR",$C$4:$C$1003,F900,$E$4:$E$1003,"AIR",$F$4:$F$1003,C900,$M$4:$M$1003,"&lt;&gt;Superseded")&gt;0),"Dependency cycle (A↔B) — review",IF(AND(B900="AIR",OR(E900="MOD",E900="DATA",E900="IF",E900="AG",E900="TOOL"),IFERROR(INDEX(Components!$G$4:$G$253,MATCH(F900,Components!$A$4:$A$253,0)),"")&lt;&gt;"",IFERROR(INDEX(Components!$G$4:$G$253,MATCH(F900,Components!$A$4:$A$253,0)),"")&lt;&gt;C900),"Component owned by another AIR-ID",IF(AND(M900="Confirmed",OR(IF(B900="UC",COUNTIFS('Use cases'!$A$4:$A$253,C900,'Use cases'!$I$4:$I$253,"Confirmed",'Use cases'!$J$4:$J$253,"OK — verify source"),IF(B900="CAP",COUNTIFS(Capabilities!$A$4:$A$253,C900,Capabilities!$J$4:$J$253,"Confirmed",Capabilities!$K$4:$K$253,"OK — verify source"),IF(B900="AIR",COUNTIFS('System map'!$A$4:$A$203,C900,'System map'!$B$4:$B$203,"&lt;&gt;",'System map'!$C$4:$C$203,"&lt;&gt;",'System map'!$D$4:$D$203,"&lt;&gt;"),COUNTIFS(Components!$A$4:$A$253,C900,Components!$B$4:$B$253,B900,Components!$K$4:$K$253,"Confirmed",Components!$L$4:$L$253,"OK — verify source"))))&lt;&gt;1,IF(E900="UC",COUNTIFS('Use cases'!$A$4:$A$253,F900,'Use cases'!$I$4:$I$253,"Confirmed",'Use cases'!$J$4:$J$253,"OK — verify source"),IF(E900="CAP",COUNTIFS(Capabilities!$A$4:$A$253,F900,Capabilities!$J$4:$J$253,"Confirmed",Capabilities!$K$4:$K$253,"OK — verify source"),IF(E900="AIR",COUNTIFS('System map'!$A$4:$A$203,F900,'System map'!$B$4:$B$203,"&lt;&gt;",'System map'!$C$4:$C$203,"&lt;&gt;",'System map'!$D$4:$D$203,"&lt;&gt;"),COUNTIFS(Components!$A$4:$A$253,F900,Components!$B$4:$B$253,E900,Components!$K$4:$K$253,"Confirmed",Components!$L$4:$L$253,"OK — verify source"))))&lt;&gt;1)),"Endpoint not source-reconciled",IF(AND(M900="Confirmed",OR(L900="",K900="",K900="Unknown",K900="Low")),"Confirmed link lacks verification","OK — verify source"))))))))))))))</f>
        <v/>
      </c>
    </row>
    <row r="901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8" t="n"/>
      <c r="M901" s="27" t="n"/>
      <c r="N901" s="27">
        <f>IF(COUNTA(A901:M901)=0,"",IF(OR(A901="",B901="",C901="",D901="",E901="",F901="",I901="",J901="",K901="",M901=""),"Required link detail missing",IF(COUNTIF($A$4:$A$1003,A901)&gt;1,"Duplicate Map Edge ID",IF(NOT(OR(AND(B901="UC",E901="CAP",D901="requires"),AND(B901="CAP",E901="AIR",D901="provided by"),AND(B901="AIR",OR(E901="MOD",E901="DATA",E901="IF",E901="AG",E901="TOOL"),D901="references"),AND(B901="AIR",E901="AIR",D901="depends on"))),"Invalid relationship",IF(AND(M901&lt;&gt;"Superseded",COUNTIFS($B$4:$B$1003,B901,$C$4:$C$1003,C901,$D$4:$D$1003,D901,$E$4:$E$1003,E901,$F$4:$F$1003,F901,$G$4:$G$1003,G901,$M$4:$M$1003,"&lt;&gt;Superseded")&gt;1),"Duplicate relationship",IF(OR(IF(B901="UC",COUNTIF('Use cases'!$A$4:$A$253,C901),IF(B901="CAP",COUNTIF(Capabilities!$A$4:$A$253,C901),IF(B901="AIR",COUNTIF('System map'!$A$4:$A$203,C901),COUNTIFS(Components!$A$4:$A$253,C901,Components!$B$4:$B$253,B901))))&lt;&gt;1,IF(E901="UC",COUNTIF('Use cases'!$A$4:$A$253,F901),IF(E901="CAP",COUNTIF(Capabilities!$A$4:$A$253,F901),IF(E901="AIR",COUNTIF('System map'!$A$4:$A$203,F901),COUNTIFS(Components!$A$4:$A$253,F901,Components!$B$4:$B$253,E901))))&lt;&gt;1),"Endpoint missing or duplicated",IF(AND(NOT(AND(B901="UC",E901="CAP")),OR(G901="",COUNTIF('System map'!$A$4:$A$203,G901)&lt;&gt;1)),"AIR context missing / unknown",IF(AND(B901="CAP",E901="AIR",G901&lt;&gt;F901),"AIR context mismatch",IF(AND(B901="AIR",G901&lt;&gt;C901),"AIR context mismatch",IF(AND(B901="AIR",E901="AIR",C901=F901),"Self-dependency",IF(AND(B901="AIR",E901="AIR",M901&lt;&gt;"Superseded",COUNTIFS($B$4:$B$1003,"AIR",$C$4:$C$1003,F901,$E$4:$E$1003,"AIR",$F$4:$F$1003,C901,$M$4:$M$1003,"&lt;&gt;Superseded")&gt;0),"Dependency cycle (A↔B) — review",IF(AND(B901="AIR",OR(E901="MOD",E901="DATA",E901="IF",E901="AG",E901="TOOL"),IFERROR(INDEX(Components!$G$4:$G$253,MATCH(F901,Components!$A$4:$A$253,0)),"")&lt;&gt;"",IFERROR(INDEX(Components!$G$4:$G$253,MATCH(F901,Components!$A$4:$A$253,0)),"")&lt;&gt;C901),"Component owned by another AIR-ID",IF(AND(M901="Confirmed",OR(IF(B901="UC",COUNTIFS('Use cases'!$A$4:$A$253,C901,'Use cases'!$I$4:$I$253,"Confirmed",'Use cases'!$J$4:$J$253,"OK — verify source"),IF(B901="CAP",COUNTIFS(Capabilities!$A$4:$A$253,C901,Capabilities!$J$4:$J$253,"Confirmed",Capabilities!$K$4:$K$253,"OK — verify source"),IF(B901="AIR",COUNTIFS('System map'!$A$4:$A$203,C901,'System map'!$B$4:$B$203,"&lt;&gt;",'System map'!$C$4:$C$203,"&lt;&gt;",'System map'!$D$4:$D$203,"&lt;&gt;"),COUNTIFS(Components!$A$4:$A$253,C901,Components!$B$4:$B$253,B901,Components!$K$4:$K$253,"Confirmed",Components!$L$4:$L$253,"OK — verify source"))))&lt;&gt;1,IF(E901="UC",COUNTIFS('Use cases'!$A$4:$A$253,F901,'Use cases'!$I$4:$I$253,"Confirmed",'Use cases'!$J$4:$J$253,"OK — verify source"),IF(E901="CAP",COUNTIFS(Capabilities!$A$4:$A$253,F901,Capabilities!$J$4:$J$253,"Confirmed",Capabilities!$K$4:$K$253,"OK — verify source"),IF(E901="AIR",COUNTIFS('System map'!$A$4:$A$203,F901,'System map'!$B$4:$B$203,"&lt;&gt;",'System map'!$C$4:$C$203,"&lt;&gt;",'System map'!$D$4:$D$203,"&lt;&gt;"),COUNTIFS(Components!$A$4:$A$253,F901,Components!$B$4:$B$253,E901,Components!$K$4:$K$253,"Confirmed",Components!$L$4:$L$253,"OK — verify source"))))&lt;&gt;1)),"Endpoint not source-reconciled",IF(AND(M901="Confirmed",OR(L901="",K901="",K901="Unknown",K901="Low")),"Confirmed link lacks verification","OK — verify source"))))))))))))))</f>
        <v/>
      </c>
    </row>
    <row r="902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6" t="n"/>
      <c r="M902" s="25" t="n"/>
      <c r="N902" s="25">
        <f>IF(COUNTA(A902:M902)=0,"",IF(OR(A902="",B902="",C902="",D902="",E902="",F902="",I902="",J902="",K902="",M902=""),"Required link detail missing",IF(COUNTIF($A$4:$A$1003,A902)&gt;1,"Duplicate Map Edge ID",IF(NOT(OR(AND(B902="UC",E902="CAP",D902="requires"),AND(B902="CAP",E902="AIR",D902="provided by"),AND(B902="AIR",OR(E902="MOD",E902="DATA",E902="IF",E902="AG",E902="TOOL"),D902="references"),AND(B902="AIR",E902="AIR",D902="depends on"))),"Invalid relationship",IF(AND(M902&lt;&gt;"Superseded",COUNTIFS($B$4:$B$1003,B902,$C$4:$C$1003,C902,$D$4:$D$1003,D902,$E$4:$E$1003,E902,$F$4:$F$1003,F902,$G$4:$G$1003,G902,$M$4:$M$1003,"&lt;&gt;Superseded")&gt;1),"Duplicate relationship",IF(OR(IF(B902="UC",COUNTIF('Use cases'!$A$4:$A$253,C902),IF(B902="CAP",COUNTIF(Capabilities!$A$4:$A$253,C902),IF(B902="AIR",COUNTIF('System map'!$A$4:$A$203,C902),COUNTIFS(Components!$A$4:$A$253,C902,Components!$B$4:$B$253,B902))))&lt;&gt;1,IF(E902="UC",COUNTIF('Use cases'!$A$4:$A$253,F902),IF(E902="CAP",COUNTIF(Capabilities!$A$4:$A$253,F902),IF(E902="AIR",COUNTIF('System map'!$A$4:$A$203,F902),COUNTIFS(Components!$A$4:$A$253,F902,Components!$B$4:$B$253,E902))))&lt;&gt;1),"Endpoint missing or duplicated",IF(AND(NOT(AND(B902="UC",E902="CAP")),OR(G902="",COUNTIF('System map'!$A$4:$A$203,G902)&lt;&gt;1)),"AIR context missing / unknown",IF(AND(B902="CAP",E902="AIR",G902&lt;&gt;F902),"AIR context mismatch",IF(AND(B902="AIR",G902&lt;&gt;C902),"AIR context mismatch",IF(AND(B902="AIR",E902="AIR",C902=F902),"Self-dependency",IF(AND(B902="AIR",E902="AIR",M902&lt;&gt;"Superseded",COUNTIFS($B$4:$B$1003,"AIR",$C$4:$C$1003,F902,$E$4:$E$1003,"AIR",$F$4:$F$1003,C902,$M$4:$M$1003,"&lt;&gt;Superseded")&gt;0),"Dependency cycle (A↔B) — review",IF(AND(B902="AIR",OR(E902="MOD",E902="DATA",E902="IF",E902="AG",E902="TOOL"),IFERROR(INDEX(Components!$G$4:$G$253,MATCH(F902,Components!$A$4:$A$253,0)),"")&lt;&gt;"",IFERROR(INDEX(Components!$G$4:$G$253,MATCH(F902,Components!$A$4:$A$253,0)),"")&lt;&gt;C902),"Component owned by another AIR-ID",IF(AND(M902="Confirmed",OR(IF(B902="UC",COUNTIFS('Use cases'!$A$4:$A$253,C902,'Use cases'!$I$4:$I$253,"Confirmed",'Use cases'!$J$4:$J$253,"OK — verify source"),IF(B902="CAP",COUNTIFS(Capabilities!$A$4:$A$253,C902,Capabilities!$J$4:$J$253,"Confirmed",Capabilities!$K$4:$K$253,"OK — verify source"),IF(B902="AIR",COUNTIFS('System map'!$A$4:$A$203,C902,'System map'!$B$4:$B$203,"&lt;&gt;",'System map'!$C$4:$C$203,"&lt;&gt;",'System map'!$D$4:$D$203,"&lt;&gt;"),COUNTIFS(Components!$A$4:$A$253,C902,Components!$B$4:$B$253,B902,Components!$K$4:$K$253,"Confirmed",Components!$L$4:$L$253,"OK — verify source"))))&lt;&gt;1,IF(E902="UC",COUNTIFS('Use cases'!$A$4:$A$253,F902,'Use cases'!$I$4:$I$253,"Confirmed",'Use cases'!$J$4:$J$253,"OK — verify source"),IF(E902="CAP",COUNTIFS(Capabilities!$A$4:$A$253,F902,Capabilities!$J$4:$J$253,"Confirmed",Capabilities!$K$4:$K$253,"OK — verify source"),IF(E902="AIR",COUNTIFS('System map'!$A$4:$A$203,F902,'System map'!$B$4:$B$203,"&lt;&gt;",'System map'!$C$4:$C$203,"&lt;&gt;",'System map'!$D$4:$D$203,"&lt;&gt;"),COUNTIFS(Components!$A$4:$A$253,F902,Components!$B$4:$B$253,E902,Components!$K$4:$K$253,"Confirmed",Components!$L$4:$L$253,"OK — verify source"))))&lt;&gt;1)),"Endpoint not source-reconciled",IF(AND(M902="Confirmed",OR(L902="",K902="",K902="Unknown",K902="Low")),"Confirmed link lacks verification","OK — verify source"))))))))))))))</f>
        <v/>
      </c>
    </row>
    <row r="903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8" t="n"/>
      <c r="M903" s="27" t="n"/>
      <c r="N903" s="27">
        <f>IF(COUNTA(A903:M903)=0,"",IF(OR(A903="",B903="",C903="",D903="",E903="",F903="",I903="",J903="",K903="",M903=""),"Required link detail missing",IF(COUNTIF($A$4:$A$1003,A903)&gt;1,"Duplicate Map Edge ID",IF(NOT(OR(AND(B903="UC",E903="CAP",D903="requires"),AND(B903="CAP",E903="AIR",D903="provided by"),AND(B903="AIR",OR(E903="MOD",E903="DATA",E903="IF",E903="AG",E903="TOOL"),D903="references"),AND(B903="AIR",E903="AIR",D903="depends on"))),"Invalid relationship",IF(AND(M903&lt;&gt;"Superseded",COUNTIFS($B$4:$B$1003,B903,$C$4:$C$1003,C903,$D$4:$D$1003,D903,$E$4:$E$1003,E903,$F$4:$F$1003,F903,$G$4:$G$1003,G903,$M$4:$M$1003,"&lt;&gt;Superseded")&gt;1),"Duplicate relationship",IF(OR(IF(B903="UC",COUNTIF('Use cases'!$A$4:$A$253,C903),IF(B903="CAP",COUNTIF(Capabilities!$A$4:$A$253,C903),IF(B903="AIR",COUNTIF('System map'!$A$4:$A$203,C903),COUNTIFS(Components!$A$4:$A$253,C903,Components!$B$4:$B$253,B903))))&lt;&gt;1,IF(E903="UC",COUNTIF('Use cases'!$A$4:$A$253,F903),IF(E903="CAP",COUNTIF(Capabilities!$A$4:$A$253,F903),IF(E903="AIR",COUNTIF('System map'!$A$4:$A$203,F903),COUNTIFS(Components!$A$4:$A$253,F903,Components!$B$4:$B$253,E903))))&lt;&gt;1),"Endpoint missing or duplicated",IF(AND(NOT(AND(B903="UC",E903="CAP")),OR(G903="",COUNTIF('System map'!$A$4:$A$203,G903)&lt;&gt;1)),"AIR context missing / unknown",IF(AND(B903="CAP",E903="AIR",G903&lt;&gt;F903),"AIR context mismatch",IF(AND(B903="AIR",G903&lt;&gt;C903),"AIR context mismatch",IF(AND(B903="AIR",E903="AIR",C903=F903),"Self-dependency",IF(AND(B903="AIR",E903="AIR",M903&lt;&gt;"Superseded",COUNTIFS($B$4:$B$1003,"AIR",$C$4:$C$1003,F903,$E$4:$E$1003,"AIR",$F$4:$F$1003,C903,$M$4:$M$1003,"&lt;&gt;Superseded")&gt;0),"Dependency cycle (A↔B) — review",IF(AND(B903="AIR",OR(E903="MOD",E903="DATA",E903="IF",E903="AG",E903="TOOL"),IFERROR(INDEX(Components!$G$4:$G$253,MATCH(F903,Components!$A$4:$A$253,0)),"")&lt;&gt;"",IFERROR(INDEX(Components!$G$4:$G$253,MATCH(F903,Components!$A$4:$A$253,0)),"")&lt;&gt;C903),"Component owned by another AIR-ID",IF(AND(M903="Confirmed",OR(IF(B903="UC",COUNTIFS('Use cases'!$A$4:$A$253,C903,'Use cases'!$I$4:$I$253,"Confirmed",'Use cases'!$J$4:$J$253,"OK — verify source"),IF(B903="CAP",COUNTIFS(Capabilities!$A$4:$A$253,C903,Capabilities!$J$4:$J$253,"Confirmed",Capabilities!$K$4:$K$253,"OK — verify source"),IF(B903="AIR",COUNTIFS('System map'!$A$4:$A$203,C903,'System map'!$B$4:$B$203,"&lt;&gt;",'System map'!$C$4:$C$203,"&lt;&gt;",'System map'!$D$4:$D$203,"&lt;&gt;"),COUNTIFS(Components!$A$4:$A$253,C903,Components!$B$4:$B$253,B903,Components!$K$4:$K$253,"Confirmed",Components!$L$4:$L$253,"OK — verify source"))))&lt;&gt;1,IF(E903="UC",COUNTIFS('Use cases'!$A$4:$A$253,F903,'Use cases'!$I$4:$I$253,"Confirmed",'Use cases'!$J$4:$J$253,"OK — verify source"),IF(E903="CAP",COUNTIFS(Capabilities!$A$4:$A$253,F903,Capabilities!$J$4:$J$253,"Confirmed",Capabilities!$K$4:$K$253,"OK — verify source"),IF(E903="AIR",COUNTIFS('System map'!$A$4:$A$203,F903,'System map'!$B$4:$B$203,"&lt;&gt;",'System map'!$C$4:$C$203,"&lt;&gt;",'System map'!$D$4:$D$203,"&lt;&gt;"),COUNTIFS(Components!$A$4:$A$253,F903,Components!$B$4:$B$253,E903,Components!$K$4:$K$253,"Confirmed",Components!$L$4:$L$253,"OK — verify source"))))&lt;&gt;1)),"Endpoint not source-reconciled",IF(AND(M903="Confirmed",OR(L903="",K903="",K903="Unknown",K903="Low")),"Confirmed link lacks verification","OK — verify source"))))))))))))))</f>
        <v/>
      </c>
    </row>
    <row r="90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6" t="n"/>
      <c r="M904" s="25" t="n"/>
      <c r="N904" s="25">
        <f>IF(COUNTA(A904:M904)=0,"",IF(OR(A904="",B904="",C904="",D904="",E904="",F904="",I904="",J904="",K904="",M904=""),"Required link detail missing",IF(COUNTIF($A$4:$A$1003,A904)&gt;1,"Duplicate Map Edge ID",IF(NOT(OR(AND(B904="UC",E904="CAP",D904="requires"),AND(B904="CAP",E904="AIR",D904="provided by"),AND(B904="AIR",OR(E904="MOD",E904="DATA",E904="IF",E904="AG",E904="TOOL"),D904="references"),AND(B904="AIR",E904="AIR",D904="depends on"))),"Invalid relationship",IF(AND(M904&lt;&gt;"Superseded",COUNTIFS($B$4:$B$1003,B904,$C$4:$C$1003,C904,$D$4:$D$1003,D904,$E$4:$E$1003,E904,$F$4:$F$1003,F904,$G$4:$G$1003,G904,$M$4:$M$1003,"&lt;&gt;Superseded")&gt;1),"Duplicate relationship",IF(OR(IF(B904="UC",COUNTIF('Use cases'!$A$4:$A$253,C904),IF(B904="CAP",COUNTIF(Capabilities!$A$4:$A$253,C904),IF(B904="AIR",COUNTIF('System map'!$A$4:$A$203,C904),COUNTIFS(Components!$A$4:$A$253,C904,Components!$B$4:$B$253,B904))))&lt;&gt;1,IF(E904="UC",COUNTIF('Use cases'!$A$4:$A$253,F904),IF(E904="CAP",COUNTIF(Capabilities!$A$4:$A$253,F904),IF(E904="AIR",COUNTIF('System map'!$A$4:$A$203,F904),COUNTIFS(Components!$A$4:$A$253,F904,Components!$B$4:$B$253,E904))))&lt;&gt;1),"Endpoint missing or duplicated",IF(AND(NOT(AND(B904="UC",E904="CAP")),OR(G904="",COUNTIF('System map'!$A$4:$A$203,G904)&lt;&gt;1)),"AIR context missing / unknown",IF(AND(B904="CAP",E904="AIR",G904&lt;&gt;F904),"AIR context mismatch",IF(AND(B904="AIR",G904&lt;&gt;C904),"AIR context mismatch",IF(AND(B904="AIR",E904="AIR",C904=F904),"Self-dependency",IF(AND(B904="AIR",E904="AIR",M904&lt;&gt;"Superseded",COUNTIFS($B$4:$B$1003,"AIR",$C$4:$C$1003,F904,$E$4:$E$1003,"AIR",$F$4:$F$1003,C904,$M$4:$M$1003,"&lt;&gt;Superseded")&gt;0),"Dependency cycle (A↔B) — review",IF(AND(B904="AIR",OR(E904="MOD",E904="DATA",E904="IF",E904="AG",E904="TOOL"),IFERROR(INDEX(Components!$G$4:$G$253,MATCH(F904,Components!$A$4:$A$253,0)),"")&lt;&gt;"",IFERROR(INDEX(Components!$G$4:$G$253,MATCH(F904,Components!$A$4:$A$253,0)),"")&lt;&gt;C904),"Component owned by another AIR-ID",IF(AND(M904="Confirmed",OR(IF(B904="UC",COUNTIFS('Use cases'!$A$4:$A$253,C904,'Use cases'!$I$4:$I$253,"Confirmed",'Use cases'!$J$4:$J$253,"OK — verify source"),IF(B904="CAP",COUNTIFS(Capabilities!$A$4:$A$253,C904,Capabilities!$J$4:$J$253,"Confirmed",Capabilities!$K$4:$K$253,"OK — verify source"),IF(B904="AIR",COUNTIFS('System map'!$A$4:$A$203,C904,'System map'!$B$4:$B$203,"&lt;&gt;",'System map'!$C$4:$C$203,"&lt;&gt;",'System map'!$D$4:$D$203,"&lt;&gt;"),COUNTIFS(Components!$A$4:$A$253,C904,Components!$B$4:$B$253,B904,Components!$K$4:$K$253,"Confirmed",Components!$L$4:$L$253,"OK — verify source"))))&lt;&gt;1,IF(E904="UC",COUNTIFS('Use cases'!$A$4:$A$253,F904,'Use cases'!$I$4:$I$253,"Confirmed",'Use cases'!$J$4:$J$253,"OK — verify source"),IF(E904="CAP",COUNTIFS(Capabilities!$A$4:$A$253,F904,Capabilities!$J$4:$J$253,"Confirmed",Capabilities!$K$4:$K$253,"OK — verify source"),IF(E904="AIR",COUNTIFS('System map'!$A$4:$A$203,F904,'System map'!$B$4:$B$203,"&lt;&gt;",'System map'!$C$4:$C$203,"&lt;&gt;",'System map'!$D$4:$D$203,"&lt;&gt;"),COUNTIFS(Components!$A$4:$A$253,F904,Components!$B$4:$B$253,E904,Components!$K$4:$K$253,"Confirmed",Components!$L$4:$L$253,"OK — verify source"))))&lt;&gt;1)),"Endpoint not source-reconciled",IF(AND(M904="Confirmed",OR(L904="",K904="",K904="Unknown",K904="Low")),"Confirmed link lacks verification","OK — verify source"))))))))))))))</f>
        <v/>
      </c>
    </row>
    <row r="905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8" t="n"/>
      <c r="M905" s="27" t="n"/>
      <c r="N905" s="27">
        <f>IF(COUNTA(A905:M905)=0,"",IF(OR(A905="",B905="",C905="",D905="",E905="",F905="",I905="",J905="",K905="",M905=""),"Required link detail missing",IF(COUNTIF($A$4:$A$1003,A905)&gt;1,"Duplicate Map Edge ID",IF(NOT(OR(AND(B905="UC",E905="CAP",D905="requires"),AND(B905="CAP",E905="AIR",D905="provided by"),AND(B905="AIR",OR(E905="MOD",E905="DATA",E905="IF",E905="AG",E905="TOOL"),D905="references"),AND(B905="AIR",E905="AIR",D905="depends on"))),"Invalid relationship",IF(AND(M905&lt;&gt;"Superseded",COUNTIFS($B$4:$B$1003,B905,$C$4:$C$1003,C905,$D$4:$D$1003,D905,$E$4:$E$1003,E905,$F$4:$F$1003,F905,$G$4:$G$1003,G905,$M$4:$M$1003,"&lt;&gt;Superseded")&gt;1),"Duplicate relationship",IF(OR(IF(B905="UC",COUNTIF('Use cases'!$A$4:$A$253,C905),IF(B905="CAP",COUNTIF(Capabilities!$A$4:$A$253,C905),IF(B905="AIR",COUNTIF('System map'!$A$4:$A$203,C905),COUNTIFS(Components!$A$4:$A$253,C905,Components!$B$4:$B$253,B905))))&lt;&gt;1,IF(E905="UC",COUNTIF('Use cases'!$A$4:$A$253,F905),IF(E905="CAP",COUNTIF(Capabilities!$A$4:$A$253,F905),IF(E905="AIR",COUNTIF('System map'!$A$4:$A$203,F905),COUNTIFS(Components!$A$4:$A$253,F905,Components!$B$4:$B$253,E905))))&lt;&gt;1),"Endpoint missing or duplicated",IF(AND(NOT(AND(B905="UC",E905="CAP")),OR(G905="",COUNTIF('System map'!$A$4:$A$203,G905)&lt;&gt;1)),"AIR context missing / unknown",IF(AND(B905="CAP",E905="AIR",G905&lt;&gt;F905),"AIR context mismatch",IF(AND(B905="AIR",G905&lt;&gt;C905),"AIR context mismatch",IF(AND(B905="AIR",E905="AIR",C905=F905),"Self-dependency",IF(AND(B905="AIR",E905="AIR",M905&lt;&gt;"Superseded",COUNTIFS($B$4:$B$1003,"AIR",$C$4:$C$1003,F905,$E$4:$E$1003,"AIR",$F$4:$F$1003,C905,$M$4:$M$1003,"&lt;&gt;Superseded")&gt;0),"Dependency cycle (A↔B) — review",IF(AND(B905="AIR",OR(E905="MOD",E905="DATA",E905="IF",E905="AG",E905="TOOL"),IFERROR(INDEX(Components!$G$4:$G$253,MATCH(F905,Components!$A$4:$A$253,0)),"")&lt;&gt;"",IFERROR(INDEX(Components!$G$4:$G$253,MATCH(F905,Components!$A$4:$A$253,0)),"")&lt;&gt;C905),"Component owned by another AIR-ID",IF(AND(M905="Confirmed",OR(IF(B905="UC",COUNTIFS('Use cases'!$A$4:$A$253,C905,'Use cases'!$I$4:$I$253,"Confirmed",'Use cases'!$J$4:$J$253,"OK — verify source"),IF(B905="CAP",COUNTIFS(Capabilities!$A$4:$A$253,C905,Capabilities!$J$4:$J$253,"Confirmed",Capabilities!$K$4:$K$253,"OK — verify source"),IF(B905="AIR",COUNTIFS('System map'!$A$4:$A$203,C905,'System map'!$B$4:$B$203,"&lt;&gt;",'System map'!$C$4:$C$203,"&lt;&gt;",'System map'!$D$4:$D$203,"&lt;&gt;"),COUNTIFS(Components!$A$4:$A$253,C905,Components!$B$4:$B$253,B905,Components!$K$4:$K$253,"Confirmed",Components!$L$4:$L$253,"OK — verify source"))))&lt;&gt;1,IF(E905="UC",COUNTIFS('Use cases'!$A$4:$A$253,F905,'Use cases'!$I$4:$I$253,"Confirmed",'Use cases'!$J$4:$J$253,"OK — verify source"),IF(E905="CAP",COUNTIFS(Capabilities!$A$4:$A$253,F905,Capabilities!$J$4:$J$253,"Confirmed",Capabilities!$K$4:$K$253,"OK — verify source"),IF(E905="AIR",COUNTIFS('System map'!$A$4:$A$203,F905,'System map'!$B$4:$B$203,"&lt;&gt;",'System map'!$C$4:$C$203,"&lt;&gt;",'System map'!$D$4:$D$203,"&lt;&gt;"),COUNTIFS(Components!$A$4:$A$253,F905,Components!$B$4:$B$253,E905,Components!$K$4:$K$253,"Confirmed",Components!$L$4:$L$253,"OK — verify source"))))&lt;&gt;1)),"Endpoint not source-reconciled",IF(AND(M905="Confirmed",OR(L905="",K905="",K905="Unknown",K905="Low")),"Confirmed link lacks verification","OK — verify source"))))))))))))))</f>
        <v/>
      </c>
    </row>
    <row r="906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6" t="n"/>
      <c r="M906" s="25" t="n"/>
      <c r="N906" s="25">
        <f>IF(COUNTA(A906:M906)=0,"",IF(OR(A906="",B906="",C906="",D906="",E906="",F906="",I906="",J906="",K906="",M906=""),"Required link detail missing",IF(COUNTIF($A$4:$A$1003,A906)&gt;1,"Duplicate Map Edge ID",IF(NOT(OR(AND(B906="UC",E906="CAP",D906="requires"),AND(B906="CAP",E906="AIR",D906="provided by"),AND(B906="AIR",OR(E906="MOD",E906="DATA",E906="IF",E906="AG",E906="TOOL"),D906="references"),AND(B906="AIR",E906="AIR",D906="depends on"))),"Invalid relationship",IF(AND(M906&lt;&gt;"Superseded",COUNTIFS($B$4:$B$1003,B906,$C$4:$C$1003,C906,$D$4:$D$1003,D906,$E$4:$E$1003,E906,$F$4:$F$1003,F906,$G$4:$G$1003,G906,$M$4:$M$1003,"&lt;&gt;Superseded")&gt;1),"Duplicate relationship",IF(OR(IF(B906="UC",COUNTIF('Use cases'!$A$4:$A$253,C906),IF(B906="CAP",COUNTIF(Capabilities!$A$4:$A$253,C906),IF(B906="AIR",COUNTIF('System map'!$A$4:$A$203,C906),COUNTIFS(Components!$A$4:$A$253,C906,Components!$B$4:$B$253,B906))))&lt;&gt;1,IF(E906="UC",COUNTIF('Use cases'!$A$4:$A$253,F906),IF(E906="CAP",COUNTIF(Capabilities!$A$4:$A$253,F906),IF(E906="AIR",COUNTIF('System map'!$A$4:$A$203,F906),COUNTIFS(Components!$A$4:$A$253,F906,Components!$B$4:$B$253,E906))))&lt;&gt;1),"Endpoint missing or duplicated",IF(AND(NOT(AND(B906="UC",E906="CAP")),OR(G906="",COUNTIF('System map'!$A$4:$A$203,G906)&lt;&gt;1)),"AIR context missing / unknown",IF(AND(B906="CAP",E906="AIR",G906&lt;&gt;F906),"AIR context mismatch",IF(AND(B906="AIR",G906&lt;&gt;C906),"AIR context mismatch",IF(AND(B906="AIR",E906="AIR",C906=F906),"Self-dependency",IF(AND(B906="AIR",E906="AIR",M906&lt;&gt;"Superseded",COUNTIFS($B$4:$B$1003,"AIR",$C$4:$C$1003,F906,$E$4:$E$1003,"AIR",$F$4:$F$1003,C906,$M$4:$M$1003,"&lt;&gt;Superseded")&gt;0),"Dependency cycle (A↔B) — review",IF(AND(B906="AIR",OR(E906="MOD",E906="DATA",E906="IF",E906="AG",E906="TOOL"),IFERROR(INDEX(Components!$G$4:$G$253,MATCH(F906,Components!$A$4:$A$253,0)),"")&lt;&gt;"",IFERROR(INDEX(Components!$G$4:$G$253,MATCH(F906,Components!$A$4:$A$253,0)),"")&lt;&gt;C906),"Component owned by another AIR-ID",IF(AND(M906="Confirmed",OR(IF(B906="UC",COUNTIFS('Use cases'!$A$4:$A$253,C906,'Use cases'!$I$4:$I$253,"Confirmed",'Use cases'!$J$4:$J$253,"OK — verify source"),IF(B906="CAP",COUNTIFS(Capabilities!$A$4:$A$253,C906,Capabilities!$J$4:$J$253,"Confirmed",Capabilities!$K$4:$K$253,"OK — verify source"),IF(B906="AIR",COUNTIFS('System map'!$A$4:$A$203,C906,'System map'!$B$4:$B$203,"&lt;&gt;",'System map'!$C$4:$C$203,"&lt;&gt;",'System map'!$D$4:$D$203,"&lt;&gt;"),COUNTIFS(Components!$A$4:$A$253,C906,Components!$B$4:$B$253,B906,Components!$K$4:$K$253,"Confirmed",Components!$L$4:$L$253,"OK — verify source"))))&lt;&gt;1,IF(E906="UC",COUNTIFS('Use cases'!$A$4:$A$253,F906,'Use cases'!$I$4:$I$253,"Confirmed",'Use cases'!$J$4:$J$253,"OK — verify source"),IF(E906="CAP",COUNTIFS(Capabilities!$A$4:$A$253,F906,Capabilities!$J$4:$J$253,"Confirmed",Capabilities!$K$4:$K$253,"OK — verify source"),IF(E906="AIR",COUNTIFS('System map'!$A$4:$A$203,F906,'System map'!$B$4:$B$203,"&lt;&gt;",'System map'!$C$4:$C$203,"&lt;&gt;",'System map'!$D$4:$D$203,"&lt;&gt;"),COUNTIFS(Components!$A$4:$A$253,F906,Components!$B$4:$B$253,E906,Components!$K$4:$K$253,"Confirmed",Components!$L$4:$L$253,"OK — verify source"))))&lt;&gt;1)),"Endpoint not source-reconciled",IF(AND(M906="Confirmed",OR(L906="",K906="",K906="Unknown",K906="Low")),"Confirmed link lacks verification","OK — verify source"))))))))))))))</f>
        <v/>
      </c>
    </row>
    <row r="907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8" t="n"/>
      <c r="M907" s="27" t="n"/>
      <c r="N907" s="27">
        <f>IF(COUNTA(A907:M907)=0,"",IF(OR(A907="",B907="",C907="",D907="",E907="",F907="",I907="",J907="",K907="",M907=""),"Required link detail missing",IF(COUNTIF($A$4:$A$1003,A907)&gt;1,"Duplicate Map Edge ID",IF(NOT(OR(AND(B907="UC",E907="CAP",D907="requires"),AND(B907="CAP",E907="AIR",D907="provided by"),AND(B907="AIR",OR(E907="MOD",E907="DATA",E907="IF",E907="AG",E907="TOOL"),D907="references"),AND(B907="AIR",E907="AIR",D907="depends on"))),"Invalid relationship",IF(AND(M907&lt;&gt;"Superseded",COUNTIFS($B$4:$B$1003,B907,$C$4:$C$1003,C907,$D$4:$D$1003,D907,$E$4:$E$1003,E907,$F$4:$F$1003,F907,$G$4:$G$1003,G907,$M$4:$M$1003,"&lt;&gt;Superseded")&gt;1),"Duplicate relationship",IF(OR(IF(B907="UC",COUNTIF('Use cases'!$A$4:$A$253,C907),IF(B907="CAP",COUNTIF(Capabilities!$A$4:$A$253,C907),IF(B907="AIR",COUNTIF('System map'!$A$4:$A$203,C907),COUNTIFS(Components!$A$4:$A$253,C907,Components!$B$4:$B$253,B907))))&lt;&gt;1,IF(E907="UC",COUNTIF('Use cases'!$A$4:$A$253,F907),IF(E907="CAP",COUNTIF(Capabilities!$A$4:$A$253,F907),IF(E907="AIR",COUNTIF('System map'!$A$4:$A$203,F907),COUNTIFS(Components!$A$4:$A$253,F907,Components!$B$4:$B$253,E907))))&lt;&gt;1),"Endpoint missing or duplicated",IF(AND(NOT(AND(B907="UC",E907="CAP")),OR(G907="",COUNTIF('System map'!$A$4:$A$203,G907)&lt;&gt;1)),"AIR context missing / unknown",IF(AND(B907="CAP",E907="AIR",G907&lt;&gt;F907),"AIR context mismatch",IF(AND(B907="AIR",G907&lt;&gt;C907),"AIR context mismatch",IF(AND(B907="AIR",E907="AIR",C907=F907),"Self-dependency",IF(AND(B907="AIR",E907="AIR",M907&lt;&gt;"Superseded",COUNTIFS($B$4:$B$1003,"AIR",$C$4:$C$1003,F907,$E$4:$E$1003,"AIR",$F$4:$F$1003,C907,$M$4:$M$1003,"&lt;&gt;Superseded")&gt;0),"Dependency cycle (A↔B) — review",IF(AND(B907="AIR",OR(E907="MOD",E907="DATA",E907="IF",E907="AG",E907="TOOL"),IFERROR(INDEX(Components!$G$4:$G$253,MATCH(F907,Components!$A$4:$A$253,0)),"")&lt;&gt;"",IFERROR(INDEX(Components!$G$4:$G$253,MATCH(F907,Components!$A$4:$A$253,0)),"")&lt;&gt;C907),"Component owned by another AIR-ID",IF(AND(M907="Confirmed",OR(IF(B907="UC",COUNTIFS('Use cases'!$A$4:$A$253,C907,'Use cases'!$I$4:$I$253,"Confirmed",'Use cases'!$J$4:$J$253,"OK — verify source"),IF(B907="CAP",COUNTIFS(Capabilities!$A$4:$A$253,C907,Capabilities!$J$4:$J$253,"Confirmed",Capabilities!$K$4:$K$253,"OK — verify source"),IF(B907="AIR",COUNTIFS('System map'!$A$4:$A$203,C907,'System map'!$B$4:$B$203,"&lt;&gt;",'System map'!$C$4:$C$203,"&lt;&gt;",'System map'!$D$4:$D$203,"&lt;&gt;"),COUNTIFS(Components!$A$4:$A$253,C907,Components!$B$4:$B$253,B907,Components!$K$4:$K$253,"Confirmed",Components!$L$4:$L$253,"OK — verify source"))))&lt;&gt;1,IF(E907="UC",COUNTIFS('Use cases'!$A$4:$A$253,F907,'Use cases'!$I$4:$I$253,"Confirmed",'Use cases'!$J$4:$J$253,"OK — verify source"),IF(E907="CAP",COUNTIFS(Capabilities!$A$4:$A$253,F907,Capabilities!$J$4:$J$253,"Confirmed",Capabilities!$K$4:$K$253,"OK — verify source"),IF(E907="AIR",COUNTIFS('System map'!$A$4:$A$203,F907,'System map'!$B$4:$B$203,"&lt;&gt;",'System map'!$C$4:$C$203,"&lt;&gt;",'System map'!$D$4:$D$203,"&lt;&gt;"),COUNTIFS(Components!$A$4:$A$253,F907,Components!$B$4:$B$253,E907,Components!$K$4:$K$253,"Confirmed",Components!$L$4:$L$253,"OK — verify source"))))&lt;&gt;1)),"Endpoint not source-reconciled",IF(AND(M907="Confirmed",OR(L907="",K907="",K907="Unknown",K907="Low")),"Confirmed link lacks verification","OK — verify source"))))))))))))))</f>
        <v/>
      </c>
    </row>
    <row r="908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6" t="n"/>
      <c r="M908" s="25" t="n"/>
      <c r="N908" s="25">
        <f>IF(COUNTA(A908:M908)=0,"",IF(OR(A908="",B908="",C908="",D908="",E908="",F908="",I908="",J908="",K908="",M908=""),"Required link detail missing",IF(COUNTIF($A$4:$A$1003,A908)&gt;1,"Duplicate Map Edge ID",IF(NOT(OR(AND(B908="UC",E908="CAP",D908="requires"),AND(B908="CAP",E908="AIR",D908="provided by"),AND(B908="AIR",OR(E908="MOD",E908="DATA",E908="IF",E908="AG",E908="TOOL"),D908="references"),AND(B908="AIR",E908="AIR",D908="depends on"))),"Invalid relationship",IF(AND(M908&lt;&gt;"Superseded",COUNTIFS($B$4:$B$1003,B908,$C$4:$C$1003,C908,$D$4:$D$1003,D908,$E$4:$E$1003,E908,$F$4:$F$1003,F908,$G$4:$G$1003,G908,$M$4:$M$1003,"&lt;&gt;Superseded")&gt;1),"Duplicate relationship",IF(OR(IF(B908="UC",COUNTIF('Use cases'!$A$4:$A$253,C908),IF(B908="CAP",COUNTIF(Capabilities!$A$4:$A$253,C908),IF(B908="AIR",COUNTIF('System map'!$A$4:$A$203,C908),COUNTIFS(Components!$A$4:$A$253,C908,Components!$B$4:$B$253,B908))))&lt;&gt;1,IF(E908="UC",COUNTIF('Use cases'!$A$4:$A$253,F908),IF(E908="CAP",COUNTIF(Capabilities!$A$4:$A$253,F908),IF(E908="AIR",COUNTIF('System map'!$A$4:$A$203,F908),COUNTIFS(Components!$A$4:$A$253,F908,Components!$B$4:$B$253,E908))))&lt;&gt;1),"Endpoint missing or duplicated",IF(AND(NOT(AND(B908="UC",E908="CAP")),OR(G908="",COUNTIF('System map'!$A$4:$A$203,G908)&lt;&gt;1)),"AIR context missing / unknown",IF(AND(B908="CAP",E908="AIR",G908&lt;&gt;F908),"AIR context mismatch",IF(AND(B908="AIR",G908&lt;&gt;C908),"AIR context mismatch",IF(AND(B908="AIR",E908="AIR",C908=F908),"Self-dependency",IF(AND(B908="AIR",E908="AIR",M908&lt;&gt;"Superseded",COUNTIFS($B$4:$B$1003,"AIR",$C$4:$C$1003,F908,$E$4:$E$1003,"AIR",$F$4:$F$1003,C908,$M$4:$M$1003,"&lt;&gt;Superseded")&gt;0),"Dependency cycle (A↔B) — review",IF(AND(B908="AIR",OR(E908="MOD",E908="DATA",E908="IF",E908="AG",E908="TOOL"),IFERROR(INDEX(Components!$G$4:$G$253,MATCH(F908,Components!$A$4:$A$253,0)),"")&lt;&gt;"",IFERROR(INDEX(Components!$G$4:$G$253,MATCH(F908,Components!$A$4:$A$253,0)),"")&lt;&gt;C908),"Component owned by another AIR-ID",IF(AND(M908="Confirmed",OR(IF(B908="UC",COUNTIFS('Use cases'!$A$4:$A$253,C908,'Use cases'!$I$4:$I$253,"Confirmed",'Use cases'!$J$4:$J$253,"OK — verify source"),IF(B908="CAP",COUNTIFS(Capabilities!$A$4:$A$253,C908,Capabilities!$J$4:$J$253,"Confirmed",Capabilities!$K$4:$K$253,"OK — verify source"),IF(B908="AIR",COUNTIFS('System map'!$A$4:$A$203,C908,'System map'!$B$4:$B$203,"&lt;&gt;",'System map'!$C$4:$C$203,"&lt;&gt;",'System map'!$D$4:$D$203,"&lt;&gt;"),COUNTIFS(Components!$A$4:$A$253,C908,Components!$B$4:$B$253,B908,Components!$K$4:$K$253,"Confirmed",Components!$L$4:$L$253,"OK — verify source"))))&lt;&gt;1,IF(E908="UC",COUNTIFS('Use cases'!$A$4:$A$253,F908,'Use cases'!$I$4:$I$253,"Confirmed",'Use cases'!$J$4:$J$253,"OK — verify source"),IF(E908="CAP",COUNTIFS(Capabilities!$A$4:$A$253,F908,Capabilities!$J$4:$J$253,"Confirmed",Capabilities!$K$4:$K$253,"OK — verify source"),IF(E908="AIR",COUNTIFS('System map'!$A$4:$A$203,F908,'System map'!$B$4:$B$203,"&lt;&gt;",'System map'!$C$4:$C$203,"&lt;&gt;",'System map'!$D$4:$D$203,"&lt;&gt;"),COUNTIFS(Components!$A$4:$A$253,F908,Components!$B$4:$B$253,E908,Components!$K$4:$K$253,"Confirmed",Components!$L$4:$L$253,"OK — verify source"))))&lt;&gt;1)),"Endpoint not source-reconciled",IF(AND(M908="Confirmed",OR(L908="",K908="",K908="Unknown",K908="Low")),"Confirmed link lacks verification","OK — verify source"))))))))))))))</f>
        <v/>
      </c>
    </row>
    <row r="909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8" t="n"/>
      <c r="M909" s="27" t="n"/>
      <c r="N909" s="27">
        <f>IF(COUNTA(A909:M909)=0,"",IF(OR(A909="",B909="",C909="",D909="",E909="",F909="",I909="",J909="",K909="",M909=""),"Required link detail missing",IF(COUNTIF($A$4:$A$1003,A909)&gt;1,"Duplicate Map Edge ID",IF(NOT(OR(AND(B909="UC",E909="CAP",D909="requires"),AND(B909="CAP",E909="AIR",D909="provided by"),AND(B909="AIR",OR(E909="MOD",E909="DATA",E909="IF",E909="AG",E909="TOOL"),D909="references"),AND(B909="AIR",E909="AIR",D909="depends on"))),"Invalid relationship",IF(AND(M909&lt;&gt;"Superseded",COUNTIFS($B$4:$B$1003,B909,$C$4:$C$1003,C909,$D$4:$D$1003,D909,$E$4:$E$1003,E909,$F$4:$F$1003,F909,$G$4:$G$1003,G909,$M$4:$M$1003,"&lt;&gt;Superseded")&gt;1),"Duplicate relationship",IF(OR(IF(B909="UC",COUNTIF('Use cases'!$A$4:$A$253,C909),IF(B909="CAP",COUNTIF(Capabilities!$A$4:$A$253,C909),IF(B909="AIR",COUNTIF('System map'!$A$4:$A$203,C909),COUNTIFS(Components!$A$4:$A$253,C909,Components!$B$4:$B$253,B909))))&lt;&gt;1,IF(E909="UC",COUNTIF('Use cases'!$A$4:$A$253,F909),IF(E909="CAP",COUNTIF(Capabilities!$A$4:$A$253,F909),IF(E909="AIR",COUNTIF('System map'!$A$4:$A$203,F909),COUNTIFS(Components!$A$4:$A$253,F909,Components!$B$4:$B$253,E909))))&lt;&gt;1),"Endpoint missing or duplicated",IF(AND(NOT(AND(B909="UC",E909="CAP")),OR(G909="",COUNTIF('System map'!$A$4:$A$203,G909)&lt;&gt;1)),"AIR context missing / unknown",IF(AND(B909="CAP",E909="AIR",G909&lt;&gt;F909),"AIR context mismatch",IF(AND(B909="AIR",G909&lt;&gt;C909),"AIR context mismatch",IF(AND(B909="AIR",E909="AIR",C909=F909),"Self-dependency",IF(AND(B909="AIR",E909="AIR",M909&lt;&gt;"Superseded",COUNTIFS($B$4:$B$1003,"AIR",$C$4:$C$1003,F909,$E$4:$E$1003,"AIR",$F$4:$F$1003,C909,$M$4:$M$1003,"&lt;&gt;Superseded")&gt;0),"Dependency cycle (A↔B) — review",IF(AND(B909="AIR",OR(E909="MOD",E909="DATA",E909="IF",E909="AG",E909="TOOL"),IFERROR(INDEX(Components!$G$4:$G$253,MATCH(F909,Components!$A$4:$A$253,0)),"")&lt;&gt;"",IFERROR(INDEX(Components!$G$4:$G$253,MATCH(F909,Components!$A$4:$A$253,0)),"")&lt;&gt;C909),"Component owned by another AIR-ID",IF(AND(M909="Confirmed",OR(IF(B909="UC",COUNTIFS('Use cases'!$A$4:$A$253,C909,'Use cases'!$I$4:$I$253,"Confirmed",'Use cases'!$J$4:$J$253,"OK — verify source"),IF(B909="CAP",COUNTIFS(Capabilities!$A$4:$A$253,C909,Capabilities!$J$4:$J$253,"Confirmed",Capabilities!$K$4:$K$253,"OK — verify source"),IF(B909="AIR",COUNTIFS('System map'!$A$4:$A$203,C909,'System map'!$B$4:$B$203,"&lt;&gt;",'System map'!$C$4:$C$203,"&lt;&gt;",'System map'!$D$4:$D$203,"&lt;&gt;"),COUNTIFS(Components!$A$4:$A$253,C909,Components!$B$4:$B$253,B909,Components!$K$4:$K$253,"Confirmed",Components!$L$4:$L$253,"OK — verify source"))))&lt;&gt;1,IF(E909="UC",COUNTIFS('Use cases'!$A$4:$A$253,F909,'Use cases'!$I$4:$I$253,"Confirmed",'Use cases'!$J$4:$J$253,"OK — verify source"),IF(E909="CAP",COUNTIFS(Capabilities!$A$4:$A$253,F909,Capabilities!$J$4:$J$253,"Confirmed",Capabilities!$K$4:$K$253,"OK — verify source"),IF(E909="AIR",COUNTIFS('System map'!$A$4:$A$203,F909,'System map'!$B$4:$B$203,"&lt;&gt;",'System map'!$C$4:$C$203,"&lt;&gt;",'System map'!$D$4:$D$203,"&lt;&gt;"),COUNTIFS(Components!$A$4:$A$253,F909,Components!$B$4:$B$253,E909,Components!$K$4:$K$253,"Confirmed",Components!$L$4:$L$253,"OK — verify source"))))&lt;&gt;1)),"Endpoint not source-reconciled",IF(AND(M909="Confirmed",OR(L909="",K909="",K909="Unknown",K909="Low")),"Confirmed link lacks verification","OK — verify source"))))))))))))))</f>
        <v/>
      </c>
    </row>
    <row r="910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6" t="n"/>
      <c r="M910" s="25" t="n"/>
      <c r="N910" s="25">
        <f>IF(COUNTA(A910:M910)=0,"",IF(OR(A910="",B910="",C910="",D910="",E910="",F910="",I910="",J910="",K910="",M910=""),"Required link detail missing",IF(COUNTIF($A$4:$A$1003,A910)&gt;1,"Duplicate Map Edge ID",IF(NOT(OR(AND(B910="UC",E910="CAP",D910="requires"),AND(B910="CAP",E910="AIR",D910="provided by"),AND(B910="AIR",OR(E910="MOD",E910="DATA",E910="IF",E910="AG",E910="TOOL"),D910="references"),AND(B910="AIR",E910="AIR",D910="depends on"))),"Invalid relationship",IF(AND(M910&lt;&gt;"Superseded",COUNTIFS($B$4:$B$1003,B910,$C$4:$C$1003,C910,$D$4:$D$1003,D910,$E$4:$E$1003,E910,$F$4:$F$1003,F910,$G$4:$G$1003,G910,$M$4:$M$1003,"&lt;&gt;Superseded")&gt;1),"Duplicate relationship",IF(OR(IF(B910="UC",COUNTIF('Use cases'!$A$4:$A$253,C910),IF(B910="CAP",COUNTIF(Capabilities!$A$4:$A$253,C910),IF(B910="AIR",COUNTIF('System map'!$A$4:$A$203,C910),COUNTIFS(Components!$A$4:$A$253,C910,Components!$B$4:$B$253,B910))))&lt;&gt;1,IF(E910="UC",COUNTIF('Use cases'!$A$4:$A$253,F910),IF(E910="CAP",COUNTIF(Capabilities!$A$4:$A$253,F910),IF(E910="AIR",COUNTIF('System map'!$A$4:$A$203,F910),COUNTIFS(Components!$A$4:$A$253,F910,Components!$B$4:$B$253,E910))))&lt;&gt;1),"Endpoint missing or duplicated",IF(AND(NOT(AND(B910="UC",E910="CAP")),OR(G910="",COUNTIF('System map'!$A$4:$A$203,G910)&lt;&gt;1)),"AIR context missing / unknown",IF(AND(B910="CAP",E910="AIR",G910&lt;&gt;F910),"AIR context mismatch",IF(AND(B910="AIR",G910&lt;&gt;C910),"AIR context mismatch",IF(AND(B910="AIR",E910="AIR",C910=F910),"Self-dependency",IF(AND(B910="AIR",E910="AIR",M910&lt;&gt;"Superseded",COUNTIFS($B$4:$B$1003,"AIR",$C$4:$C$1003,F910,$E$4:$E$1003,"AIR",$F$4:$F$1003,C910,$M$4:$M$1003,"&lt;&gt;Superseded")&gt;0),"Dependency cycle (A↔B) — review",IF(AND(B910="AIR",OR(E910="MOD",E910="DATA",E910="IF",E910="AG",E910="TOOL"),IFERROR(INDEX(Components!$G$4:$G$253,MATCH(F910,Components!$A$4:$A$253,0)),"")&lt;&gt;"",IFERROR(INDEX(Components!$G$4:$G$253,MATCH(F910,Components!$A$4:$A$253,0)),"")&lt;&gt;C910),"Component owned by another AIR-ID",IF(AND(M910="Confirmed",OR(IF(B910="UC",COUNTIFS('Use cases'!$A$4:$A$253,C910,'Use cases'!$I$4:$I$253,"Confirmed",'Use cases'!$J$4:$J$253,"OK — verify source"),IF(B910="CAP",COUNTIFS(Capabilities!$A$4:$A$253,C910,Capabilities!$J$4:$J$253,"Confirmed",Capabilities!$K$4:$K$253,"OK — verify source"),IF(B910="AIR",COUNTIFS('System map'!$A$4:$A$203,C910,'System map'!$B$4:$B$203,"&lt;&gt;",'System map'!$C$4:$C$203,"&lt;&gt;",'System map'!$D$4:$D$203,"&lt;&gt;"),COUNTIFS(Components!$A$4:$A$253,C910,Components!$B$4:$B$253,B910,Components!$K$4:$K$253,"Confirmed",Components!$L$4:$L$253,"OK — verify source"))))&lt;&gt;1,IF(E910="UC",COUNTIFS('Use cases'!$A$4:$A$253,F910,'Use cases'!$I$4:$I$253,"Confirmed",'Use cases'!$J$4:$J$253,"OK — verify source"),IF(E910="CAP",COUNTIFS(Capabilities!$A$4:$A$253,F910,Capabilities!$J$4:$J$253,"Confirmed",Capabilities!$K$4:$K$253,"OK — verify source"),IF(E910="AIR",COUNTIFS('System map'!$A$4:$A$203,F910,'System map'!$B$4:$B$203,"&lt;&gt;",'System map'!$C$4:$C$203,"&lt;&gt;",'System map'!$D$4:$D$203,"&lt;&gt;"),COUNTIFS(Components!$A$4:$A$253,F910,Components!$B$4:$B$253,E910,Components!$K$4:$K$253,"Confirmed",Components!$L$4:$L$253,"OK — verify source"))))&lt;&gt;1)),"Endpoint not source-reconciled",IF(AND(M910="Confirmed",OR(L910="",K910="",K910="Unknown",K910="Low")),"Confirmed link lacks verification","OK — verify source"))))))))))))))</f>
        <v/>
      </c>
    </row>
    <row r="911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8" t="n"/>
      <c r="M911" s="27" t="n"/>
      <c r="N911" s="27">
        <f>IF(COUNTA(A911:M911)=0,"",IF(OR(A911="",B911="",C911="",D911="",E911="",F911="",I911="",J911="",K911="",M911=""),"Required link detail missing",IF(COUNTIF($A$4:$A$1003,A911)&gt;1,"Duplicate Map Edge ID",IF(NOT(OR(AND(B911="UC",E911="CAP",D911="requires"),AND(B911="CAP",E911="AIR",D911="provided by"),AND(B911="AIR",OR(E911="MOD",E911="DATA",E911="IF",E911="AG",E911="TOOL"),D911="references"),AND(B911="AIR",E911="AIR",D911="depends on"))),"Invalid relationship",IF(AND(M911&lt;&gt;"Superseded",COUNTIFS($B$4:$B$1003,B911,$C$4:$C$1003,C911,$D$4:$D$1003,D911,$E$4:$E$1003,E911,$F$4:$F$1003,F911,$G$4:$G$1003,G911,$M$4:$M$1003,"&lt;&gt;Superseded")&gt;1),"Duplicate relationship",IF(OR(IF(B911="UC",COUNTIF('Use cases'!$A$4:$A$253,C911),IF(B911="CAP",COUNTIF(Capabilities!$A$4:$A$253,C911),IF(B911="AIR",COUNTIF('System map'!$A$4:$A$203,C911),COUNTIFS(Components!$A$4:$A$253,C911,Components!$B$4:$B$253,B911))))&lt;&gt;1,IF(E911="UC",COUNTIF('Use cases'!$A$4:$A$253,F911),IF(E911="CAP",COUNTIF(Capabilities!$A$4:$A$253,F911),IF(E911="AIR",COUNTIF('System map'!$A$4:$A$203,F911),COUNTIFS(Components!$A$4:$A$253,F911,Components!$B$4:$B$253,E911))))&lt;&gt;1),"Endpoint missing or duplicated",IF(AND(NOT(AND(B911="UC",E911="CAP")),OR(G911="",COUNTIF('System map'!$A$4:$A$203,G911)&lt;&gt;1)),"AIR context missing / unknown",IF(AND(B911="CAP",E911="AIR",G911&lt;&gt;F911),"AIR context mismatch",IF(AND(B911="AIR",G911&lt;&gt;C911),"AIR context mismatch",IF(AND(B911="AIR",E911="AIR",C911=F911),"Self-dependency",IF(AND(B911="AIR",E911="AIR",M911&lt;&gt;"Superseded",COUNTIFS($B$4:$B$1003,"AIR",$C$4:$C$1003,F911,$E$4:$E$1003,"AIR",$F$4:$F$1003,C911,$M$4:$M$1003,"&lt;&gt;Superseded")&gt;0),"Dependency cycle (A↔B) — review",IF(AND(B911="AIR",OR(E911="MOD",E911="DATA",E911="IF",E911="AG",E911="TOOL"),IFERROR(INDEX(Components!$G$4:$G$253,MATCH(F911,Components!$A$4:$A$253,0)),"")&lt;&gt;"",IFERROR(INDEX(Components!$G$4:$G$253,MATCH(F911,Components!$A$4:$A$253,0)),"")&lt;&gt;C911),"Component owned by another AIR-ID",IF(AND(M911="Confirmed",OR(IF(B911="UC",COUNTIFS('Use cases'!$A$4:$A$253,C911,'Use cases'!$I$4:$I$253,"Confirmed",'Use cases'!$J$4:$J$253,"OK — verify source"),IF(B911="CAP",COUNTIFS(Capabilities!$A$4:$A$253,C911,Capabilities!$J$4:$J$253,"Confirmed",Capabilities!$K$4:$K$253,"OK — verify source"),IF(B911="AIR",COUNTIFS('System map'!$A$4:$A$203,C911,'System map'!$B$4:$B$203,"&lt;&gt;",'System map'!$C$4:$C$203,"&lt;&gt;",'System map'!$D$4:$D$203,"&lt;&gt;"),COUNTIFS(Components!$A$4:$A$253,C911,Components!$B$4:$B$253,B911,Components!$K$4:$K$253,"Confirmed",Components!$L$4:$L$253,"OK — verify source"))))&lt;&gt;1,IF(E911="UC",COUNTIFS('Use cases'!$A$4:$A$253,F911,'Use cases'!$I$4:$I$253,"Confirmed",'Use cases'!$J$4:$J$253,"OK — verify source"),IF(E911="CAP",COUNTIFS(Capabilities!$A$4:$A$253,F911,Capabilities!$J$4:$J$253,"Confirmed",Capabilities!$K$4:$K$253,"OK — verify source"),IF(E911="AIR",COUNTIFS('System map'!$A$4:$A$203,F911,'System map'!$B$4:$B$203,"&lt;&gt;",'System map'!$C$4:$C$203,"&lt;&gt;",'System map'!$D$4:$D$203,"&lt;&gt;"),COUNTIFS(Components!$A$4:$A$253,F911,Components!$B$4:$B$253,E911,Components!$K$4:$K$253,"Confirmed",Components!$L$4:$L$253,"OK — verify source"))))&lt;&gt;1)),"Endpoint not source-reconciled",IF(AND(M911="Confirmed",OR(L911="",K911="",K911="Unknown",K911="Low")),"Confirmed link lacks verification","OK — verify source"))))))))))))))</f>
        <v/>
      </c>
    </row>
    <row r="912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6" t="n"/>
      <c r="M912" s="25" t="n"/>
      <c r="N912" s="25">
        <f>IF(COUNTA(A912:M912)=0,"",IF(OR(A912="",B912="",C912="",D912="",E912="",F912="",I912="",J912="",K912="",M912=""),"Required link detail missing",IF(COUNTIF($A$4:$A$1003,A912)&gt;1,"Duplicate Map Edge ID",IF(NOT(OR(AND(B912="UC",E912="CAP",D912="requires"),AND(B912="CAP",E912="AIR",D912="provided by"),AND(B912="AIR",OR(E912="MOD",E912="DATA",E912="IF",E912="AG",E912="TOOL"),D912="references"),AND(B912="AIR",E912="AIR",D912="depends on"))),"Invalid relationship",IF(AND(M912&lt;&gt;"Superseded",COUNTIFS($B$4:$B$1003,B912,$C$4:$C$1003,C912,$D$4:$D$1003,D912,$E$4:$E$1003,E912,$F$4:$F$1003,F912,$G$4:$G$1003,G912,$M$4:$M$1003,"&lt;&gt;Superseded")&gt;1),"Duplicate relationship",IF(OR(IF(B912="UC",COUNTIF('Use cases'!$A$4:$A$253,C912),IF(B912="CAP",COUNTIF(Capabilities!$A$4:$A$253,C912),IF(B912="AIR",COUNTIF('System map'!$A$4:$A$203,C912),COUNTIFS(Components!$A$4:$A$253,C912,Components!$B$4:$B$253,B912))))&lt;&gt;1,IF(E912="UC",COUNTIF('Use cases'!$A$4:$A$253,F912),IF(E912="CAP",COUNTIF(Capabilities!$A$4:$A$253,F912),IF(E912="AIR",COUNTIF('System map'!$A$4:$A$203,F912),COUNTIFS(Components!$A$4:$A$253,F912,Components!$B$4:$B$253,E912))))&lt;&gt;1),"Endpoint missing or duplicated",IF(AND(NOT(AND(B912="UC",E912="CAP")),OR(G912="",COUNTIF('System map'!$A$4:$A$203,G912)&lt;&gt;1)),"AIR context missing / unknown",IF(AND(B912="CAP",E912="AIR",G912&lt;&gt;F912),"AIR context mismatch",IF(AND(B912="AIR",G912&lt;&gt;C912),"AIR context mismatch",IF(AND(B912="AIR",E912="AIR",C912=F912),"Self-dependency",IF(AND(B912="AIR",E912="AIR",M912&lt;&gt;"Superseded",COUNTIFS($B$4:$B$1003,"AIR",$C$4:$C$1003,F912,$E$4:$E$1003,"AIR",$F$4:$F$1003,C912,$M$4:$M$1003,"&lt;&gt;Superseded")&gt;0),"Dependency cycle (A↔B) — review",IF(AND(B912="AIR",OR(E912="MOD",E912="DATA",E912="IF",E912="AG",E912="TOOL"),IFERROR(INDEX(Components!$G$4:$G$253,MATCH(F912,Components!$A$4:$A$253,0)),"")&lt;&gt;"",IFERROR(INDEX(Components!$G$4:$G$253,MATCH(F912,Components!$A$4:$A$253,0)),"")&lt;&gt;C912),"Component owned by another AIR-ID",IF(AND(M912="Confirmed",OR(IF(B912="UC",COUNTIFS('Use cases'!$A$4:$A$253,C912,'Use cases'!$I$4:$I$253,"Confirmed",'Use cases'!$J$4:$J$253,"OK — verify source"),IF(B912="CAP",COUNTIFS(Capabilities!$A$4:$A$253,C912,Capabilities!$J$4:$J$253,"Confirmed",Capabilities!$K$4:$K$253,"OK — verify source"),IF(B912="AIR",COUNTIFS('System map'!$A$4:$A$203,C912,'System map'!$B$4:$B$203,"&lt;&gt;",'System map'!$C$4:$C$203,"&lt;&gt;",'System map'!$D$4:$D$203,"&lt;&gt;"),COUNTIFS(Components!$A$4:$A$253,C912,Components!$B$4:$B$253,B912,Components!$K$4:$K$253,"Confirmed",Components!$L$4:$L$253,"OK — verify source"))))&lt;&gt;1,IF(E912="UC",COUNTIFS('Use cases'!$A$4:$A$253,F912,'Use cases'!$I$4:$I$253,"Confirmed",'Use cases'!$J$4:$J$253,"OK — verify source"),IF(E912="CAP",COUNTIFS(Capabilities!$A$4:$A$253,F912,Capabilities!$J$4:$J$253,"Confirmed",Capabilities!$K$4:$K$253,"OK — verify source"),IF(E912="AIR",COUNTIFS('System map'!$A$4:$A$203,F912,'System map'!$B$4:$B$203,"&lt;&gt;",'System map'!$C$4:$C$203,"&lt;&gt;",'System map'!$D$4:$D$203,"&lt;&gt;"),COUNTIFS(Components!$A$4:$A$253,F912,Components!$B$4:$B$253,E912,Components!$K$4:$K$253,"Confirmed",Components!$L$4:$L$253,"OK — verify source"))))&lt;&gt;1)),"Endpoint not source-reconciled",IF(AND(M912="Confirmed",OR(L912="",K912="",K912="Unknown",K912="Low")),"Confirmed link lacks verification","OK — verify source"))))))))))))))</f>
        <v/>
      </c>
    </row>
    <row r="913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8" t="n"/>
      <c r="M913" s="27" t="n"/>
      <c r="N913" s="27">
        <f>IF(COUNTA(A913:M913)=0,"",IF(OR(A913="",B913="",C913="",D913="",E913="",F913="",I913="",J913="",K913="",M913=""),"Required link detail missing",IF(COUNTIF($A$4:$A$1003,A913)&gt;1,"Duplicate Map Edge ID",IF(NOT(OR(AND(B913="UC",E913="CAP",D913="requires"),AND(B913="CAP",E913="AIR",D913="provided by"),AND(B913="AIR",OR(E913="MOD",E913="DATA",E913="IF",E913="AG",E913="TOOL"),D913="references"),AND(B913="AIR",E913="AIR",D913="depends on"))),"Invalid relationship",IF(AND(M913&lt;&gt;"Superseded",COUNTIFS($B$4:$B$1003,B913,$C$4:$C$1003,C913,$D$4:$D$1003,D913,$E$4:$E$1003,E913,$F$4:$F$1003,F913,$G$4:$G$1003,G913,$M$4:$M$1003,"&lt;&gt;Superseded")&gt;1),"Duplicate relationship",IF(OR(IF(B913="UC",COUNTIF('Use cases'!$A$4:$A$253,C913),IF(B913="CAP",COUNTIF(Capabilities!$A$4:$A$253,C913),IF(B913="AIR",COUNTIF('System map'!$A$4:$A$203,C913),COUNTIFS(Components!$A$4:$A$253,C913,Components!$B$4:$B$253,B913))))&lt;&gt;1,IF(E913="UC",COUNTIF('Use cases'!$A$4:$A$253,F913),IF(E913="CAP",COUNTIF(Capabilities!$A$4:$A$253,F913),IF(E913="AIR",COUNTIF('System map'!$A$4:$A$203,F913),COUNTIFS(Components!$A$4:$A$253,F913,Components!$B$4:$B$253,E913))))&lt;&gt;1),"Endpoint missing or duplicated",IF(AND(NOT(AND(B913="UC",E913="CAP")),OR(G913="",COUNTIF('System map'!$A$4:$A$203,G913)&lt;&gt;1)),"AIR context missing / unknown",IF(AND(B913="CAP",E913="AIR",G913&lt;&gt;F913),"AIR context mismatch",IF(AND(B913="AIR",G913&lt;&gt;C913),"AIR context mismatch",IF(AND(B913="AIR",E913="AIR",C913=F913),"Self-dependency",IF(AND(B913="AIR",E913="AIR",M913&lt;&gt;"Superseded",COUNTIFS($B$4:$B$1003,"AIR",$C$4:$C$1003,F913,$E$4:$E$1003,"AIR",$F$4:$F$1003,C913,$M$4:$M$1003,"&lt;&gt;Superseded")&gt;0),"Dependency cycle (A↔B) — review",IF(AND(B913="AIR",OR(E913="MOD",E913="DATA",E913="IF",E913="AG",E913="TOOL"),IFERROR(INDEX(Components!$G$4:$G$253,MATCH(F913,Components!$A$4:$A$253,0)),"")&lt;&gt;"",IFERROR(INDEX(Components!$G$4:$G$253,MATCH(F913,Components!$A$4:$A$253,0)),"")&lt;&gt;C913),"Component owned by another AIR-ID",IF(AND(M913="Confirmed",OR(IF(B913="UC",COUNTIFS('Use cases'!$A$4:$A$253,C913,'Use cases'!$I$4:$I$253,"Confirmed",'Use cases'!$J$4:$J$253,"OK — verify source"),IF(B913="CAP",COUNTIFS(Capabilities!$A$4:$A$253,C913,Capabilities!$J$4:$J$253,"Confirmed",Capabilities!$K$4:$K$253,"OK — verify source"),IF(B913="AIR",COUNTIFS('System map'!$A$4:$A$203,C913,'System map'!$B$4:$B$203,"&lt;&gt;",'System map'!$C$4:$C$203,"&lt;&gt;",'System map'!$D$4:$D$203,"&lt;&gt;"),COUNTIFS(Components!$A$4:$A$253,C913,Components!$B$4:$B$253,B913,Components!$K$4:$K$253,"Confirmed",Components!$L$4:$L$253,"OK — verify source"))))&lt;&gt;1,IF(E913="UC",COUNTIFS('Use cases'!$A$4:$A$253,F913,'Use cases'!$I$4:$I$253,"Confirmed",'Use cases'!$J$4:$J$253,"OK — verify source"),IF(E913="CAP",COUNTIFS(Capabilities!$A$4:$A$253,F913,Capabilities!$J$4:$J$253,"Confirmed",Capabilities!$K$4:$K$253,"OK — verify source"),IF(E913="AIR",COUNTIFS('System map'!$A$4:$A$203,F913,'System map'!$B$4:$B$203,"&lt;&gt;",'System map'!$C$4:$C$203,"&lt;&gt;",'System map'!$D$4:$D$203,"&lt;&gt;"),COUNTIFS(Components!$A$4:$A$253,F913,Components!$B$4:$B$253,E913,Components!$K$4:$K$253,"Confirmed",Components!$L$4:$L$253,"OK — verify source"))))&lt;&gt;1)),"Endpoint not source-reconciled",IF(AND(M913="Confirmed",OR(L913="",K913="",K913="Unknown",K913="Low")),"Confirmed link lacks verification","OK — verify source"))))))))))))))</f>
        <v/>
      </c>
    </row>
    <row r="91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6" t="n"/>
      <c r="M914" s="25" t="n"/>
      <c r="N914" s="25">
        <f>IF(COUNTA(A914:M914)=0,"",IF(OR(A914="",B914="",C914="",D914="",E914="",F914="",I914="",J914="",K914="",M914=""),"Required link detail missing",IF(COUNTIF($A$4:$A$1003,A914)&gt;1,"Duplicate Map Edge ID",IF(NOT(OR(AND(B914="UC",E914="CAP",D914="requires"),AND(B914="CAP",E914="AIR",D914="provided by"),AND(B914="AIR",OR(E914="MOD",E914="DATA",E914="IF",E914="AG",E914="TOOL"),D914="references"),AND(B914="AIR",E914="AIR",D914="depends on"))),"Invalid relationship",IF(AND(M914&lt;&gt;"Superseded",COUNTIFS($B$4:$B$1003,B914,$C$4:$C$1003,C914,$D$4:$D$1003,D914,$E$4:$E$1003,E914,$F$4:$F$1003,F914,$G$4:$G$1003,G914,$M$4:$M$1003,"&lt;&gt;Superseded")&gt;1),"Duplicate relationship",IF(OR(IF(B914="UC",COUNTIF('Use cases'!$A$4:$A$253,C914),IF(B914="CAP",COUNTIF(Capabilities!$A$4:$A$253,C914),IF(B914="AIR",COUNTIF('System map'!$A$4:$A$203,C914),COUNTIFS(Components!$A$4:$A$253,C914,Components!$B$4:$B$253,B914))))&lt;&gt;1,IF(E914="UC",COUNTIF('Use cases'!$A$4:$A$253,F914),IF(E914="CAP",COUNTIF(Capabilities!$A$4:$A$253,F914),IF(E914="AIR",COUNTIF('System map'!$A$4:$A$203,F914),COUNTIFS(Components!$A$4:$A$253,F914,Components!$B$4:$B$253,E914))))&lt;&gt;1),"Endpoint missing or duplicated",IF(AND(NOT(AND(B914="UC",E914="CAP")),OR(G914="",COUNTIF('System map'!$A$4:$A$203,G914)&lt;&gt;1)),"AIR context missing / unknown",IF(AND(B914="CAP",E914="AIR",G914&lt;&gt;F914),"AIR context mismatch",IF(AND(B914="AIR",G914&lt;&gt;C914),"AIR context mismatch",IF(AND(B914="AIR",E914="AIR",C914=F914),"Self-dependency",IF(AND(B914="AIR",E914="AIR",M914&lt;&gt;"Superseded",COUNTIFS($B$4:$B$1003,"AIR",$C$4:$C$1003,F914,$E$4:$E$1003,"AIR",$F$4:$F$1003,C914,$M$4:$M$1003,"&lt;&gt;Superseded")&gt;0),"Dependency cycle (A↔B) — review",IF(AND(B914="AIR",OR(E914="MOD",E914="DATA",E914="IF",E914="AG",E914="TOOL"),IFERROR(INDEX(Components!$G$4:$G$253,MATCH(F914,Components!$A$4:$A$253,0)),"")&lt;&gt;"",IFERROR(INDEX(Components!$G$4:$G$253,MATCH(F914,Components!$A$4:$A$253,0)),"")&lt;&gt;C914),"Component owned by another AIR-ID",IF(AND(M914="Confirmed",OR(IF(B914="UC",COUNTIFS('Use cases'!$A$4:$A$253,C914,'Use cases'!$I$4:$I$253,"Confirmed",'Use cases'!$J$4:$J$253,"OK — verify source"),IF(B914="CAP",COUNTIFS(Capabilities!$A$4:$A$253,C914,Capabilities!$J$4:$J$253,"Confirmed",Capabilities!$K$4:$K$253,"OK — verify source"),IF(B914="AIR",COUNTIFS('System map'!$A$4:$A$203,C914,'System map'!$B$4:$B$203,"&lt;&gt;",'System map'!$C$4:$C$203,"&lt;&gt;",'System map'!$D$4:$D$203,"&lt;&gt;"),COUNTIFS(Components!$A$4:$A$253,C914,Components!$B$4:$B$253,B914,Components!$K$4:$K$253,"Confirmed",Components!$L$4:$L$253,"OK — verify source"))))&lt;&gt;1,IF(E914="UC",COUNTIFS('Use cases'!$A$4:$A$253,F914,'Use cases'!$I$4:$I$253,"Confirmed",'Use cases'!$J$4:$J$253,"OK — verify source"),IF(E914="CAP",COUNTIFS(Capabilities!$A$4:$A$253,F914,Capabilities!$J$4:$J$253,"Confirmed",Capabilities!$K$4:$K$253,"OK — verify source"),IF(E914="AIR",COUNTIFS('System map'!$A$4:$A$203,F914,'System map'!$B$4:$B$203,"&lt;&gt;",'System map'!$C$4:$C$203,"&lt;&gt;",'System map'!$D$4:$D$203,"&lt;&gt;"),COUNTIFS(Components!$A$4:$A$253,F914,Components!$B$4:$B$253,E914,Components!$K$4:$K$253,"Confirmed",Components!$L$4:$L$253,"OK — verify source"))))&lt;&gt;1)),"Endpoint not source-reconciled",IF(AND(M914="Confirmed",OR(L914="",K914="",K914="Unknown",K914="Low")),"Confirmed link lacks verification","OK — verify source"))))))))))))))</f>
        <v/>
      </c>
    </row>
    <row r="915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8" t="n"/>
      <c r="M915" s="27" t="n"/>
      <c r="N915" s="27">
        <f>IF(COUNTA(A915:M915)=0,"",IF(OR(A915="",B915="",C915="",D915="",E915="",F915="",I915="",J915="",K915="",M915=""),"Required link detail missing",IF(COUNTIF($A$4:$A$1003,A915)&gt;1,"Duplicate Map Edge ID",IF(NOT(OR(AND(B915="UC",E915="CAP",D915="requires"),AND(B915="CAP",E915="AIR",D915="provided by"),AND(B915="AIR",OR(E915="MOD",E915="DATA",E915="IF",E915="AG",E915="TOOL"),D915="references"),AND(B915="AIR",E915="AIR",D915="depends on"))),"Invalid relationship",IF(AND(M915&lt;&gt;"Superseded",COUNTIFS($B$4:$B$1003,B915,$C$4:$C$1003,C915,$D$4:$D$1003,D915,$E$4:$E$1003,E915,$F$4:$F$1003,F915,$G$4:$G$1003,G915,$M$4:$M$1003,"&lt;&gt;Superseded")&gt;1),"Duplicate relationship",IF(OR(IF(B915="UC",COUNTIF('Use cases'!$A$4:$A$253,C915),IF(B915="CAP",COUNTIF(Capabilities!$A$4:$A$253,C915),IF(B915="AIR",COUNTIF('System map'!$A$4:$A$203,C915),COUNTIFS(Components!$A$4:$A$253,C915,Components!$B$4:$B$253,B915))))&lt;&gt;1,IF(E915="UC",COUNTIF('Use cases'!$A$4:$A$253,F915),IF(E915="CAP",COUNTIF(Capabilities!$A$4:$A$253,F915),IF(E915="AIR",COUNTIF('System map'!$A$4:$A$203,F915),COUNTIFS(Components!$A$4:$A$253,F915,Components!$B$4:$B$253,E915))))&lt;&gt;1),"Endpoint missing or duplicated",IF(AND(NOT(AND(B915="UC",E915="CAP")),OR(G915="",COUNTIF('System map'!$A$4:$A$203,G915)&lt;&gt;1)),"AIR context missing / unknown",IF(AND(B915="CAP",E915="AIR",G915&lt;&gt;F915),"AIR context mismatch",IF(AND(B915="AIR",G915&lt;&gt;C915),"AIR context mismatch",IF(AND(B915="AIR",E915="AIR",C915=F915),"Self-dependency",IF(AND(B915="AIR",E915="AIR",M915&lt;&gt;"Superseded",COUNTIFS($B$4:$B$1003,"AIR",$C$4:$C$1003,F915,$E$4:$E$1003,"AIR",$F$4:$F$1003,C915,$M$4:$M$1003,"&lt;&gt;Superseded")&gt;0),"Dependency cycle (A↔B) — review",IF(AND(B915="AIR",OR(E915="MOD",E915="DATA",E915="IF",E915="AG",E915="TOOL"),IFERROR(INDEX(Components!$G$4:$G$253,MATCH(F915,Components!$A$4:$A$253,0)),"")&lt;&gt;"",IFERROR(INDEX(Components!$G$4:$G$253,MATCH(F915,Components!$A$4:$A$253,0)),"")&lt;&gt;C915),"Component owned by another AIR-ID",IF(AND(M915="Confirmed",OR(IF(B915="UC",COUNTIFS('Use cases'!$A$4:$A$253,C915,'Use cases'!$I$4:$I$253,"Confirmed",'Use cases'!$J$4:$J$253,"OK — verify source"),IF(B915="CAP",COUNTIFS(Capabilities!$A$4:$A$253,C915,Capabilities!$J$4:$J$253,"Confirmed",Capabilities!$K$4:$K$253,"OK — verify source"),IF(B915="AIR",COUNTIFS('System map'!$A$4:$A$203,C915,'System map'!$B$4:$B$203,"&lt;&gt;",'System map'!$C$4:$C$203,"&lt;&gt;",'System map'!$D$4:$D$203,"&lt;&gt;"),COUNTIFS(Components!$A$4:$A$253,C915,Components!$B$4:$B$253,B915,Components!$K$4:$K$253,"Confirmed",Components!$L$4:$L$253,"OK — verify source"))))&lt;&gt;1,IF(E915="UC",COUNTIFS('Use cases'!$A$4:$A$253,F915,'Use cases'!$I$4:$I$253,"Confirmed",'Use cases'!$J$4:$J$253,"OK — verify source"),IF(E915="CAP",COUNTIFS(Capabilities!$A$4:$A$253,F915,Capabilities!$J$4:$J$253,"Confirmed",Capabilities!$K$4:$K$253,"OK — verify source"),IF(E915="AIR",COUNTIFS('System map'!$A$4:$A$203,F915,'System map'!$B$4:$B$203,"&lt;&gt;",'System map'!$C$4:$C$203,"&lt;&gt;",'System map'!$D$4:$D$203,"&lt;&gt;"),COUNTIFS(Components!$A$4:$A$253,F915,Components!$B$4:$B$253,E915,Components!$K$4:$K$253,"Confirmed",Components!$L$4:$L$253,"OK — verify source"))))&lt;&gt;1)),"Endpoint not source-reconciled",IF(AND(M915="Confirmed",OR(L915="",K915="",K915="Unknown",K915="Low")),"Confirmed link lacks verification","OK — verify source"))))))))))))))</f>
        <v/>
      </c>
    </row>
    <row r="916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6" t="n"/>
      <c r="M916" s="25" t="n"/>
      <c r="N916" s="25">
        <f>IF(COUNTA(A916:M916)=0,"",IF(OR(A916="",B916="",C916="",D916="",E916="",F916="",I916="",J916="",K916="",M916=""),"Required link detail missing",IF(COUNTIF($A$4:$A$1003,A916)&gt;1,"Duplicate Map Edge ID",IF(NOT(OR(AND(B916="UC",E916="CAP",D916="requires"),AND(B916="CAP",E916="AIR",D916="provided by"),AND(B916="AIR",OR(E916="MOD",E916="DATA",E916="IF",E916="AG",E916="TOOL"),D916="references"),AND(B916="AIR",E916="AIR",D916="depends on"))),"Invalid relationship",IF(AND(M916&lt;&gt;"Superseded",COUNTIFS($B$4:$B$1003,B916,$C$4:$C$1003,C916,$D$4:$D$1003,D916,$E$4:$E$1003,E916,$F$4:$F$1003,F916,$G$4:$G$1003,G916,$M$4:$M$1003,"&lt;&gt;Superseded")&gt;1),"Duplicate relationship",IF(OR(IF(B916="UC",COUNTIF('Use cases'!$A$4:$A$253,C916),IF(B916="CAP",COUNTIF(Capabilities!$A$4:$A$253,C916),IF(B916="AIR",COUNTIF('System map'!$A$4:$A$203,C916),COUNTIFS(Components!$A$4:$A$253,C916,Components!$B$4:$B$253,B916))))&lt;&gt;1,IF(E916="UC",COUNTIF('Use cases'!$A$4:$A$253,F916),IF(E916="CAP",COUNTIF(Capabilities!$A$4:$A$253,F916),IF(E916="AIR",COUNTIF('System map'!$A$4:$A$203,F916),COUNTIFS(Components!$A$4:$A$253,F916,Components!$B$4:$B$253,E916))))&lt;&gt;1),"Endpoint missing or duplicated",IF(AND(NOT(AND(B916="UC",E916="CAP")),OR(G916="",COUNTIF('System map'!$A$4:$A$203,G916)&lt;&gt;1)),"AIR context missing / unknown",IF(AND(B916="CAP",E916="AIR",G916&lt;&gt;F916),"AIR context mismatch",IF(AND(B916="AIR",G916&lt;&gt;C916),"AIR context mismatch",IF(AND(B916="AIR",E916="AIR",C916=F916),"Self-dependency",IF(AND(B916="AIR",E916="AIR",M916&lt;&gt;"Superseded",COUNTIFS($B$4:$B$1003,"AIR",$C$4:$C$1003,F916,$E$4:$E$1003,"AIR",$F$4:$F$1003,C916,$M$4:$M$1003,"&lt;&gt;Superseded")&gt;0),"Dependency cycle (A↔B) — review",IF(AND(B916="AIR",OR(E916="MOD",E916="DATA",E916="IF",E916="AG",E916="TOOL"),IFERROR(INDEX(Components!$G$4:$G$253,MATCH(F916,Components!$A$4:$A$253,0)),"")&lt;&gt;"",IFERROR(INDEX(Components!$G$4:$G$253,MATCH(F916,Components!$A$4:$A$253,0)),"")&lt;&gt;C916),"Component owned by another AIR-ID",IF(AND(M916="Confirmed",OR(IF(B916="UC",COUNTIFS('Use cases'!$A$4:$A$253,C916,'Use cases'!$I$4:$I$253,"Confirmed",'Use cases'!$J$4:$J$253,"OK — verify source"),IF(B916="CAP",COUNTIFS(Capabilities!$A$4:$A$253,C916,Capabilities!$J$4:$J$253,"Confirmed",Capabilities!$K$4:$K$253,"OK — verify source"),IF(B916="AIR",COUNTIFS('System map'!$A$4:$A$203,C916,'System map'!$B$4:$B$203,"&lt;&gt;",'System map'!$C$4:$C$203,"&lt;&gt;",'System map'!$D$4:$D$203,"&lt;&gt;"),COUNTIFS(Components!$A$4:$A$253,C916,Components!$B$4:$B$253,B916,Components!$K$4:$K$253,"Confirmed",Components!$L$4:$L$253,"OK — verify source"))))&lt;&gt;1,IF(E916="UC",COUNTIFS('Use cases'!$A$4:$A$253,F916,'Use cases'!$I$4:$I$253,"Confirmed",'Use cases'!$J$4:$J$253,"OK — verify source"),IF(E916="CAP",COUNTIFS(Capabilities!$A$4:$A$253,F916,Capabilities!$J$4:$J$253,"Confirmed",Capabilities!$K$4:$K$253,"OK — verify source"),IF(E916="AIR",COUNTIFS('System map'!$A$4:$A$203,F916,'System map'!$B$4:$B$203,"&lt;&gt;",'System map'!$C$4:$C$203,"&lt;&gt;",'System map'!$D$4:$D$203,"&lt;&gt;"),COUNTIFS(Components!$A$4:$A$253,F916,Components!$B$4:$B$253,E916,Components!$K$4:$K$253,"Confirmed",Components!$L$4:$L$253,"OK — verify source"))))&lt;&gt;1)),"Endpoint not source-reconciled",IF(AND(M916="Confirmed",OR(L916="",K916="",K916="Unknown",K916="Low")),"Confirmed link lacks verification","OK — verify source"))))))))))))))</f>
        <v/>
      </c>
    </row>
    <row r="917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8" t="n"/>
      <c r="M917" s="27" t="n"/>
      <c r="N917" s="27">
        <f>IF(COUNTA(A917:M917)=0,"",IF(OR(A917="",B917="",C917="",D917="",E917="",F917="",I917="",J917="",K917="",M917=""),"Required link detail missing",IF(COUNTIF($A$4:$A$1003,A917)&gt;1,"Duplicate Map Edge ID",IF(NOT(OR(AND(B917="UC",E917="CAP",D917="requires"),AND(B917="CAP",E917="AIR",D917="provided by"),AND(B917="AIR",OR(E917="MOD",E917="DATA",E917="IF",E917="AG",E917="TOOL"),D917="references"),AND(B917="AIR",E917="AIR",D917="depends on"))),"Invalid relationship",IF(AND(M917&lt;&gt;"Superseded",COUNTIFS($B$4:$B$1003,B917,$C$4:$C$1003,C917,$D$4:$D$1003,D917,$E$4:$E$1003,E917,$F$4:$F$1003,F917,$G$4:$G$1003,G917,$M$4:$M$1003,"&lt;&gt;Superseded")&gt;1),"Duplicate relationship",IF(OR(IF(B917="UC",COUNTIF('Use cases'!$A$4:$A$253,C917),IF(B917="CAP",COUNTIF(Capabilities!$A$4:$A$253,C917),IF(B917="AIR",COUNTIF('System map'!$A$4:$A$203,C917),COUNTIFS(Components!$A$4:$A$253,C917,Components!$B$4:$B$253,B917))))&lt;&gt;1,IF(E917="UC",COUNTIF('Use cases'!$A$4:$A$253,F917),IF(E917="CAP",COUNTIF(Capabilities!$A$4:$A$253,F917),IF(E917="AIR",COUNTIF('System map'!$A$4:$A$203,F917),COUNTIFS(Components!$A$4:$A$253,F917,Components!$B$4:$B$253,E917))))&lt;&gt;1),"Endpoint missing or duplicated",IF(AND(NOT(AND(B917="UC",E917="CAP")),OR(G917="",COUNTIF('System map'!$A$4:$A$203,G917)&lt;&gt;1)),"AIR context missing / unknown",IF(AND(B917="CAP",E917="AIR",G917&lt;&gt;F917),"AIR context mismatch",IF(AND(B917="AIR",G917&lt;&gt;C917),"AIR context mismatch",IF(AND(B917="AIR",E917="AIR",C917=F917),"Self-dependency",IF(AND(B917="AIR",E917="AIR",M917&lt;&gt;"Superseded",COUNTIFS($B$4:$B$1003,"AIR",$C$4:$C$1003,F917,$E$4:$E$1003,"AIR",$F$4:$F$1003,C917,$M$4:$M$1003,"&lt;&gt;Superseded")&gt;0),"Dependency cycle (A↔B) — review",IF(AND(B917="AIR",OR(E917="MOD",E917="DATA",E917="IF",E917="AG",E917="TOOL"),IFERROR(INDEX(Components!$G$4:$G$253,MATCH(F917,Components!$A$4:$A$253,0)),"")&lt;&gt;"",IFERROR(INDEX(Components!$G$4:$G$253,MATCH(F917,Components!$A$4:$A$253,0)),"")&lt;&gt;C917),"Component owned by another AIR-ID",IF(AND(M917="Confirmed",OR(IF(B917="UC",COUNTIFS('Use cases'!$A$4:$A$253,C917,'Use cases'!$I$4:$I$253,"Confirmed",'Use cases'!$J$4:$J$253,"OK — verify source"),IF(B917="CAP",COUNTIFS(Capabilities!$A$4:$A$253,C917,Capabilities!$J$4:$J$253,"Confirmed",Capabilities!$K$4:$K$253,"OK — verify source"),IF(B917="AIR",COUNTIFS('System map'!$A$4:$A$203,C917,'System map'!$B$4:$B$203,"&lt;&gt;",'System map'!$C$4:$C$203,"&lt;&gt;",'System map'!$D$4:$D$203,"&lt;&gt;"),COUNTIFS(Components!$A$4:$A$253,C917,Components!$B$4:$B$253,B917,Components!$K$4:$K$253,"Confirmed",Components!$L$4:$L$253,"OK — verify source"))))&lt;&gt;1,IF(E917="UC",COUNTIFS('Use cases'!$A$4:$A$253,F917,'Use cases'!$I$4:$I$253,"Confirmed",'Use cases'!$J$4:$J$253,"OK — verify source"),IF(E917="CAP",COUNTIFS(Capabilities!$A$4:$A$253,F917,Capabilities!$J$4:$J$253,"Confirmed",Capabilities!$K$4:$K$253,"OK — verify source"),IF(E917="AIR",COUNTIFS('System map'!$A$4:$A$203,F917,'System map'!$B$4:$B$203,"&lt;&gt;",'System map'!$C$4:$C$203,"&lt;&gt;",'System map'!$D$4:$D$203,"&lt;&gt;"),COUNTIFS(Components!$A$4:$A$253,F917,Components!$B$4:$B$253,E917,Components!$K$4:$K$253,"Confirmed",Components!$L$4:$L$253,"OK — verify source"))))&lt;&gt;1)),"Endpoint not source-reconciled",IF(AND(M917="Confirmed",OR(L917="",K917="",K917="Unknown",K917="Low")),"Confirmed link lacks verification","OK — verify source"))))))))))))))</f>
        <v/>
      </c>
    </row>
    <row r="918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6" t="n"/>
      <c r="M918" s="25" t="n"/>
      <c r="N918" s="25">
        <f>IF(COUNTA(A918:M918)=0,"",IF(OR(A918="",B918="",C918="",D918="",E918="",F918="",I918="",J918="",K918="",M918=""),"Required link detail missing",IF(COUNTIF($A$4:$A$1003,A918)&gt;1,"Duplicate Map Edge ID",IF(NOT(OR(AND(B918="UC",E918="CAP",D918="requires"),AND(B918="CAP",E918="AIR",D918="provided by"),AND(B918="AIR",OR(E918="MOD",E918="DATA",E918="IF",E918="AG",E918="TOOL"),D918="references"),AND(B918="AIR",E918="AIR",D918="depends on"))),"Invalid relationship",IF(AND(M918&lt;&gt;"Superseded",COUNTIFS($B$4:$B$1003,B918,$C$4:$C$1003,C918,$D$4:$D$1003,D918,$E$4:$E$1003,E918,$F$4:$F$1003,F918,$G$4:$G$1003,G918,$M$4:$M$1003,"&lt;&gt;Superseded")&gt;1),"Duplicate relationship",IF(OR(IF(B918="UC",COUNTIF('Use cases'!$A$4:$A$253,C918),IF(B918="CAP",COUNTIF(Capabilities!$A$4:$A$253,C918),IF(B918="AIR",COUNTIF('System map'!$A$4:$A$203,C918),COUNTIFS(Components!$A$4:$A$253,C918,Components!$B$4:$B$253,B918))))&lt;&gt;1,IF(E918="UC",COUNTIF('Use cases'!$A$4:$A$253,F918),IF(E918="CAP",COUNTIF(Capabilities!$A$4:$A$253,F918),IF(E918="AIR",COUNTIF('System map'!$A$4:$A$203,F918),COUNTIFS(Components!$A$4:$A$253,F918,Components!$B$4:$B$253,E918))))&lt;&gt;1),"Endpoint missing or duplicated",IF(AND(NOT(AND(B918="UC",E918="CAP")),OR(G918="",COUNTIF('System map'!$A$4:$A$203,G918)&lt;&gt;1)),"AIR context missing / unknown",IF(AND(B918="CAP",E918="AIR",G918&lt;&gt;F918),"AIR context mismatch",IF(AND(B918="AIR",G918&lt;&gt;C918),"AIR context mismatch",IF(AND(B918="AIR",E918="AIR",C918=F918),"Self-dependency",IF(AND(B918="AIR",E918="AIR",M918&lt;&gt;"Superseded",COUNTIFS($B$4:$B$1003,"AIR",$C$4:$C$1003,F918,$E$4:$E$1003,"AIR",$F$4:$F$1003,C918,$M$4:$M$1003,"&lt;&gt;Superseded")&gt;0),"Dependency cycle (A↔B) — review",IF(AND(B918="AIR",OR(E918="MOD",E918="DATA",E918="IF",E918="AG",E918="TOOL"),IFERROR(INDEX(Components!$G$4:$G$253,MATCH(F918,Components!$A$4:$A$253,0)),"")&lt;&gt;"",IFERROR(INDEX(Components!$G$4:$G$253,MATCH(F918,Components!$A$4:$A$253,0)),"")&lt;&gt;C918),"Component owned by another AIR-ID",IF(AND(M918="Confirmed",OR(IF(B918="UC",COUNTIFS('Use cases'!$A$4:$A$253,C918,'Use cases'!$I$4:$I$253,"Confirmed",'Use cases'!$J$4:$J$253,"OK — verify source"),IF(B918="CAP",COUNTIFS(Capabilities!$A$4:$A$253,C918,Capabilities!$J$4:$J$253,"Confirmed",Capabilities!$K$4:$K$253,"OK — verify source"),IF(B918="AIR",COUNTIFS('System map'!$A$4:$A$203,C918,'System map'!$B$4:$B$203,"&lt;&gt;",'System map'!$C$4:$C$203,"&lt;&gt;",'System map'!$D$4:$D$203,"&lt;&gt;"),COUNTIFS(Components!$A$4:$A$253,C918,Components!$B$4:$B$253,B918,Components!$K$4:$K$253,"Confirmed",Components!$L$4:$L$253,"OK — verify source"))))&lt;&gt;1,IF(E918="UC",COUNTIFS('Use cases'!$A$4:$A$253,F918,'Use cases'!$I$4:$I$253,"Confirmed",'Use cases'!$J$4:$J$253,"OK — verify source"),IF(E918="CAP",COUNTIFS(Capabilities!$A$4:$A$253,F918,Capabilities!$J$4:$J$253,"Confirmed",Capabilities!$K$4:$K$253,"OK — verify source"),IF(E918="AIR",COUNTIFS('System map'!$A$4:$A$203,F918,'System map'!$B$4:$B$203,"&lt;&gt;",'System map'!$C$4:$C$203,"&lt;&gt;",'System map'!$D$4:$D$203,"&lt;&gt;"),COUNTIFS(Components!$A$4:$A$253,F918,Components!$B$4:$B$253,E918,Components!$K$4:$K$253,"Confirmed",Components!$L$4:$L$253,"OK — verify source"))))&lt;&gt;1)),"Endpoint not source-reconciled",IF(AND(M918="Confirmed",OR(L918="",K918="",K918="Unknown",K918="Low")),"Confirmed link lacks verification","OK — verify source"))))))))))))))</f>
        <v/>
      </c>
    </row>
    <row r="919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8" t="n"/>
      <c r="M919" s="27" t="n"/>
      <c r="N919" s="27">
        <f>IF(COUNTA(A919:M919)=0,"",IF(OR(A919="",B919="",C919="",D919="",E919="",F919="",I919="",J919="",K919="",M919=""),"Required link detail missing",IF(COUNTIF($A$4:$A$1003,A919)&gt;1,"Duplicate Map Edge ID",IF(NOT(OR(AND(B919="UC",E919="CAP",D919="requires"),AND(B919="CAP",E919="AIR",D919="provided by"),AND(B919="AIR",OR(E919="MOD",E919="DATA",E919="IF",E919="AG",E919="TOOL"),D919="references"),AND(B919="AIR",E919="AIR",D919="depends on"))),"Invalid relationship",IF(AND(M919&lt;&gt;"Superseded",COUNTIFS($B$4:$B$1003,B919,$C$4:$C$1003,C919,$D$4:$D$1003,D919,$E$4:$E$1003,E919,$F$4:$F$1003,F919,$G$4:$G$1003,G919,$M$4:$M$1003,"&lt;&gt;Superseded")&gt;1),"Duplicate relationship",IF(OR(IF(B919="UC",COUNTIF('Use cases'!$A$4:$A$253,C919),IF(B919="CAP",COUNTIF(Capabilities!$A$4:$A$253,C919),IF(B919="AIR",COUNTIF('System map'!$A$4:$A$203,C919),COUNTIFS(Components!$A$4:$A$253,C919,Components!$B$4:$B$253,B919))))&lt;&gt;1,IF(E919="UC",COUNTIF('Use cases'!$A$4:$A$253,F919),IF(E919="CAP",COUNTIF(Capabilities!$A$4:$A$253,F919),IF(E919="AIR",COUNTIF('System map'!$A$4:$A$203,F919),COUNTIFS(Components!$A$4:$A$253,F919,Components!$B$4:$B$253,E919))))&lt;&gt;1),"Endpoint missing or duplicated",IF(AND(NOT(AND(B919="UC",E919="CAP")),OR(G919="",COUNTIF('System map'!$A$4:$A$203,G919)&lt;&gt;1)),"AIR context missing / unknown",IF(AND(B919="CAP",E919="AIR",G919&lt;&gt;F919),"AIR context mismatch",IF(AND(B919="AIR",G919&lt;&gt;C919),"AIR context mismatch",IF(AND(B919="AIR",E919="AIR",C919=F919),"Self-dependency",IF(AND(B919="AIR",E919="AIR",M919&lt;&gt;"Superseded",COUNTIFS($B$4:$B$1003,"AIR",$C$4:$C$1003,F919,$E$4:$E$1003,"AIR",$F$4:$F$1003,C919,$M$4:$M$1003,"&lt;&gt;Superseded")&gt;0),"Dependency cycle (A↔B) — review",IF(AND(B919="AIR",OR(E919="MOD",E919="DATA",E919="IF",E919="AG",E919="TOOL"),IFERROR(INDEX(Components!$G$4:$G$253,MATCH(F919,Components!$A$4:$A$253,0)),"")&lt;&gt;"",IFERROR(INDEX(Components!$G$4:$G$253,MATCH(F919,Components!$A$4:$A$253,0)),"")&lt;&gt;C919),"Component owned by another AIR-ID",IF(AND(M919="Confirmed",OR(IF(B919="UC",COUNTIFS('Use cases'!$A$4:$A$253,C919,'Use cases'!$I$4:$I$253,"Confirmed",'Use cases'!$J$4:$J$253,"OK — verify source"),IF(B919="CAP",COUNTIFS(Capabilities!$A$4:$A$253,C919,Capabilities!$J$4:$J$253,"Confirmed",Capabilities!$K$4:$K$253,"OK — verify source"),IF(B919="AIR",COUNTIFS('System map'!$A$4:$A$203,C919,'System map'!$B$4:$B$203,"&lt;&gt;",'System map'!$C$4:$C$203,"&lt;&gt;",'System map'!$D$4:$D$203,"&lt;&gt;"),COUNTIFS(Components!$A$4:$A$253,C919,Components!$B$4:$B$253,B919,Components!$K$4:$K$253,"Confirmed",Components!$L$4:$L$253,"OK — verify source"))))&lt;&gt;1,IF(E919="UC",COUNTIFS('Use cases'!$A$4:$A$253,F919,'Use cases'!$I$4:$I$253,"Confirmed",'Use cases'!$J$4:$J$253,"OK — verify source"),IF(E919="CAP",COUNTIFS(Capabilities!$A$4:$A$253,F919,Capabilities!$J$4:$J$253,"Confirmed",Capabilities!$K$4:$K$253,"OK — verify source"),IF(E919="AIR",COUNTIFS('System map'!$A$4:$A$203,F919,'System map'!$B$4:$B$203,"&lt;&gt;",'System map'!$C$4:$C$203,"&lt;&gt;",'System map'!$D$4:$D$203,"&lt;&gt;"),COUNTIFS(Components!$A$4:$A$253,F919,Components!$B$4:$B$253,E919,Components!$K$4:$K$253,"Confirmed",Components!$L$4:$L$253,"OK — verify source"))))&lt;&gt;1)),"Endpoint not source-reconciled",IF(AND(M919="Confirmed",OR(L919="",K919="",K919="Unknown",K919="Low")),"Confirmed link lacks verification","OK — verify source"))))))))))))))</f>
        <v/>
      </c>
    </row>
    <row r="920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6" t="n"/>
      <c r="M920" s="25" t="n"/>
      <c r="N920" s="25">
        <f>IF(COUNTA(A920:M920)=0,"",IF(OR(A920="",B920="",C920="",D920="",E920="",F920="",I920="",J920="",K920="",M920=""),"Required link detail missing",IF(COUNTIF($A$4:$A$1003,A920)&gt;1,"Duplicate Map Edge ID",IF(NOT(OR(AND(B920="UC",E920="CAP",D920="requires"),AND(B920="CAP",E920="AIR",D920="provided by"),AND(B920="AIR",OR(E920="MOD",E920="DATA",E920="IF",E920="AG",E920="TOOL"),D920="references"),AND(B920="AIR",E920="AIR",D920="depends on"))),"Invalid relationship",IF(AND(M920&lt;&gt;"Superseded",COUNTIFS($B$4:$B$1003,B920,$C$4:$C$1003,C920,$D$4:$D$1003,D920,$E$4:$E$1003,E920,$F$4:$F$1003,F920,$G$4:$G$1003,G920,$M$4:$M$1003,"&lt;&gt;Superseded")&gt;1),"Duplicate relationship",IF(OR(IF(B920="UC",COUNTIF('Use cases'!$A$4:$A$253,C920),IF(B920="CAP",COUNTIF(Capabilities!$A$4:$A$253,C920),IF(B920="AIR",COUNTIF('System map'!$A$4:$A$203,C920),COUNTIFS(Components!$A$4:$A$253,C920,Components!$B$4:$B$253,B920))))&lt;&gt;1,IF(E920="UC",COUNTIF('Use cases'!$A$4:$A$253,F920),IF(E920="CAP",COUNTIF(Capabilities!$A$4:$A$253,F920),IF(E920="AIR",COUNTIF('System map'!$A$4:$A$203,F920),COUNTIFS(Components!$A$4:$A$253,F920,Components!$B$4:$B$253,E920))))&lt;&gt;1),"Endpoint missing or duplicated",IF(AND(NOT(AND(B920="UC",E920="CAP")),OR(G920="",COUNTIF('System map'!$A$4:$A$203,G920)&lt;&gt;1)),"AIR context missing / unknown",IF(AND(B920="CAP",E920="AIR",G920&lt;&gt;F920),"AIR context mismatch",IF(AND(B920="AIR",G920&lt;&gt;C920),"AIR context mismatch",IF(AND(B920="AIR",E920="AIR",C920=F920),"Self-dependency",IF(AND(B920="AIR",E920="AIR",M920&lt;&gt;"Superseded",COUNTIFS($B$4:$B$1003,"AIR",$C$4:$C$1003,F920,$E$4:$E$1003,"AIR",$F$4:$F$1003,C920,$M$4:$M$1003,"&lt;&gt;Superseded")&gt;0),"Dependency cycle (A↔B) — review",IF(AND(B920="AIR",OR(E920="MOD",E920="DATA",E920="IF",E920="AG",E920="TOOL"),IFERROR(INDEX(Components!$G$4:$G$253,MATCH(F920,Components!$A$4:$A$253,0)),"")&lt;&gt;"",IFERROR(INDEX(Components!$G$4:$G$253,MATCH(F920,Components!$A$4:$A$253,0)),"")&lt;&gt;C920),"Component owned by another AIR-ID",IF(AND(M920="Confirmed",OR(IF(B920="UC",COUNTIFS('Use cases'!$A$4:$A$253,C920,'Use cases'!$I$4:$I$253,"Confirmed",'Use cases'!$J$4:$J$253,"OK — verify source"),IF(B920="CAP",COUNTIFS(Capabilities!$A$4:$A$253,C920,Capabilities!$J$4:$J$253,"Confirmed",Capabilities!$K$4:$K$253,"OK — verify source"),IF(B920="AIR",COUNTIFS('System map'!$A$4:$A$203,C920,'System map'!$B$4:$B$203,"&lt;&gt;",'System map'!$C$4:$C$203,"&lt;&gt;",'System map'!$D$4:$D$203,"&lt;&gt;"),COUNTIFS(Components!$A$4:$A$253,C920,Components!$B$4:$B$253,B920,Components!$K$4:$K$253,"Confirmed",Components!$L$4:$L$253,"OK — verify source"))))&lt;&gt;1,IF(E920="UC",COUNTIFS('Use cases'!$A$4:$A$253,F920,'Use cases'!$I$4:$I$253,"Confirmed",'Use cases'!$J$4:$J$253,"OK — verify source"),IF(E920="CAP",COUNTIFS(Capabilities!$A$4:$A$253,F920,Capabilities!$J$4:$J$253,"Confirmed",Capabilities!$K$4:$K$253,"OK — verify source"),IF(E920="AIR",COUNTIFS('System map'!$A$4:$A$203,F920,'System map'!$B$4:$B$203,"&lt;&gt;",'System map'!$C$4:$C$203,"&lt;&gt;",'System map'!$D$4:$D$203,"&lt;&gt;"),COUNTIFS(Components!$A$4:$A$253,F920,Components!$B$4:$B$253,E920,Components!$K$4:$K$253,"Confirmed",Components!$L$4:$L$253,"OK — verify source"))))&lt;&gt;1)),"Endpoint not source-reconciled",IF(AND(M920="Confirmed",OR(L920="",K920="",K920="Unknown",K920="Low")),"Confirmed link lacks verification","OK — verify source"))))))))))))))</f>
        <v/>
      </c>
    </row>
    <row r="921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8" t="n"/>
      <c r="M921" s="27" t="n"/>
      <c r="N921" s="27">
        <f>IF(COUNTA(A921:M921)=0,"",IF(OR(A921="",B921="",C921="",D921="",E921="",F921="",I921="",J921="",K921="",M921=""),"Required link detail missing",IF(COUNTIF($A$4:$A$1003,A921)&gt;1,"Duplicate Map Edge ID",IF(NOT(OR(AND(B921="UC",E921="CAP",D921="requires"),AND(B921="CAP",E921="AIR",D921="provided by"),AND(B921="AIR",OR(E921="MOD",E921="DATA",E921="IF",E921="AG",E921="TOOL"),D921="references"),AND(B921="AIR",E921="AIR",D921="depends on"))),"Invalid relationship",IF(AND(M921&lt;&gt;"Superseded",COUNTIFS($B$4:$B$1003,B921,$C$4:$C$1003,C921,$D$4:$D$1003,D921,$E$4:$E$1003,E921,$F$4:$F$1003,F921,$G$4:$G$1003,G921,$M$4:$M$1003,"&lt;&gt;Superseded")&gt;1),"Duplicate relationship",IF(OR(IF(B921="UC",COUNTIF('Use cases'!$A$4:$A$253,C921),IF(B921="CAP",COUNTIF(Capabilities!$A$4:$A$253,C921),IF(B921="AIR",COUNTIF('System map'!$A$4:$A$203,C921),COUNTIFS(Components!$A$4:$A$253,C921,Components!$B$4:$B$253,B921))))&lt;&gt;1,IF(E921="UC",COUNTIF('Use cases'!$A$4:$A$253,F921),IF(E921="CAP",COUNTIF(Capabilities!$A$4:$A$253,F921),IF(E921="AIR",COUNTIF('System map'!$A$4:$A$203,F921),COUNTIFS(Components!$A$4:$A$253,F921,Components!$B$4:$B$253,E921))))&lt;&gt;1),"Endpoint missing or duplicated",IF(AND(NOT(AND(B921="UC",E921="CAP")),OR(G921="",COUNTIF('System map'!$A$4:$A$203,G921)&lt;&gt;1)),"AIR context missing / unknown",IF(AND(B921="CAP",E921="AIR",G921&lt;&gt;F921),"AIR context mismatch",IF(AND(B921="AIR",G921&lt;&gt;C921),"AIR context mismatch",IF(AND(B921="AIR",E921="AIR",C921=F921),"Self-dependency",IF(AND(B921="AIR",E921="AIR",M921&lt;&gt;"Superseded",COUNTIFS($B$4:$B$1003,"AIR",$C$4:$C$1003,F921,$E$4:$E$1003,"AIR",$F$4:$F$1003,C921,$M$4:$M$1003,"&lt;&gt;Superseded")&gt;0),"Dependency cycle (A↔B) — review",IF(AND(B921="AIR",OR(E921="MOD",E921="DATA",E921="IF",E921="AG",E921="TOOL"),IFERROR(INDEX(Components!$G$4:$G$253,MATCH(F921,Components!$A$4:$A$253,0)),"")&lt;&gt;"",IFERROR(INDEX(Components!$G$4:$G$253,MATCH(F921,Components!$A$4:$A$253,0)),"")&lt;&gt;C921),"Component owned by another AIR-ID",IF(AND(M921="Confirmed",OR(IF(B921="UC",COUNTIFS('Use cases'!$A$4:$A$253,C921,'Use cases'!$I$4:$I$253,"Confirmed",'Use cases'!$J$4:$J$253,"OK — verify source"),IF(B921="CAP",COUNTIFS(Capabilities!$A$4:$A$253,C921,Capabilities!$J$4:$J$253,"Confirmed",Capabilities!$K$4:$K$253,"OK — verify source"),IF(B921="AIR",COUNTIFS('System map'!$A$4:$A$203,C921,'System map'!$B$4:$B$203,"&lt;&gt;",'System map'!$C$4:$C$203,"&lt;&gt;",'System map'!$D$4:$D$203,"&lt;&gt;"),COUNTIFS(Components!$A$4:$A$253,C921,Components!$B$4:$B$253,B921,Components!$K$4:$K$253,"Confirmed",Components!$L$4:$L$253,"OK — verify source"))))&lt;&gt;1,IF(E921="UC",COUNTIFS('Use cases'!$A$4:$A$253,F921,'Use cases'!$I$4:$I$253,"Confirmed",'Use cases'!$J$4:$J$253,"OK — verify source"),IF(E921="CAP",COUNTIFS(Capabilities!$A$4:$A$253,F921,Capabilities!$J$4:$J$253,"Confirmed",Capabilities!$K$4:$K$253,"OK — verify source"),IF(E921="AIR",COUNTIFS('System map'!$A$4:$A$203,F921,'System map'!$B$4:$B$203,"&lt;&gt;",'System map'!$C$4:$C$203,"&lt;&gt;",'System map'!$D$4:$D$203,"&lt;&gt;"),COUNTIFS(Components!$A$4:$A$253,F921,Components!$B$4:$B$253,E921,Components!$K$4:$K$253,"Confirmed",Components!$L$4:$L$253,"OK — verify source"))))&lt;&gt;1)),"Endpoint not source-reconciled",IF(AND(M921="Confirmed",OR(L921="",K921="",K921="Unknown",K921="Low")),"Confirmed link lacks verification","OK — verify source"))))))))))))))</f>
        <v/>
      </c>
    </row>
    <row r="922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6" t="n"/>
      <c r="M922" s="25" t="n"/>
      <c r="N922" s="25">
        <f>IF(COUNTA(A922:M922)=0,"",IF(OR(A922="",B922="",C922="",D922="",E922="",F922="",I922="",J922="",K922="",M922=""),"Required link detail missing",IF(COUNTIF($A$4:$A$1003,A922)&gt;1,"Duplicate Map Edge ID",IF(NOT(OR(AND(B922="UC",E922="CAP",D922="requires"),AND(B922="CAP",E922="AIR",D922="provided by"),AND(B922="AIR",OR(E922="MOD",E922="DATA",E922="IF",E922="AG",E922="TOOL"),D922="references"),AND(B922="AIR",E922="AIR",D922="depends on"))),"Invalid relationship",IF(AND(M922&lt;&gt;"Superseded",COUNTIFS($B$4:$B$1003,B922,$C$4:$C$1003,C922,$D$4:$D$1003,D922,$E$4:$E$1003,E922,$F$4:$F$1003,F922,$G$4:$G$1003,G922,$M$4:$M$1003,"&lt;&gt;Superseded")&gt;1),"Duplicate relationship",IF(OR(IF(B922="UC",COUNTIF('Use cases'!$A$4:$A$253,C922),IF(B922="CAP",COUNTIF(Capabilities!$A$4:$A$253,C922),IF(B922="AIR",COUNTIF('System map'!$A$4:$A$203,C922),COUNTIFS(Components!$A$4:$A$253,C922,Components!$B$4:$B$253,B922))))&lt;&gt;1,IF(E922="UC",COUNTIF('Use cases'!$A$4:$A$253,F922),IF(E922="CAP",COUNTIF(Capabilities!$A$4:$A$253,F922),IF(E922="AIR",COUNTIF('System map'!$A$4:$A$203,F922),COUNTIFS(Components!$A$4:$A$253,F922,Components!$B$4:$B$253,E922))))&lt;&gt;1),"Endpoint missing or duplicated",IF(AND(NOT(AND(B922="UC",E922="CAP")),OR(G922="",COUNTIF('System map'!$A$4:$A$203,G922)&lt;&gt;1)),"AIR context missing / unknown",IF(AND(B922="CAP",E922="AIR",G922&lt;&gt;F922),"AIR context mismatch",IF(AND(B922="AIR",G922&lt;&gt;C922),"AIR context mismatch",IF(AND(B922="AIR",E922="AIR",C922=F922),"Self-dependency",IF(AND(B922="AIR",E922="AIR",M922&lt;&gt;"Superseded",COUNTIFS($B$4:$B$1003,"AIR",$C$4:$C$1003,F922,$E$4:$E$1003,"AIR",$F$4:$F$1003,C922,$M$4:$M$1003,"&lt;&gt;Superseded")&gt;0),"Dependency cycle (A↔B) — review",IF(AND(B922="AIR",OR(E922="MOD",E922="DATA",E922="IF",E922="AG",E922="TOOL"),IFERROR(INDEX(Components!$G$4:$G$253,MATCH(F922,Components!$A$4:$A$253,0)),"")&lt;&gt;"",IFERROR(INDEX(Components!$G$4:$G$253,MATCH(F922,Components!$A$4:$A$253,0)),"")&lt;&gt;C922),"Component owned by another AIR-ID",IF(AND(M922="Confirmed",OR(IF(B922="UC",COUNTIFS('Use cases'!$A$4:$A$253,C922,'Use cases'!$I$4:$I$253,"Confirmed",'Use cases'!$J$4:$J$253,"OK — verify source"),IF(B922="CAP",COUNTIFS(Capabilities!$A$4:$A$253,C922,Capabilities!$J$4:$J$253,"Confirmed",Capabilities!$K$4:$K$253,"OK — verify source"),IF(B922="AIR",COUNTIFS('System map'!$A$4:$A$203,C922,'System map'!$B$4:$B$203,"&lt;&gt;",'System map'!$C$4:$C$203,"&lt;&gt;",'System map'!$D$4:$D$203,"&lt;&gt;"),COUNTIFS(Components!$A$4:$A$253,C922,Components!$B$4:$B$253,B922,Components!$K$4:$K$253,"Confirmed",Components!$L$4:$L$253,"OK — verify source"))))&lt;&gt;1,IF(E922="UC",COUNTIFS('Use cases'!$A$4:$A$253,F922,'Use cases'!$I$4:$I$253,"Confirmed",'Use cases'!$J$4:$J$253,"OK — verify source"),IF(E922="CAP",COUNTIFS(Capabilities!$A$4:$A$253,F922,Capabilities!$J$4:$J$253,"Confirmed",Capabilities!$K$4:$K$253,"OK — verify source"),IF(E922="AIR",COUNTIFS('System map'!$A$4:$A$203,F922,'System map'!$B$4:$B$203,"&lt;&gt;",'System map'!$C$4:$C$203,"&lt;&gt;",'System map'!$D$4:$D$203,"&lt;&gt;"),COUNTIFS(Components!$A$4:$A$253,F922,Components!$B$4:$B$253,E922,Components!$K$4:$K$253,"Confirmed",Components!$L$4:$L$253,"OK — verify source"))))&lt;&gt;1)),"Endpoint not source-reconciled",IF(AND(M922="Confirmed",OR(L922="",K922="",K922="Unknown",K922="Low")),"Confirmed link lacks verification","OK — verify source"))))))))))))))</f>
        <v/>
      </c>
    </row>
    <row r="923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8" t="n"/>
      <c r="M923" s="27" t="n"/>
      <c r="N923" s="27">
        <f>IF(COUNTA(A923:M923)=0,"",IF(OR(A923="",B923="",C923="",D923="",E923="",F923="",I923="",J923="",K923="",M923=""),"Required link detail missing",IF(COUNTIF($A$4:$A$1003,A923)&gt;1,"Duplicate Map Edge ID",IF(NOT(OR(AND(B923="UC",E923="CAP",D923="requires"),AND(B923="CAP",E923="AIR",D923="provided by"),AND(B923="AIR",OR(E923="MOD",E923="DATA",E923="IF",E923="AG",E923="TOOL"),D923="references"),AND(B923="AIR",E923="AIR",D923="depends on"))),"Invalid relationship",IF(AND(M923&lt;&gt;"Superseded",COUNTIFS($B$4:$B$1003,B923,$C$4:$C$1003,C923,$D$4:$D$1003,D923,$E$4:$E$1003,E923,$F$4:$F$1003,F923,$G$4:$G$1003,G923,$M$4:$M$1003,"&lt;&gt;Superseded")&gt;1),"Duplicate relationship",IF(OR(IF(B923="UC",COUNTIF('Use cases'!$A$4:$A$253,C923),IF(B923="CAP",COUNTIF(Capabilities!$A$4:$A$253,C923),IF(B923="AIR",COUNTIF('System map'!$A$4:$A$203,C923),COUNTIFS(Components!$A$4:$A$253,C923,Components!$B$4:$B$253,B923))))&lt;&gt;1,IF(E923="UC",COUNTIF('Use cases'!$A$4:$A$253,F923),IF(E923="CAP",COUNTIF(Capabilities!$A$4:$A$253,F923),IF(E923="AIR",COUNTIF('System map'!$A$4:$A$203,F923),COUNTIFS(Components!$A$4:$A$253,F923,Components!$B$4:$B$253,E923))))&lt;&gt;1),"Endpoint missing or duplicated",IF(AND(NOT(AND(B923="UC",E923="CAP")),OR(G923="",COUNTIF('System map'!$A$4:$A$203,G923)&lt;&gt;1)),"AIR context missing / unknown",IF(AND(B923="CAP",E923="AIR",G923&lt;&gt;F923),"AIR context mismatch",IF(AND(B923="AIR",G923&lt;&gt;C923),"AIR context mismatch",IF(AND(B923="AIR",E923="AIR",C923=F923),"Self-dependency",IF(AND(B923="AIR",E923="AIR",M923&lt;&gt;"Superseded",COUNTIFS($B$4:$B$1003,"AIR",$C$4:$C$1003,F923,$E$4:$E$1003,"AIR",$F$4:$F$1003,C923,$M$4:$M$1003,"&lt;&gt;Superseded")&gt;0),"Dependency cycle (A↔B) — review",IF(AND(B923="AIR",OR(E923="MOD",E923="DATA",E923="IF",E923="AG",E923="TOOL"),IFERROR(INDEX(Components!$G$4:$G$253,MATCH(F923,Components!$A$4:$A$253,0)),"")&lt;&gt;"",IFERROR(INDEX(Components!$G$4:$G$253,MATCH(F923,Components!$A$4:$A$253,0)),"")&lt;&gt;C923),"Component owned by another AIR-ID",IF(AND(M923="Confirmed",OR(IF(B923="UC",COUNTIFS('Use cases'!$A$4:$A$253,C923,'Use cases'!$I$4:$I$253,"Confirmed",'Use cases'!$J$4:$J$253,"OK — verify source"),IF(B923="CAP",COUNTIFS(Capabilities!$A$4:$A$253,C923,Capabilities!$J$4:$J$253,"Confirmed",Capabilities!$K$4:$K$253,"OK — verify source"),IF(B923="AIR",COUNTIFS('System map'!$A$4:$A$203,C923,'System map'!$B$4:$B$203,"&lt;&gt;",'System map'!$C$4:$C$203,"&lt;&gt;",'System map'!$D$4:$D$203,"&lt;&gt;"),COUNTIFS(Components!$A$4:$A$253,C923,Components!$B$4:$B$253,B923,Components!$K$4:$K$253,"Confirmed",Components!$L$4:$L$253,"OK — verify source"))))&lt;&gt;1,IF(E923="UC",COUNTIFS('Use cases'!$A$4:$A$253,F923,'Use cases'!$I$4:$I$253,"Confirmed",'Use cases'!$J$4:$J$253,"OK — verify source"),IF(E923="CAP",COUNTIFS(Capabilities!$A$4:$A$253,F923,Capabilities!$J$4:$J$253,"Confirmed",Capabilities!$K$4:$K$253,"OK — verify source"),IF(E923="AIR",COUNTIFS('System map'!$A$4:$A$203,F923,'System map'!$B$4:$B$203,"&lt;&gt;",'System map'!$C$4:$C$203,"&lt;&gt;",'System map'!$D$4:$D$203,"&lt;&gt;"),COUNTIFS(Components!$A$4:$A$253,F923,Components!$B$4:$B$253,E923,Components!$K$4:$K$253,"Confirmed",Components!$L$4:$L$253,"OK — verify source"))))&lt;&gt;1)),"Endpoint not source-reconciled",IF(AND(M923="Confirmed",OR(L923="",K923="",K923="Unknown",K923="Low")),"Confirmed link lacks verification","OK — verify source"))))))))))))))</f>
        <v/>
      </c>
    </row>
    <row r="92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6" t="n"/>
      <c r="M924" s="25" t="n"/>
      <c r="N924" s="25">
        <f>IF(COUNTA(A924:M924)=0,"",IF(OR(A924="",B924="",C924="",D924="",E924="",F924="",I924="",J924="",K924="",M924=""),"Required link detail missing",IF(COUNTIF($A$4:$A$1003,A924)&gt;1,"Duplicate Map Edge ID",IF(NOT(OR(AND(B924="UC",E924="CAP",D924="requires"),AND(B924="CAP",E924="AIR",D924="provided by"),AND(B924="AIR",OR(E924="MOD",E924="DATA",E924="IF",E924="AG",E924="TOOL"),D924="references"),AND(B924="AIR",E924="AIR",D924="depends on"))),"Invalid relationship",IF(AND(M924&lt;&gt;"Superseded",COUNTIFS($B$4:$B$1003,B924,$C$4:$C$1003,C924,$D$4:$D$1003,D924,$E$4:$E$1003,E924,$F$4:$F$1003,F924,$G$4:$G$1003,G924,$M$4:$M$1003,"&lt;&gt;Superseded")&gt;1),"Duplicate relationship",IF(OR(IF(B924="UC",COUNTIF('Use cases'!$A$4:$A$253,C924),IF(B924="CAP",COUNTIF(Capabilities!$A$4:$A$253,C924),IF(B924="AIR",COUNTIF('System map'!$A$4:$A$203,C924),COUNTIFS(Components!$A$4:$A$253,C924,Components!$B$4:$B$253,B924))))&lt;&gt;1,IF(E924="UC",COUNTIF('Use cases'!$A$4:$A$253,F924),IF(E924="CAP",COUNTIF(Capabilities!$A$4:$A$253,F924),IF(E924="AIR",COUNTIF('System map'!$A$4:$A$203,F924),COUNTIFS(Components!$A$4:$A$253,F924,Components!$B$4:$B$253,E924))))&lt;&gt;1),"Endpoint missing or duplicated",IF(AND(NOT(AND(B924="UC",E924="CAP")),OR(G924="",COUNTIF('System map'!$A$4:$A$203,G924)&lt;&gt;1)),"AIR context missing / unknown",IF(AND(B924="CAP",E924="AIR",G924&lt;&gt;F924),"AIR context mismatch",IF(AND(B924="AIR",G924&lt;&gt;C924),"AIR context mismatch",IF(AND(B924="AIR",E924="AIR",C924=F924),"Self-dependency",IF(AND(B924="AIR",E924="AIR",M924&lt;&gt;"Superseded",COUNTIFS($B$4:$B$1003,"AIR",$C$4:$C$1003,F924,$E$4:$E$1003,"AIR",$F$4:$F$1003,C924,$M$4:$M$1003,"&lt;&gt;Superseded")&gt;0),"Dependency cycle (A↔B) — review",IF(AND(B924="AIR",OR(E924="MOD",E924="DATA",E924="IF",E924="AG",E924="TOOL"),IFERROR(INDEX(Components!$G$4:$G$253,MATCH(F924,Components!$A$4:$A$253,0)),"")&lt;&gt;"",IFERROR(INDEX(Components!$G$4:$G$253,MATCH(F924,Components!$A$4:$A$253,0)),"")&lt;&gt;C924),"Component owned by another AIR-ID",IF(AND(M924="Confirmed",OR(IF(B924="UC",COUNTIFS('Use cases'!$A$4:$A$253,C924,'Use cases'!$I$4:$I$253,"Confirmed",'Use cases'!$J$4:$J$253,"OK — verify source"),IF(B924="CAP",COUNTIFS(Capabilities!$A$4:$A$253,C924,Capabilities!$J$4:$J$253,"Confirmed",Capabilities!$K$4:$K$253,"OK — verify source"),IF(B924="AIR",COUNTIFS('System map'!$A$4:$A$203,C924,'System map'!$B$4:$B$203,"&lt;&gt;",'System map'!$C$4:$C$203,"&lt;&gt;",'System map'!$D$4:$D$203,"&lt;&gt;"),COUNTIFS(Components!$A$4:$A$253,C924,Components!$B$4:$B$253,B924,Components!$K$4:$K$253,"Confirmed",Components!$L$4:$L$253,"OK — verify source"))))&lt;&gt;1,IF(E924="UC",COUNTIFS('Use cases'!$A$4:$A$253,F924,'Use cases'!$I$4:$I$253,"Confirmed",'Use cases'!$J$4:$J$253,"OK — verify source"),IF(E924="CAP",COUNTIFS(Capabilities!$A$4:$A$253,F924,Capabilities!$J$4:$J$253,"Confirmed",Capabilities!$K$4:$K$253,"OK — verify source"),IF(E924="AIR",COUNTIFS('System map'!$A$4:$A$203,F924,'System map'!$B$4:$B$203,"&lt;&gt;",'System map'!$C$4:$C$203,"&lt;&gt;",'System map'!$D$4:$D$203,"&lt;&gt;"),COUNTIFS(Components!$A$4:$A$253,F924,Components!$B$4:$B$253,E924,Components!$K$4:$K$253,"Confirmed",Components!$L$4:$L$253,"OK — verify source"))))&lt;&gt;1)),"Endpoint not source-reconciled",IF(AND(M924="Confirmed",OR(L924="",K924="",K924="Unknown",K924="Low")),"Confirmed link lacks verification","OK — verify source"))))))))))))))</f>
        <v/>
      </c>
    </row>
    <row r="925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8" t="n"/>
      <c r="M925" s="27" t="n"/>
      <c r="N925" s="27">
        <f>IF(COUNTA(A925:M925)=0,"",IF(OR(A925="",B925="",C925="",D925="",E925="",F925="",I925="",J925="",K925="",M925=""),"Required link detail missing",IF(COUNTIF($A$4:$A$1003,A925)&gt;1,"Duplicate Map Edge ID",IF(NOT(OR(AND(B925="UC",E925="CAP",D925="requires"),AND(B925="CAP",E925="AIR",D925="provided by"),AND(B925="AIR",OR(E925="MOD",E925="DATA",E925="IF",E925="AG",E925="TOOL"),D925="references"),AND(B925="AIR",E925="AIR",D925="depends on"))),"Invalid relationship",IF(AND(M925&lt;&gt;"Superseded",COUNTIFS($B$4:$B$1003,B925,$C$4:$C$1003,C925,$D$4:$D$1003,D925,$E$4:$E$1003,E925,$F$4:$F$1003,F925,$G$4:$G$1003,G925,$M$4:$M$1003,"&lt;&gt;Superseded")&gt;1),"Duplicate relationship",IF(OR(IF(B925="UC",COUNTIF('Use cases'!$A$4:$A$253,C925),IF(B925="CAP",COUNTIF(Capabilities!$A$4:$A$253,C925),IF(B925="AIR",COUNTIF('System map'!$A$4:$A$203,C925),COUNTIFS(Components!$A$4:$A$253,C925,Components!$B$4:$B$253,B925))))&lt;&gt;1,IF(E925="UC",COUNTIF('Use cases'!$A$4:$A$253,F925),IF(E925="CAP",COUNTIF(Capabilities!$A$4:$A$253,F925),IF(E925="AIR",COUNTIF('System map'!$A$4:$A$203,F925),COUNTIFS(Components!$A$4:$A$253,F925,Components!$B$4:$B$253,E925))))&lt;&gt;1),"Endpoint missing or duplicated",IF(AND(NOT(AND(B925="UC",E925="CAP")),OR(G925="",COUNTIF('System map'!$A$4:$A$203,G925)&lt;&gt;1)),"AIR context missing / unknown",IF(AND(B925="CAP",E925="AIR",G925&lt;&gt;F925),"AIR context mismatch",IF(AND(B925="AIR",G925&lt;&gt;C925),"AIR context mismatch",IF(AND(B925="AIR",E925="AIR",C925=F925),"Self-dependency",IF(AND(B925="AIR",E925="AIR",M925&lt;&gt;"Superseded",COUNTIFS($B$4:$B$1003,"AIR",$C$4:$C$1003,F925,$E$4:$E$1003,"AIR",$F$4:$F$1003,C925,$M$4:$M$1003,"&lt;&gt;Superseded")&gt;0),"Dependency cycle (A↔B) — review",IF(AND(B925="AIR",OR(E925="MOD",E925="DATA",E925="IF",E925="AG",E925="TOOL"),IFERROR(INDEX(Components!$G$4:$G$253,MATCH(F925,Components!$A$4:$A$253,0)),"")&lt;&gt;"",IFERROR(INDEX(Components!$G$4:$G$253,MATCH(F925,Components!$A$4:$A$253,0)),"")&lt;&gt;C925),"Component owned by another AIR-ID",IF(AND(M925="Confirmed",OR(IF(B925="UC",COUNTIFS('Use cases'!$A$4:$A$253,C925,'Use cases'!$I$4:$I$253,"Confirmed",'Use cases'!$J$4:$J$253,"OK — verify source"),IF(B925="CAP",COUNTIFS(Capabilities!$A$4:$A$253,C925,Capabilities!$J$4:$J$253,"Confirmed",Capabilities!$K$4:$K$253,"OK — verify source"),IF(B925="AIR",COUNTIFS('System map'!$A$4:$A$203,C925,'System map'!$B$4:$B$203,"&lt;&gt;",'System map'!$C$4:$C$203,"&lt;&gt;",'System map'!$D$4:$D$203,"&lt;&gt;"),COUNTIFS(Components!$A$4:$A$253,C925,Components!$B$4:$B$253,B925,Components!$K$4:$K$253,"Confirmed",Components!$L$4:$L$253,"OK — verify source"))))&lt;&gt;1,IF(E925="UC",COUNTIFS('Use cases'!$A$4:$A$253,F925,'Use cases'!$I$4:$I$253,"Confirmed",'Use cases'!$J$4:$J$253,"OK — verify source"),IF(E925="CAP",COUNTIFS(Capabilities!$A$4:$A$253,F925,Capabilities!$J$4:$J$253,"Confirmed",Capabilities!$K$4:$K$253,"OK — verify source"),IF(E925="AIR",COUNTIFS('System map'!$A$4:$A$203,F925,'System map'!$B$4:$B$203,"&lt;&gt;",'System map'!$C$4:$C$203,"&lt;&gt;",'System map'!$D$4:$D$203,"&lt;&gt;"),COUNTIFS(Components!$A$4:$A$253,F925,Components!$B$4:$B$253,E925,Components!$K$4:$K$253,"Confirmed",Components!$L$4:$L$253,"OK — verify source"))))&lt;&gt;1)),"Endpoint not source-reconciled",IF(AND(M925="Confirmed",OR(L925="",K925="",K925="Unknown",K925="Low")),"Confirmed link lacks verification","OK — verify source"))))))))))))))</f>
        <v/>
      </c>
    </row>
    <row r="926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6" t="n"/>
      <c r="M926" s="25" t="n"/>
      <c r="N926" s="25">
        <f>IF(COUNTA(A926:M926)=0,"",IF(OR(A926="",B926="",C926="",D926="",E926="",F926="",I926="",J926="",K926="",M926=""),"Required link detail missing",IF(COUNTIF($A$4:$A$1003,A926)&gt;1,"Duplicate Map Edge ID",IF(NOT(OR(AND(B926="UC",E926="CAP",D926="requires"),AND(B926="CAP",E926="AIR",D926="provided by"),AND(B926="AIR",OR(E926="MOD",E926="DATA",E926="IF",E926="AG",E926="TOOL"),D926="references"),AND(B926="AIR",E926="AIR",D926="depends on"))),"Invalid relationship",IF(AND(M926&lt;&gt;"Superseded",COUNTIFS($B$4:$B$1003,B926,$C$4:$C$1003,C926,$D$4:$D$1003,D926,$E$4:$E$1003,E926,$F$4:$F$1003,F926,$G$4:$G$1003,G926,$M$4:$M$1003,"&lt;&gt;Superseded")&gt;1),"Duplicate relationship",IF(OR(IF(B926="UC",COUNTIF('Use cases'!$A$4:$A$253,C926),IF(B926="CAP",COUNTIF(Capabilities!$A$4:$A$253,C926),IF(B926="AIR",COUNTIF('System map'!$A$4:$A$203,C926),COUNTIFS(Components!$A$4:$A$253,C926,Components!$B$4:$B$253,B926))))&lt;&gt;1,IF(E926="UC",COUNTIF('Use cases'!$A$4:$A$253,F926),IF(E926="CAP",COUNTIF(Capabilities!$A$4:$A$253,F926),IF(E926="AIR",COUNTIF('System map'!$A$4:$A$203,F926),COUNTIFS(Components!$A$4:$A$253,F926,Components!$B$4:$B$253,E926))))&lt;&gt;1),"Endpoint missing or duplicated",IF(AND(NOT(AND(B926="UC",E926="CAP")),OR(G926="",COUNTIF('System map'!$A$4:$A$203,G926)&lt;&gt;1)),"AIR context missing / unknown",IF(AND(B926="CAP",E926="AIR",G926&lt;&gt;F926),"AIR context mismatch",IF(AND(B926="AIR",G926&lt;&gt;C926),"AIR context mismatch",IF(AND(B926="AIR",E926="AIR",C926=F926),"Self-dependency",IF(AND(B926="AIR",E926="AIR",M926&lt;&gt;"Superseded",COUNTIFS($B$4:$B$1003,"AIR",$C$4:$C$1003,F926,$E$4:$E$1003,"AIR",$F$4:$F$1003,C926,$M$4:$M$1003,"&lt;&gt;Superseded")&gt;0),"Dependency cycle (A↔B) — review",IF(AND(B926="AIR",OR(E926="MOD",E926="DATA",E926="IF",E926="AG",E926="TOOL"),IFERROR(INDEX(Components!$G$4:$G$253,MATCH(F926,Components!$A$4:$A$253,0)),"")&lt;&gt;"",IFERROR(INDEX(Components!$G$4:$G$253,MATCH(F926,Components!$A$4:$A$253,0)),"")&lt;&gt;C926),"Component owned by another AIR-ID",IF(AND(M926="Confirmed",OR(IF(B926="UC",COUNTIFS('Use cases'!$A$4:$A$253,C926,'Use cases'!$I$4:$I$253,"Confirmed",'Use cases'!$J$4:$J$253,"OK — verify source"),IF(B926="CAP",COUNTIFS(Capabilities!$A$4:$A$253,C926,Capabilities!$J$4:$J$253,"Confirmed",Capabilities!$K$4:$K$253,"OK — verify source"),IF(B926="AIR",COUNTIFS('System map'!$A$4:$A$203,C926,'System map'!$B$4:$B$203,"&lt;&gt;",'System map'!$C$4:$C$203,"&lt;&gt;",'System map'!$D$4:$D$203,"&lt;&gt;"),COUNTIFS(Components!$A$4:$A$253,C926,Components!$B$4:$B$253,B926,Components!$K$4:$K$253,"Confirmed",Components!$L$4:$L$253,"OK — verify source"))))&lt;&gt;1,IF(E926="UC",COUNTIFS('Use cases'!$A$4:$A$253,F926,'Use cases'!$I$4:$I$253,"Confirmed",'Use cases'!$J$4:$J$253,"OK — verify source"),IF(E926="CAP",COUNTIFS(Capabilities!$A$4:$A$253,F926,Capabilities!$J$4:$J$253,"Confirmed",Capabilities!$K$4:$K$253,"OK — verify source"),IF(E926="AIR",COUNTIFS('System map'!$A$4:$A$203,F926,'System map'!$B$4:$B$203,"&lt;&gt;",'System map'!$C$4:$C$203,"&lt;&gt;",'System map'!$D$4:$D$203,"&lt;&gt;"),COUNTIFS(Components!$A$4:$A$253,F926,Components!$B$4:$B$253,E926,Components!$K$4:$K$253,"Confirmed",Components!$L$4:$L$253,"OK — verify source"))))&lt;&gt;1)),"Endpoint not source-reconciled",IF(AND(M926="Confirmed",OR(L926="",K926="",K926="Unknown",K926="Low")),"Confirmed link lacks verification","OK — verify source"))))))))))))))</f>
        <v/>
      </c>
    </row>
    <row r="927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8" t="n"/>
      <c r="M927" s="27" t="n"/>
      <c r="N927" s="27">
        <f>IF(COUNTA(A927:M927)=0,"",IF(OR(A927="",B927="",C927="",D927="",E927="",F927="",I927="",J927="",K927="",M927=""),"Required link detail missing",IF(COUNTIF($A$4:$A$1003,A927)&gt;1,"Duplicate Map Edge ID",IF(NOT(OR(AND(B927="UC",E927="CAP",D927="requires"),AND(B927="CAP",E927="AIR",D927="provided by"),AND(B927="AIR",OR(E927="MOD",E927="DATA",E927="IF",E927="AG",E927="TOOL"),D927="references"),AND(B927="AIR",E927="AIR",D927="depends on"))),"Invalid relationship",IF(AND(M927&lt;&gt;"Superseded",COUNTIFS($B$4:$B$1003,B927,$C$4:$C$1003,C927,$D$4:$D$1003,D927,$E$4:$E$1003,E927,$F$4:$F$1003,F927,$G$4:$G$1003,G927,$M$4:$M$1003,"&lt;&gt;Superseded")&gt;1),"Duplicate relationship",IF(OR(IF(B927="UC",COUNTIF('Use cases'!$A$4:$A$253,C927),IF(B927="CAP",COUNTIF(Capabilities!$A$4:$A$253,C927),IF(B927="AIR",COUNTIF('System map'!$A$4:$A$203,C927),COUNTIFS(Components!$A$4:$A$253,C927,Components!$B$4:$B$253,B927))))&lt;&gt;1,IF(E927="UC",COUNTIF('Use cases'!$A$4:$A$253,F927),IF(E927="CAP",COUNTIF(Capabilities!$A$4:$A$253,F927),IF(E927="AIR",COUNTIF('System map'!$A$4:$A$203,F927),COUNTIFS(Components!$A$4:$A$253,F927,Components!$B$4:$B$253,E927))))&lt;&gt;1),"Endpoint missing or duplicated",IF(AND(NOT(AND(B927="UC",E927="CAP")),OR(G927="",COUNTIF('System map'!$A$4:$A$203,G927)&lt;&gt;1)),"AIR context missing / unknown",IF(AND(B927="CAP",E927="AIR",G927&lt;&gt;F927),"AIR context mismatch",IF(AND(B927="AIR",G927&lt;&gt;C927),"AIR context mismatch",IF(AND(B927="AIR",E927="AIR",C927=F927),"Self-dependency",IF(AND(B927="AIR",E927="AIR",M927&lt;&gt;"Superseded",COUNTIFS($B$4:$B$1003,"AIR",$C$4:$C$1003,F927,$E$4:$E$1003,"AIR",$F$4:$F$1003,C927,$M$4:$M$1003,"&lt;&gt;Superseded")&gt;0),"Dependency cycle (A↔B) — review",IF(AND(B927="AIR",OR(E927="MOD",E927="DATA",E927="IF",E927="AG",E927="TOOL"),IFERROR(INDEX(Components!$G$4:$G$253,MATCH(F927,Components!$A$4:$A$253,0)),"")&lt;&gt;"",IFERROR(INDEX(Components!$G$4:$G$253,MATCH(F927,Components!$A$4:$A$253,0)),"")&lt;&gt;C927),"Component owned by another AIR-ID",IF(AND(M927="Confirmed",OR(IF(B927="UC",COUNTIFS('Use cases'!$A$4:$A$253,C927,'Use cases'!$I$4:$I$253,"Confirmed",'Use cases'!$J$4:$J$253,"OK — verify source"),IF(B927="CAP",COUNTIFS(Capabilities!$A$4:$A$253,C927,Capabilities!$J$4:$J$253,"Confirmed",Capabilities!$K$4:$K$253,"OK — verify source"),IF(B927="AIR",COUNTIFS('System map'!$A$4:$A$203,C927,'System map'!$B$4:$B$203,"&lt;&gt;",'System map'!$C$4:$C$203,"&lt;&gt;",'System map'!$D$4:$D$203,"&lt;&gt;"),COUNTIFS(Components!$A$4:$A$253,C927,Components!$B$4:$B$253,B927,Components!$K$4:$K$253,"Confirmed",Components!$L$4:$L$253,"OK — verify source"))))&lt;&gt;1,IF(E927="UC",COUNTIFS('Use cases'!$A$4:$A$253,F927,'Use cases'!$I$4:$I$253,"Confirmed",'Use cases'!$J$4:$J$253,"OK — verify source"),IF(E927="CAP",COUNTIFS(Capabilities!$A$4:$A$253,F927,Capabilities!$J$4:$J$253,"Confirmed",Capabilities!$K$4:$K$253,"OK — verify source"),IF(E927="AIR",COUNTIFS('System map'!$A$4:$A$203,F927,'System map'!$B$4:$B$203,"&lt;&gt;",'System map'!$C$4:$C$203,"&lt;&gt;",'System map'!$D$4:$D$203,"&lt;&gt;"),COUNTIFS(Components!$A$4:$A$253,F927,Components!$B$4:$B$253,E927,Components!$K$4:$K$253,"Confirmed",Components!$L$4:$L$253,"OK — verify source"))))&lt;&gt;1)),"Endpoint not source-reconciled",IF(AND(M927="Confirmed",OR(L927="",K927="",K927="Unknown",K927="Low")),"Confirmed link lacks verification","OK — verify source"))))))))))))))</f>
        <v/>
      </c>
    </row>
    <row r="928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6" t="n"/>
      <c r="M928" s="25" t="n"/>
      <c r="N928" s="25">
        <f>IF(COUNTA(A928:M928)=0,"",IF(OR(A928="",B928="",C928="",D928="",E928="",F928="",I928="",J928="",K928="",M928=""),"Required link detail missing",IF(COUNTIF($A$4:$A$1003,A928)&gt;1,"Duplicate Map Edge ID",IF(NOT(OR(AND(B928="UC",E928="CAP",D928="requires"),AND(B928="CAP",E928="AIR",D928="provided by"),AND(B928="AIR",OR(E928="MOD",E928="DATA",E928="IF",E928="AG",E928="TOOL"),D928="references"),AND(B928="AIR",E928="AIR",D928="depends on"))),"Invalid relationship",IF(AND(M928&lt;&gt;"Superseded",COUNTIFS($B$4:$B$1003,B928,$C$4:$C$1003,C928,$D$4:$D$1003,D928,$E$4:$E$1003,E928,$F$4:$F$1003,F928,$G$4:$G$1003,G928,$M$4:$M$1003,"&lt;&gt;Superseded")&gt;1),"Duplicate relationship",IF(OR(IF(B928="UC",COUNTIF('Use cases'!$A$4:$A$253,C928),IF(B928="CAP",COUNTIF(Capabilities!$A$4:$A$253,C928),IF(B928="AIR",COUNTIF('System map'!$A$4:$A$203,C928),COUNTIFS(Components!$A$4:$A$253,C928,Components!$B$4:$B$253,B928))))&lt;&gt;1,IF(E928="UC",COUNTIF('Use cases'!$A$4:$A$253,F928),IF(E928="CAP",COUNTIF(Capabilities!$A$4:$A$253,F928),IF(E928="AIR",COUNTIF('System map'!$A$4:$A$203,F928),COUNTIFS(Components!$A$4:$A$253,F928,Components!$B$4:$B$253,E928))))&lt;&gt;1),"Endpoint missing or duplicated",IF(AND(NOT(AND(B928="UC",E928="CAP")),OR(G928="",COUNTIF('System map'!$A$4:$A$203,G928)&lt;&gt;1)),"AIR context missing / unknown",IF(AND(B928="CAP",E928="AIR",G928&lt;&gt;F928),"AIR context mismatch",IF(AND(B928="AIR",G928&lt;&gt;C928),"AIR context mismatch",IF(AND(B928="AIR",E928="AIR",C928=F928),"Self-dependency",IF(AND(B928="AIR",E928="AIR",M928&lt;&gt;"Superseded",COUNTIFS($B$4:$B$1003,"AIR",$C$4:$C$1003,F928,$E$4:$E$1003,"AIR",$F$4:$F$1003,C928,$M$4:$M$1003,"&lt;&gt;Superseded")&gt;0),"Dependency cycle (A↔B) — review",IF(AND(B928="AIR",OR(E928="MOD",E928="DATA",E928="IF",E928="AG",E928="TOOL"),IFERROR(INDEX(Components!$G$4:$G$253,MATCH(F928,Components!$A$4:$A$253,0)),"")&lt;&gt;"",IFERROR(INDEX(Components!$G$4:$G$253,MATCH(F928,Components!$A$4:$A$253,0)),"")&lt;&gt;C928),"Component owned by another AIR-ID",IF(AND(M928="Confirmed",OR(IF(B928="UC",COUNTIFS('Use cases'!$A$4:$A$253,C928,'Use cases'!$I$4:$I$253,"Confirmed",'Use cases'!$J$4:$J$253,"OK — verify source"),IF(B928="CAP",COUNTIFS(Capabilities!$A$4:$A$253,C928,Capabilities!$J$4:$J$253,"Confirmed",Capabilities!$K$4:$K$253,"OK — verify source"),IF(B928="AIR",COUNTIFS('System map'!$A$4:$A$203,C928,'System map'!$B$4:$B$203,"&lt;&gt;",'System map'!$C$4:$C$203,"&lt;&gt;",'System map'!$D$4:$D$203,"&lt;&gt;"),COUNTIFS(Components!$A$4:$A$253,C928,Components!$B$4:$B$253,B928,Components!$K$4:$K$253,"Confirmed",Components!$L$4:$L$253,"OK — verify source"))))&lt;&gt;1,IF(E928="UC",COUNTIFS('Use cases'!$A$4:$A$253,F928,'Use cases'!$I$4:$I$253,"Confirmed",'Use cases'!$J$4:$J$253,"OK — verify source"),IF(E928="CAP",COUNTIFS(Capabilities!$A$4:$A$253,F928,Capabilities!$J$4:$J$253,"Confirmed",Capabilities!$K$4:$K$253,"OK — verify source"),IF(E928="AIR",COUNTIFS('System map'!$A$4:$A$203,F928,'System map'!$B$4:$B$203,"&lt;&gt;",'System map'!$C$4:$C$203,"&lt;&gt;",'System map'!$D$4:$D$203,"&lt;&gt;"),COUNTIFS(Components!$A$4:$A$253,F928,Components!$B$4:$B$253,E928,Components!$K$4:$K$253,"Confirmed",Components!$L$4:$L$253,"OK — verify source"))))&lt;&gt;1)),"Endpoint not source-reconciled",IF(AND(M928="Confirmed",OR(L928="",K928="",K928="Unknown",K928="Low")),"Confirmed link lacks verification","OK — verify source"))))))))))))))</f>
        <v/>
      </c>
    </row>
    <row r="929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8" t="n"/>
      <c r="M929" s="27" t="n"/>
      <c r="N929" s="27">
        <f>IF(COUNTA(A929:M929)=0,"",IF(OR(A929="",B929="",C929="",D929="",E929="",F929="",I929="",J929="",K929="",M929=""),"Required link detail missing",IF(COUNTIF($A$4:$A$1003,A929)&gt;1,"Duplicate Map Edge ID",IF(NOT(OR(AND(B929="UC",E929="CAP",D929="requires"),AND(B929="CAP",E929="AIR",D929="provided by"),AND(B929="AIR",OR(E929="MOD",E929="DATA",E929="IF",E929="AG",E929="TOOL"),D929="references"),AND(B929="AIR",E929="AIR",D929="depends on"))),"Invalid relationship",IF(AND(M929&lt;&gt;"Superseded",COUNTIFS($B$4:$B$1003,B929,$C$4:$C$1003,C929,$D$4:$D$1003,D929,$E$4:$E$1003,E929,$F$4:$F$1003,F929,$G$4:$G$1003,G929,$M$4:$M$1003,"&lt;&gt;Superseded")&gt;1),"Duplicate relationship",IF(OR(IF(B929="UC",COUNTIF('Use cases'!$A$4:$A$253,C929),IF(B929="CAP",COUNTIF(Capabilities!$A$4:$A$253,C929),IF(B929="AIR",COUNTIF('System map'!$A$4:$A$203,C929),COUNTIFS(Components!$A$4:$A$253,C929,Components!$B$4:$B$253,B929))))&lt;&gt;1,IF(E929="UC",COUNTIF('Use cases'!$A$4:$A$253,F929),IF(E929="CAP",COUNTIF(Capabilities!$A$4:$A$253,F929),IF(E929="AIR",COUNTIF('System map'!$A$4:$A$203,F929),COUNTIFS(Components!$A$4:$A$253,F929,Components!$B$4:$B$253,E929))))&lt;&gt;1),"Endpoint missing or duplicated",IF(AND(NOT(AND(B929="UC",E929="CAP")),OR(G929="",COUNTIF('System map'!$A$4:$A$203,G929)&lt;&gt;1)),"AIR context missing / unknown",IF(AND(B929="CAP",E929="AIR",G929&lt;&gt;F929),"AIR context mismatch",IF(AND(B929="AIR",G929&lt;&gt;C929),"AIR context mismatch",IF(AND(B929="AIR",E929="AIR",C929=F929),"Self-dependency",IF(AND(B929="AIR",E929="AIR",M929&lt;&gt;"Superseded",COUNTIFS($B$4:$B$1003,"AIR",$C$4:$C$1003,F929,$E$4:$E$1003,"AIR",$F$4:$F$1003,C929,$M$4:$M$1003,"&lt;&gt;Superseded")&gt;0),"Dependency cycle (A↔B) — review",IF(AND(B929="AIR",OR(E929="MOD",E929="DATA",E929="IF",E929="AG",E929="TOOL"),IFERROR(INDEX(Components!$G$4:$G$253,MATCH(F929,Components!$A$4:$A$253,0)),"")&lt;&gt;"",IFERROR(INDEX(Components!$G$4:$G$253,MATCH(F929,Components!$A$4:$A$253,0)),"")&lt;&gt;C929),"Component owned by another AIR-ID",IF(AND(M929="Confirmed",OR(IF(B929="UC",COUNTIFS('Use cases'!$A$4:$A$253,C929,'Use cases'!$I$4:$I$253,"Confirmed",'Use cases'!$J$4:$J$253,"OK — verify source"),IF(B929="CAP",COUNTIFS(Capabilities!$A$4:$A$253,C929,Capabilities!$J$4:$J$253,"Confirmed",Capabilities!$K$4:$K$253,"OK — verify source"),IF(B929="AIR",COUNTIFS('System map'!$A$4:$A$203,C929,'System map'!$B$4:$B$203,"&lt;&gt;",'System map'!$C$4:$C$203,"&lt;&gt;",'System map'!$D$4:$D$203,"&lt;&gt;"),COUNTIFS(Components!$A$4:$A$253,C929,Components!$B$4:$B$253,B929,Components!$K$4:$K$253,"Confirmed",Components!$L$4:$L$253,"OK — verify source"))))&lt;&gt;1,IF(E929="UC",COUNTIFS('Use cases'!$A$4:$A$253,F929,'Use cases'!$I$4:$I$253,"Confirmed",'Use cases'!$J$4:$J$253,"OK — verify source"),IF(E929="CAP",COUNTIFS(Capabilities!$A$4:$A$253,F929,Capabilities!$J$4:$J$253,"Confirmed",Capabilities!$K$4:$K$253,"OK — verify source"),IF(E929="AIR",COUNTIFS('System map'!$A$4:$A$203,F929,'System map'!$B$4:$B$203,"&lt;&gt;",'System map'!$C$4:$C$203,"&lt;&gt;",'System map'!$D$4:$D$203,"&lt;&gt;"),COUNTIFS(Components!$A$4:$A$253,F929,Components!$B$4:$B$253,E929,Components!$K$4:$K$253,"Confirmed",Components!$L$4:$L$253,"OK — verify source"))))&lt;&gt;1)),"Endpoint not source-reconciled",IF(AND(M929="Confirmed",OR(L929="",K929="",K929="Unknown",K929="Low")),"Confirmed link lacks verification","OK — verify source"))))))))))))))</f>
        <v/>
      </c>
    </row>
    <row r="930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6" t="n"/>
      <c r="M930" s="25" t="n"/>
      <c r="N930" s="25">
        <f>IF(COUNTA(A930:M930)=0,"",IF(OR(A930="",B930="",C930="",D930="",E930="",F930="",I930="",J930="",K930="",M930=""),"Required link detail missing",IF(COUNTIF($A$4:$A$1003,A930)&gt;1,"Duplicate Map Edge ID",IF(NOT(OR(AND(B930="UC",E930="CAP",D930="requires"),AND(B930="CAP",E930="AIR",D930="provided by"),AND(B930="AIR",OR(E930="MOD",E930="DATA",E930="IF",E930="AG",E930="TOOL"),D930="references"),AND(B930="AIR",E930="AIR",D930="depends on"))),"Invalid relationship",IF(AND(M930&lt;&gt;"Superseded",COUNTIFS($B$4:$B$1003,B930,$C$4:$C$1003,C930,$D$4:$D$1003,D930,$E$4:$E$1003,E930,$F$4:$F$1003,F930,$G$4:$G$1003,G930,$M$4:$M$1003,"&lt;&gt;Superseded")&gt;1),"Duplicate relationship",IF(OR(IF(B930="UC",COUNTIF('Use cases'!$A$4:$A$253,C930),IF(B930="CAP",COUNTIF(Capabilities!$A$4:$A$253,C930),IF(B930="AIR",COUNTIF('System map'!$A$4:$A$203,C930),COUNTIFS(Components!$A$4:$A$253,C930,Components!$B$4:$B$253,B930))))&lt;&gt;1,IF(E930="UC",COUNTIF('Use cases'!$A$4:$A$253,F930),IF(E930="CAP",COUNTIF(Capabilities!$A$4:$A$253,F930),IF(E930="AIR",COUNTIF('System map'!$A$4:$A$203,F930),COUNTIFS(Components!$A$4:$A$253,F930,Components!$B$4:$B$253,E930))))&lt;&gt;1),"Endpoint missing or duplicated",IF(AND(NOT(AND(B930="UC",E930="CAP")),OR(G930="",COUNTIF('System map'!$A$4:$A$203,G930)&lt;&gt;1)),"AIR context missing / unknown",IF(AND(B930="CAP",E930="AIR",G930&lt;&gt;F930),"AIR context mismatch",IF(AND(B930="AIR",G930&lt;&gt;C930),"AIR context mismatch",IF(AND(B930="AIR",E930="AIR",C930=F930),"Self-dependency",IF(AND(B930="AIR",E930="AIR",M930&lt;&gt;"Superseded",COUNTIFS($B$4:$B$1003,"AIR",$C$4:$C$1003,F930,$E$4:$E$1003,"AIR",$F$4:$F$1003,C930,$M$4:$M$1003,"&lt;&gt;Superseded")&gt;0),"Dependency cycle (A↔B) — review",IF(AND(B930="AIR",OR(E930="MOD",E930="DATA",E930="IF",E930="AG",E930="TOOL"),IFERROR(INDEX(Components!$G$4:$G$253,MATCH(F930,Components!$A$4:$A$253,0)),"")&lt;&gt;"",IFERROR(INDEX(Components!$G$4:$G$253,MATCH(F930,Components!$A$4:$A$253,0)),"")&lt;&gt;C930),"Component owned by another AIR-ID",IF(AND(M930="Confirmed",OR(IF(B930="UC",COUNTIFS('Use cases'!$A$4:$A$253,C930,'Use cases'!$I$4:$I$253,"Confirmed",'Use cases'!$J$4:$J$253,"OK — verify source"),IF(B930="CAP",COUNTIFS(Capabilities!$A$4:$A$253,C930,Capabilities!$J$4:$J$253,"Confirmed",Capabilities!$K$4:$K$253,"OK — verify source"),IF(B930="AIR",COUNTIFS('System map'!$A$4:$A$203,C930,'System map'!$B$4:$B$203,"&lt;&gt;",'System map'!$C$4:$C$203,"&lt;&gt;",'System map'!$D$4:$D$203,"&lt;&gt;"),COUNTIFS(Components!$A$4:$A$253,C930,Components!$B$4:$B$253,B930,Components!$K$4:$K$253,"Confirmed",Components!$L$4:$L$253,"OK — verify source"))))&lt;&gt;1,IF(E930="UC",COUNTIFS('Use cases'!$A$4:$A$253,F930,'Use cases'!$I$4:$I$253,"Confirmed",'Use cases'!$J$4:$J$253,"OK — verify source"),IF(E930="CAP",COUNTIFS(Capabilities!$A$4:$A$253,F930,Capabilities!$J$4:$J$253,"Confirmed",Capabilities!$K$4:$K$253,"OK — verify source"),IF(E930="AIR",COUNTIFS('System map'!$A$4:$A$203,F930,'System map'!$B$4:$B$203,"&lt;&gt;",'System map'!$C$4:$C$203,"&lt;&gt;",'System map'!$D$4:$D$203,"&lt;&gt;"),COUNTIFS(Components!$A$4:$A$253,F930,Components!$B$4:$B$253,E930,Components!$K$4:$K$253,"Confirmed",Components!$L$4:$L$253,"OK — verify source"))))&lt;&gt;1)),"Endpoint not source-reconciled",IF(AND(M930="Confirmed",OR(L930="",K930="",K930="Unknown",K930="Low")),"Confirmed link lacks verification","OK — verify source"))))))))))))))</f>
        <v/>
      </c>
    </row>
    <row r="931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8" t="n"/>
      <c r="M931" s="27" t="n"/>
      <c r="N931" s="27">
        <f>IF(COUNTA(A931:M931)=0,"",IF(OR(A931="",B931="",C931="",D931="",E931="",F931="",I931="",J931="",K931="",M931=""),"Required link detail missing",IF(COUNTIF($A$4:$A$1003,A931)&gt;1,"Duplicate Map Edge ID",IF(NOT(OR(AND(B931="UC",E931="CAP",D931="requires"),AND(B931="CAP",E931="AIR",D931="provided by"),AND(B931="AIR",OR(E931="MOD",E931="DATA",E931="IF",E931="AG",E931="TOOL"),D931="references"),AND(B931="AIR",E931="AIR",D931="depends on"))),"Invalid relationship",IF(AND(M931&lt;&gt;"Superseded",COUNTIFS($B$4:$B$1003,B931,$C$4:$C$1003,C931,$D$4:$D$1003,D931,$E$4:$E$1003,E931,$F$4:$F$1003,F931,$G$4:$G$1003,G931,$M$4:$M$1003,"&lt;&gt;Superseded")&gt;1),"Duplicate relationship",IF(OR(IF(B931="UC",COUNTIF('Use cases'!$A$4:$A$253,C931),IF(B931="CAP",COUNTIF(Capabilities!$A$4:$A$253,C931),IF(B931="AIR",COUNTIF('System map'!$A$4:$A$203,C931),COUNTIFS(Components!$A$4:$A$253,C931,Components!$B$4:$B$253,B931))))&lt;&gt;1,IF(E931="UC",COUNTIF('Use cases'!$A$4:$A$253,F931),IF(E931="CAP",COUNTIF(Capabilities!$A$4:$A$253,F931),IF(E931="AIR",COUNTIF('System map'!$A$4:$A$203,F931),COUNTIFS(Components!$A$4:$A$253,F931,Components!$B$4:$B$253,E931))))&lt;&gt;1),"Endpoint missing or duplicated",IF(AND(NOT(AND(B931="UC",E931="CAP")),OR(G931="",COUNTIF('System map'!$A$4:$A$203,G931)&lt;&gt;1)),"AIR context missing / unknown",IF(AND(B931="CAP",E931="AIR",G931&lt;&gt;F931),"AIR context mismatch",IF(AND(B931="AIR",G931&lt;&gt;C931),"AIR context mismatch",IF(AND(B931="AIR",E931="AIR",C931=F931),"Self-dependency",IF(AND(B931="AIR",E931="AIR",M931&lt;&gt;"Superseded",COUNTIFS($B$4:$B$1003,"AIR",$C$4:$C$1003,F931,$E$4:$E$1003,"AIR",$F$4:$F$1003,C931,$M$4:$M$1003,"&lt;&gt;Superseded")&gt;0),"Dependency cycle (A↔B) — review",IF(AND(B931="AIR",OR(E931="MOD",E931="DATA",E931="IF",E931="AG",E931="TOOL"),IFERROR(INDEX(Components!$G$4:$G$253,MATCH(F931,Components!$A$4:$A$253,0)),"")&lt;&gt;"",IFERROR(INDEX(Components!$G$4:$G$253,MATCH(F931,Components!$A$4:$A$253,0)),"")&lt;&gt;C931),"Component owned by another AIR-ID",IF(AND(M931="Confirmed",OR(IF(B931="UC",COUNTIFS('Use cases'!$A$4:$A$253,C931,'Use cases'!$I$4:$I$253,"Confirmed",'Use cases'!$J$4:$J$253,"OK — verify source"),IF(B931="CAP",COUNTIFS(Capabilities!$A$4:$A$253,C931,Capabilities!$J$4:$J$253,"Confirmed",Capabilities!$K$4:$K$253,"OK — verify source"),IF(B931="AIR",COUNTIFS('System map'!$A$4:$A$203,C931,'System map'!$B$4:$B$203,"&lt;&gt;",'System map'!$C$4:$C$203,"&lt;&gt;",'System map'!$D$4:$D$203,"&lt;&gt;"),COUNTIFS(Components!$A$4:$A$253,C931,Components!$B$4:$B$253,B931,Components!$K$4:$K$253,"Confirmed",Components!$L$4:$L$253,"OK — verify source"))))&lt;&gt;1,IF(E931="UC",COUNTIFS('Use cases'!$A$4:$A$253,F931,'Use cases'!$I$4:$I$253,"Confirmed",'Use cases'!$J$4:$J$253,"OK — verify source"),IF(E931="CAP",COUNTIFS(Capabilities!$A$4:$A$253,F931,Capabilities!$J$4:$J$253,"Confirmed",Capabilities!$K$4:$K$253,"OK — verify source"),IF(E931="AIR",COUNTIFS('System map'!$A$4:$A$203,F931,'System map'!$B$4:$B$203,"&lt;&gt;",'System map'!$C$4:$C$203,"&lt;&gt;",'System map'!$D$4:$D$203,"&lt;&gt;"),COUNTIFS(Components!$A$4:$A$253,F931,Components!$B$4:$B$253,E931,Components!$K$4:$K$253,"Confirmed",Components!$L$4:$L$253,"OK — verify source"))))&lt;&gt;1)),"Endpoint not source-reconciled",IF(AND(M931="Confirmed",OR(L931="",K931="",K931="Unknown",K931="Low")),"Confirmed link lacks verification","OK — verify source"))))))))))))))</f>
        <v/>
      </c>
    </row>
    <row r="932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6" t="n"/>
      <c r="M932" s="25" t="n"/>
      <c r="N932" s="25">
        <f>IF(COUNTA(A932:M932)=0,"",IF(OR(A932="",B932="",C932="",D932="",E932="",F932="",I932="",J932="",K932="",M932=""),"Required link detail missing",IF(COUNTIF($A$4:$A$1003,A932)&gt;1,"Duplicate Map Edge ID",IF(NOT(OR(AND(B932="UC",E932="CAP",D932="requires"),AND(B932="CAP",E932="AIR",D932="provided by"),AND(B932="AIR",OR(E932="MOD",E932="DATA",E932="IF",E932="AG",E932="TOOL"),D932="references"),AND(B932="AIR",E932="AIR",D932="depends on"))),"Invalid relationship",IF(AND(M932&lt;&gt;"Superseded",COUNTIFS($B$4:$B$1003,B932,$C$4:$C$1003,C932,$D$4:$D$1003,D932,$E$4:$E$1003,E932,$F$4:$F$1003,F932,$G$4:$G$1003,G932,$M$4:$M$1003,"&lt;&gt;Superseded")&gt;1),"Duplicate relationship",IF(OR(IF(B932="UC",COUNTIF('Use cases'!$A$4:$A$253,C932),IF(B932="CAP",COUNTIF(Capabilities!$A$4:$A$253,C932),IF(B932="AIR",COUNTIF('System map'!$A$4:$A$203,C932),COUNTIFS(Components!$A$4:$A$253,C932,Components!$B$4:$B$253,B932))))&lt;&gt;1,IF(E932="UC",COUNTIF('Use cases'!$A$4:$A$253,F932),IF(E932="CAP",COUNTIF(Capabilities!$A$4:$A$253,F932),IF(E932="AIR",COUNTIF('System map'!$A$4:$A$203,F932),COUNTIFS(Components!$A$4:$A$253,F932,Components!$B$4:$B$253,E932))))&lt;&gt;1),"Endpoint missing or duplicated",IF(AND(NOT(AND(B932="UC",E932="CAP")),OR(G932="",COUNTIF('System map'!$A$4:$A$203,G932)&lt;&gt;1)),"AIR context missing / unknown",IF(AND(B932="CAP",E932="AIR",G932&lt;&gt;F932),"AIR context mismatch",IF(AND(B932="AIR",G932&lt;&gt;C932),"AIR context mismatch",IF(AND(B932="AIR",E932="AIR",C932=F932),"Self-dependency",IF(AND(B932="AIR",E932="AIR",M932&lt;&gt;"Superseded",COUNTIFS($B$4:$B$1003,"AIR",$C$4:$C$1003,F932,$E$4:$E$1003,"AIR",$F$4:$F$1003,C932,$M$4:$M$1003,"&lt;&gt;Superseded")&gt;0),"Dependency cycle (A↔B) — review",IF(AND(B932="AIR",OR(E932="MOD",E932="DATA",E932="IF",E932="AG",E932="TOOL"),IFERROR(INDEX(Components!$G$4:$G$253,MATCH(F932,Components!$A$4:$A$253,0)),"")&lt;&gt;"",IFERROR(INDEX(Components!$G$4:$G$253,MATCH(F932,Components!$A$4:$A$253,0)),"")&lt;&gt;C932),"Component owned by another AIR-ID",IF(AND(M932="Confirmed",OR(IF(B932="UC",COUNTIFS('Use cases'!$A$4:$A$253,C932,'Use cases'!$I$4:$I$253,"Confirmed",'Use cases'!$J$4:$J$253,"OK — verify source"),IF(B932="CAP",COUNTIFS(Capabilities!$A$4:$A$253,C932,Capabilities!$J$4:$J$253,"Confirmed",Capabilities!$K$4:$K$253,"OK — verify source"),IF(B932="AIR",COUNTIFS('System map'!$A$4:$A$203,C932,'System map'!$B$4:$B$203,"&lt;&gt;",'System map'!$C$4:$C$203,"&lt;&gt;",'System map'!$D$4:$D$203,"&lt;&gt;"),COUNTIFS(Components!$A$4:$A$253,C932,Components!$B$4:$B$253,B932,Components!$K$4:$K$253,"Confirmed",Components!$L$4:$L$253,"OK — verify source"))))&lt;&gt;1,IF(E932="UC",COUNTIFS('Use cases'!$A$4:$A$253,F932,'Use cases'!$I$4:$I$253,"Confirmed",'Use cases'!$J$4:$J$253,"OK — verify source"),IF(E932="CAP",COUNTIFS(Capabilities!$A$4:$A$253,F932,Capabilities!$J$4:$J$253,"Confirmed",Capabilities!$K$4:$K$253,"OK — verify source"),IF(E932="AIR",COUNTIFS('System map'!$A$4:$A$203,F932,'System map'!$B$4:$B$203,"&lt;&gt;",'System map'!$C$4:$C$203,"&lt;&gt;",'System map'!$D$4:$D$203,"&lt;&gt;"),COUNTIFS(Components!$A$4:$A$253,F932,Components!$B$4:$B$253,E932,Components!$K$4:$K$253,"Confirmed",Components!$L$4:$L$253,"OK — verify source"))))&lt;&gt;1)),"Endpoint not source-reconciled",IF(AND(M932="Confirmed",OR(L932="",K932="",K932="Unknown",K932="Low")),"Confirmed link lacks verification","OK — verify source"))))))))))))))</f>
        <v/>
      </c>
    </row>
    <row r="933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8" t="n"/>
      <c r="M933" s="27" t="n"/>
      <c r="N933" s="27">
        <f>IF(COUNTA(A933:M933)=0,"",IF(OR(A933="",B933="",C933="",D933="",E933="",F933="",I933="",J933="",K933="",M933=""),"Required link detail missing",IF(COUNTIF($A$4:$A$1003,A933)&gt;1,"Duplicate Map Edge ID",IF(NOT(OR(AND(B933="UC",E933="CAP",D933="requires"),AND(B933="CAP",E933="AIR",D933="provided by"),AND(B933="AIR",OR(E933="MOD",E933="DATA",E933="IF",E933="AG",E933="TOOL"),D933="references"),AND(B933="AIR",E933="AIR",D933="depends on"))),"Invalid relationship",IF(AND(M933&lt;&gt;"Superseded",COUNTIFS($B$4:$B$1003,B933,$C$4:$C$1003,C933,$D$4:$D$1003,D933,$E$4:$E$1003,E933,$F$4:$F$1003,F933,$G$4:$G$1003,G933,$M$4:$M$1003,"&lt;&gt;Superseded")&gt;1),"Duplicate relationship",IF(OR(IF(B933="UC",COUNTIF('Use cases'!$A$4:$A$253,C933),IF(B933="CAP",COUNTIF(Capabilities!$A$4:$A$253,C933),IF(B933="AIR",COUNTIF('System map'!$A$4:$A$203,C933),COUNTIFS(Components!$A$4:$A$253,C933,Components!$B$4:$B$253,B933))))&lt;&gt;1,IF(E933="UC",COUNTIF('Use cases'!$A$4:$A$253,F933),IF(E933="CAP",COUNTIF(Capabilities!$A$4:$A$253,F933),IF(E933="AIR",COUNTIF('System map'!$A$4:$A$203,F933),COUNTIFS(Components!$A$4:$A$253,F933,Components!$B$4:$B$253,E933))))&lt;&gt;1),"Endpoint missing or duplicated",IF(AND(NOT(AND(B933="UC",E933="CAP")),OR(G933="",COUNTIF('System map'!$A$4:$A$203,G933)&lt;&gt;1)),"AIR context missing / unknown",IF(AND(B933="CAP",E933="AIR",G933&lt;&gt;F933),"AIR context mismatch",IF(AND(B933="AIR",G933&lt;&gt;C933),"AIR context mismatch",IF(AND(B933="AIR",E933="AIR",C933=F933),"Self-dependency",IF(AND(B933="AIR",E933="AIR",M933&lt;&gt;"Superseded",COUNTIFS($B$4:$B$1003,"AIR",$C$4:$C$1003,F933,$E$4:$E$1003,"AIR",$F$4:$F$1003,C933,$M$4:$M$1003,"&lt;&gt;Superseded")&gt;0),"Dependency cycle (A↔B) — review",IF(AND(B933="AIR",OR(E933="MOD",E933="DATA",E933="IF",E933="AG",E933="TOOL"),IFERROR(INDEX(Components!$G$4:$G$253,MATCH(F933,Components!$A$4:$A$253,0)),"")&lt;&gt;"",IFERROR(INDEX(Components!$G$4:$G$253,MATCH(F933,Components!$A$4:$A$253,0)),"")&lt;&gt;C933),"Component owned by another AIR-ID",IF(AND(M933="Confirmed",OR(IF(B933="UC",COUNTIFS('Use cases'!$A$4:$A$253,C933,'Use cases'!$I$4:$I$253,"Confirmed",'Use cases'!$J$4:$J$253,"OK — verify source"),IF(B933="CAP",COUNTIFS(Capabilities!$A$4:$A$253,C933,Capabilities!$J$4:$J$253,"Confirmed",Capabilities!$K$4:$K$253,"OK — verify source"),IF(B933="AIR",COUNTIFS('System map'!$A$4:$A$203,C933,'System map'!$B$4:$B$203,"&lt;&gt;",'System map'!$C$4:$C$203,"&lt;&gt;",'System map'!$D$4:$D$203,"&lt;&gt;"),COUNTIFS(Components!$A$4:$A$253,C933,Components!$B$4:$B$253,B933,Components!$K$4:$K$253,"Confirmed",Components!$L$4:$L$253,"OK — verify source"))))&lt;&gt;1,IF(E933="UC",COUNTIFS('Use cases'!$A$4:$A$253,F933,'Use cases'!$I$4:$I$253,"Confirmed",'Use cases'!$J$4:$J$253,"OK — verify source"),IF(E933="CAP",COUNTIFS(Capabilities!$A$4:$A$253,F933,Capabilities!$J$4:$J$253,"Confirmed",Capabilities!$K$4:$K$253,"OK — verify source"),IF(E933="AIR",COUNTIFS('System map'!$A$4:$A$203,F933,'System map'!$B$4:$B$203,"&lt;&gt;",'System map'!$C$4:$C$203,"&lt;&gt;",'System map'!$D$4:$D$203,"&lt;&gt;"),COUNTIFS(Components!$A$4:$A$253,F933,Components!$B$4:$B$253,E933,Components!$K$4:$K$253,"Confirmed",Components!$L$4:$L$253,"OK — verify source"))))&lt;&gt;1)),"Endpoint not source-reconciled",IF(AND(M933="Confirmed",OR(L933="",K933="",K933="Unknown",K933="Low")),"Confirmed link lacks verification","OK — verify source"))))))))))))))</f>
        <v/>
      </c>
    </row>
    <row r="93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6" t="n"/>
      <c r="M934" s="25" t="n"/>
      <c r="N934" s="25">
        <f>IF(COUNTA(A934:M934)=0,"",IF(OR(A934="",B934="",C934="",D934="",E934="",F934="",I934="",J934="",K934="",M934=""),"Required link detail missing",IF(COUNTIF($A$4:$A$1003,A934)&gt;1,"Duplicate Map Edge ID",IF(NOT(OR(AND(B934="UC",E934="CAP",D934="requires"),AND(B934="CAP",E934="AIR",D934="provided by"),AND(B934="AIR",OR(E934="MOD",E934="DATA",E934="IF",E934="AG",E934="TOOL"),D934="references"),AND(B934="AIR",E934="AIR",D934="depends on"))),"Invalid relationship",IF(AND(M934&lt;&gt;"Superseded",COUNTIFS($B$4:$B$1003,B934,$C$4:$C$1003,C934,$D$4:$D$1003,D934,$E$4:$E$1003,E934,$F$4:$F$1003,F934,$G$4:$G$1003,G934,$M$4:$M$1003,"&lt;&gt;Superseded")&gt;1),"Duplicate relationship",IF(OR(IF(B934="UC",COUNTIF('Use cases'!$A$4:$A$253,C934),IF(B934="CAP",COUNTIF(Capabilities!$A$4:$A$253,C934),IF(B934="AIR",COUNTIF('System map'!$A$4:$A$203,C934),COUNTIFS(Components!$A$4:$A$253,C934,Components!$B$4:$B$253,B934))))&lt;&gt;1,IF(E934="UC",COUNTIF('Use cases'!$A$4:$A$253,F934),IF(E934="CAP",COUNTIF(Capabilities!$A$4:$A$253,F934),IF(E934="AIR",COUNTIF('System map'!$A$4:$A$203,F934),COUNTIFS(Components!$A$4:$A$253,F934,Components!$B$4:$B$253,E934))))&lt;&gt;1),"Endpoint missing or duplicated",IF(AND(NOT(AND(B934="UC",E934="CAP")),OR(G934="",COUNTIF('System map'!$A$4:$A$203,G934)&lt;&gt;1)),"AIR context missing / unknown",IF(AND(B934="CAP",E934="AIR",G934&lt;&gt;F934),"AIR context mismatch",IF(AND(B934="AIR",G934&lt;&gt;C934),"AIR context mismatch",IF(AND(B934="AIR",E934="AIR",C934=F934),"Self-dependency",IF(AND(B934="AIR",E934="AIR",M934&lt;&gt;"Superseded",COUNTIFS($B$4:$B$1003,"AIR",$C$4:$C$1003,F934,$E$4:$E$1003,"AIR",$F$4:$F$1003,C934,$M$4:$M$1003,"&lt;&gt;Superseded")&gt;0),"Dependency cycle (A↔B) — review",IF(AND(B934="AIR",OR(E934="MOD",E934="DATA",E934="IF",E934="AG",E934="TOOL"),IFERROR(INDEX(Components!$G$4:$G$253,MATCH(F934,Components!$A$4:$A$253,0)),"")&lt;&gt;"",IFERROR(INDEX(Components!$G$4:$G$253,MATCH(F934,Components!$A$4:$A$253,0)),"")&lt;&gt;C934),"Component owned by another AIR-ID",IF(AND(M934="Confirmed",OR(IF(B934="UC",COUNTIFS('Use cases'!$A$4:$A$253,C934,'Use cases'!$I$4:$I$253,"Confirmed",'Use cases'!$J$4:$J$253,"OK — verify source"),IF(B934="CAP",COUNTIFS(Capabilities!$A$4:$A$253,C934,Capabilities!$J$4:$J$253,"Confirmed",Capabilities!$K$4:$K$253,"OK — verify source"),IF(B934="AIR",COUNTIFS('System map'!$A$4:$A$203,C934,'System map'!$B$4:$B$203,"&lt;&gt;",'System map'!$C$4:$C$203,"&lt;&gt;",'System map'!$D$4:$D$203,"&lt;&gt;"),COUNTIFS(Components!$A$4:$A$253,C934,Components!$B$4:$B$253,B934,Components!$K$4:$K$253,"Confirmed",Components!$L$4:$L$253,"OK — verify source"))))&lt;&gt;1,IF(E934="UC",COUNTIFS('Use cases'!$A$4:$A$253,F934,'Use cases'!$I$4:$I$253,"Confirmed",'Use cases'!$J$4:$J$253,"OK — verify source"),IF(E934="CAP",COUNTIFS(Capabilities!$A$4:$A$253,F934,Capabilities!$J$4:$J$253,"Confirmed",Capabilities!$K$4:$K$253,"OK — verify source"),IF(E934="AIR",COUNTIFS('System map'!$A$4:$A$203,F934,'System map'!$B$4:$B$203,"&lt;&gt;",'System map'!$C$4:$C$203,"&lt;&gt;",'System map'!$D$4:$D$203,"&lt;&gt;"),COUNTIFS(Components!$A$4:$A$253,F934,Components!$B$4:$B$253,E934,Components!$K$4:$K$253,"Confirmed",Components!$L$4:$L$253,"OK — verify source"))))&lt;&gt;1)),"Endpoint not source-reconciled",IF(AND(M934="Confirmed",OR(L934="",K934="",K934="Unknown",K934="Low")),"Confirmed link lacks verification","OK — verify source"))))))))))))))</f>
        <v/>
      </c>
    </row>
    <row r="935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8" t="n"/>
      <c r="M935" s="27" t="n"/>
      <c r="N935" s="27">
        <f>IF(COUNTA(A935:M935)=0,"",IF(OR(A935="",B935="",C935="",D935="",E935="",F935="",I935="",J935="",K935="",M935=""),"Required link detail missing",IF(COUNTIF($A$4:$A$1003,A935)&gt;1,"Duplicate Map Edge ID",IF(NOT(OR(AND(B935="UC",E935="CAP",D935="requires"),AND(B935="CAP",E935="AIR",D935="provided by"),AND(B935="AIR",OR(E935="MOD",E935="DATA",E935="IF",E935="AG",E935="TOOL"),D935="references"),AND(B935="AIR",E935="AIR",D935="depends on"))),"Invalid relationship",IF(AND(M935&lt;&gt;"Superseded",COUNTIFS($B$4:$B$1003,B935,$C$4:$C$1003,C935,$D$4:$D$1003,D935,$E$4:$E$1003,E935,$F$4:$F$1003,F935,$G$4:$G$1003,G935,$M$4:$M$1003,"&lt;&gt;Superseded")&gt;1),"Duplicate relationship",IF(OR(IF(B935="UC",COUNTIF('Use cases'!$A$4:$A$253,C935),IF(B935="CAP",COUNTIF(Capabilities!$A$4:$A$253,C935),IF(B935="AIR",COUNTIF('System map'!$A$4:$A$203,C935),COUNTIFS(Components!$A$4:$A$253,C935,Components!$B$4:$B$253,B935))))&lt;&gt;1,IF(E935="UC",COUNTIF('Use cases'!$A$4:$A$253,F935),IF(E935="CAP",COUNTIF(Capabilities!$A$4:$A$253,F935),IF(E935="AIR",COUNTIF('System map'!$A$4:$A$203,F935),COUNTIFS(Components!$A$4:$A$253,F935,Components!$B$4:$B$253,E935))))&lt;&gt;1),"Endpoint missing or duplicated",IF(AND(NOT(AND(B935="UC",E935="CAP")),OR(G935="",COUNTIF('System map'!$A$4:$A$203,G935)&lt;&gt;1)),"AIR context missing / unknown",IF(AND(B935="CAP",E935="AIR",G935&lt;&gt;F935),"AIR context mismatch",IF(AND(B935="AIR",G935&lt;&gt;C935),"AIR context mismatch",IF(AND(B935="AIR",E935="AIR",C935=F935),"Self-dependency",IF(AND(B935="AIR",E935="AIR",M935&lt;&gt;"Superseded",COUNTIFS($B$4:$B$1003,"AIR",$C$4:$C$1003,F935,$E$4:$E$1003,"AIR",$F$4:$F$1003,C935,$M$4:$M$1003,"&lt;&gt;Superseded")&gt;0),"Dependency cycle (A↔B) — review",IF(AND(B935="AIR",OR(E935="MOD",E935="DATA",E935="IF",E935="AG",E935="TOOL"),IFERROR(INDEX(Components!$G$4:$G$253,MATCH(F935,Components!$A$4:$A$253,0)),"")&lt;&gt;"",IFERROR(INDEX(Components!$G$4:$G$253,MATCH(F935,Components!$A$4:$A$253,0)),"")&lt;&gt;C935),"Component owned by another AIR-ID",IF(AND(M935="Confirmed",OR(IF(B935="UC",COUNTIFS('Use cases'!$A$4:$A$253,C935,'Use cases'!$I$4:$I$253,"Confirmed",'Use cases'!$J$4:$J$253,"OK — verify source"),IF(B935="CAP",COUNTIFS(Capabilities!$A$4:$A$253,C935,Capabilities!$J$4:$J$253,"Confirmed",Capabilities!$K$4:$K$253,"OK — verify source"),IF(B935="AIR",COUNTIFS('System map'!$A$4:$A$203,C935,'System map'!$B$4:$B$203,"&lt;&gt;",'System map'!$C$4:$C$203,"&lt;&gt;",'System map'!$D$4:$D$203,"&lt;&gt;"),COUNTIFS(Components!$A$4:$A$253,C935,Components!$B$4:$B$253,B935,Components!$K$4:$K$253,"Confirmed",Components!$L$4:$L$253,"OK — verify source"))))&lt;&gt;1,IF(E935="UC",COUNTIFS('Use cases'!$A$4:$A$253,F935,'Use cases'!$I$4:$I$253,"Confirmed",'Use cases'!$J$4:$J$253,"OK — verify source"),IF(E935="CAP",COUNTIFS(Capabilities!$A$4:$A$253,F935,Capabilities!$J$4:$J$253,"Confirmed",Capabilities!$K$4:$K$253,"OK — verify source"),IF(E935="AIR",COUNTIFS('System map'!$A$4:$A$203,F935,'System map'!$B$4:$B$203,"&lt;&gt;",'System map'!$C$4:$C$203,"&lt;&gt;",'System map'!$D$4:$D$203,"&lt;&gt;"),COUNTIFS(Components!$A$4:$A$253,F935,Components!$B$4:$B$253,E935,Components!$K$4:$K$253,"Confirmed",Components!$L$4:$L$253,"OK — verify source"))))&lt;&gt;1)),"Endpoint not source-reconciled",IF(AND(M935="Confirmed",OR(L935="",K935="",K935="Unknown",K935="Low")),"Confirmed link lacks verification","OK — verify source"))))))))))))))</f>
        <v/>
      </c>
    </row>
    <row r="936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6" t="n"/>
      <c r="M936" s="25" t="n"/>
      <c r="N936" s="25">
        <f>IF(COUNTA(A936:M936)=0,"",IF(OR(A936="",B936="",C936="",D936="",E936="",F936="",I936="",J936="",K936="",M936=""),"Required link detail missing",IF(COUNTIF($A$4:$A$1003,A936)&gt;1,"Duplicate Map Edge ID",IF(NOT(OR(AND(B936="UC",E936="CAP",D936="requires"),AND(B936="CAP",E936="AIR",D936="provided by"),AND(B936="AIR",OR(E936="MOD",E936="DATA",E936="IF",E936="AG",E936="TOOL"),D936="references"),AND(B936="AIR",E936="AIR",D936="depends on"))),"Invalid relationship",IF(AND(M936&lt;&gt;"Superseded",COUNTIFS($B$4:$B$1003,B936,$C$4:$C$1003,C936,$D$4:$D$1003,D936,$E$4:$E$1003,E936,$F$4:$F$1003,F936,$G$4:$G$1003,G936,$M$4:$M$1003,"&lt;&gt;Superseded")&gt;1),"Duplicate relationship",IF(OR(IF(B936="UC",COUNTIF('Use cases'!$A$4:$A$253,C936),IF(B936="CAP",COUNTIF(Capabilities!$A$4:$A$253,C936),IF(B936="AIR",COUNTIF('System map'!$A$4:$A$203,C936),COUNTIFS(Components!$A$4:$A$253,C936,Components!$B$4:$B$253,B936))))&lt;&gt;1,IF(E936="UC",COUNTIF('Use cases'!$A$4:$A$253,F936),IF(E936="CAP",COUNTIF(Capabilities!$A$4:$A$253,F936),IF(E936="AIR",COUNTIF('System map'!$A$4:$A$203,F936),COUNTIFS(Components!$A$4:$A$253,F936,Components!$B$4:$B$253,E936))))&lt;&gt;1),"Endpoint missing or duplicated",IF(AND(NOT(AND(B936="UC",E936="CAP")),OR(G936="",COUNTIF('System map'!$A$4:$A$203,G936)&lt;&gt;1)),"AIR context missing / unknown",IF(AND(B936="CAP",E936="AIR",G936&lt;&gt;F936),"AIR context mismatch",IF(AND(B936="AIR",G936&lt;&gt;C936),"AIR context mismatch",IF(AND(B936="AIR",E936="AIR",C936=F936),"Self-dependency",IF(AND(B936="AIR",E936="AIR",M936&lt;&gt;"Superseded",COUNTIFS($B$4:$B$1003,"AIR",$C$4:$C$1003,F936,$E$4:$E$1003,"AIR",$F$4:$F$1003,C936,$M$4:$M$1003,"&lt;&gt;Superseded")&gt;0),"Dependency cycle (A↔B) — review",IF(AND(B936="AIR",OR(E936="MOD",E936="DATA",E936="IF",E936="AG",E936="TOOL"),IFERROR(INDEX(Components!$G$4:$G$253,MATCH(F936,Components!$A$4:$A$253,0)),"")&lt;&gt;"",IFERROR(INDEX(Components!$G$4:$G$253,MATCH(F936,Components!$A$4:$A$253,0)),"")&lt;&gt;C936),"Component owned by another AIR-ID",IF(AND(M936="Confirmed",OR(IF(B936="UC",COUNTIFS('Use cases'!$A$4:$A$253,C936,'Use cases'!$I$4:$I$253,"Confirmed",'Use cases'!$J$4:$J$253,"OK — verify source"),IF(B936="CAP",COUNTIFS(Capabilities!$A$4:$A$253,C936,Capabilities!$J$4:$J$253,"Confirmed",Capabilities!$K$4:$K$253,"OK — verify source"),IF(B936="AIR",COUNTIFS('System map'!$A$4:$A$203,C936,'System map'!$B$4:$B$203,"&lt;&gt;",'System map'!$C$4:$C$203,"&lt;&gt;",'System map'!$D$4:$D$203,"&lt;&gt;"),COUNTIFS(Components!$A$4:$A$253,C936,Components!$B$4:$B$253,B936,Components!$K$4:$K$253,"Confirmed",Components!$L$4:$L$253,"OK — verify source"))))&lt;&gt;1,IF(E936="UC",COUNTIFS('Use cases'!$A$4:$A$253,F936,'Use cases'!$I$4:$I$253,"Confirmed",'Use cases'!$J$4:$J$253,"OK — verify source"),IF(E936="CAP",COUNTIFS(Capabilities!$A$4:$A$253,F936,Capabilities!$J$4:$J$253,"Confirmed",Capabilities!$K$4:$K$253,"OK — verify source"),IF(E936="AIR",COUNTIFS('System map'!$A$4:$A$203,F936,'System map'!$B$4:$B$203,"&lt;&gt;",'System map'!$C$4:$C$203,"&lt;&gt;",'System map'!$D$4:$D$203,"&lt;&gt;"),COUNTIFS(Components!$A$4:$A$253,F936,Components!$B$4:$B$253,E936,Components!$K$4:$K$253,"Confirmed",Components!$L$4:$L$253,"OK — verify source"))))&lt;&gt;1)),"Endpoint not source-reconciled",IF(AND(M936="Confirmed",OR(L936="",K936="",K936="Unknown",K936="Low")),"Confirmed link lacks verification","OK — verify source"))))))))))))))</f>
        <v/>
      </c>
    </row>
    <row r="937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8" t="n"/>
      <c r="M937" s="27" t="n"/>
      <c r="N937" s="27">
        <f>IF(COUNTA(A937:M937)=0,"",IF(OR(A937="",B937="",C937="",D937="",E937="",F937="",I937="",J937="",K937="",M937=""),"Required link detail missing",IF(COUNTIF($A$4:$A$1003,A937)&gt;1,"Duplicate Map Edge ID",IF(NOT(OR(AND(B937="UC",E937="CAP",D937="requires"),AND(B937="CAP",E937="AIR",D937="provided by"),AND(B937="AIR",OR(E937="MOD",E937="DATA",E937="IF",E937="AG",E937="TOOL"),D937="references"),AND(B937="AIR",E937="AIR",D937="depends on"))),"Invalid relationship",IF(AND(M937&lt;&gt;"Superseded",COUNTIFS($B$4:$B$1003,B937,$C$4:$C$1003,C937,$D$4:$D$1003,D937,$E$4:$E$1003,E937,$F$4:$F$1003,F937,$G$4:$G$1003,G937,$M$4:$M$1003,"&lt;&gt;Superseded")&gt;1),"Duplicate relationship",IF(OR(IF(B937="UC",COUNTIF('Use cases'!$A$4:$A$253,C937),IF(B937="CAP",COUNTIF(Capabilities!$A$4:$A$253,C937),IF(B937="AIR",COUNTIF('System map'!$A$4:$A$203,C937),COUNTIFS(Components!$A$4:$A$253,C937,Components!$B$4:$B$253,B937))))&lt;&gt;1,IF(E937="UC",COUNTIF('Use cases'!$A$4:$A$253,F937),IF(E937="CAP",COUNTIF(Capabilities!$A$4:$A$253,F937),IF(E937="AIR",COUNTIF('System map'!$A$4:$A$203,F937),COUNTIFS(Components!$A$4:$A$253,F937,Components!$B$4:$B$253,E937))))&lt;&gt;1),"Endpoint missing or duplicated",IF(AND(NOT(AND(B937="UC",E937="CAP")),OR(G937="",COUNTIF('System map'!$A$4:$A$203,G937)&lt;&gt;1)),"AIR context missing / unknown",IF(AND(B937="CAP",E937="AIR",G937&lt;&gt;F937),"AIR context mismatch",IF(AND(B937="AIR",G937&lt;&gt;C937),"AIR context mismatch",IF(AND(B937="AIR",E937="AIR",C937=F937),"Self-dependency",IF(AND(B937="AIR",E937="AIR",M937&lt;&gt;"Superseded",COUNTIFS($B$4:$B$1003,"AIR",$C$4:$C$1003,F937,$E$4:$E$1003,"AIR",$F$4:$F$1003,C937,$M$4:$M$1003,"&lt;&gt;Superseded")&gt;0),"Dependency cycle (A↔B) — review",IF(AND(B937="AIR",OR(E937="MOD",E937="DATA",E937="IF",E937="AG",E937="TOOL"),IFERROR(INDEX(Components!$G$4:$G$253,MATCH(F937,Components!$A$4:$A$253,0)),"")&lt;&gt;"",IFERROR(INDEX(Components!$G$4:$G$253,MATCH(F937,Components!$A$4:$A$253,0)),"")&lt;&gt;C937),"Component owned by another AIR-ID",IF(AND(M937="Confirmed",OR(IF(B937="UC",COUNTIFS('Use cases'!$A$4:$A$253,C937,'Use cases'!$I$4:$I$253,"Confirmed",'Use cases'!$J$4:$J$253,"OK — verify source"),IF(B937="CAP",COUNTIFS(Capabilities!$A$4:$A$253,C937,Capabilities!$J$4:$J$253,"Confirmed",Capabilities!$K$4:$K$253,"OK — verify source"),IF(B937="AIR",COUNTIFS('System map'!$A$4:$A$203,C937,'System map'!$B$4:$B$203,"&lt;&gt;",'System map'!$C$4:$C$203,"&lt;&gt;",'System map'!$D$4:$D$203,"&lt;&gt;"),COUNTIFS(Components!$A$4:$A$253,C937,Components!$B$4:$B$253,B937,Components!$K$4:$K$253,"Confirmed",Components!$L$4:$L$253,"OK — verify source"))))&lt;&gt;1,IF(E937="UC",COUNTIFS('Use cases'!$A$4:$A$253,F937,'Use cases'!$I$4:$I$253,"Confirmed",'Use cases'!$J$4:$J$253,"OK — verify source"),IF(E937="CAP",COUNTIFS(Capabilities!$A$4:$A$253,F937,Capabilities!$J$4:$J$253,"Confirmed",Capabilities!$K$4:$K$253,"OK — verify source"),IF(E937="AIR",COUNTIFS('System map'!$A$4:$A$203,F937,'System map'!$B$4:$B$203,"&lt;&gt;",'System map'!$C$4:$C$203,"&lt;&gt;",'System map'!$D$4:$D$203,"&lt;&gt;"),COUNTIFS(Components!$A$4:$A$253,F937,Components!$B$4:$B$253,E937,Components!$K$4:$K$253,"Confirmed",Components!$L$4:$L$253,"OK — verify source"))))&lt;&gt;1)),"Endpoint not source-reconciled",IF(AND(M937="Confirmed",OR(L937="",K937="",K937="Unknown",K937="Low")),"Confirmed link lacks verification","OK — verify source"))))))))))))))</f>
        <v/>
      </c>
    </row>
    <row r="938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6" t="n"/>
      <c r="M938" s="25" t="n"/>
      <c r="N938" s="25">
        <f>IF(COUNTA(A938:M938)=0,"",IF(OR(A938="",B938="",C938="",D938="",E938="",F938="",I938="",J938="",K938="",M938=""),"Required link detail missing",IF(COUNTIF($A$4:$A$1003,A938)&gt;1,"Duplicate Map Edge ID",IF(NOT(OR(AND(B938="UC",E938="CAP",D938="requires"),AND(B938="CAP",E938="AIR",D938="provided by"),AND(B938="AIR",OR(E938="MOD",E938="DATA",E938="IF",E938="AG",E938="TOOL"),D938="references"),AND(B938="AIR",E938="AIR",D938="depends on"))),"Invalid relationship",IF(AND(M938&lt;&gt;"Superseded",COUNTIFS($B$4:$B$1003,B938,$C$4:$C$1003,C938,$D$4:$D$1003,D938,$E$4:$E$1003,E938,$F$4:$F$1003,F938,$G$4:$G$1003,G938,$M$4:$M$1003,"&lt;&gt;Superseded")&gt;1),"Duplicate relationship",IF(OR(IF(B938="UC",COUNTIF('Use cases'!$A$4:$A$253,C938),IF(B938="CAP",COUNTIF(Capabilities!$A$4:$A$253,C938),IF(B938="AIR",COUNTIF('System map'!$A$4:$A$203,C938),COUNTIFS(Components!$A$4:$A$253,C938,Components!$B$4:$B$253,B938))))&lt;&gt;1,IF(E938="UC",COUNTIF('Use cases'!$A$4:$A$253,F938),IF(E938="CAP",COUNTIF(Capabilities!$A$4:$A$253,F938),IF(E938="AIR",COUNTIF('System map'!$A$4:$A$203,F938),COUNTIFS(Components!$A$4:$A$253,F938,Components!$B$4:$B$253,E938))))&lt;&gt;1),"Endpoint missing or duplicated",IF(AND(NOT(AND(B938="UC",E938="CAP")),OR(G938="",COUNTIF('System map'!$A$4:$A$203,G938)&lt;&gt;1)),"AIR context missing / unknown",IF(AND(B938="CAP",E938="AIR",G938&lt;&gt;F938),"AIR context mismatch",IF(AND(B938="AIR",G938&lt;&gt;C938),"AIR context mismatch",IF(AND(B938="AIR",E938="AIR",C938=F938),"Self-dependency",IF(AND(B938="AIR",E938="AIR",M938&lt;&gt;"Superseded",COUNTIFS($B$4:$B$1003,"AIR",$C$4:$C$1003,F938,$E$4:$E$1003,"AIR",$F$4:$F$1003,C938,$M$4:$M$1003,"&lt;&gt;Superseded")&gt;0),"Dependency cycle (A↔B) — review",IF(AND(B938="AIR",OR(E938="MOD",E938="DATA",E938="IF",E938="AG",E938="TOOL"),IFERROR(INDEX(Components!$G$4:$G$253,MATCH(F938,Components!$A$4:$A$253,0)),"")&lt;&gt;"",IFERROR(INDEX(Components!$G$4:$G$253,MATCH(F938,Components!$A$4:$A$253,0)),"")&lt;&gt;C938),"Component owned by another AIR-ID",IF(AND(M938="Confirmed",OR(IF(B938="UC",COUNTIFS('Use cases'!$A$4:$A$253,C938,'Use cases'!$I$4:$I$253,"Confirmed",'Use cases'!$J$4:$J$253,"OK — verify source"),IF(B938="CAP",COUNTIFS(Capabilities!$A$4:$A$253,C938,Capabilities!$J$4:$J$253,"Confirmed",Capabilities!$K$4:$K$253,"OK — verify source"),IF(B938="AIR",COUNTIFS('System map'!$A$4:$A$203,C938,'System map'!$B$4:$B$203,"&lt;&gt;",'System map'!$C$4:$C$203,"&lt;&gt;",'System map'!$D$4:$D$203,"&lt;&gt;"),COUNTIFS(Components!$A$4:$A$253,C938,Components!$B$4:$B$253,B938,Components!$K$4:$K$253,"Confirmed",Components!$L$4:$L$253,"OK — verify source"))))&lt;&gt;1,IF(E938="UC",COUNTIFS('Use cases'!$A$4:$A$253,F938,'Use cases'!$I$4:$I$253,"Confirmed",'Use cases'!$J$4:$J$253,"OK — verify source"),IF(E938="CAP",COUNTIFS(Capabilities!$A$4:$A$253,F938,Capabilities!$J$4:$J$253,"Confirmed",Capabilities!$K$4:$K$253,"OK — verify source"),IF(E938="AIR",COUNTIFS('System map'!$A$4:$A$203,F938,'System map'!$B$4:$B$203,"&lt;&gt;",'System map'!$C$4:$C$203,"&lt;&gt;",'System map'!$D$4:$D$203,"&lt;&gt;"),COUNTIFS(Components!$A$4:$A$253,F938,Components!$B$4:$B$253,E938,Components!$K$4:$K$253,"Confirmed",Components!$L$4:$L$253,"OK — verify source"))))&lt;&gt;1)),"Endpoint not source-reconciled",IF(AND(M938="Confirmed",OR(L938="",K938="",K938="Unknown",K938="Low")),"Confirmed link lacks verification","OK — verify source"))))))))))))))</f>
        <v/>
      </c>
    </row>
    <row r="939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8" t="n"/>
      <c r="M939" s="27" t="n"/>
      <c r="N939" s="27">
        <f>IF(COUNTA(A939:M939)=0,"",IF(OR(A939="",B939="",C939="",D939="",E939="",F939="",I939="",J939="",K939="",M939=""),"Required link detail missing",IF(COUNTIF($A$4:$A$1003,A939)&gt;1,"Duplicate Map Edge ID",IF(NOT(OR(AND(B939="UC",E939="CAP",D939="requires"),AND(B939="CAP",E939="AIR",D939="provided by"),AND(B939="AIR",OR(E939="MOD",E939="DATA",E939="IF",E939="AG",E939="TOOL"),D939="references"),AND(B939="AIR",E939="AIR",D939="depends on"))),"Invalid relationship",IF(AND(M939&lt;&gt;"Superseded",COUNTIFS($B$4:$B$1003,B939,$C$4:$C$1003,C939,$D$4:$D$1003,D939,$E$4:$E$1003,E939,$F$4:$F$1003,F939,$G$4:$G$1003,G939,$M$4:$M$1003,"&lt;&gt;Superseded")&gt;1),"Duplicate relationship",IF(OR(IF(B939="UC",COUNTIF('Use cases'!$A$4:$A$253,C939),IF(B939="CAP",COUNTIF(Capabilities!$A$4:$A$253,C939),IF(B939="AIR",COUNTIF('System map'!$A$4:$A$203,C939),COUNTIFS(Components!$A$4:$A$253,C939,Components!$B$4:$B$253,B939))))&lt;&gt;1,IF(E939="UC",COUNTIF('Use cases'!$A$4:$A$253,F939),IF(E939="CAP",COUNTIF(Capabilities!$A$4:$A$253,F939),IF(E939="AIR",COUNTIF('System map'!$A$4:$A$203,F939),COUNTIFS(Components!$A$4:$A$253,F939,Components!$B$4:$B$253,E939))))&lt;&gt;1),"Endpoint missing or duplicated",IF(AND(NOT(AND(B939="UC",E939="CAP")),OR(G939="",COUNTIF('System map'!$A$4:$A$203,G939)&lt;&gt;1)),"AIR context missing / unknown",IF(AND(B939="CAP",E939="AIR",G939&lt;&gt;F939),"AIR context mismatch",IF(AND(B939="AIR",G939&lt;&gt;C939),"AIR context mismatch",IF(AND(B939="AIR",E939="AIR",C939=F939),"Self-dependency",IF(AND(B939="AIR",E939="AIR",M939&lt;&gt;"Superseded",COUNTIFS($B$4:$B$1003,"AIR",$C$4:$C$1003,F939,$E$4:$E$1003,"AIR",$F$4:$F$1003,C939,$M$4:$M$1003,"&lt;&gt;Superseded")&gt;0),"Dependency cycle (A↔B) — review",IF(AND(B939="AIR",OR(E939="MOD",E939="DATA",E939="IF",E939="AG",E939="TOOL"),IFERROR(INDEX(Components!$G$4:$G$253,MATCH(F939,Components!$A$4:$A$253,0)),"")&lt;&gt;"",IFERROR(INDEX(Components!$G$4:$G$253,MATCH(F939,Components!$A$4:$A$253,0)),"")&lt;&gt;C939),"Component owned by another AIR-ID",IF(AND(M939="Confirmed",OR(IF(B939="UC",COUNTIFS('Use cases'!$A$4:$A$253,C939,'Use cases'!$I$4:$I$253,"Confirmed",'Use cases'!$J$4:$J$253,"OK — verify source"),IF(B939="CAP",COUNTIFS(Capabilities!$A$4:$A$253,C939,Capabilities!$J$4:$J$253,"Confirmed",Capabilities!$K$4:$K$253,"OK — verify source"),IF(B939="AIR",COUNTIFS('System map'!$A$4:$A$203,C939,'System map'!$B$4:$B$203,"&lt;&gt;",'System map'!$C$4:$C$203,"&lt;&gt;",'System map'!$D$4:$D$203,"&lt;&gt;"),COUNTIFS(Components!$A$4:$A$253,C939,Components!$B$4:$B$253,B939,Components!$K$4:$K$253,"Confirmed",Components!$L$4:$L$253,"OK — verify source"))))&lt;&gt;1,IF(E939="UC",COUNTIFS('Use cases'!$A$4:$A$253,F939,'Use cases'!$I$4:$I$253,"Confirmed",'Use cases'!$J$4:$J$253,"OK — verify source"),IF(E939="CAP",COUNTIFS(Capabilities!$A$4:$A$253,F939,Capabilities!$J$4:$J$253,"Confirmed",Capabilities!$K$4:$K$253,"OK — verify source"),IF(E939="AIR",COUNTIFS('System map'!$A$4:$A$203,F939,'System map'!$B$4:$B$203,"&lt;&gt;",'System map'!$C$4:$C$203,"&lt;&gt;",'System map'!$D$4:$D$203,"&lt;&gt;"),COUNTIFS(Components!$A$4:$A$253,F939,Components!$B$4:$B$253,E939,Components!$K$4:$K$253,"Confirmed",Components!$L$4:$L$253,"OK — verify source"))))&lt;&gt;1)),"Endpoint not source-reconciled",IF(AND(M939="Confirmed",OR(L939="",K939="",K939="Unknown",K939="Low")),"Confirmed link lacks verification","OK — verify source"))))))))))))))</f>
        <v/>
      </c>
    </row>
    <row r="940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6" t="n"/>
      <c r="M940" s="25" t="n"/>
      <c r="N940" s="25">
        <f>IF(COUNTA(A940:M940)=0,"",IF(OR(A940="",B940="",C940="",D940="",E940="",F940="",I940="",J940="",K940="",M940=""),"Required link detail missing",IF(COUNTIF($A$4:$A$1003,A940)&gt;1,"Duplicate Map Edge ID",IF(NOT(OR(AND(B940="UC",E940="CAP",D940="requires"),AND(B940="CAP",E940="AIR",D940="provided by"),AND(B940="AIR",OR(E940="MOD",E940="DATA",E940="IF",E940="AG",E940="TOOL"),D940="references"),AND(B940="AIR",E940="AIR",D940="depends on"))),"Invalid relationship",IF(AND(M940&lt;&gt;"Superseded",COUNTIFS($B$4:$B$1003,B940,$C$4:$C$1003,C940,$D$4:$D$1003,D940,$E$4:$E$1003,E940,$F$4:$F$1003,F940,$G$4:$G$1003,G940,$M$4:$M$1003,"&lt;&gt;Superseded")&gt;1),"Duplicate relationship",IF(OR(IF(B940="UC",COUNTIF('Use cases'!$A$4:$A$253,C940),IF(B940="CAP",COUNTIF(Capabilities!$A$4:$A$253,C940),IF(B940="AIR",COUNTIF('System map'!$A$4:$A$203,C940),COUNTIFS(Components!$A$4:$A$253,C940,Components!$B$4:$B$253,B940))))&lt;&gt;1,IF(E940="UC",COUNTIF('Use cases'!$A$4:$A$253,F940),IF(E940="CAP",COUNTIF(Capabilities!$A$4:$A$253,F940),IF(E940="AIR",COUNTIF('System map'!$A$4:$A$203,F940),COUNTIFS(Components!$A$4:$A$253,F940,Components!$B$4:$B$253,E940))))&lt;&gt;1),"Endpoint missing or duplicated",IF(AND(NOT(AND(B940="UC",E940="CAP")),OR(G940="",COUNTIF('System map'!$A$4:$A$203,G940)&lt;&gt;1)),"AIR context missing / unknown",IF(AND(B940="CAP",E940="AIR",G940&lt;&gt;F940),"AIR context mismatch",IF(AND(B940="AIR",G940&lt;&gt;C940),"AIR context mismatch",IF(AND(B940="AIR",E940="AIR",C940=F940),"Self-dependency",IF(AND(B940="AIR",E940="AIR",M940&lt;&gt;"Superseded",COUNTIFS($B$4:$B$1003,"AIR",$C$4:$C$1003,F940,$E$4:$E$1003,"AIR",$F$4:$F$1003,C940,$M$4:$M$1003,"&lt;&gt;Superseded")&gt;0),"Dependency cycle (A↔B) — review",IF(AND(B940="AIR",OR(E940="MOD",E940="DATA",E940="IF",E940="AG",E940="TOOL"),IFERROR(INDEX(Components!$G$4:$G$253,MATCH(F940,Components!$A$4:$A$253,0)),"")&lt;&gt;"",IFERROR(INDEX(Components!$G$4:$G$253,MATCH(F940,Components!$A$4:$A$253,0)),"")&lt;&gt;C940),"Component owned by another AIR-ID",IF(AND(M940="Confirmed",OR(IF(B940="UC",COUNTIFS('Use cases'!$A$4:$A$253,C940,'Use cases'!$I$4:$I$253,"Confirmed",'Use cases'!$J$4:$J$253,"OK — verify source"),IF(B940="CAP",COUNTIFS(Capabilities!$A$4:$A$253,C940,Capabilities!$J$4:$J$253,"Confirmed",Capabilities!$K$4:$K$253,"OK — verify source"),IF(B940="AIR",COUNTIFS('System map'!$A$4:$A$203,C940,'System map'!$B$4:$B$203,"&lt;&gt;",'System map'!$C$4:$C$203,"&lt;&gt;",'System map'!$D$4:$D$203,"&lt;&gt;"),COUNTIFS(Components!$A$4:$A$253,C940,Components!$B$4:$B$253,B940,Components!$K$4:$K$253,"Confirmed",Components!$L$4:$L$253,"OK — verify source"))))&lt;&gt;1,IF(E940="UC",COUNTIFS('Use cases'!$A$4:$A$253,F940,'Use cases'!$I$4:$I$253,"Confirmed",'Use cases'!$J$4:$J$253,"OK — verify source"),IF(E940="CAP",COUNTIFS(Capabilities!$A$4:$A$253,F940,Capabilities!$J$4:$J$253,"Confirmed",Capabilities!$K$4:$K$253,"OK — verify source"),IF(E940="AIR",COUNTIFS('System map'!$A$4:$A$203,F940,'System map'!$B$4:$B$203,"&lt;&gt;",'System map'!$C$4:$C$203,"&lt;&gt;",'System map'!$D$4:$D$203,"&lt;&gt;"),COUNTIFS(Components!$A$4:$A$253,F940,Components!$B$4:$B$253,E940,Components!$K$4:$K$253,"Confirmed",Components!$L$4:$L$253,"OK — verify source"))))&lt;&gt;1)),"Endpoint not source-reconciled",IF(AND(M940="Confirmed",OR(L940="",K940="",K940="Unknown",K940="Low")),"Confirmed link lacks verification","OK — verify source"))))))))))))))</f>
        <v/>
      </c>
    </row>
    <row r="941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8" t="n"/>
      <c r="M941" s="27" t="n"/>
      <c r="N941" s="27">
        <f>IF(COUNTA(A941:M941)=0,"",IF(OR(A941="",B941="",C941="",D941="",E941="",F941="",I941="",J941="",K941="",M941=""),"Required link detail missing",IF(COUNTIF($A$4:$A$1003,A941)&gt;1,"Duplicate Map Edge ID",IF(NOT(OR(AND(B941="UC",E941="CAP",D941="requires"),AND(B941="CAP",E941="AIR",D941="provided by"),AND(B941="AIR",OR(E941="MOD",E941="DATA",E941="IF",E941="AG",E941="TOOL"),D941="references"),AND(B941="AIR",E941="AIR",D941="depends on"))),"Invalid relationship",IF(AND(M941&lt;&gt;"Superseded",COUNTIFS($B$4:$B$1003,B941,$C$4:$C$1003,C941,$D$4:$D$1003,D941,$E$4:$E$1003,E941,$F$4:$F$1003,F941,$G$4:$G$1003,G941,$M$4:$M$1003,"&lt;&gt;Superseded")&gt;1),"Duplicate relationship",IF(OR(IF(B941="UC",COUNTIF('Use cases'!$A$4:$A$253,C941),IF(B941="CAP",COUNTIF(Capabilities!$A$4:$A$253,C941),IF(B941="AIR",COUNTIF('System map'!$A$4:$A$203,C941),COUNTIFS(Components!$A$4:$A$253,C941,Components!$B$4:$B$253,B941))))&lt;&gt;1,IF(E941="UC",COUNTIF('Use cases'!$A$4:$A$253,F941),IF(E941="CAP",COUNTIF(Capabilities!$A$4:$A$253,F941),IF(E941="AIR",COUNTIF('System map'!$A$4:$A$203,F941),COUNTIFS(Components!$A$4:$A$253,F941,Components!$B$4:$B$253,E941))))&lt;&gt;1),"Endpoint missing or duplicated",IF(AND(NOT(AND(B941="UC",E941="CAP")),OR(G941="",COUNTIF('System map'!$A$4:$A$203,G941)&lt;&gt;1)),"AIR context missing / unknown",IF(AND(B941="CAP",E941="AIR",G941&lt;&gt;F941),"AIR context mismatch",IF(AND(B941="AIR",G941&lt;&gt;C941),"AIR context mismatch",IF(AND(B941="AIR",E941="AIR",C941=F941),"Self-dependency",IF(AND(B941="AIR",E941="AIR",M941&lt;&gt;"Superseded",COUNTIFS($B$4:$B$1003,"AIR",$C$4:$C$1003,F941,$E$4:$E$1003,"AIR",$F$4:$F$1003,C941,$M$4:$M$1003,"&lt;&gt;Superseded")&gt;0),"Dependency cycle (A↔B) — review",IF(AND(B941="AIR",OR(E941="MOD",E941="DATA",E941="IF",E941="AG",E941="TOOL"),IFERROR(INDEX(Components!$G$4:$G$253,MATCH(F941,Components!$A$4:$A$253,0)),"")&lt;&gt;"",IFERROR(INDEX(Components!$G$4:$G$253,MATCH(F941,Components!$A$4:$A$253,0)),"")&lt;&gt;C941),"Component owned by another AIR-ID",IF(AND(M941="Confirmed",OR(IF(B941="UC",COUNTIFS('Use cases'!$A$4:$A$253,C941,'Use cases'!$I$4:$I$253,"Confirmed",'Use cases'!$J$4:$J$253,"OK — verify source"),IF(B941="CAP",COUNTIFS(Capabilities!$A$4:$A$253,C941,Capabilities!$J$4:$J$253,"Confirmed",Capabilities!$K$4:$K$253,"OK — verify source"),IF(B941="AIR",COUNTIFS('System map'!$A$4:$A$203,C941,'System map'!$B$4:$B$203,"&lt;&gt;",'System map'!$C$4:$C$203,"&lt;&gt;",'System map'!$D$4:$D$203,"&lt;&gt;"),COUNTIFS(Components!$A$4:$A$253,C941,Components!$B$4:$B$253,B941,Components!$K$4:$K$253,"Confirmed",Components!$L$4:$L$253,"OK — verify source"))))&lt;&gt;1,IF(E941="UC",COUNTIFS('Use cases'!$A$4:$A$253,F941,'Use cases'!$I$4:$I$253,"Confirmed",'Use cases'!$J$4:$J$253,"OK — verify source"),IF(E941="CAP",COUNTIFS(Capabilities!$A$4:$A$253,F941,Capabilities!$J$4:$J$253,"Confirmed",Capabilities!$K$4:$K$253,"OK — verify source"),IF(E941="AIR",COUNTIFS('System map'!$A$4:$A$203,F941,'System map'!$B$4:$B$203,"&lt;&gt;",'System map'!$C$4:$C$203,"&lt;&gt;",'System map'!$D$4:$D$203,"&lt;&gt;"),COUNTIFS(Components!$A$4:$A$253,F941,Components!$B$4:$B$253,E941,Components!$K$4:$K$253,"Confirmed",Components!$L$4:$L$253,"OK — verify source"))))&lt;&gt;1)),"Endpoint not source-reconciled",IF(AND(M941="Confirmed",OR(L941="",K941="",K941="Unknown",K941="Low")),"Confirmed link lacks verification","OK — verify source"))))))))))))))</f>
        <v/>
      </c>
    </row>
    <row r="942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6" t="n"/>
      <c r="M942" s="25" t="n"/>
      <c r="N942" s="25">
        <f>IF(COUNTA(A942:M942)=0,"",IF(OR(A942="",B942="",C942="",D942="",E942="",F942="",I942="",J942="",K942="",M942=""),"Required link detail missing",IF(COUNTIF($A$4:$A$1003,A942)&gt;1,"Duplicate Map Edge ID",IF(NOT(OR(AND(B942="UC",E942="CAP",D942="requires"),AND(B942="CAP",E942="AIR",D942="provided by"),AND(B942="AIR",OR(E942="MOD",E942="DATA",E942="IF",E942="AG",E942="TOOL"),D942="references"),AND(B942="AIR",E942="AIR",D942="depends on"))),"Invalid relationship",IF(AND(M942&lt;&gt;"Superseded",COUNTIFS($B$4:$B$1003,B942,$C$4:$C$1003,C942,$D$4:$D$1003,D942,$E$4:$E$1003,E942,$F$4:$F$1003,F942,$G$4:$G$1003,G942,$M$4:$M$1003,"&lt;&gt;Superseded")&gt;1),"Duplicate relationship",IF(OR(IF(B942="UC",COUNTIF('Use cases'!$A$4:$A$253,C942),IF(B942="CAP",COUNTIF(Capabilities!$A$4:$A$253,C942),IF(B942="AIR",COUNTIF('System map'!$A$4:$A$203,C942),COUNTIFS(Components!$A$4:$A$253,C942,Components!$B$4:$B$253,B942))))&lt;&gt;1,IF(E942="UC",COUNTIF('Use cases'!$A$4:$A$253,F942),IF(E942="CAP",COUNTIF(Capabilities!$A$4:$A$253,F942),IF(E942="AIR",COUNTIF('System map'!$A$4:$A$203,F942),COUNTIFS(Components!$A$4:$A$253,F942,Components!$B$4:$B$253,E942))))&lt;&gt;1),"Endpoint missing or duplicated",IF(AND(NOT(AND(B942="UC",E942="CAP")),OR(G942="",COUNTIF('System map'!$A$4:$A$203,G942)&lt;&gt;1)),"AIR context missing / unknown",IF(AND(B942="CAP",E942="AIR",G942&lt;&gt;F942),"AIR context mismatch",IF(AND(B942="AIR",G942&lt;&gt;C942),"AIR context mismatch",IF(AND(B942="AIR",E942="AIR",C942=F942),"Self-dependency",IF(AND(B942="AIR",E942="AIR",M942&lt;&gt;"Superseded",COUNTIFS($B$4:$B$1003,"AIR",$C$4:$C$1003,F942,$E$4:$E$1003,"AIR",$F$4:$F$1003,C942,$M$4:$M$1003,"&lt;&gt;Superseded")&gt;0),"Dependency cycle (A↔B) — review",IF(AND(B942="AIR",OR(E942="MOD",E942="DATA",E942="IF",E942="AG",E942="TOOL"),IFERROR(INDEX(Components!$G$4:$G$253,MATCH(F942,Components!$A$4:$A$253,0)),"")&lt;&gt;"",IFERROR(INDEX(Components!$G$4:$G$253,MATCH(F942,Components!$A$4:$A$253,0)),"")&lt;&gt;C942),"Component owned by another AIR-ID",IF(AND(M942="Confirmed",OR(IF(B942="UC",COUNTIFS('Use cases'!$A$4:$A$253,C942,'Use cases'!$I$4:$I$253,"Confirmed",'Use cases'!$J$4:$J$253,"OK — verify source"),IF(B942="CAP",COUNTIFS(Capabilities!$A$4:$A$253,C942,Capabilities!$J$4:$J$253,"Confirmed",Capabilities!$K$4:$K$253,"OK — verify source"),IF(B942="AIR",COUNTIFS('System map'!$A$4:$A$203,C942,'System map'!$B$4:$B$203,"&lt;&gt;",'System map'!$C$4:$C$203,"&lt;&gt;",'System map'!$D$4:$D$203,"&lt;&gt;"),COUNTIFS(Components!$A$4:$A$253,C942,Components!$B$4:$B$253,B942,Components!$K$4:$K$253,"Confirmed",Components!$L$4:$L$253,"OK — verify source"))))&lt;&gt;1,IF(E942="UC",COUNTIFS('Use cases'!$A$4:$A$253,F942,'Use cases'!$I$4:$I$253,"Confirmed",'Use cases'!$J$4:$J$253,"OK — verify source"),IF(E942="CAP",COUNTIFS(Capabilities!$A$4:$A$253,F942,Capabilities!$J$4:$J$253,"Confirmed",Capabilities!$K$4:$K$253,"OK — verify source"),IF(E942="AIR",COUNTIFS('System map'!$A$4:$A$203,F942,'System map'!$B$4:$B$203,"&lt;&gt;",'System map'!$C$4:$C$203,"&lt;&gt;",'System map'!$D$4:$D$203,"&lt;&gt;"),COUNTIFS(Components!$A$4:$A$253,F942,Components!$B$4:$B$253,E942,Components!$K$4:$K$253,"Confirmed",Components!$L$4:$L$253,"OK — verify source"))))&lt;&gt;1)),"Endpoint not source-reconciled",IF(AND(M942="Confirmed",OR(L942="",K942="",K942="Unknown",K942="Low")),"Confirmed link lacks verification","OK — verify source"))))))))))))))</f>
        <v/>
      </c>
    </row>
    <row r="943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8" t="n"/>
      <c r="M943" s="27" t="n"/>
      <c r="N943" s="27">
        <f>IF(COUNTA(A943:M943)=0,"",IF(OR(A943="",B943="",C943="",D943="",E943="",F943="",I943="",J943="",K943="",M943=""),"Required link detail missing",IF(COUNTIF($A$4:$A$1003,A943)&gt;1,"Duplicate Map Edge ID",IF(NOT(OR(AND(B943="UC",E943="CAP",D943="requires"),AND(B943="CAP",E943="AIR",D943="provided by"),AND(B943="AIR",OR(E943="MOD",E943="DATA",E943="IF",E943="AG",E943="TOOL"),D943="references"),AND(B943="AIR",E943="AIR",D943="depends on"))),"Invalid relationship",IF(AND(M943&lt;&gt;"Superseded",COUNTIFS($B$4:$B$1003,B943,$C$4:$C$1003,C943,$D$4:$D$1003,D943,$E$4:$E$1003,E943,$F$4:$F$1003,F943,$G$4:$G$1003,G943,$M$4:$M$1003,"&lt;&gt;Superseded")&gt;1),"Duplicate relationship",IF(OR(IF(B943="UC",COUNTIF('Use cases'!$A$4:$A$253,C943),IF(B943="CAP",COUNTIF(Capabilities!$A$4:$A$253,C943),IF(B943="AIR",COUNTIF('System map'!$A$4:$A$203,C943),COUNTIFS(Components!$A$4:$A$253,C943,Components!$B$4:$B$253,B943))))&lt;&gt;1,IF(E943="UC",COUNTIF('Use cases'!$A$4:$A$253,F943),IF(E943="CAP",COUNTIF(Capabilities!$A$4:$A$253,F943),IF(E943="AIR",COUNTIF('System map'!$A$4:$A$203,F943),COUNTIFS(Components!$A$4:$A$253,F943,Components!$B$4:$B$253,E943))))&lt;&gt;1),"Endpoint missing or duplicated",IF(AND(NOT(AND(B943="UC",E943="CAP")),OR(G943="",COUNTIF('System map'!$A$4:$A$203,G943)&lt;&gt;1)),"AIR context missing / unknown",IF(AND(B943="CAP",E943="AIR",G943&lt;&gt;F943),"AIR context mismatch",IF(AND(B943="AIR",G943&lt;&gt;C943),"AIR context mismatch",IF(AND(B943="AIR",E943="AIR",C943=F943),"Self-dependency",IF(AND(B943="AIR",E943="AIR",M943&lt;&gt;"Superseded",COUNTIFS($B$4:$B$1003,"AIR",$C$4:$C$1003,F943,$E$4:$E$1003,"AIR",$F$4:$F$1003,C943,$M$4:$M$1003,"&lt;&gt;Superseded")&gt;0),"Dependency cycle (A↔B) — review",IF(AND(B943="AIR",OR(E943="MOD",E943="DATA",E943="IF",E943="AG",E943="TOOL"),IFERROR(INDEX(Components!$G$4:$G$253,MATCH(F943,Components!$A$4:$A$253,0)),"")&lt;&gt;"",IFERROR(INDEX(Components!$G$4:$G$253,MATCH(F943,Components!$A$4:$A$253,0)),"")&lt;&gt;C943),"Component owned by another AIR-ID",IF(AND(M943="Confirmed",OR(IF(B943="UC",COUNTIFS('Use cases'!$A$4:$A$253,C943,'Use cases'!$I$4:$I$253,"Confirmed",'Use cases'!$J$4:$J$253,"OK — verify source"),IF(B943="CAP",COUNTIFS(Capabilities!$A$4:$A$253,C943,Capabilities!$J$4:$J$253,"Confirmed",Capabilities!$K$4:$K$253,"OK — verify source"),IF(B943="AIR",COUNTIFS('System map'!$A$4:$A$203,C943,'System map'!$B$4:$B$203,"&lt;&gt;",'System map'!$C$4:$C$203,"&lt;&gt;",'System map'!$D$4:$D$203,"&lt;&gt;"),COUNTIFS(Components!$A$4:$A$253,C943,Components!$B$4:$B$253,B943,Components!$K$4:$K$253,"Confirmed",Components!$L$4:$L$253,"OK — verify source"))))&lt;&gt;1,IF(E943="UC",COUNTIFS('Use cases'!$A$4:$A$253,F943,'Use cases'!$I$4:$I$253,"Confirmed",'Use cases'!$J$4:$J$253,"OK — verify source"),IF(E943="CAP",COUNTIFS(Capabilities!$A$4:$A$253,F943,Capabilities!$J$4:$J$253,"Confirmed",Capabilities!$K$4:$K$253,"OK — verify source"),IF(E943="AIR",COUNTIFS('System map'!$A$4:$A$203,F943,'System map'!$B$4:$B$203,"&lt;&gt;",'System map'!$C$4:$C$203,"&lt;&gt;",'System map'!$D$4:$D$203,"&lt;&gt;"),COUNTIFS(Components!$A$4:$A$253,F943,Components!$B$4:$B$253,E943,Components!$K$4:$K$253,"Confirmed",Components!$L$4:$L$253,"OK — verify source"))))&lt;&gt;1)),"Endpoint not source-reconciled",IF(AND(M943="Confirmed",OR(L943="",K943="",K943="Unknown",K943="Low")),"Confirmed link lacks verification","OK — verify source"))))))))))))))</f>
        <v/>
      </c>
    </row>
    <row r="94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6" t="n"/>
      <c r="M944" s="25" t="n"/>
      <c r="N944" s="25">
        <f>IF(COUNTA(A944:M944)=0,"",IF(OR(A944="",B944="",C944="",D944="",E944="",F944="",I944="",J944="",K944="",M944=""),"Required link detail missing",IF(COUNTIF($A$4:$A$1003,A944)&gt;1,"Duplicate Map Edge ID",IF(NOT(OR(AND(B944="UC",E944="CAP",D944="requires"),AND(B944="CAP",E944="AIR",D944="provided by"),AND(B944="AIR",OR(E944="MOD",E944="DATA",E944="IF",E944="AG",E944="TOOL"),D944="references"),AND(B944="AIR",E944="AIR",D944="depends on"))),"Invalid relationship",IF(AND(M944&lt;&gt;"Superseded",COUNTIFS($B$4:$B$1003,B944,$C$4:$C$1003,C944,$D$4:$D$1003,D944,$E$4:$E$1003,E944,$F$4:$F$1003,F944,$G$4:$G$1003,G944,$M$4:$M$1003,"&lt;&gt;Superseded")&gt;1),"Duplicate relationship",IF(OR(IF(B944="UC",COUNTIF('Use cases'!$A$4:$A$253,C944),IF(B944="CAP",COUNTIF(Capabilities!$A$4:$A$253,C944),IF(B944="AIR",COUNTIF('System map'!$A$4:$A$203,C944),COUNTIFS(Components!$A$4:$A$253,C944,Components!$B$4:$B$253,B944))))&lt;&gt;1,IF(E944="UC",COUNTIF('Use cases'!$A$4:$A$253,F944),IF(E944="CAP",COUNTIF(Capabilities!$A$4:$A$253,F944),IF(E944="AIR",COUNTIF('System map'!$A$4:$A$203,F944),COUNTIFS(Components!$A$4:$A$253,F944,Components!$B$4:$B$253,E944))))&lt;&gt;1),"Endpoint missing or duplicated",IF(AND(NOT(AND(B944="UC",E944="CAP")),OR(G944="",COUNTIF('System map'!$A$4:$A$203,G944)&lt;&gt;1)),"AIR context missing / unknown",IF(AND(B944="CAP",E944="AIR",G944&lt;&gt;F944),"AIR context mismatch",IF(AND(B944="AIR",G944&lt;&gt;C944),"AIR context mismatch",IF(AND(B944="AIR",E944="AIR",C944=F944),"Self-dependency",IF(AND(B944="AIR",E944="AIR",M944&lt;&gt;"Superseded",COUNTIFS($B$4:$B$1003,"AIR",$C$4:$C$1003,F944,$E$4:$E$1003,"AIR",$F$4:$F$1003,C944,$M$4:$M$1003,"&lt;&gt;Superseded")&gt;0),"Dependency cycle (A↔B) — review",IF(AND(B944="AIR",OR(E944="MOD",E944="DATA",E944="IF",E944="AG",E944="TOOL"),IFERROR(INDEX(Components!$G$4:$G$253,MATCH(F944,Components!$A$4:$A$253,0)),"")&lt;&gt;"",IFERROR(INDEX(Components!$G$4:$G$253,MATCH(F944,Components!$A$4:$A$253,0)),"")&lt;&gt;C944),"Component owned by another AIR-ID",IF(AND(M944="Confirmed",OR(IF(B944="UC",COUNTIFS('Use cases'!$A$4:$A$253,C944,'Use cases'!$I$4:$I$253,"Confirmed",'Use cases'!$J$4:$J$253,"OK — verify source"),IF(B944="CAP",COUNTIFS(Capabilities!$A$4:$A$253,C944,Capabilities!$J$4:$J$253,"Confirmed",Capabilities!$K$4:$K$253,"OK — verify source"),IF(B944="AIR",COUNTIFS('System map'!$A$4:$A$203,C944,'System map'!$B$4:$B$203,"&lt;&gt;",'System map'!$C$4:$C$203,"&lt;&gt;",'System map'!$D$4:$D$203,"&lt;&gt;"),COUNTIFS(Components!$A$4:$A$253,C944,Components!$B$4:$B$253,B944,Components!$K$4:$K$253,"Confirmed",Components!$L$4:$L$253,"OK — verify source"))))&lt;&gt;1,IF(E944="UC",COUNTIFS('Use cases'!$A$4:$A$253,F944,'Use cases'!$I$4:$I$253,"Confirmed",'Use cases'!$J$4:$J$253,"OK — verify source"),IF(E944="CAP",COUNTIFS(Capabilities!$A$4:$A$253,F944,Capabilities!$J$4:$J$253,"Confirmed",Capabilities!$K$4:$K$253,"OK — verify source"),IF(E944="AIR",COUNTIFS('System map'!$A$4:$A$203,F944,'System map'!$B$4:$B$203,"&lt;&gt;",'System map'!$C$4:$C$203,"&lt;&gt;",'System map'!$D$4:$D$203,"&lt;&gt;"),COUNTIFS(Components!$A$4:$A$253,F944,Components!$B$4:$B$253,E944,Components!$K$4:$K$253,"Confirmed",Components!$L$4:$L$253,"OK — verify source"))))&lt;&gt;1)),"Endpoint not source-reconciled",IF(AND(M944="Confirmed",OR(L944="",K944="",K944="Unknown",K944="Low")),"Confirmed link lacks verification","OK — verify source"))))))))))))))</f>
        <v/>
      </c>
    </row>
    <row r="945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8" t="n"/>
      <c r="M945" s="27" t="n"/>
      <c r="N945" s="27">
        <f>IF(COUNTA(A945:M945)=0,"",IF(OR(A945="",B945="",C945="",D945="",E945="",F945="",I945="",J945="",K945="",M945=""),"Required link detail missing",IF(COUNTIF($A$4:$A$1003,A945)&gt;1,"Duplicate Map Edge ID",IF(NOT(OR(AND(B945="UC",E945="CAP",D945="requires"),AND(B945="CAP",E945="AIR",D945="provided by"),AND(B945="AIR",OR(E945="MOD",E945="DATA",E945="IF",E945="AG",E945="TOOL"),D945="references"),AND(B945="AIR",E945="AIR",D945="depends on"))),"Invalid relationship",IF(AND(M945&lt;&gt;"Superseded",COUNTIFS($B$4:$B$1003,B945,$C$4:$C$1003,C945,$D$4:$D$1003,D945,$E$4:$E$1003,E945,$F$4:$F$1003,F945,$G$4:$G$1003,G945,$M$4:$M$1003,"&lt;&gt;Superseded")&gt;1),"Duplicate relationship",IF(OR(IF(B945="UC",COUNTIF('Use cases'!$A$4:$A$253,C945),IF(B945="CAP",COUNTIF(Capabilities!$A$4:$A$253,C945),IF(B945="AIR",COUNTIF('System map'!$A$4:$A$203,C945),COUNTIFS(Components!$A$4:$A$253,C945,Components!$B$4:$B$253,B945))))&lt;&gt;1,IF(E945="UC",COUNTIF('Use cases'!$A$4:$A$253,F945),IF(E945="CAP",COUNTIF(Capabilities!$A$4:$A$253,F945),IF(E945="AIR",COUNTIF('System map'!$A$4:$A$203,F945),COUNTIFS(Components!$A$4:$A$253,F945,Components!$B$4:$B$253,E945))))&lt;&gt;1),"Endpoint missing or duplicated",IF(AND(NOT(AND(B945="UC",E945="CAP")),OR(G945="",COUNTIF('System map'!$A$4:$A$203,G945)&lt;&gt;1)),"AIR context missing / unknown",IF(AND(B945="CAP",E945="AIR",G945&lt;&gt;F945),"AIR context mismatch",IF(AND(B945="AIR",G945&lt;&gt;C945),"AIR context mismatch",IF(AND(B945="AIR",E945="AIR",C945=F945),"Self-dependency",IF(AND(B945="AIR",E945="AIR",M945&lt;&gt;"Superseded",COUNTIFS($B$4:$B$1003,"AIR",$C$4:$C$1003,F945,$E$4:$E$1003,"AIR",$F$4:$F$1003,C945,$M$4:$M$1003,"&lt;&gt;Superseded")&gt;0),"Dependency cycle (A↔B) — review",IF(AND(B945="AIR",OR(E945="MOD",E945="DATA",E945="IF",E945="AG",E945="TOOL"),IFERROR(INDEX(Components!$G$4:$G$253,MATCH(F945,Components!$A$4:$A$253,0)),"")&lt;&gt;"",IFERROR(INDEX(Components!$G$4:$G$253,MATCH(F945,Components!$A$4:$A$253,0)),"")&lt;&gt;C945),"Component owned by another AIR-ID",IF(AND(M945="Confirmed",OR(IF(B945="UC",COUNTIFS('Use cases'!$A$4:$A$253,C945,'Use cases'!$I$4:$I$253,"Confirmed",'Use cases'!$J$4:$J$253,"OK — verify source"),IF(B945="CAP",COUNTIFS(Capabilities!$A$4:$A$253,C945,Capabilities!$J$4:$J$253,"Confirmed",Capabilities!$K$4:$K$253,"OK — verify source"),IF(B945="AIR",COUNTIFS('System map'!$A$4:$A$203,C945,'System map'!$B$4:$B$203,"&lt;&gt;",'System map'!$C$4:$C$203,"&lt;&gt;",'System map'!$D$4:$D$203,"&lt;&gt;"),COUNTIFS(Components!$A$4:$A$253,C945,Components!$B$4:$B$253,B945,Components!$K$4:$K$253,"Confirmed",Components!$L$4:$L$253,"OK — verify source"))))&lt;&gt;1,IF(E945="UC",COUNTIFS('Use cases'!$A$4:$A$253,F945,'Use cases'!$I$4:$I$253,"Confirmed",'Use cases'!$J$4:$J$253,"OK — verify source"),IF(E945="CAP",COUNTIFS(Capabilities!$A$4:$A$253,F945,Capabilities!$J$4:$J$253,"Confirmed",Capabilities!$K$4:$K$253,"OK — verify source"),IF(E945="AIR",COUNTIFS('System map'!$A$4:$A$203,F945,'System map'!$B$4:$B$203,"&lt;&gt;",'System map'!$C$4:$C$203,"&lt;&gt;",'System map'!$D$4:$D$203,"&lt;&gt;"),COUNTIFS(Components!$A$4:$A$253,F945,Components!$B$4:$B$253,E945,Components!$K$4:$K$253,"Confirmed",Components!$L$4:$L$253,"OK — verify source"))))&lt;&gt;1)),"Endpoint not source-reconciled",IF(AND(M945="Confirmed",OR(L945="",K945="",K945="Unknown",K945="Low")),"Confirmed link lacks verification","OK — verify source"))))))))))))))</f>
        <v/>
      </c>
    </row>
    <row r="946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6" t="n"/>
      <c r="M946" s="25" t="n"/>
      <c r="N946" s="25">
        <f>IF(COUNTA(A946:M946)=0,"",IF(OR(A946="",B946="",C946="",D946="",E946="",F946="",I946="",J946="",K946="",M946=""),"Required link detail missing",IF(COUNTIF($A$4:$A$1003,A946)&gt;1,"Duplicate Map Edge ID",IF(NOT(OR(AND(B946="UC",E946="CAP",D946="requires"),AND(B946="CAP",E946="AIR",D946="provided by"),AND(B946="AIR",OR(E946="MOD",E946="DATA",E946="IF",E946="AG",E946="TOOL"),D946="references"),AND(B946="AIR",E946="AIR",D946="depends on"))),"Invalid relationship",IF(AND(M946&lt;&gt;"Superseded",COUNTIFS($B$4:$B$1003,B946,$C$4:$C$1003,C946,$D$4:$D$1003,D946,$E$4:$E$1003,E946,$F$4:$F$1003,F946,$G$4:$G$1003,G946,$M$4:$M$1003,"&lt;&gt;Superseded")&gt;1),"Duplicate relationship",IF(OR(IF(B946="UC",COUNTIF('Use cases'!$A$4:$A$253,C946),IF(B946="CAP",COUNTIF(Capabilities!$A$4:$A$253,C946),IF(B946="AIR",COUNTIF('System map'!$A$4:$A$203,C946),COUNTIFS(Components!$A$4:$A$253,C946,Components!$B$4:$B$253,B946))))&lt;&gt;1,IF(E946="UC",COUNTIF('Use cases'!$A$4:$A$253,F946),IF(E946="CAP",COUNTIF(Capabilities!$A$4:$A$253,F946),IF(E946="AIR",COUNTIF('System map'!$A$4:$A$203,F946),COUNTIFS(Components!$A$4:$A$253,F946,Components!$B$4:$B$253,E946))))&lt;&gt;1),"Endpoint missing or duplicated",IF(AND(NOT(AND(B946="UC",E946="CAP")),OR(G946="",COUNTIF('System map'!$A$4:$A$203,G946)&lt;&gt;1)),"AIR context missing / unknown",IF(AND(B946="CAP",E946="AIR",G946&lt;&gt;F946),"AIR context mismatch",IF(AND(B946="AIR",G946&lt;&gt;C946),"AIR context mismatch",IF(AND(B946="AIR",E946="AIR",C946=F946),"Self-dependency",IF(AND(B946="AIR",E946="AIR",M946&lt;&gt;"Superseded",COUNTIFS($B$4:$B$1003,"AIR",$C$4:$C$1003,F946,$E$4:$E$1003,"AIR",$F$4:$F$1003,C946,$M$4:$M$1003,"&lt;&gt;Superseded")&gt;0),"Dependency cycle (A↔B) — review",IF(AND(B946="AIR",OR(E946="MOD",E946="DATA",E946="IF",E946="AG",E946="TOOL"),IFERROR(INDEX(Components!$G$4:$G$253,MATCH(F946,Components!$A$4:$A$253,0)),"")&lt;&gt;"",IFERROR(INDEX(Components!$G$4:$G$253,MATCH(F946,Components!$A$4:$A$253,0)),"")&lt;&gt;C946),"Component owned by another AIR-ID",IF(AND(M946="Confirmed",OR(IF(B946="UC",COUNTIFS('Use cases'!$A$4:$A$253,C946,'Use cases'!$I$4:$I$253,"Confirmed",'Use cases'!$J$4:$J$253,"OK — verify source"),IF(B946="CAP",COUNTIFS(Capabilities!$A$4:$A$253,C946,Capabilities!$J$4:$J$253,"Confirmed",Capabilities!$K$4:$K$253,"OK — verify source"),IF(B946="AIR",COUNTIFS('System map'!$A$4:$A$203,C946,'System map'!$B$4:$B$203,"&lt;&gt;",'System map'!$C$4:$C$203,"&lt;&gt;",'System map'!$D$4:$D$203,"&lt;&gt;"),COUNTIFS(Components!$A$4:$A$253,C946,Components!$B$4:$B$253,B946,Components!$K$4:$K$253,"Confirmed",Components!$L$4:$L$253,"OK — verify source"))))&lt;&gt;1,IF(E946="UC",COUNTIFS('Use cases'!$A$4:$A$253,F946,'Use cases'!$I$4:$I$253,"Confirmed",'Use cases'!$J$4:$J$253,"OK — verify source"),IF(E946="CAP",COUNTIFS(Capabilities!$A$4:$A$253,F946,Capabilities!$J$4:$J$253,"Confirmed",Capabilities!$K$4:$K$253,"OK — verify source"),IF(E946="AIR",COUNTIFS('System map'!$A$4:$A$203,F946,'System map'!$B$4:$B$203,"&lt;&gt;",'System map'!$C$4:$C$203,"&lt;&gt;",'System map'!$D$4:$D$203,"&lt;&gt;"),COUNTIFS(Components!$A$4:$A$253,F946,Components!$B$4:$B$253,E946,Components!$K$4:$K$253,"Confirmed",Components!$L$4:$L$253,"OK — verify source"))))&lt;&gt;1)),"Endpoint not source-reconciled",IF(AND(M946="Confirmed",OR(L946="",K946="",K946="Unknown",K946="Low")),"Confirmed link lacks verification","OK — verify source"))))))))))))))</f>
        <v/>
      </c>
    </row>
    <row r="947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8" t="n"/>
      <c r="M947" s="27" t="n"/>
      <c r="N947" s="27">
        <f>IF(COUNTA(A947:M947)=0,"",IF(OR(A947="",B947="",C947="",D947="",E947="",F947="",I947="",J947="",K947="",M947=""),"Required link detail missing",IF(COUNTIF($A$4:$A$1003,A947)&gt;1,"Duplicate Map Edge ID",IF(NOT(OR(AND(B947="UC",E947="CAP",D947="requires"),AND(B947="CAP",E947="AIR",D947="provided by"),AND(B947="AIR",OR(E947="MOD",E947="DATA",E947="IF",E947="AG",E947="TOOL"),D947="references"),AND(B947="AIR",E947="AIR",D947="depends on"))),"Invalid relationship",IF(AND(M947&lt;&gt;"Superseded",COUNTIFS($B$4:$B$1003,B947,$C$4:$C$1003,C947,$D$4:$D$1003,D947,$E$4:$E$1003,E947,$F$4:$F$1003,F947,$G$4:$G$1003,G947,$M$4:$M$1003,"&lt;&gt;Superseded")&gt;1),"Duplicate relationship",IF(OR(IF(B947="UC",COUNTIF('Use cases'!$A$4:$A$253,C947),IF(B947="CAP",COUNTIF(Capabilities!$A$4:$A$253,C947),IF(B947="AIR",COUNTIF('System map'!$A$4:$A$203,C947),COUNTIFS(Components!$A$4:$A$253,C947,Components!$B$4:$B$253,B947))))&lt;&gt;1,IF(E947="UC",COUNTIF('Use cases'!$A$4:$A$253,F947),IF(E947="CAP",COUNTIF(Capabilities!$A$4:$A$253,F947),IF(E947="AIR",COUNTIF('System map'!$A$4:$A$203,F947),COUNTIFS(Components!$A$4:$A$253,F947,Components!$B$4:$B$253,E947))))&lt;&gt;1),"Endpoint missing or duplicated",IF(AND(NOT(AND(B947="UC",E947="CAP")),OR(G947="",COUNTIF('System map'!$A$4:$A$203,G947)&lt;&gt;1)),"AIR context missing / unknown",IF(AND(B947="CAP",E947="AIR",G947&lt;&gt;F947),"AIR context mismatch",IF(AND(B947="AIR",G947&lt;&gt;C947),"AIR context mismatch",IF(AND(B947="AIR",E947="AIR",C947=F947),"Self-dependency",IF(AND(B947="AIR",E947="AIR",M947&lt;&gt;"Superseded",COUNTIFS($B$4:$B$1003,"AIR",$C$4:$C$1003,F947,$E$4:$E$1003,"AIR",$F$4:$F$1003,C947,$M$4:$M$1003,"&lt;&gt;Superseded")&gt;0),"Dependency cycle (A↔B) — review",IF(AND(B947="AIR",OR(E947="MOD",E947="DATA",E947="IF",E947="AG",E947="TOOL"),IFERROR(INDEX(Components!$G$4:$G$253,MATCH(F947,Components!$A$4:$A$253,0)),"")&lt;&gt;"",IFERROR(INDEX(Components!$G$4:$G$253,MATCH(F947,Components!$A$4:$A$253,0)),"")&lt;&gt;C947),"Component owned by another AIR-ID",IF(AND(M947="Confirmed",OR(IF(B947="UC",COUNTIFS('Use cases'!$A$4:$A$253,C947,'Use cases'!$I$4:$I$253,"Confirmed",'Use cases'!$J$4:$J$253,"OK — verify source"),IF(B947="CAP",COUNTIFS(Capabilities!$A$4:$A$253,C947,Capabilities!$J$4:$J$253,"Confirmed",Capabilities!$K$4:$K$253,"OK — verify source"),IF(B947="AIR",COUNTIFS('System map'!$A$4:$A$203,C947,'System map'!$B$4:$B$203,"&lt;&gt;",'System map'!$C$4:$C$203,"&lt;&gt;",'System map'!$D$4:$D$203,"&lt;&gt;"),COUNTIFS(Components!$A$4:$A$253,C947,Components!$B$4:$B$253,B947,Components!$K$4:$K$253,"Confirmed",Components!$L$4:$L$253,"OK — verify source"))))&lt;&gt;1,IF(E947="UC",COUNTIFS('Use cases'!$A$4:$A$253,F947,'Use cases'!$I$4:$I$253,"Confirmed",'Use cases'!$J$4:$J$253,"OK — verify source"),IF(E947="CAP",COUNTIFS(Capabilities!$A$4:$A$253,F947,Capabilities!$J$4:$J$253,"Confirmed",Capabilities!$K$4:$K$253,"OK — verify source"),IF(E947="AIR",COUNTIFS('System map'!$A$4:$A$203,F947,'System map'!$B$4:$B$203,"&lt;&gt;",'System map'!$C$4:$C$203,"&lt;&gt;",'System map'!$D$4:$D$203,"&lt;&gt;"),COUNTIFS(Components!$A$4:$A$253,F947,Components!$B$4:$B$253,E947,Components!$K$4:$K$253,"Confirmed",Components!$L$4:$L$253,"OK — verify source"))))&lt;&gt;1)),"Endpoint not source-reconciled",IF(AND(M947="Confirmed",OR(L947="",K947="",K947="Unknown",K947="Low")),"Confirmed link lacks verification","OK — verify source"))))))))))))))</f>
        <v/>
      </c>
    </row>
    <row r="948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6" t="n"/>
      <c r="M948" s="25" t="n"/>
      <c r="N948" s="25">
        <f>IF(COUNTA(A948:M948)=0,"",IF(OR(A948="",B948="",C948="",D948="",E948="",F948="",I948="",J948="",K948="",M948=""),"Required link detail missing",IF(COUNTIF($A$4:$A$1003,A948)&gt;1,"Duplicate Map Edge ID",IF(NOT(OR(AND(B948="UC",E948="CAP",D948="requires"),AND(B948="CAP",E948="AIR",D948="provided by"),AND(B948="AIR",OR(E948="MOD",E948="DATA",E948="IF",E948="AG",E948="TOOL"),D948="references"),AND(B948="AIR",E948="AIR",D948="depends on"))),"Invalid relationship",IF(AND(M948&lt;&gt;"Superseded",COUNTIFS($B$4:$B$1003,B948,$C$4:$C$1003,C948,$D$4:$D$1003,D948,$E$4:$E$1003,E948,$F$4:$F$1003,F948,$G$4:$G$1003,G948,$M$4:$M$1003,"&lt;&gt;Superseded")&gt;1),"Duplicate relationship",IF(OR(IF(B948="UC",COUNTIF('Use cases'!$A$4:$A$253,C948),IF(B948="CAP",COUNTIF(Capabilities!$A$4:$A$253,C948),IF(B948="AIR",COUNTIF('System map'!$A$4:$A$203,C948),COUNTIFS(Components!$A$4:$A$253,C948,Components!$B$4:$B$253,B948))))&lt;&gt;1,IF(E948="UC",COUNTIF('Use cases'!$A$4:$A$253,F948),IF(E948="CAP",COUNTIF(Capabilities!$A$4:$A$253,F948),IF(E948="AIR",COUNTIF('System map'!$A$4:$A$203,F948),COUNTIFS(Components!$A$4:$A$253,F948,Components!$B$4:$B$253,E948))))&lt;&gt;1),"Endpoint missing or duplicated",IF(AND(NOT(AND(B948="UC",E948="CAP")),OR(G948="",COUNTIF('System map'!$A$4:$A$203,G948)&lt;&gt;1)),"AIR context missing / unknown",IF(AND(B948="CAP",E948="AIR",G948&lt;&gt;F948),"AIR context mismatch",IF(AND(B948="AIR",G948&lt;&gt;C948),"AIR context mismatch",IF(AND(B948="AIR",E948="AIR",C948=F948),"Self-dependency",IF(AND(B948="AIR",E948="AIR",M948&lt;&gt;"Superseded",COUNTIFS($B$4:$B$1003,"AIR",$C$4:$C$1003,F948,$E$4:$E$1003,"AIR",$F$4:$F$1003,C948,$M$4:$M$1003,"&lt;&gt;Superseded")&gt;0),"Dependency cycle (A↔B) — review",IF(AND(B948="AIR",OR(E948="MOD",E948="DATA",E948="IF",E948="AG",E948="TOOL"),IFERROR(INDEX(Components!$G$4:$G$253,MATCH(F948,Components!$A$4:$A$253,0)),"")&lt;&gt;"",IFERROR(INDEX(Components!$G$4:$G$253,MATCH(F948,Components!$A$4:$A$253,0)),"")&lt;&gt;C948),"Component owned by another AIR-ID",IF(AND(M948="Confirmed",OR(IF(B948="UC",COUNTIFS('Use cases'!$A$4:$A$253,C948,'Use cases'!$I$4:$I$253,"Confirmed",'Use cases'!$J$4:$J$253,"OK — verify source"),IF(B948="CAP",COUNTIFS(Capabilities!$A$4:$A$253,C948,Capabilities!$J$4:$J$253,"Confirmed",Capabilities!$K$4:$K$253,"OK — verify source"),IF(B948="AIR",COUNTIFS('System map'!$A$4:$A$203,C948,'System map'!$B$4:$B$203,"&lt;&gt;",'System map'!$C$4:$C$203,"&lt;&gt;",'System map'!$D$4:$D$203,"&lt;&gt;"),COUNTIFS(Components!$A$4:$A$253,C948,Components!$B$4:$B$253,B948,Components!$K$4:$K$253,"Confirmed",Components!$L$4:$L$253,"OK — verify source"))))&lt;&gt;1,IF(E948="UC",COUNTIFS('Use cases'!$A$4:$A$253,F948,'Use cases'!$I$4:$I$253,"Confirmed",'Use cases'!$J$4:$J$253,"OK — verify source"),IF(E948="CAP",COUNTIFS(Capabilities!$A$4:$A$253,F948,Capabilities!$J$4:$J$253,"Confirmed",Capabilities!$K$4:$K$253,"OK — verify source"),IF(E948="AIR",COUNTIFS('System map'!$A$4:$A$203,F948,'System map'!$B$4:$B$203,"&lt;&gt;",'System map'!$C$4:$C$203,"&lt;&gt;",'System map'!$D$4:$D$203,"&lt;&gt;"),COUNTIFS(Components!$A$4:$A$253,F948,Components!$B$4:$B$253,E948,Components!$K$4:$K$253,"Confirmed",Components!$L$4:$L$253,"OK — verify source"))))&lt;&gt;1)),"Endpoint not source-reconciled",IF(AND(M948="Confirmed",OR(L948="",K948="",K948="Unknown",K948="Low")),"Confirmed link lacks verification","OK — verify source"))))))))))))))</f>
        <v/>
      </c>
    </row>
    <row r="949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8" t="n"/>
      <c r="M949" s="27" t="n"/>
      <c r="N949" s="27">
        <f>IF(COUNTA(A949:M949)=0,"",IF(OR(A949="",B949="",C949="",D949="",E949="",F949="",I949="",J949="",K949="",M949=""),"Required link detail missing",IF(COUNTIF($A$4:$A$1003,A949)&gt;1,"Duplicate Map Edge ID",IF(NOT(OR(AND(B949="UC",E949="CAP",D949="requires"),AND(B949="CAP",E949="AIR",D949="provided by"),AND(B949="AIR",OR(E949="MOD",E949="DATA",E949="IF",E949="AG",E949="TOOL"),D949="references"),AND(B949="AIR",E949="AIR",D949="depends on"))),"Invalid relationship",IF(AND(M949&lt;&gt;"Superseded",COUNTIFS($B$4:$B$1003,B949,$C$4:$C$1003,C949,$D$4:$D$1003,D949,$E$4:$E$1003,E949,$F$4:$F$1003,F949,$G$4:$G$1003,G949,$M$4:$M$1003,"&lt;&gt;Superseded")&gt;1),"Duplicate relationship",IF(OR(IF(B949="UC",COUNTIF('Use cases'!$A$4:$A$253,C949),IF(B949="CAP",COUNTIF(Capabilities!$A$4:$A$253,C949),IF(B949="AIR",COUNTIF('System map'!$A$4:$A$203,C949),COUNTIFS(Components!$A$4:$A$253,C949,Components!$B$4:$B$253,B949))))&lt;&gt;1,IF(E949="UC",COUNTIF('Use cases'!$A$4:$A$253,F949),IF(E949="CAP",COUNTIF(Capabilities!$A$4:$A$253,F949),IF(E949="AIR",COUNTIF('System map'!$A$4:$A$203,F949),COUNTIFS(Components!$A$4:$A$253,F949,Components!$B$4:$B$253,E949))))&lt;&gt;1),"Endpoint missing or duplicated",IF(AND(NOT(AND(B949="UC",E949="CAP")),OR(G949="",COUNTIF('System map'!$A$4:$A$203,G949)&lt;&gt;1)),"AIR context missing / unknown",IF(AND(B949="CAP",E949="AIR",G949&lt;&gt;F949),"AIR context mismatch",IF(AND(B949="AIR",G949&lt;&gt;C949),"AIR context mismatch",IF(AND(B949="AIR",E949="AIR",C949=F949),"Self-dependency",IF(AND(B949="AIR",E949="AIR",M949&lt;&gt;"Superseded",COUNTIFS($B$4:$B$1003,"AIR",$C$4:$C$1003,F949,$E$4:$E$1003,"AIR",$F$4:$F$1003,C949,$M$4:$M$1003,"&lt;&gt;Superseded")&gt;0),"Dependency cycle (A↔B) — review",IF(AND(B949="AIR",OR(E949="MOD",E949="DATA",E949="IF",E949="AG",E949="TOOL"),IFERROR(INDEX(Components!$G$4:$G$253,MATCH(F949,Components!$A$4:$A$253,0)),"")&lt;&gt;"",IFERROR(INDEX(Components!$G$4:$G$253,MATCH(F949,Components!$A$4:$A$253,0)),"")&lt;&gt;C949),"Component owned by another AIR-ID",IF(AND(M949="Confirmed",OR(IF(B949="UC",COUNTIFS('Use cases'!$A$4:$A$253,C949,'Use cases'!$I$4:$I$253,"Confirmed",'Use cases'!$J$4:$J$253,"OK — verify source"),IF(B949="CAP",COUNTIFS(Capabilities!$A$4:$A$253,C949,Capabilities!$J$4:$J$253,"Confirmed",Capabilities!$K$4:$K$253,"OK — verify source"),IF(B949="AIR",COUNTIFS('System map'!$A$4:$A$203,C949,'System map'!$B$4:$B$203,"&lt;&gt;",'System map'!$C$4:$C$203,"&lt;&gt;",'System map'!$D$4:$D$203,"&lt;&gt;"),COUNTIFS(Components!$A$4:$A$253,C949,Components!$B$4:$B$253,B949,Components!$K$4:$K$253,"Confirmed",Components!$L$4:$L$253,"OK — verify source"))))&lt;&gt;1,IF(E949="UC",COUNTIFS('Use cases'!$A$4:$A$253,F949,'Use cases'!$I$4:$I$253,"Confirmed",'Use cases'!$J$4:$J$253,"OK — verify source"),IF(E949="CAP",COUNTIFS(Capabilities!$A$4:$A$253,F949,Capabilities!$J$4:$J$253,"Confirmed",Capabilities!$K$4:$K$253,"OK — verify source"),IF(E949="AIR",COUNTIFS('System map'!$A$4:$A$203,F949,'System map'!$B$4:$B$203,"&lt;&gt;",'System map'!$C$4:$C$203,"&lt;&gt;",'System map'!$D$4:$D$203,"&lt;&gt;"),COUNTIFS(Components!$A$4:$A$253,F949,Components!$B$4:$B$253,E949,Components!$K$4:$K$253,"Confirmed",Components!$L$4:$L$253,"OK — verify source"))))&lt;&gt;1)),"Endpoint not source-reconciled",IF(AND(M949="Confirmed",OR(L949="",K949="",K949="Unknown",K949="Low")),"Confirmed link lacks verification","OK — verify source"))))))))))))))</f>
        <v/>
      </c>
    </row>
    <row r="950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6" t="n"/>
      <c r="M950" s="25" t="n"/>
      <c r="N950" s="25">
        <f>IF(COUNTA(A950:M950)=0,"",IF(OR(A950="",B950="",C950="",D950="",E950="",F950="",I950="",J950="",K950="",M950=""),"Required link detail missing",IF(COUNTIF($A$4:$A$1003,A950)&gt;1,"Duplicate Map Edge ID",IF(NOT(OR(AND(B950="UC",E950="CAP",D950="requires"),AND(B950="CAP",E950="AIR",D950="provided by"),AND(B950="AIR",OR(E950="MOD",E950="DATA",E950="IF",E950="AG",E950="TOOL"),D950="references"),AND(B950="AIR",E950="AIR",D950="depends on"))),"Invalid relationship",IF(AND(M950&lt;&gt;"Superseded",COUNTIFS($B$4:$B$1003,B950,$C$4:$C$1003,C950,$D$4:$D$1003,D950,$E$4:$E$1003,E950,$F$4:$F$1003,F950,$G$4:$G$1003,G950,$M$4:$M$1003,"&lt;&gt;Superseded")&gt;1),"Duplicate relationship",IF(OR(IF(B950="UC",COUNTIF('Use cases'!$A$4:$A$253,C950),IF(B950="CAP",COUNTIF(Capabilities!$A$4:$A$253,C950),IF(B950="AIR",COUNTIF('System map'!$A$4:$A$203,C950),COUNTIFS(Components!$A$4:$A$253,C950,Components!$B$4:$B$253,B950))))&lt;&gt;1,IF(E950="UC",COUNTIF('Use cases'!$A$4:$A$253,F950),IF(E950="CAP",COUNTIF(Capabilities!$A$4:$A$253,F950),IF(E950="AIR",COUNTIF('System map'!$A$4:$A$203,F950),COUNTIFS(Components!$A$4:$A$253,F950,Components!$B$4:$B$253,E950))))&lt;&gt;1),"Endpoint missing or duplicated",IF(AND(NOT(AND(B950="UC",E950="CAP")),OR(G950="",COUNTIF('System map'!$A$4:$A$203,G950)&lt;&gt;1)),"AIR context missing / unknown",IF(AND(B950="CAP",E950="AIR",G950&lt;&gt;F950),"AIR context mismatch",IF(AND(B950="AIR",G950&lt;&gt;C950),"AIR context mismatch",IF(AND(B950="AIR",E950="AIR",C950=F950),"Self-dependency",IF(AND(B950="AIR",E950="AIR",M950&lt;&gt;"Superseded",COUNTIFS($B$4:$B$1003,"AIR",$C$4:$C$1003,F950,$E$4:$E$1003,"AIR",$F$4:$F$1003,C950,$M$4:$M$1003,"&lt;&gt;Superseded")&gt;0),"Dependency cycle (A↔B) — review",IF(AND(B950="AIR",OR(E950="MOD",E950="DATA",E950="IF",E950="AG",E950="TOOL"),IFERROR(INDEX(Components!$G$4:$G$253,MATCH(F950,Components!$A$4:$A$253,0)),"")&lt;&gt;"",IFERROR(INDEX(Components!$G$4:$G$253,MATCH(F950,Components!$A$4:$A$253,0)),"")&lt;&gt;C950),"Component owned by another AIR-ID",IF(AND(M950="Confirmed",OR(IF(B950="UC",COUNTIFS('Use cases'!$A$4:$A$253,C950,'Use cases'!$I$4:$I$253,"Confirmed",'Use cases'!$J$4:$J$253,"OK — verify source"),IF(B950="CAP",COUNTIFS(Capabilities!$A$4:$A$253,C950,Capabilities!$J$4:$J$253,"Confirmed",Capabilities!$K$4:$K$253,"OK — verify source"),IF(B950="AIR",COUNTIFS('System map'!$A$4:$A$203,C950,'System map'!$B$4:$B$203,"&lt;&gt;",'System map'!$C$4:$C$203,"&lt;&gt;",'System map'!$D$4:$D$203,"&lt;&gt;"),COUNTIFS(Components!$A$4:$A$253,C950,Components!$B$4:$B$253,B950,Components!$K$4:$K$253,"Confirmed",Components!$L$4:$L$253,"OK — verify source"))))&lt;&gt;1,IF(E950="UC",COUNTIFS('Use cases'!$A$4:$A$253,F950,'Use cases'!$I$4:$I$253,"Confirmed",'Use cases'!$J$4:$J$253,"OK — verify source"),IF(E950="CAP",COUNTIFS(Capabilities!$A$4:$A$253,F950,Capabilities!$J$4:$J$253,"Confirmed",Capabilities!$K$4:$K$253,"OK — verify source"),IF(E950="AIR",COUNTIFS('System map'!$A$4:$A$203,F950,'System map'!$B$4:$B$203,"&lt;&gt;",'System map'!$C$4:$C$203,"&lt;&gt;",'System map'!$D$4:$D$203,"&lt;&gt;"),COUNTIFS(Components!$A$4:$A$253,F950,Components!$B$4:$B$253,E950,Components!$K$4:$K$253,"Confirmed",Components!$L$4:$L$253,"OK — verify source"))))&lt;&gt;1)),"Endpoint not source-reconciled",IF(AND(M950="Confirmed",OR(L950="",K950="",K950="Unknown",K950="Low")),"Confirmed link lacks verification","OK — verify source"))))))))))))))</f>
        <v/>
      </c>
    </row>
    <row r="951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8" t="n"/>
      <c r="M951" s="27" t="n"/>
      <c r="N951" s="27">
        <f>IF(COUNTA(A951:M951)=0,"",IF(OR(A951="",B951="",C951="",D951="",E951="",F951="",I951="",J951="",K951="",M951=""),"Required link detail missing",IF(COUNTIF($A$4:$A$1003,A951)&gt;1,"Duplicate Map Edge ID",IF(NOT(OR(AND(B951="UC",E951="CAP",D951="requires"),AND(B951="CAP",E951="AIR",D951="provided by"),AND(B951="AIR",OR(E951="MOD",E951="DATA",E951="IF",E951="AG",E951="TOOL"),D951="references"),AND(B951="AIR",E951="AIR",D951="depends on"))),"Invalid relationship",IF(AND(M951&lt;&gt;"Superseded",COUNTIFS($B$4:$B$1003,B951,$C$4:$C$1003,C951,$D$4:$D$1003,D951,$E$4:$E$1003,E951,$F$4:$F$1003,F951,$G$4:$G$1003,G951,$M$4:$M$1003,"&lt;&gt;Superseded")&gt;1),"Duplicate relationship",IF(OR(IF(B951="UC",COUNTIF('Use cases'!$A$4:$A$253,C951),IF(B951="CAP",COUNTIF(Capabilities!$A$4:$A$253,C951),IF(B951="AIR",COUNTIF('System map'!$A$4:$A$203,C951),COUNTIFS(Components!$A$4:$A$253,C951,Components!$B$4:$B$253,B951))))&lt;&gt;1,IF(E951="UC",COUNTIF('Use cases'!$A$4:$A$253,F951),IF(E951="CAP",COUNTIF(Capabilities!$A$4:$A$253,F951),IF(E951="AIR",COUNTIF('System map'!$A$4:$A$203,F951),COUNTIFS(Components!$A$4:$A$253,F951,Components!$B$4:$B$253,E951))))&lt;&gt;1),"Endpoint missing or duplicated",IF(AND(NOT(AND(B951="UC",E951="CAP")),OR(G951="",COUNTIF('System map'!$A$4:$A$203,G951)&lt;&gt;1)),"AIR context missing / unknown",IF(AND(B951="CAP",E951="AIR",G951&lt;&gt;F951),"AIR context mismatch",IF(AND(B951="AIR",G951&lt;&gt;C951),"AIR context mismatch",IF(AND(B951="AIR",E951="AIR",C951=F951),"Self-dependency",IF(AND(B951="AIR",E951="AIR",M951&lt;&gt;"Superseded",COUNTIFS($B$4:$B$1003,"AIR",$C$4:$C$1003,F951,$E$4:$E$1003,"AIR",$F$4:$F$1003,C951,$M$4:$M$1003,"&lt;&gt;Superseded")&gt;0),"Dependency cycle (A↔B) — review",IF(AND(B951="AIR",OR(E951="MOD",E951="DATA",E951="IF",E951="AG",E951="TOOL"),IFERROR(INDEX(Components!$G$4:$G$253,MATCH(F951,Components!$A$4:$A$253,0)),"")&lt;&gt;"",IFERROR(INDEX(Components!$G$4:$G$253,MATCH(F951,Components!$A$4:$A$253,0)),"")&lt;&gt;C951),"Component owned by another AIR-ID",IF(AND(M951="Confirmed",OR(IF(B951="UC",COUNTIFS('Use cases'!$A$4:$A$253,C951,'Use cases'!$I$4:$I$253,"Confirmed",'Use cases'!$J$4:$J$253,"OK — verify source"),IF(B951="CAP",COUNTIFS(Capabilities!$A$4:$A$253,C951,Capabilities!$J$4:$J$253,"Confirmed",Capabilities!$K$4:$K$253,"OK — verify source"),IF(B951="AIR",COUNTIFS('System map'!$A$4:$A$203,C951,'System map'!$B$4:$B$203,"&lt;&gt;",'System map'!$C$4:$C$203,"&lt;&gt;",'System map'!$D$4:$D$203,"&lt;&gt;"),COUNTIFS(Components!$A$4:$A$253,C951,Components!$B$4:$B$253,B951,Components!$K$4:$K$253,"Confirmed",Components!$L$4:$L$253,"OK — verify source"))))&lt;&gt;1,IF(E951="UC",COUNTIFS('Use cases'!$A$4:$A$253,F951,'Use cases'!$I$4:$I$253,"Confirmed",'Use cases'!$J$4:$J$253,"OK — verify source"),IF(E951="CAP",COUNTIFS(Capabilities!$A$4:$A$253,F951,Capabilities!$J$4:$J$253,"Confirmed",Capabilities!$K$4:$K$253,"OK — verify source"),IF(E951="AIR",COUNTIFS('System map'!$A$4:$A$203,F951,'System map'!$B$4:$B$203,"&lt;&gt;",'System map'!$C$4:$C$203,"&lt;&gt;",'System map'!$D$4:$D$203,"&lt;&gt;"),COUNTIFS(Components!$A$4:$A$253,F951,Components!$B$4:$B$253,E951,Components!$K$4:$K$253,"Confirmed",Components!$L$4:$L$253,"OK — verify source"))))&lt;&gt;1)),"Endpoint not source-reconciled",IF(AND(M951="Confirmed",OR(L951="",K951="",K951="Unknown",K951="Low")),"Confirmed link lacks verification","OK — verify source"))))))))))))))</f>
        <v/>
      </c>
    </row>
    <row r="952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6" t="n"/>
      <c r="M952" s="25" t="n"/>
      <c r="N952" s="25">
        <f>IF(COUNTA(A952:M952)=0,"",IF(OR(A952="",B952="",C952="",D952="",E952="",F952="",I952="",J952="",K952="",M952=""),"Required link detail missing",IF(COUNTIF($A$4:$A$1003,A952)&gt;1,"Duplicate Map Edge ID",IF(NOT(OR(AND(B952="UC",E952="CAP",D952="requires"),AND(B952="CAP",E952="AIR",D952="provided by"),AND(B952="AIR",OR(E952="MOD",E952="DATA",E952="IF",E952="AG",E952="TOOL"),D952="references"),AND(B952="AIR",E952="AIR",D952="depends on"))),"Invalid relationship",IF(AND(M952&lt;&gt;"Superseded",COUNTIFS($B$4:$B$1003,B952,$C$4:$C$1003,C952,$D$4:$D$1003,D952,$E$4:$E$1003,E952,$F$4:$F$1003,F952,$G$4:$G$1003,G952,$M$4:$M$1003,"&lt;&gt;Superseded")&gt;1),"Duplicate relationship",IF(OR(IF(B952="UC",COUNTIF('Use cases'!$A$4:$A$253,C952),IF(B952="CAP",COUNTIF(Capabilities!$A$4:$A$253,C952),IF(B952="AIR",COUNTIF('System map'!$A$4:$A$203,C952),COUNTIFS(Components!$A$4:$A$253,C952,Components!$B$4:$B$253,B952))))&lt;&gt;1,IF(E952="UC",COUNTIF('Use cases'!$A$4:$A$253,F952),IF(E952="CAP",COUNTIF(Capabilities!$A$4:$A$253,F952),IF(E952="AIR",COUNTIF('System map'!$A$4:$A$203,F952),COUNTIFS(Components!$A$4:$A$253,F952,Components!$B$4:$B$253,E952))))&lt;&gt;1),"Endpoint missing or duplicated",IF(AND(NOT(AND(B952="UC",E952="CAP")),OR(G952="",COUNTIF('System map'!$A$4:$A$203,G952)&lt;&gt;1)),"AIR context missing / unknown",IF(AND(B952="CAP",E952="AIR",G952&lt;&gt;F952),"AIR context mismatch",IF(AND(B952="AIR",G952&lt;&gt;C952),"AIR context mismatch",IF(AND(B952="AIR",E952="AIR",C952=F952),"Self-dependency",IF(AND(B952="AIR",E952="AIR",M952&lt;&gt;"Superseded",COUNTIFS($B$4:$B$1003,"AIR",$C$4:$C$1003,F952,$E$4:$E$1003,"AIR",$F$4:$F$1003,C952,$M$4:$M$1003,"&lt;&gt;Superseded")&gt;0),"Dependency cycle (A↔B) — review",IF(AND(B952="AIR",OR(E952="MOD",E952="DATA",E952="IF",E952="AG",E952="TOOL"),IFERROR(INDEX(Components!$G$4:$G$253,MATCH(F952,Components!$A$4:$A$253,0)),"")&lt;&gt;"",IFERROR(INDEX(Components!$G$4:$G$253,MATCH(F952,Components!$A$4:$A$253,0)),"")&lt;&gt;C952),"Component owned by another AIR-ID",IF(AND(M952="Confirmed",OR(IF(B952="UC",COUNTIFS('Use cases'!$A$4:$A$253,C952,'Use cases'!$I$4:$I$253,"Confirmed",'Use cases'!$J$4:$J$253,"OK — verify source"),IF(B952="CAP",COUNTIFS(Capabilities!$A$4:$A$253,C952,Capabilities!$J$4:$J$253,"Confirmed",Capabilities!$K$4:$K$253,"OK — verify source"),IF(B952="AIR",COUNTIFS('System map'!$A$4:$A$203,C952,'System map'!$B$4:$B$203,"&lt;&gt;",'System map'!$C$4:$C$203,"&lt;&gt;",'System map'!$D$4:$D$203,"&lt;&gt;"),COUNTIFS(Components!$A$4:$A$253,C952,Components!$B$4:$B$253,B952,Components!$K$4:$K$253,"Confirmed",Components!$L$4:$L$253,"OK — verify source"))))&lt;&gt;1,IF(E952="UC",COUNTIFS('Use cases'!$A$4:$A$253,F952,'Use cases'!$I$4:$I$253,"Confirmed",'Use cases'!$J$4:$J$253,"OK — verify source"),IF(E952="CAP",COUNTIFS(Capabilities!$A$4:$A$253,F952,Capabilities!$J$4:$J$253,"Confirmed",Capabilities!$K$4:$K$253,"OK — verify source"),IF(E952="AIR",COUNTIFS('System map'!$A$4:$A$203,F952,'System map'!$B$4:$B$203,"&lt;&gt;",'System map'!$C$4:$C$203,"&lt;&gt;",'System map'!$D$4:$D$203,"&lt;&gt;"),COUNTIFS(Components!$A$4:$A$253,F952,Components!$B$4:$B$253,E952,Components!$K$4:$K$253,"Confirmed",Components!$L$4:$L$253,"OK — verify source"))))&lt;&gt;1)),"Endpoint not source-reconciled",IF(AND(M952="Confirmed",OR(L952="",K952="",K952="Unknown",K952="Low")),"Confirmed link lacks verification","OK — verify source"))))))))))))))</f>
        <v/>
      </c>
    </row>
    <row r="953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8" t="n"/>
      <c r="M953" s="27" t="n"/>
      <c r="N953" s="27">
        <f>IF(COUNTA(A953:M953)=0,"",IF(OR(A953="",B953="",C953="",D953="",E953="",F953="",I953="",J953="",K953="",M953=""),"Required link detail missing",IF(COUNTIF($A$4:$A$1003,A953)&gt;1,"Duplicate Map Edge ID",IF(NOT(OR(AND(B953="UC",E953="CAP",D953="requires"),AND(B953="CAP",E953="AIR",D953="provided by"),AND(B953="AIR",OR(E953="MOD",E953="DATA",E953="IF",E953="AG",E953="TOOL"),D953="references"),AND(B953="AIR",E953="AIR",D953="depends on"))),"Invalid relationship",IF(AND(M953&lt;&gt;"Superseded",COUNTIFS($B$4:$B$1003,B953,$C$4:$C$1003,C953,$D$4:$D$1003,D953,$E$4:$E$1003,E953,$F$4:$F$1003,F953,$G$4:$G$1003,G953,$M$4:$M$1003,"&lt;&gt;Superseded")&gt;1),"Duplicate relationship",IF(OR(IF(B953="UC",COUNTIF('Use cases'!$A$4:$A$253,C953),IF(B953="CAP",COUNTIF(Capabilities!$A$4:$A$253,C953),IF(B953="AIR",COUNTIF('System map'!$A$4:$A$203,C953),COUNTIFS(Components!$A$4:$A$253,C953,Components!$B$4:$B$253,B953))))&lt;&gt;1,IF(E953="UC",COUNTIF('Use cases'!$A$4:$A$253,F953),IF(E953="CAP",COUNTIF(Capabilities!$A$4:$A$253,F953),IF(E953="AIR",COUNTIF('System map'!$A$4:$A$203,F953),COUNTIFS(Components!$A$4:$A$253,F953,Components!$B$4:$B$253,E953))))&lt;&gt;1),"Endpoint missing or duplicated",IF(AND(NOT(AND(B953="UC",E953="CAP")),OR(G953="",COUNTIF('System map'!$A$4:$A$203,G953)&lt;&gt;1)),"AIR context missing / unknown",IF(AND(B953="CAP",E953="AIR",G953&lt;&gt;F953),"AIR context mismatch",IF(AND(B953="AIR",G953&lt;&gt;C953),"AIR context mismatch",IF(AND(B953="AIR",E953="AIR",C953=F953),"Self-dependency",IF(AND(B953="AIR",E953="AIR",M953&lt;&gt;"Superseded",COUNTIFS($B$4:$B$1003,"AIR",$C$4:$C$1003,F953,$E$4:$E$1003,"AIR",$F$4:$F$1003,C953,$M$4:$M$1003,"&lt;&gt;Superseded")&gt;0),"Dependency cycle (A↔B) — review",IF(AND(B953="AIR",OR(E953="MOD",E953="DATA",E953="IF",E953="AG",E953="TOOL"),IFERROR(INDEX(Components!$G$4:$G$253,MATCH(F953,Components!$A$4:$A$253,0)),"")&lt;&gt;"",IFERROR(INDEX(Components!$G$4:$G$253,MATCH(F953,Components!$A$4:$A$253,0)),"")&lt;&gt;C953),"Component owned by another AIR-ID",IF(AND(M953="Confirmed",OR(IF(B953="UC",COUNTIFS('Use cases'!$A$4:$A$253,C953,'Use cases'!$I$4:$I$253,"Confirmed",'Use cases'!$J$4:$J$253,"OK — verify source"),IF(B953="CAP",COUNTIFS(Capabilities!$A$4:$A$253,C953,Capabilities!$J$4:$J$253,"Confirmed",Capabilities!$K$4:$K$253,"OK — verify source"),IF(B953="AIR",COUNTIFS('System map'!$A$4:$A$203,C953,'System map'!$B$4:$B$203,"&lt;&gt;",'System map'!$C$4:$C$203,"&lt;&gt;",'System map'!$D$4:$D$203,"&lt;&gt;"),COUNTIFS(Components!$A$4:$A$253,C953,Components!$B$4:$B$253,B953,Components!$K$4:$K$253,"Confirmed",Components!$L$4:$L$253,"OK — verify source"))))&lt;&gt;1,IF(E953="UC",COUNTIFS('Use cases'!$A$4:$A$253,F953,'Use cases'!$I$4:$I$253,"Confirmed",'Use cases'!$J$4:$J$253,"OK — verify source"),IF(E953="CAP",COUNTIFS(Capabilities!$A$4:$A$253,F953,Capabilities!$J$4:$J$253,"Confirmed",Capabilities!$K$4:$K$253,"OK — verify source"),IF(E953="AIR",COUNTIFS('System map'!$A$4:$A$203,F953,'System map'!$B$4:$B$203,"&lt;&gt;",'System map'!$C$4:$C$203,"&lt;&gt;",'System map'!$D$4:$D$203,"&lt;&gt;"),COUNTIFS(Components!$A$4:$A$253,F953,Components!$B$4:$B$253,E953,Components!$K$4:$K$253,"Confirmed",Components!$L$4:$L$253,"OK — verify source"))))&lt;&gt;1)),"Endpoint not source-reconciled",IF(AND(M953="Confirmed",OR(L953="",K953="",K953="Unknown",K953="Low")),"Confirmed link lacks verification","OK — verify source"))))))))))))))</f>
        <v/>
      </c>
    </row>
    <row r="95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6" t="n"/>
      <c r="M954" s="25" t="n"/>
      <c r="N954" s="25">
        <f>IF(COUNTA(A954:M954)=0,"",IF(OR(A954="",B954="",C954="",D954="",E954="",F954="",I954="",J954="",K954="",M954=""),"Required link detail missing",IF(COUNTIF($A$4:$A$1003,A954)&gt;1,"Duplicate Map Edge ID",IF(NOT(OR(AND(B954="UC",E954="CAP",D954="requires"),AND(B954="CAP",E954="AIR",D954="provided by"),AND(B954="AIR",OR(E954="MOD",E954="DATA",E954="IF",E954="AG",E954="TOOL"),D954="references"),AND(B954="AIR",E954="AIR",D954="depends on"))),"Invalid relationship",IF(AND(M954&lt;&gt;"Superseded",COUNTIFS($B$4:$B$1003,B954,$C$4:$C$1003,C954,$D$4:$D$1003,D954,$E$4:$E$1003,E954,$F$4:$F$1003,F954,$G$4:$G$1003,G954,$M$4:$M$1003,"&lt;&gt;Superseded")&gt;1),"Duplicate relationship",IF(OR(IF(B954="UC",COUNTIF('Use cases'!$A$4:$A$253,C954),IF(B954="CAP",COUNTIF(Capabilities!$A$4:$A$253,C954),IF(B954="AIR",COUNTIF('System map'!$A$4:$A$203,C954),COUNTIFS(Components!$A$4:$A$253,C954,Components!$B$4:$B$253,B954))))&lt;&gt;1,IF(E954="UC",COUNTIF('Use cases'!$A$4:$A$253,F954),IF(E954="CAP",COUNTIF(Capabilities!$A$4:$A$253,F954),IF(E954="AIR",COUNTIF('System map'!$A$4:$A$203,F954),COUNTIFS(Components!$A$4:$A$253,F954,Components!$B$4:$B$253,E954))))&lt;&gt;1),"Endpoint missing or duplicated",IF(AND(NOT(AND(B954="UC",E954="CAP")),OR(G954="",COUNTIF('System map'!$A$4:$A$203,G954)&lt;&gt;1)),"AIR context missing / unknown",IF(AND(B954="CAP",E954="AIR",G954&lt;&gt;F954),"AIR context mismatch",IF(AND(B954="AIR",G954&lt;&gt;C954),"AIR context mismatch",IF(AND(B954="AIR",E954="AIR",C954=F954),"Self-dependency",IF(AND(B954="AIR",E954="AIR",M954&lt;&gt;"Superseded",COUNTIFS($B$4:$B$1003,"AIR",$C$4:$C$1003,F954,$E$4:$E$1003,"AIR",$F$4:$F$1003,C954,$M$4:$M$1003,"&lt;&gt;Superseded")&gt;0),"Dependency cycle (A↔B) — review",IF(AND(B954="AIR",OR(E954="MOD",E954="DATA",E954="IF",E954="AG",E954="TOOL"),IFERROR(INDEX(Components!$G$4:$G$253,MATCH(F954,Components!$A$4:$A$253,0)),"")&lt;&gt;"",IFERROR(INDEX(Components!$G$4:$G$253,MATCH(F954,Components!$A$4:$A$253,0)),"")&lt;&gt;C954),"Component owned by another AIR-ID",IF(AND(M954="Confirmed",OR(IF(B954="UC",COUNTIFS('Use cases'!$A$4:$A$253,C954,'Use cases'!$I$4:$I$253,"Confirmed",'Use cases'!$J$4:$J$253,"OK — verify source"),IF(B954="CAP",COUNTIFS(Capabilities!$A$4:$A$253,C954,Capabilities!$J$4:$J$253,"Confirmed",Capabilities!$K$4:$K$253,"OK — verify source"),IF(B954="AIR",COUNTIFS('System map'!$A$4:$A$203,C954,'System map'!$B$4:$B$203,"&lt;&gt;",'System map'!$C$4:$C$203,"&lt;&gt;",'System map'!$D$4:$D$203,"&lt;&gt;"),COUNTIFS(Components!$A$4:$A$253,C954,Components!$B$4:$B$253,B954,Components!$K$4:$K$253,"Confirmed",Components!$L$4:$L$253,"OK — verify source"))))&lt;&gt;1,IF(E954="UC",COUNTIFS('Use cases'!$A$4:$A$253,F954,'Use cases'!$I$4:$I$253,"Confirmed",'Use cases'!$J$4:$J$253,"OK — verify source"),IF(E954="CAP",COUNTIFS(Capabilities!$A$4:$A$253,F954,Capabilities!$J$4:$J$253,"Confirmed",Capabilities!$K$4:$K$253,"OK — verify source"),IF(E954="AIR",COUNTIFS('System map'!$A$4:$A$203,F954,'System map'!$B$4:$B$203,"&lt;&gt;",'System map'!$C$4:$C$203,"&lt;&gt;",'System map'!$D$4:$D$203,"&lt;&gt;"),COUNTIFS(Components!$A$4:$A$253,F954,Components!$B$4:$B$253,E954,Components!$K$4:$K$253,"Confirmed",Components!$L$4:$L$253,"OK — verify source"))))&lt;&gt;1)),"Endpoint not source-reconciled",IF(AND(M954="Confirmed",OR(L954="",K954="",K954="Unknown",K954="Low")),"Confirmed link lacks verification","OK — verify source"))))))))))))))</f>
        <v/>
      </c>
    </row>
    <row r="955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8" t="n"/>
      <c r="M955" s="27" t="n"/>
      <c r="N955" s="27">
        <f>IF(COUNTA(A955:M955)=0,"",IF(OR(A955="",B955="",C955="",D955="",E955="",F955="",I955="",J955="",K955="",M955=""),"Required link detail missing",IF(COUNTIF($A$4:$A$1003,A955)&gt;1,"Duplicate Map Edge ID",IF(NOT(OR(AND(B955="UC",E955="CAP",D955="requires"),AND(B955="CAP",E955="AIR",D955="provided by"),AND(B955="AIR",OR(E955="MOD",E955="DATA",E955="IF",E955="AG",E955="TOOL"),D955="references"),AND(B955="AIR",E955="AIR",D955="depends on"))),"Invalid relationship",IF(AND(M955&lt;&gt;"Superseded",COUNTIFS($B$4:$B$1003,B955,$C$4:$C$1003,C955,$D$4:$D$1003,D955,$E$4:$E$1003,E955,$F$4:$F$1003,F955,$G$4:$G$1003,G955,$M$4:$M$1003,"&lt;&gt;Superseded")&gt;1),"Duplicate relationship",IF(OR(IF(B955="UC",COUNTIF('Use cases'!$A$4:$A$253,C955),IF(B955="CAP",COUNTIF(Capabilities!$A$4:$A$253,C955),IF(B955="AIR",COUNTIF('System map'!$A$4:$A$203,C955),COUNTIFS(Components!$A$4:$A$253,C955,Components!$B$4:$B$253,B955))))&lt;&gt;1,IF(E955="UC",COUNTIF('Use cases'!$A$4:$A$253,F955),IF(E955="CAP",COUNTIF(Capabilities!$A$4:$A$253,F955),IF(E955="AIR",COUNTIF('System map'!$A$4:$A$203,F955),COUNTIFS(Components!$A$4:$A$253,F955,Components!$B$4:$B$253,E955))))&lt;&gt;1),"Endpoint missing or duplicated",IF(AND(NOT(AND(B955="UC",E955="CAP")),OR(G955="",COUNTIF('System map'!$A$4:$A$203,G955)&lt;&gt;1)),"AIR context missing / unknown",IF(AND(B955="CAP",E955="AIR",G955&lt;&gt;F955),"AIR context mismatch",IF(AND(B955="AIR",G955&lt;&gt;C955),"AIR context mismatch",IF(AND(B955="AIR",E955="AIR",C955=F955),"Self-dependency",IF(AND(B955="AIR",E955="AIR",M955&lt;&gt;"Superseded",COUNTIFS($B$4:$B$1003,"AIR",$C$4:$C$1003,F955,$E$4:$E$1003,"AIR",$F$4:$F$1003,C955,$M$4:$M$1003,"&lt;&gt;Superseded")&gt;0),"Dependency cycle (A↔B) — review",IF(AND(B955="AIR",OR(E955="MOD",E955="DATA",E955="IF",E955="AG",E955="TOOL"),IFERROR(INDEX(Components!$G$4:$G$253,MATCH(F955,Components!$A$4:$A$253,0)),"")&lt;&gt;"",IFERROR(INDEX(Components!$G$4:$G$253,MATCH(F955,Components!$A$4:$A$253,0)),"")&lt;&gt;C955),"Component owned by another AIR-ID",IF(AND(M955="Confirmed",OR(IF(B955="UC",COUNTIFS('Use cases'!$A$4:$A$253,C955,'Use cases'!$I$4:$I$253,"Confirmed",'Use cases'!$J$4:$J$253,"OK — verify source"),IF(B955="CAP",COUNTIFS(Capabilities!$A$4:$A$253,C955,Capabilities!$J$4:$J$253,"Confirmed",Capabilities!$K$4:$K$253,"OK — verify source"),IF(B955="AIR",COUNTIFS('System map'!$A$4:$A$203,C955,'System map'!$B$4:$B$203,"&lt;&gt;",'System map'!$C$4:$C$203,"&lt;&gt;",'System map'!$D$4:$D$203,"&lt;&gt;"),COUNTIFS(Components!$A$4:$A$253,C955,Components!$B$4:$B$253,B955,Components!$K$4:$K$253,"Confirmed",Components!$L$4:$L$253,"OK — verify source"))))&lt;&gt;1,IF(E955="UC",COUNTIFS('Use cases'!$A$4:$A$253,F955,'Use cases'!$I$4:$I$253,"Confirmed",'Use cases'!$J$4:$J$253,"OK — verify source"),IF(E955="CAP",COUNTIFS(Capabilities!$A$4:$A$253,F955,Capabilities!$J$4:$J$253,"Confirmed",Capabilities!$K$4:$K$253,"OK — verify source"),IF(E955="AIR",COUNTIFS('System map'!$A$4:$A$203,F955,'System map'!$B$4:$B$203,"&lt;&gt;",'System map'!$C$4:$C$203,"&lt;&gt;",'System map'!$D$4:$D$203,"&lt;&gt;"),COUNTIFS(Components!$A$4:$A$253,F955,Components!$B$4:$B$253,E955,Components!$K$4:$K$253,"Confirmed",Components!$L$4:$L$253,"OK — verify source"))))&lt;&gt;1)),"Endpoint not source-reconciled",IF(AND(M955="Confirmed",OR(L955="",K955="",K955="Unknown",K955="Low")),"Confirmed link lacks verification","OK — verify source"))))))))))))))</f>
        <v/>
      </c>
    </row>
    <row r="956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6" t="n"/>
      <c r="M956" s="25" t="n"/>
      <c r="N956" s="25">
        <f>IF(COUNTA(A956:M956)=0,"",IF(OR(A956="",B956="",C956="",D956="",E956="",F956="",I956="",J956="",K956="",M956=""),"Required link detail missing",IF(COUNTIF($A$4:$A$1003,A956)&gt;1,"Duplicate Map Edge ID",IF(NOT(OR(AND(B956="UC",E956="CAP",D956="requires"),AND(B956="CAP",E956="AIR",D956="provided by"),AND(B956="AIR",OR(E956="MOD",E956="DATA",E956="IF",E956="AG",E956="TOOL"),D956="references"),AND(B956="AIR",E956="AIR",D956="depends on"))),"Invalid relationship",IF(AND(M956&lt;&gt;"Superseded",COUNTIFS($B$4:$B$1003,B956,$C$4:$C$1003,C956,$D$4:$D$1003,D956,$E$4:$E$1003,E956,$F$4:$F$1003,F956,$G$4:$G$1003,G956,$M$4:$M$1003,"&lt;&gt;Superseded")&gt;1),"Duplicate relationship",IF(OR(IF(B956="UC",COUNTIF('Use cases'!$A$4:$A$253,C956),IF(B956="CAP",COUNTIF(Capabilities!$A$4:$A$253,C956),IF(B956="AIR",COUNTIF('System map'!$A$4:$A$203,C956),COUNTIFS(Components!$A$4:$A$253,C956,Components!$B$4:$B$253,B956))))&lt;&gt;1,IF(E956="UC",COUNTIF('Use cases'!$A$4:$A$253,F956),IF(E956="CAP",COUNTIF(Capabilities!$A$4:$A$253,F956),IF(E956="AIR",COUNTIF('System map'!$A$4:$A$203,F956),COUNTIFS(Components!$A$4:$A$253,F956,Components!$B$4:$B$253,E956))))&lt;&gt;1),"Endpoint missing or duplicated",IF(AND(NOT(AND(B956="UC",E956="CAP")),OR(G956="",COUNTIF('System map'!$A$4:$A$203,G956)&lt;&gt;1)),"AIR context missing / unknown",IF(AND(B956="CAP",E956="AIR",G956&lt;&gt;F956),"AIR context mismatch",IF(AND(B956="AIR",G956&lt;&gt;C956),"AIR context mismatch",IF(AND(B956="AIR",E956="AIR",C956=F956),"Self-dependency",IF(AND(B956="AIR",E956="AIR",M956&lt;&gt;"Superseded",COUNTIFS($B$4:$B$1003,"AIR",$C$4:$C$1003,F956,$E$4:$E$1003,"AIR",$F$4:$F$1003,C956,$M$4:$M$1003,"&lt;&gt;Superseded")&gt;0),"Dependency cycle (A↔B) — review",IF(AND(B956="AIR",OR(E956="MOD",E956="DATA",E956="IF",E956="AG",E956="TOOL"),IFERROR(INDEX(Components!$G$4:$G$253,MATCH(F956,Components!$A$4:$A$253,0)),"")&lt;&gt;"",IFERROR(INDEX(Components!$G$4:$G$253,MATCH(F956,Components!$A$4:$A$253,0)),"")&lt;&gt;C956),"Component owned by another AIR-ID",IF(AND(M956="Confirmed",OR(IF(B956="UC",COUNTIFS('Use cases'!$A$4:$A$253,C956,'Use cases'!$I$4:$I$253,"Confirmed",'Use cases'!$J$4:$J$253,"OK — verify source"),IF(B956="CAP",COUNTIFS(Capabilities!$A$4:$A$253,C956,Capabilities!$J$4:$J$253,"Confirmed",Capabilities!$K$4:$K$253,"OK — verify source"),IF(B956="AIR",COUNTIFS('System map'!$A$4:$A$203,C956,'System map'!$B$4:$B$203,"&lt;&gt;",'System map'!$C$4:$C$203,"&lt;&gt;",'System map'!$D$4:$D$203,"&lt;&gt;"),COUNTIFS(Components!$A$4:$A$253,C956,Components!$B$4:$B$253,B956,Components!$K$4:$K$253,"Confirmed",Components!$L$4:$L$253,"OK — verify source"))))&lt;&gt;1,IF(E956="UC",COUNTIFS('Use cases'!$A$4:$A$253,F956,'Use cases'!$I$4:$I$253,"Confirmed",'Use cases'!$J$4:$J$253,"OK — verify source"),IF(E956="CAP",COUNTIFS(Capabilities!$A$4:$A$253,F956,Capabilities!$J$4:$J$253,"Confirmed",Capabilities!$K$4:$K$253,"OK — verify source"),IF(E956="AIR",COUNTIFS('System map'!$A$4:$A$203,F956,'System map'!$B$4:$B$203,"&lt;&gt;",'System map'!$C$4:$C$203,"&lt;&gt;",'System map'!$D$4:$D$203,"&lt;&gt;"),COUNTIFS(Components!$A$4:$A$253,F956,Components!$B$4:$B$253,E956,Components!$K$4:$K$253,"Confirmed",Components!$L$4:$L$253,"OK — verify source"))))&lt;&gt;1)),"Endpoint not source-reconciled",IF(AND(M956="Confirmed",OR(L956="",K956="",K956="Unknown",K956="Low")),"Confirmed link lacks verification","OK — verify source"))))))))))))))</f>
        <v/>
      </c>
    </row>
    <row r="957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8" t="n"/>
      <c r="M957" s="27" t="n"/>
      <c r="N957" s="27">
        <f>IF(COUNTA(A957:M957)=0,"",IF(OR(A957="",B957="",C957="",D957="",E957="",F957="",I957="",J957="",K957="",M957=""),"Required link detail missing",IF(COUNTIF($A$4:$A$1003,A957)&gt;1,"Duplicate Map Edge ID",IF(NOT(OR(AND(B957="UC",E957="CAP",D957="requires"),AND(B957="CAP",E957="AIR",D957="provided by"),AND(B957="AIR",OR(E957="MOD",E957="DATA",E957="IF",E957="AG",E957="TOOL"),D957="references"),AND(B957="AIR",E957="AIR",D957="depends on"))),"Invalid relationship",IF(AND(M957&lt;&gt;"Superseded",COUNTIFS($B$4:$B$1003,B957,$C$4:$C$1003,C957,$D$4:$D$1003,D957,$E$4:$E$1003,E957,$F$4:$F$1003,F957,$G$4:$G$1003,G957,$M$4:$M$1003,"&lt;&gt;Superseded")&gt;1),"Duplicate relationship",IF(OR(IF(B957="UC",COUNTIF('Use cases'!$A$4:$A$253,C957),IF(B957="CAP",COUNTIF(Capabilities!$A$4:$A$253,C957),IF(B957="AIR",COUNTIF('System map'!$A$4:$A$203,C957),COUNTIFS(Components!$A$4:$A$253,C957,Components!$B$4:$B$253,B957))))&lt;&gt;1,IF(E957="UC",COUNTIF('Use cases'!$A$4:$A$253,F957),IF(E957="CAP",COUNTIF(Capabilities!$A$4:$A$253,F957),IF(E957="AIR",COUNTIF('System map'!$A$4:$A$203,F957),COUNTIFS(Components!$A$4:$A$253,F957,Components!$B$4:$B$253,E957))))&lt;&gt;1),"Endpoint missing or duplicated",IF(AND(NOT(AND(B957="UC",E957="CAP")),OR(G957="",COUNTIF('System map'!$A$4:$A$203,G957)&lt;&gt;1)),"AIR context missing / unknown",IF(AND(B957="CAP",E957="AIR",G957&lt;&gt;F957),"AIR context mismatch",IF(AND(B957="AIR",G957&lt;&gt;C957),"AIR context mismatch",IF(AND(B957="AIR",E957="AIR",C957=F957),"Self-dependency",IF(AND(B957="AIR",E957="AIR",M957&lt;&gt;"Superseded",COUNTIFS($B$4:$B$1003,"AIR",$C$4:$C$1003,F957,$E$4:$E$1003,"AIR",$F$4:$F$1003,C957,$M$4:$M$1003,"&lt;&gt;Superseded")&gt;0),"Dependency cycle (A↔B) — review",IF(AND(B957="AIR",OR(E957="MOD",E957="DATA",E957="IF",E957="AG",E957="TOOL"),IFERROR(INDEX(Components!$G$4:$G$253,MATCH(F957,Components!$A$4:$A$253,0)),"")&lt;&gt;"",IFERROR(INDEX(Components!$G$4:$G$253,MATCH(F957,Components!$A$4:$A$253,0)),"")&lt;&gt;C957),"Component owned by another AIR-ID",IF(AND(M957="Confirmed",OR(IF(B957="UC",COUNTIFS('Use cases'!$A$4:$A$253,C957,'Use cases'!$I$4:$I$253,"Confirmed",'Use cases'!$J$4:$J$253,"OK — verify source"),IF(B957="CAP",COUNTIFS(Capabilities!$A$4:$A$253,C957,Capabilities!$J$4:$J$253,"Confirmed",Capabilities!$K$4:$K$253,"OK — verify source"),IF(B957="AIR",COUNTIFS('System map'!$A$4:$A$203,C957,'System map'!$B$4:$B$203,"&lt;&gt;",'System map'!$C$4:$C$203,"&lt;&gt;",'System map'!$D$4:$D$203,"&lt;&gt;"),COUNTIFS(Components!$A$4:$A$253,C957,Components!$B$4:$B$253,B957,Components!$K$4:$K$253,"Confirmed",Components!$L$4:$L$253,"OK — verify source"))))&lt;&gt;1,IF(E957="UC",COUNTIFS('Use cases'!$A$4:$A$253,F957,'Use cases'!$I$4:$I$253,"Confirmed",'Use cases'!$J$4:$J$253,"OK — verify source"),IF(E957="CAP",COUNTIFS(Capabilities!$A$4:$A$253,F957,Capabilities!$J$4:$J$253,"Confirmed",Capabilities!$K$4:$K$253,"OK — verify source"),IF(E957="AIR",COUNTIFS('System map'!$A$4:$A$203,F957,'System map'!$B$4:$B$203,"&lt;&gt;",'System map'!$C$4:$C$203,"&lt;&gt;",'System map'!$D$4:$D$203,"&lt;&gt;"),COUNTIFS(Components!$A$4:$A$253,F957,Components!$B$4:$B$253,E957,Components!$K$4:$K$253,"Confirmed",Components!$L$4:$L$253,"OK — verify source"))))&lt;&gt;1)),"Endpoint not source-reconciled",IF(AND(M957="Confirmed",OR(L957="",K957="",K957="Unknown",K957="Low")),"Confirmed link lacks verification","OK — verify source"))))))))))))))</f>
        <v/>
      </c>
    </row>
    <row r="958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6" t="n"/>
      <c r="M958" s="25" t="n"/>
      <c r="N958" s="25">
        <f>IF(COUNTA(A958:M958)=0,"",IF(OR(A958="",B958="",C958="",D958="",E958="",F958="",I958="",J958="",K958="",M958=""),"Required link detail missing",IF(COUNTIF($A$4:$A$1003,A958)&gt;1,"Duplicate Map Edge ID",IF(NOT(OR(AND(B958="UC",E958="CAP",D958="requires"),AND(B958="CAP",E958="AIR",D958="provided by"),AND(B958="AIR",OR(E958="MOD",E958="DATA",E958="IF",E958="AG",E958="TOOL"),D958="references"),AND(B958="AIR",E958="AIR",D958="depends on"))),"Invalid relationship",IF(AND(M958&lt;&gt;"Superseded",COUNTIFS($B$4:$B$1003,B958,$C$4:$C$1003,C958,$D$4:$D$1003,D958,$E$4:$E$1003,E958,$F$4:$F$1003,F958,$G$4:$G$1003,G958,$M$4:$M$1003,"&lt;&gt;Superseded")&gt;1),"Duplicate relationship",IF(OR(IF(B958="UC",COUNTIF('Use cases'!$A$4:$A$253,C958),IF(B958="CAP",COUNTIF(Capabilities!$A$4:$A$253,C958),IF(B958="AIR",COUNTIF('System map'!$A$4:$A$203,C958),COUNTIFS(Components!$A$4:$A$253,C958,Components!$B$4:$B$253,B958))))&lt;&gt;1,IF(E958="UC",COUNTIF('Use cases'!$A$4:$A$253,F958),IF(E958="CAP",COUNTIF(Capabilities!$A$4:$A$253,F958),IF(E958="AIR",COUNTIF('System map'!$A$4:$A$203,F958),COUNTIFS(Components!$A$4:$A$253,F958,Components!$B$4:$B$253,E958))))&lt;&gt;1),"Endpoint missing or duplicated",IF(AND(NOT(AND(B958="UC",E958="CAP")),OR(G958="",COUNTIF('System map'!$A$4:$A$203,G958)&lt;&gt;1)),"AIR context missing / unknown",IF(AND(B958="CAP",E958="AIR",G958&lt;&gt;F958),"AIR context mismatch",IF(AND(B958="AIR",G958&lt;&gt;C958),"AIR context mismatch",IF(AND(B958="AIR",E958="AIR",C958=F958),"Self-dependency",IF(AND(B958="AIR",E958="AIR",M958&lt;&gt;"Superseded",COUNTIFS($B$4:$B$1003,"AIR",$C$4:$C$1003,F958,$E$4:$E$1003,"AIR",$F$4:$F$1003,C958,$M$4:$M$1003,"&lt;&gt;Superseded")&gt;0),"Dependency cycle (A↔B) — review",IF(AND(B958="AIR",OR(E958="MOD",E958="DATA",E958="IF",E958="AG",E958="TOOL"),IFERROR(INDEX(Components!$G$4:$G$253,MATCH(F958,Components!$A$4:$A$253,0)),"")&lt;&gt;"",IFERROR(INDEX(Components!$G$4:$G$253,MATCH(F958,Components!$A$4:$A$253,0)),"")&lt;&gt;C958),"Component owned by another AIR-ID",IF(AND(M958="Confirmed",OR(IF(B958="UC",COUNTIFS('Use cases'!$A$4:$A$253,C958,'Use cases'!$I$4:$I$253,"Confirmed",'Use cases'!$J$4:$J$253,"OK — verify source"),IF(B958="CAP",COUNTIFS(Capabilities!$A$4:$A$253,C958,Capabilities!$J$4:$J$253,"Confirmed",Capabilities!$K$4:$K$253,"OK — verify source"),IF(B958="AIR",COUNTIFS('System map'!$A$4:$A$203,C958,'System map'!$B$4:$B$203,"&lt;&gt;",'System map'!$C$4:$C$203,"&lt;&gt;",'System map'!$D$4:$D$203,"&lt;&gt;"),COUNTIFS(Components!$A$4:$A$253,C958,Components!$B$4:$B$253,B958,Components!$K$4:$K$253,"Confirmed",Components!$L$4:$L$253,"OK — verify source"))))&lt;&gt;1,IF(E958="UC",COUNTIFS('Use cases'!$A$4:$A$253,F958,'Use cases'!$I$4:$I$253,"Confirmed",'Use cases'!$J$4:$J$253,"OK — verify source"),IF(E958="CAP",COUNTIFS(Capabilities!$A$4:$A$253,F958,Capabilities!$J$4:$J$253,"Confirmed",Capabilities!$K$4:$K$253,"OK — verify source"),IF(E958="AIR",COUNTIFS('System map'!$A$4:$A$203,F958,'System map'!$B$4:$B$203,"&lt;&gt;",'System map'!$C$4:$C$203,"&lt;&gt;",'System map'!$D$4:$D$203,"&lt;&gt;"),COUNTIFS(Components!$A$4:$A$253,F958,Components!$B$4:$B$253,E958,Components!$K$4:$K$253,"Confirmed",Components!$L$4:$L$253,"OK — verify source"))))&lt;&gt;1)),"Endpoint not source-reconciled",IF(AND(M958="Confirmed",OR(L958="",K958="",K958="Unknown",K958="Low")),"Confirmed link lacks verification","OK — verify source"))))))))))))))</f>
        <v/>
      </c>
    </row>
    <row r="959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8" t="n"/>
      <c r="M959" s="27" t="n"/>
      <c r="N959" s="27">
        <f>IF(COUNTA(A959:M959)=0,"",IF(OR(A959="",B959="",C959="",D959="",E959="",F959="",I959="",J959="",K959="",M959=""),"Required link detail missing",IF(COUNTIF($A$4:$A$1003,A959)&gt;1,"Duplicate Map Edge ID",IF(NOT(OR(AND(B959="UC",E959="CAP",D959="requires"),AND(B959="CAP",E959="AIR",D959="provided by"),AND(B959="AIR",OR(E959="MOD",E959="DATA",E959="IF",E959="AG",E959="TOOL"),D959="references"),AND(B959="AIR",E959="AIR",D959="depends on"))),"Invalid relationship",IF(AND(M959&lt;&gt;"Superseded",COUNTIFS($B$4:$B$1003,B959,$C$4:$C$1003,C959,$D$4:$D$1003,D959,$E$4:$E$1003,E959,$F$4:$F$1003,F959,$G$4:$G$1003,G959,$M$4:$M$1003,"&lt;&gt;Superseded")&gt;1),"Duplicate relationship",IF(OR(IF(B959="UC",COUNTIF('Use cases'!$A$4:$A$253,C959),IF(B959="CAP",COUNTIF(Capabilities!$A$4:$A$253,C959),IF(B959="AIR",COUNTIF('System map'!$A$4:$A$203,C959),COUNTIFS(Components!$A$4:$A$253,C959,Components!$B$4:$B$253,B959))))&lt;&gt;1,IF(E959="UC",COUNTIF('Use cases'!$A$4:$A$253,F959),IF(E959="CAP",COUNTIF(Capabilities!$A$4:$A$253,F959),IF(E959="AIR",COUNTIF('System map'!$A$4:$A$203,F959),COUNTIFS(Components!$A$4:$A$253,F959,Components!$B$4:$B$253,E959))))&lt;&gt;1),"Endpoint missing or duplicated",IF(AND(NOT(AND(B959="UC",E959="CAP")),OR(G959="",COUNTIF('System map'!$A$4:$A$203,G959)&lt;&gt;1)),"AIR context missing / unknown",IF(AND(B959="CAP",E959="AIR",G959&lt;&gt;F959),"AIR context mismatch",IF(AND(B959="AIR",G959&lt;&gt;C959),"AIR context mismatch",IF(AND(B959="AIR",E959="AIR",C959=F959),"Self-dependency",IF(AND(B959="AIR",E959="AIR",M959&lt;&gt;"Superseded",COUNTIFS($B$4:$B$1003,"AIR",$C$4:$C$1003,F959,$E$4:$E$1003,"AIR",$F$4:$F$1003,C959,$M$4:$M$1003,"&lt;&gt;Superseded")&gt;0),"Dependency cycle (A↔B) — review",IF(AND(B959="AIR",OR(E959="MOD",E959="DATA",E959="IF",E959="AG",E959="TOOL"),IFERROR(INDEX(Components!$G$4:$G$253,MATCH(F959,Components!$A$4:$A$253,0)),"")&lt;&gt;"",IFERROR(INDEX(Components!$G$4:$G$253,MATCH(F959,Components!$A$4:$A$253,0)),"")&lt;&gt;C959),"Component owned by another AIR-ID",IF(AND(M959="Confirmed",OR(IF(B959="UC",COUNTIFS('Use cases'!$A$4:$A$253,C959,'Use cases'!$I$4:$I$253,"Confirmed",'Use cases'!$J$4:$J$253,"OK — verify source"),IF(B959="CAP",COUNTIFS(Capabilities!$A$4:$A$253,C959,Capabilities!$J$4:$J$253,"Confirmed",Capabilities!$K$4:$K$253,"OK — verify source"),IF(B959="AIR",COUNTIFS('System map'!$A$4:$A$203,C959,'System map'!$B$4:$B$203,"&lt;&gt;",'System map'!$C$4:$C$203,"&lt;&gt;",'System map'!$D$4:$D$203,"&lt;&gt;"),COUNTIFS(Components!$A$4:$A$253,C959,Components!$B$4:$B$253,B959,Components!$K$4:$K$253,"Confirmed",Components!$L$4:$L$253,"OK — verify source"))))&lt;&gt;1,IF(E959="UC",COUNTIFS('Use cases'!$A$4:$A$253,F959,'Use cases'!$I$4:$I$253,"Confirmed",'Use cases'!$J$4:$J$253,"OK — verify source"),IF(E959="CAP",COUNTIFS(Capabilities!$A$4:$A$253,F959,Capabilities!$J$4:$J$253,"Confirmed",Capabilities!$K$4:$K$253,"OK — verify source"),IF(E959="AIR",COUNTIFS('System map'!$A$4:$A$203,F959,'System map'!$B$4:$B$203,"&lt;&gt;",'System map'!$C$4:$C$203,"&lt;&gt;",'System map'!$D$4:$D$203,"&lt;&gt;"),COUNTIFS(Components!$A$4:$A$253,F959,Components!$B$4:$B$253,E959,Components!$K$4:$K$253,"Confirmed",Components!$L$4:$L$253,"OK — verify source"))))&lt;&gt;1)),"Endpoint not source-reconciled",IF(AND(M959="Confirmed",OR(L959="",K959="",K959="Unknown",K959="Low")),"Confirmed link lacks verification","OK — verify source"))))))))))))))</f>
        <v/>
      </c>
    </row>
    <row r="960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6" t="n"/>
      <c r="M960" s="25" t="n"/>
      <c r="N960" s="25">
        <f>IF(COUNTA(A960:M960)=0,"",IF(OR(A960="",B960="",C960="",D960="",E960="",F960="",I960="",J960="",K960="",M960=""),"Required link detail missing",IF(COUNTIF($A$4:$A$1003,A960)&gt;1,"Duplicate Map Edge ID",IF(NOT(OR(AND(B960="UC",E960="CAP",D960="requires"),AND(B960="CAP",E960="AIR",D960="provided by"),AND(B960="AIR",OR(E960="MOD",E960="DATA",E960="IF",E960="AG",E960="TOOL"),D960="references"),AND(B960="AIR",E960="AIR",D960="depends on"))),"Invalid relationship",IF(AND(M960&lt;&gt;"Superseded",COUNTIFS($B$4:$B$1003,B960,$C$4:$C$1003,C960,$D$4:$D$1003,D960,$E$4:$E$1003,E960,$F$4:$F$1003,F960,$G$4:$G$1003,G960,$M$4:$M$1003,"&lt;&gt;Superseded")&gt;1),"Duplicate relationship",IF(OR(IF(B960="UC",COUNTIF('Use cases'!$A$4:$A$253,C960),IF(B960="CAP",COUNTIF(Capabilities!$A$4:$A$253,C960),IF(B960="AIR",COUNTIF('System map'!$A$4:$A$203,C960),COUNTIFS(Components!$A$4:$A$253,C960,Components!$B$4:$B$253,B960))))&lt;&gt;1,IF(E960="UC",COUNTIF('Use cases'!$A$4:$A$253,F960),IF(E960="CAP",COUNTIF(Capabilities!$A$4:$A$253,F960),IF(E960="AIR",COUNTIF('System map'!$A$4:$A$203,F960),COUNTIFS(Components!$A$4:$A$253,F960,Components!$B$4:$B$253,E960))))&lt;&gt;1),"Endpoint missing or duplicated",IF(AND(NOT(AND(B960="UC",E960="CAP")),OR(G960="",COUNTIF('System map'!$A$4:$A$203,G960)&lt;&gt;1)),"AIR context missing / unknown",IF(AND(B960="CAP",E960="AIR",G960&lt;&gt;F960),"AIR context mismatch",IF(AND(B960="AIR",G960&lt;&gt;C960),"AIR context mismatch",IF(AND(B960="AIR",E960="AIR",C960=F960),"Self-dependency",IF(AND(B960="AIR",E960="AIR",M960&lt;&gt;"Superseded",COUNTIFS($B$4:$B$1003,"AIR",$C$4:$C$1003,F960,$E$4:$E$1003,"AIR",$F$4:$F$1003,C960,$M$4:$M$1003,"&lt;&gt;Superseded")&gt;0),"Dependency cycle (A↔B) — review",IF(AND(B960="AIR",OR(E960="MOD",E960="DATA",E960="IF",E960="AG",E960="TOOL"),IFERROR(INDEX(Components!$G$4:$G$253,MATCH(F960,Components!$A$4:$A$253,0)),"")&lt;&gt;"",IFERROR(INDEX(Components!$G$4:$G$253,MATCH(F960,Components!$A$4:$A$253,0)),"")&lt;&gt;C960),"Component owned by another AIR-ID",IF(AND(M960="Confirmed",OR(IF(B960="UC",COUNTIFS('Use cases'!$A$4:$A$253,C960,'Use cases'!$I$4:$I$253,"Confirmed",'Use cases'!$J$4:$J$253,"OK — verify source"),IF(B960="CAP",COUNTIFS(Capabilities!$A$4:$A$253,C960,Capabilities!$J$4:$J$253,"Confirmed",Capabilities!$K$4:$K$253,"OK — verify source"),IF(B960="AIR",COUNTIFS('System map'!$A$4:$A$203,C960,'System map'!$B$4:$B$203,"&lt;&gt;",'System map'!$C$4:$C$203,"&lt;&gt;",'System map'!$D$4:$D$203,"&lt;&gt;"),COUNTIFS(Components!$A$4:$A$253,C960,Components!$B$4:$B$253,B960,Components!$K$4:$K$253,"Confirmed",Components!$L$4:$L$253,"OK — verify source"))))&lt;&gt;1,IF(E960="UC",COUNTIFS('Use cases'!$A$4:$A$253,F960,'Use cases'!$I$4:$I$253,"Confirmed",'Use cases'!$J$4:$J$253,"OK — verify source"),IF(E960="CAP",COUNTIFS(Capabilities!$A$4:$A$253,F960,Capabilities!$J$4:$J$253,"Confirmed",Capabilities!$K$4:$K$253,"OK — verify source"),IF(E960="AIR",COUNTIFS('System map'!$A$4:$A$203,F960,'System map'!$B$4:$B$203,"&lt;&gt;",'System map'!$C$4:$C$203,"&lt;&gt;",'System map'!$D$4:$D$203,"&lt;&gt;"),COUNTIFS(Components!$A$4:$A$253,F960,Components!$B$4:$B$253,E960,Components!$K$4:$K$253,"Confirmed",Components!$L$4:$L$253,"OK — verify source"))))&lt;&gt;1)),"Endpoint not source-reconciled",IF(AND(M960="Confirmed",OR(L960="",K960="",K960="Unknown",K960="Low")),"Confirmed link lacks verification","OK — verify source"))))))))))))))</f>
        <v/>
      </c>
    </row>
    <row r="961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8" t="n"/>
      <c r="M961" s="27" t="n"/>
      <c r="N961" s="27">
        <f>IF(COUNTA(A961:M961)=0,"",IF(OR(A961="",B961="",C961="",D961="",E961="",F961="",I961="",J961="",K961="",M961=""),"Required link detail missing",IF(COUNTIF($A$4:$A$1003,A961)&gt;1,"Duplicate Map Edge ID",IF(NOT(OR(AND(B961="UC",E961="CAP",D961="requires"),AND(B961="CAP",E961="AIR",D961="provided by"),AND(B961="AIR",OR(E961="MOD",E961="DATA",E961="IF",E961="AG",E961="TOOL"),D961="references"),AND(B961="AIR",E961="AIR",D961="depends on"))),"Invalid relationship",IF(AND(M961&lt;&gt;"Superseded",COUNTIFS($B$4:$B$1003,B961,$C$4:$C$1003,C961,$D$4:$D$1003,D961,$E$4:$E$1003,E961,$F$4:$F$1003,F961,$G$4:$G$1003,G961,$M$4:$M$1003,"&lt;&gt;Superseded")&gt;1),"Duplicate relationship",IF(OR(IF(B961="UC",COUNTIF('Use cases'!$A$4:$A$253,C961),IF(B961="CAP",COUNTIF(Capabilities!$A$4:$A$253,C961),IF(B961="AIR",COUNTIF('System map'!$A$4:$A$203,C961),COUNTIFS(Components!$A$4:$A$253,C961,Components!$B$4:$B$253,B961))))&lt;&gt;1,IF(E961="UC",COUNTIF('Use cases'!$A$4:$A$253,F961),IF(E961="CAP",COUNTIF(Capabilities!$A$4:$A$253,F961),IF(E961="AIR",COUNTIF('System map'!$A$4:$A$203,F961),COUNTIFS(Components!$A$4:$A$253,F961,Components!$B$4:$B$253,E961))))&lt;&gt;1),"Endpoint missing or duplicated",IF(AND(NOT(AND(B961="UC",E961="CAP")),OR(G961="",COUNTIF('System map'!$A$4:$A$203,G961)&lt;&gt;1)),"AIR context missing / unknown",IF(AND(B961="CAP",E961="AIR",G961&lt;&gt;F961),"AIR context mismatch",IF(AND(B961="AIR",G961&lt;&gt;C961),"AIR context mismatch",IF(AND(B961="AIR",E961="AIR",C961=F961),"Self-dependency",IF(AND(B961="AIR",E961="AIR",M961&lt;&gt;"Superseded",COUNTIFS($B$4:$B$1003,"AIR",$C$4:$C$1003,F961,$E$4:$E$1003,"AIR",$F$4:$F$1003,C961,$M$4:$M$1003,"&lt;&gt;Superseded")&gt;0),"Dependency cycle (A↔B) — review",IF(AND(B961="AIR",OR(E961="MOD",E961="DATA",E961="IF",E961="AG",E961="TOOL"),IFERROR(INDEX(Components!$G$4:$G$253,MATCH(F961,Components!$A$4:$A$253,0)),"")&lt;&gt;"",IFERROR(INDEX(Components!$G$4:$G$253,MATCH(F961,Components!$A$4:$A$253,0)),"")&lt;&gt;C961),"Component owned by another AIR-ID",IF(AND(M961="Confirmed",OR(IF(B961="UC",COUNTIFS('Use cases'!$A$4:$A$253,C961,'Use cases'!$I$4:$I$253,"Confirmed",'Use cases'!$J$4:$J$253,"OK — verify source"),IF(B961="CAP",COUNTIFS(Capabilities!$A$4:$A$253,C961,Capabilities!$J$4:$J$253,"Confirmed",Capabilities!$K$4:$K$253,"OK — verify source"),IF(B961="AIR",COUNTIFS('System map'!$A$4:$A$203,C961,'System map'!$B$4:$B$203,"&lt;&gt;",'System map'!$C$4:$C$203,"&lt;&gt;",'System map'!$D$4:$D$203,"&lt;&gt;"),COUNTIFS(Components!$A$4:$A$253,C961,Components!$B$4:$B$253,B961,Components!$K$4:$K$253,"Confirmed",Components!$L$4:$L$253,"OK — verify source"))))&lt;&gt;1,IF(E961="UC",COUNTIFS('Use cases'!$A$4:$A$253,F961,'Use cases'!$I$4:$I$253,"Confirmed",'Use cases'!$J$4:$J$253,"OK — verify source"),IF(E961="CAP",COUNTIFS(Capabilities!$A$4:$A$253,F961,Capabilities!$J$4:$J$253,"Confirmed",Capabilities!$K$4:$K$253,"OK — verify source"),IF(E961="AIR",COUNTIFS('System map'!$A$4:$A$203,F961,'System map'!$B$4:$B$203,"&lt;&gt;",'System map'!$C$4:$C$203,"&lt;&gt;",'System map'!$D$4:$D$203,"&lt;&gt;"),COUNTIFS(Components!$A$4:$A$253,F961,Components!$B$4:$B$253,E961,Components!$K$4:$K$253,"Confirmed",Components!$L$4:$L$253,"OK — verify source"))))&lt;&gt;1)),"Endpoint not source-reconciled",IF(AND(M961="Confirmed",OR(L961="",K961="",K961="Unknown",K961="Low")),"Confirmed link lacks verification","OK — verify source"))))))))))))))</f>
        <v/>
      </c>
    </row>
    <row r="962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6" t="n"/>
      <c r="M962" s="25" t="n"/>
      <c r="N962" s="25">
        <f>IF(COUNTA(A962:M962)=0,"",IF(OR(A962="",B962="",C962="",D962="",E962="",F962="",I962="",J962="",K962="",M962=""),"Required link detail missing",IF(COUNTIF($A$4:$A$1003,A962)&gt;1,"Duplicate Map Edge ID",IF(NOT(OR(AND(B962="UC",E962="CAP",D962="requires"),AND(B962="CAP",E962="AIR",D962="provided by"),AND(B962="AIR",OR(E962="MOD",E962="DATA",E962="IF",E962="AG",E962="TOOL"),D962="references"),AND(B962="AIR",E962="AIR",D962="depends on"))),"Invalid relationship",IF(AND(M962&lt;&gt;"Superseded",COUNTIFS($B$4:$B$1003,B962,$C$4:$C$1003,C962,$D$4:$D$1003,D962,$E$4:$E$1003,E962,$F$4:$F$1003,F962,$G$4:$G$1003,G962,$M$4:$M$1003,"&lt;&gt;Superseded")&gt;1),"Duplicate relationship",IF(OR(IF(B962="UC",COUNTIF('Use cases'!$A$4:$A$253,C962),IF(B962="CAP",COUNTIF(Capabilities!$A$4:$A$253,C962),IF(B962="AIR",COUNTIF('System map'!$A$4:$A$203,C962),COUNTIFS(Components!$A$4:$A$253,C962,Components!$B$4:$B$253,B962))))&lt;&gt;1,IF(E962="UC",COUNTIF('Use cases'!$A$4:$A$253,F962),IF(E962="CAP",COUNTIF(Capabilities!$A$4:$A$253,F962),IF(E962="AIR",COUNTIF('System map'!$A$4:$A$203,F962),COUNTIFS(Components!$A$4:$A$253,F962,Components!$B$4:$B$253,E962))))&lt;&gt;1),"Endpoint missing or duplicated",IF(AND(NOT(AND(B962="UC",E962="CAP")),OR(G962="",COUNTIF('System map'!$A$4:$A$203,G962)&lt;&gt;1)),"AIR context missing / unknown",IF(AND(B962="CAP",E962="AIR",G962&lt;&gt;F962),"AIR context mismatch",IF(AND(B962="AIR",G962&lt;&gt;C962),"AIR context mismatch",IF(AND(B962="AIR",E962="AIR",C962=F962),"Self-dependency",IF(AND(B962="AIR",E962="AIR",M962&lt;&gt;"Superseded",COUNTIFS($B$4:$B$1003,"AIR",$C$4:$C$1003,F962,$E$4:$E$1003,"AIR",$F$4:$F$1003,C962,$M$4:$M$1003,"&lt;&gt;Superseded")&gt;0),"Dependency cycle (A↔B) — review",IF(AND(B962="AIR",OR(E962="MOD",E962="DATA",E962="IF",E962="AG",E962="TOOL"),IFERROR(INDEX(Components!$G$4:$G$253,MATCH(F962,Components!$A$4:$A$253,0)),"")&lt;&gt;"",IFERROR(INDEX(Components!$G$4:$G$253,MATCH(F962,Components!$A$4:$A$253,0)),"")&lt;&gt;C962),"Component owned by another AIR-ID",IF(AND(M962="Confirmed",OR(IF(B962="UC",COUNTIFS('Use cases'!$A$4:$A$253,C962,'Use cases'!$I$4:$I$253,"Confirmed",'Use cases'!$J$4:$J$253,"OK — verify source"),IF(B962="CAP",COUNTIFS(Capabilities!$A$4:$A$253,C962,Capabilities!$J$4:$J$253,"Confirmed",Capabilities!$K$4:$K$253,"OK — verify source"),IF(B962="AIR",COUNTIFS('System map'!$A$4:$A$203,C962,'System map'!$B$4:$B$203,"&lt;&gt;",'System map'!$C$4:$C$203,"&lt;&gt;",'System map'!$D$4:$D$203,"&lt;&gt;"),COUNTIFS(Components!$A$4:$A$253,C962,Components!$B$4:$B$253,B962,Components!$K$4:$K$253,"Confirmed",Components!$L$4:$L$253,"OK — verify source"))))&lt;&gt;1,IF(E962="UC",COUNTIFS('Use cases'!$A$4:$A$253,F962,'Use cases'!$I$4:$I$253,"Confirmed",'Use cases'!$J$4:$J$253,"OK — verify source"),IF(E962="CAP",COUNTIFS(Capabilities!$A$4:$A$253,F962,Capabilities!$J$4:$J$253,"Confirmed",Capabilities!$K$4:$K$253,"OK — verify source"),IF(E962="AIR",COUNTIFS('System map'!$A$4:$A$203,F962,'System map'!$B$4:$B$203,"&lt;&gt;",'System map'!$C$4:$C$203,"&lt;&gt;",'System map'!$D$4:$D$203,"&lt;&gt;"),COUNTIFS(Components!$A$4:$A$253,F962,Components!$B$4:$B$253,E962,Components!$K$4:$K$253,"Confirmed",Components!$L$4:$L$253,"OK — verify source"))))&lt;&gt;1)),"Endpoint not source-reconciled",IF(AND(M962="Confirmed",OR(L962="",K962="",K962="Unknown",K962="Low")),"Confirmed link lacks verification","OK — verify source"))))))))))))))</f>
        <v/>
      </c>
    </row>
    <row r="963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8" t="n"/>
      <c r="M963" s="27" t="n"/>
      <c r="N963" s="27">
        <f>IF(COUNTA(A963:M963)=0,"",IF(OR(A963="",B963="",C963="",D963="",E963="",F963="",I963="",J963="",K963="",M963=""),"Required link detail missing",IF(COUNTIF($A$4:$A$1003,A963)&gt;1,"Duplicate Map Edge ID",IF(NOT(OR(AND(B963="UC",E963="CAP",D963="requires"),AND(B963="CAP",E963="AIR",D963="provided by"),AND(B963="AIR",OR(E963="MOD",E963="DATA",E963="IF",E963="AG",E963="TOOL"),D963="references"),AND(B963="AIR",E963="AIR",D963="depends on"))),"Invalid relationship",IF(AND(M963&lt;&gt;"Superseded",COUNTIFS($B$4:$B$1003,B963,$C$4:$C$1003,C963,$D$4:$D$1003,D963,$E$4:$E$1003,E963,$F$4:$F$1003,F963,$G$4:$G$1003,G963,$M$4:$M$1003,"&lt;&gt;Superseded")&gt;1),"Duplicate relationship",IF(OR(IF(B963="UC",COUNTIF('Use cases'!$A$4:$A$253,C963),IF(B963="CAP",COUNTIF(Capabilities!$A$4:$A$253,C963),IF(B963="AIR",COUNTIF('System map'!$A$4:$A$203,C963),COUNTIFS(Components!$A$4:$A$253,C963,Components!$B$4:$B$253,B963))))&lt;&gt;1,IF(E963="UC",COUNTIF('Use cases'!$A$4:$A$253,F963),IF(E963="CAP",COUNTIF(Capabilities!$A$4:$A$253,F963),IF(E963="AIR",COUNTIF('System map'!$A$4:$A$203,F963),COUNTIFS(Components!$A$4:$A$253,F963,Components!$B$4:$B$253,E963))))&lt;&gt;1),"Endpoint missing or duplicated",IF(AND(NOT(AND(B963="UC",E963="CAP")),OR(G963="",COUNTIF('System map'!$A$4:$A$203,G963)&lt;&gt;1)),"AIR context missing / unknown",IF(AND(B963="CAP",E963="AIR",G963&lt;&gt;F963),"AIR context mismatch",IF(AND(B963="AIR",G963&lt;&gt;C963),"AIR context mismatch",IF(AND(B963="AIR",E963="AIR",C963=F963),"Self-dependency",IF(AND(B963="AIR",E963="AIR",M963&lt;&gt;"Superseded",COUNTIFS($B$4:$B$1003,"AIR",$C$4:$C$1003,F963,$E$4:$E$1003,"AIR",$F$4:$F$1003,C963,$M$4:$M$1003,"&lt;&gt;Superseded")&gt;0),"Dependency cycle (A↔B) — review",IF(AND(B963="AIR",OR(E963="MOD",E963="DATA",E963="IF",E963="AG",E963="TOOL"),IFERROR(INDEX(Components!$G$4:$G$253,MATCH(F963,Components!$A$4:$A$253,0)),"")&lt;&gt;"",IFERROR(INDEX(Components!$G$4:$G$253,MATCH(F963,Components!$A$4:$A$253,0)),"")&lt;&gt;C963),"Component owned by another AIR-ID",IF(AND(M963="Confirmed",OR(IF(B963="UC",COUNTIFS('Use cases'!$A$4:$A$253,C963,'Use cases'!$I$4:$I$253,"Confirmed",'Use cases'!$J$4:$J$253,"OK — verify source"),IF(B963="CAP",COUNTIFS(Capabilities!$A$4:$A$253,C963,Capabilities!$J$4:$J$253,"Confirmed",Capabilities!$K$4:$K$253,"OK — verify source"),IF(B963="AIR",COUNTIFS('System map'!$A$4:$A$203,C963,'System map'!$B$4:$B$203,"&lt;&gt;",'System map'!$C$4:$C$203,"&lt;&gt;",'System map'!$D$4:$D$203,"&lt;&gt;"),COUNTIFS(Components!$A$4:$A$253,C963,Components!$B$4:$B$253,B963,Components!$K$4:$K$253,"Confirmed",Components!$L$4:$L$253,"OK — verify source"))))&lt;&gt;1,IF(E963="UC",COUNTIFS('Use cases'!$A$4:$A$253,F963,'Use cases'!$I$4:$I$253,"Confirmed",'Use cases'!$J$4:$J$253,"OK — verify source"),IF(E963="CAP",COUNTIFS(Capabilities!$A$4:$A$253,F963,Capabilities!$J$4:$J$253,"Confirmed",Capabilities!$K$4:$K$253,"OK — verify source"),IF(E963="AIR",COUNTIFS('System map'!$A$4:$A$203,F963,'System map'!$B$4:$B$203,"&lt;&gt;",'System map'!$C$4:$C$203,"&lt;&gt;",'System map'!$D$4:$D$203,"&lt;&gt;"),COUNTIFS(Components!$A$4:$A$253,F963,Components!$B$4:$B$253,E963,Components!$K$4:$K$253,"Confirmed",Components!$L$4:$L$253,"OK — verify source"))))&lt;&gt;1)),"Endpoint not source-reconciled",IF(AND(M963="Confirmed",OR(L963="",K963="",K963="Unknown",K963="Low")),"Confirmed link lacks verification","OK — verify source"))))))))))))))</f>
        <v/>
      </c>
    </row>
    <row r="9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6" t="n"/>
      <c r="M964" s="25" t="n"/>
      <c r="N964" s="25">
        <f>IF(COUNTA(A964:M964)=0,"",IF(OR(A964="",B964="",C964="",D964="",E964="",F964="",I964="",J964="",K964="",M964=""),"Required link detail missing",IF(COUNTIF($A$4:$A$1003,A964)&gt;1,"Duplicate Map Edge ID",IF(NOT(OR(AND(B964="UC",E964="CAP",D964="requires"),AND(B964="CAP",E964="AIR",D964="provided by"),AND(B964="AIR",OR(E964="MOD",E964="DATA",E964="IF",E964="AG",E964="TOOL"),D964="references"),AND(B964="AIR",E964="AIR",D964="depends on"))),"Invalid relationship",IF(AND(M964&lt;&gt;"Superseded",COUNTIFS($B$4:$B$1003,B964,$C$4:$C$1003,C964,$D$4:$D$1003,D964,$E$4:$E$1003,E964,$F$4:$F$1003,F964,$G$4:$G$1003,G964,$M$4:$M$1003,"&lt;&gt;Superseded")&gt;1),"Duplicate relationship",IF(OR(IF(B964="UC",COUNTIF('Use cases'!$A$4:$A$253,C964),IF(B964="CAP",COUNTIF(Capabilities!$A$4:$A$253,C964),IF(B964="AIR",COUNTIF('System map'!$A$4:$A$203,C964),COUNTIFS(Components!$A$4:$A$253,C964,Components!$B$4:$B$253,B964))))&lt;&gt;1,IF(E964="UC",COUNTIF('Use cases'!$A$4:$A$253,F964),IF(E964="CAP",COUNTIF(Capabilities!$A$4:$A$253,F964),IF(E964="AIR",COUNTIF('System map'!$A$4:$A$203,F964),COUNTIFS(Components!$A$4:$A$253,F964,Components!$B$4:$B$253,E964))))&lt;&gt;1),"Endpoint missing or duplicated",IF(AND(NOT(AND(B964="UC",E964="CAP")),OR(G964="",COUNTIF('System map'!$A$4:$A$203,G964)&lt;&gt;1)),"AIR context missing / unknown",IF(AND(B964="CAP",E964="AIR",G964&lt;&gt;F964),"AIR context mismatch",IF(AND(B964="AIR",G964&lt;&gt;C964),"AIR context mismatch",IF(AND(B964="AIR",E964="AIR",C964=F964),"Self-dependency",IF(AND(B964="AIR",E964="AIR",M964&lt;&gt;"Superseded",COUNTIFS($B$4:$B$1003,"AIR",$C$4:$C$1003,F964,$E$4:$E$1003,"AIR",$F$4:$F$1003,C964,$M$4:$M$1003,"&lt;&gt;Superseded")&gt;0),"Dependency cycle (A↔B) — review",IF(AND(B964="AIR",OR(E964="MOD",E964="DATA",E964="IF",E964="AG",E964="TOOL"),IFERROR(INDEX(Components!$G$4:$G$253,MATCH(F964,Components!$A$4:$A$253,0)),"")&lt;&gt;"",IFERROR(INDEX(Components!$G$4:$G$253,MATCH(F964,Components!$A$4:$A$253,0)),"")&lt;&gt;C964),"Component owned by another AIR-ID",IF(AND(M964="Confirmed",OR(IF(B964="UC",COUNTIFS('Use cases'!$A$4:$A$253,C964,'Use cases'!$I$4:$I$253,"Confirmed",'Use cases'!$J$4:$J$253,"OK — verify source"),IF(B964="CAP",COUNTIFS(Capabilities!$A$4:$A$253,C964,Capabilities!$J$4:$J$253,"Confirmed",Capabilities!$K$4:$K$253,"OK — verify source"),IF(B964="AIR",COUNTIFS('System map'!$A$4:$A$203,C964,'System map'!$B$4:$B$203,"&lt;&gt;",'System map'!$C$4:$C$203,"&lt;&gt;",'System map'!$D$4:$D$203,"&lt;&gt;"),COUNTIFS(Components!$A$4:$A$253,C964,Components!$B$4:$B$253,B964,Components!$K$4:$K$253,"Confirmed",Components!$L$4:$L$253,"OK — verify source"))))&lt;&gt;1,IF(E964="UC",COUNTIFS('Use cases'!$A$4:$A$253,F964,'Use cases'!$I$4:$I$253,"Confirmed",'Use cases'!$J$4:$J$253,"OK — verify source"),IF(E964="CAP",COUNTIFS(Capabilities!$A$4:$A$253,F964,Capabilities!$J$4:$J$253,"Confirmed",Capabilities!$K$4:$K$253,"OK — verify source"),IF(E964="AIR",COUNTIFS('System map'!$A$4:$A$203,F964,'System map'!$B$4:$B$203,"&lt;&gt;",'System map'!$C$4:$C$203,"&lt;&gt;",'System map'!$D$4:$D$203,"&lt;&gt;"),COUNTIFS(Components!$A$4:$A$253,F964,Components!$B$4:$B$253,E964,Components!$K$4:$K$253,"Confirmed",Components!$L$4:$L$253,"OK — verify source"))))&lt;&gt;1)),"Endpoint not source-reconciled",IF(AND(M964="Confirmed",OR(L964="",K964="",K964="Unknown",K964="Low")),"Confirmed link lacks verification","OK — verify source"))))))))))))))</f>
        <v/>
      </c>
    </row>
    <row r="965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8" t="n"/>
      <c r="M965" s="27" t="n"/>
      <c r="N965" s="27">
        <f>IF(COUNTA(A965:M965)=0,"",IF(OR(A965="",B965="",C965="",D965="",E965="",F965="",I965="",J965="",K965="",M965=""),"Required link detail missing",IF(COUNTIF($A$4:$A$1003,A965)&gt;1,"Duplicate Map Edge ID",IF(NOT(OR(AND(B965="UC",E965="CAP",D965="requires"),AND(B965="CAP",E965="AIR",D965="provided by"),AND(B965="AIR",OR(E965="MOD",E965="DATA",E965="IF",E965="AG",E965="TOOL"),D965="references"),AND(B965="AIR",E965="AIR",D965="depends on"))),"Invalid relationship",IF(AND(M965&lt;&gt;"Superseded",COUNTIFS($B$4:$B$1003,B965,$C$4:$C$1003,C965,$D$4:$D$1003,D965,$E$4:$E$1003,E965,$F$4:$F$1003,F965,$G$4:$G$1003,G965,$M$4:$M$1003,"&lt;&gt;Superseded")&gt;1),"Duplicate relationship",IF(OR(IF(B965="UC",COUNTIF('Use cases'!$A$4:$A$253,C965),IF(B965="CAP",COUNTIF(Capabilities!$A$4:$A$253,C965),IF(B965="AIR",COUNTIF('System map'!$A$4:$A$203,C965),COUNTIFS(Components!$A$4:$A$253,C965,Components!$B$4:$B$253,B965))))&lt;&gt;1,IF(E965="UC",COUNTIF('Use cases'!$A$4:$A$253,F965),IF(E965="CAP",COUNTIF(Capabilities!$A$4:$A$253,F965),IF(E965="AIR",COUNTIF('System map'!$A$4:$A$203,F965),COUNTIFS(Components!$A$4:$A$253,F965,Components!$B$4:$B$253,E965))))&lt;&gt;1),"Endpoint missing or duplicated",IF(AND(NOT(AND(B965="UC",E965="CAP")),OR(G965="",COUNTIF('System map'!$A$4:$A$203,G965)&lt;&gt;1)),"AIR context missing / unknown",IF(AND(B965="CAP",E965="AIR",G965&lt;&gt;F965),"AIR context mismatch",IF(AND(B965="AIR",G965&lt;&gt;C965),"AIR context mismatch",IF(AND(B965="AIR",E965="AIR",C965=F965),"Self-dependency",IF(AND(B965="AIR",E965="AIR",M965&lt;&gt;"Superseded",COUNTIFS($B$4:$B$1003,"AIR",$C$4:$C$1003,F965,$E$4:$E$1003,"AIR",$F$4:$F$1003,C965,$M$4:$M$1003,"&lt;&gt;Superseded")&gt;0),"Dependency cycle (A↔B) — review",IF(AND(B965="AIR",OR(E965="MOD",E965="DATA",E965="IF",E965="AG",E965="TOOL"),IFERROR(INDEX(Components!$G$4:$G$253,MATCH(F965,Components!$A$4:$A$253,0)),"")&lt;&gt;"",IFERROR(INDEX(Components!$G$4:$G$253,MATCH(F965,Components!$A$4:$A$253,0)),"")&lt;&gt;C965),"Component owned by another AIR-ID",IF(AND(M965="Confirmed",OR(IF(B965="UC",COUNTIFS('Use cases'!$A$4:$A$253,C965,'Use cases'!$I$4:$I$253,"Confirmed",'Use cases'!$J$4:$J$253,"OK — verify source"),IF(B965="CAP",COUNTIFS(Capabilities!$A$4:$A$253,C965,Capabilities!$J$4:$J$253,"Confirmed",Capabilities!$K$4:$K$253,"OK — verify source"),IF(B965="AIR",COUNTIFS('System map'!$A$4:$A$203,C965,'System map'!$B$4:$B$203,"&lt;&gt;",'System map'!$C$4:$C$203,"&lt;&gt;",'System map'!$D$4:$D$203,"&lt;&gt;"),COUNTIFS(Components!$A$4:$A$253,C965,Components!$B$4:$B$253,B965,Components!$K$4:$K$253,"Confirmed",Components!$L$4:$L$253,"OK — verify source"))))&lt;&gt;1,IF(E965="UC",COUNTIFS('Use cases'!$A$4:$A$253,F965,'Use cases'!$I$4:$I$253,"Confirmed",'Use cases'!$J$4:$J$253,"OK — verify source"),IF(E965="CAP",COUNTIFS(Capabilities!$A$4:$A$253,F965,Capabilities!$J$4:$J$253,"Confirmed",Capabilities!$K$4:$K$253,"OK — verify source"),IF(E965="AIR",COUNTIFS('System map'!$A$4:$A$203,F965,'System map'!$B$4:$B$203,"&lt;&gt;",'System map'!$C$4:$C$203,"&lt;&gt;",'System map'!$D$4:$D$203,"&lt;&gt;"),COUNTIFS(Components!$A$4:$A$253,F965,Components!$B$4:$B$253,E965,Components!$K$4:$K$253,"Confirmed",Components!$L$4:$L$253,"OK — verify source"))))&lt;&gt;1)),"Endpoint not source-reconciled",IF(AND(M965="Confirmed",OR(L965="",K965="",K965="Unknown",K965="Low")),"Confirmed link lacks verification","OK — verify source"))))))))))))))</f>
        <v/>
      </c>
    </row>
    <row r="966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6" t="n"/>
      <c r="M966" s="25" t="n"/>
      <c r="N966" s="25">
        <f>IF(COUNTA(A966:M966)=0,"",IF(OR(A966="",B966="",C966="",D966="",E966="",F966="",I966="",J966="",K966="",M966=""),"Required link detail missing",IF(COUNTIF($A$4:$A$1003,A966)&gt;1,"Duplicate Map Edge ID",IF(NOT(OR(AND(B966="UC",E966="CAP",D966="requires"),AND(B966="CAP",E966="AIR",D966="provided by"),AND(B966="AIR",OR(E966="MOD",E966="DATA",E966="IF",E966="AG",E966="TOOL"),D966="references"),AND(B966="AIR",E966="AIR",D966="depends on"))),"Invalid relationship",IF(AND(M966&lt;&gt;"Superseded",COUNTIFS($B$4:$B$1003,B966,$C$4:$C$1003,C966,$D$4:$D$1003,D966,$E$4:$E$1003,E966,$F$4:$F$1003,F966,$G$4:$G$1003,G966,$M$4:$M$1003,"&lt;&gt;Superseded")&gt;1),"Duplicate relationship",IF(OR(IF(B966="UC",COUNTIF('Use cases'!$A$4:$A$253,C966),IF(B966="CAP",COUNTIF(Capabilities!$A$4:$A$253,C966),IF(B966="AIR",COUNTIF('System map'!$A$4:$A$203,C966),COUNTIFS(Components!$A$4:$A$253,C966,Components!$B$4:$B$253,B966))))&lt;&gt;1,IF(E966="UC",COUNTIF('Use cases'!$A$4:$A$253,F966),IF(E966="CAP",COUNTIF(Capabilities!$A$4:$A$253,F966),IF(E966="AIR",COUNTIF('System map'!$A$4:$A$203,F966),COUNTIFS(Components!$A$4:$A$253,F966,Components!$B$4:$B$253,E966))))&lt;&gt;1),"Endpoint missing or duplicated",IF(AND(NOT(AND(B966="UC",E966="CAP")),OR(G966="",COUNTIF('System map'!$A$4:$A$203,G966)&lt;&gt;1)),"AIR context missing / unknown",IF(AND(B966="CAP",E966="AIR",G966&lt;&gt;F966),"AIR context mismatch",IF(AND(B966="AIR",G966&lt;&gt;C966),"AIR context mismatch",IF(AND(B966="AIR",E966="AIR",C966=F966),"Self-dependency",IF(AND(B966="AIR",E966="AIR",M966&lt;&gt;"Superseded",COUNTIFS($B$4:$B$1003,"AIR",$C$4:$C$1003,F966,$E$4:$E$1003,"AIR",$F$4:$F$1003,C966,$M$4:$M$1003,"&lt;&gt;Superseded")&gt;0),"Dependency cycle (A↔B) — review",IF(AND(B966="AIR",OR(E966="MOD",E966="DATA",E966="IF",E966="AG",E966="TOOL"),IFERROR(INDEX(Components!$G$4:$G$253,MATCH(F966,Components!$A$4:$A$253,0)),"")&lt;&gt;"",IFERROR(INDEX(Components!$G$4:$G$253,MATCH(F966,Components!$A$4:$A$253,0)),"")&lt;&gt;C966),"Component owned by another AIR-ID",IF(AND(M966="Confirmed",OR(IF(B966="UC",COUNTIFS('Use cases'!$A$4:$A$253,C966,'Use cases'!$I$4:$I$253,"Confirmed",'Use cases'!$J$4:$J$253,"OK — verify source"),IF(B966="CAP",COUNTIFS(Capabilities!$A$4:$A$253,C966,Capabilities!$J$4:$J$253,"Confirmed",Capabilities!$K$4:$K$253,"OK — verify source"),IF(B966="AIR",COUNTIFS('System map'!$A$4:$A$203,C966,'System map'!$B$4:$B$203,"&lt;&gt;",'System map'!$C$4:$C$203,"&lt;&gt;",'System map'!$D$4:$D$203,"&lt;&gt;"),COUNTIFS(Components!$A$4:$A$253,C966,Components!$B$4:$B$253,B966,Components!$K$4:$K$253,"Confirmed",Components!$L$4:$L$253,"OK — verify source"))))&lt;&gt;1,IF(E966="UC",COUNTIFS('Use cases'!$A$4:$A$253,F966,'Use cases'!$I$4:$I$253,"Confirmed",'Use cases'!$J$4:$J$253,"OK — verify source"),IF(E966="CAP",COUNTIFS(Capabilities!$A$4:$A$253,F966,Capabilities!$J$4:$J$253,"Confirmed",Capabilities!$K$4:$K$253,"OK — verify source"),IF(E966="AIR",COUNTIFS('System map'!$A$4:$A$203,F966,'System map'!$B$4:$B$203,"&lt;&gt;",'System map'!$C$4:$C$203,"&lt;&gt;",'System map'!$D$4:$D$203,"&lt;&gt;"),COUNTIFS(Components!$A$4:$A$253,F966,Components!$B$4:$B$253,E966,Components!$K$4:$K$253,"Confirmed",Components!$L$4:$L$253,"OK — verify source"))))&lt;&gt;1)),"Endpoint not source-reconciled",IF(AND(M966="Confirmed",OR(L966="",K966="",K966="Unknown",K966="Low")),"Confirmed link lacks verification","OK — verify source"))))))))))))))</f>
        <v/>
      </c>
    </row>
    <row r="967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8" t="n"/>
      <c r="M967" s="27" t="n"/>
      <c r="N967" s="27">
        <f>IF(COUNTA(A967:M967)=0,"",IF(OR(A967="",B967="",C967="",D967="",E967="",F967="",I967="",J967="",K967="",M967=""),"Required link detail missing",IF(COUNTIF($A$4:$A$1003,A967)&gt;1,"Duplicate Map Edge ID",IF(NOT(OR(AND(B967="UC",E967="CAP",D967="requires"),AND(B967="CAP",E967="AIR",D967="provided by"),AND(B967="AIR",OR(E967="MOD",E967="DATA",E967="IF",E967="AG",E967="TOOL"),D967="references"),AND(B967="AIR",E967="AIR",D967="depends on"))),"Invalid relationship",IF(AND(M967&lt;&gt;"Superseded",COUNTIFS($B$4:$B$1003,B967,$C$4:$C$1003,C967,$D$4:$D$1003,D967,$E$4:$E$1003,E967,$F$4:$F$1003,F967,$G$4:$G$1003,G967,$M$4:$M$1003,"&lt;&gt;Superseded")&gt;1),"Duplicate relationship",IF(OR(IF(B967="UC",COUNTIF('Use cases'!$A$4:$A$253,C967),IF(B967="CAP",COUNTIF(Capabilities!$A$4:$A$253,C967),IF(B967="AIR",COUNTIF('System map'!$A$4:$A$203,C967),COUNTIFS(Components!$A$4:$A$253,C967,Components!$B$4:$B$253,B967))))&lt;&gt;1,IF(E967="UC",COUNTIF('Use cases'!$A$4:$A$253,F967),IF(E967="CAP",COUNTIF(Capabilities!$A$4:$A$253,F967),IF(E967="AIR",COUNTIF('System map'!$A$4:$A$203,F967),COUNTIFS(Components!$A$4:$A$253,F967,Components!$B$4:$B$253,E967))))&lt;&gt;1),"Endpoint missing or duplicated",IF(AND(NOT(AND(B967="UC",E967="CAP")),OR(G967="",COUNTIF('System map'!$A$4:$A$203,G967)&lt;&gt;1)),"AIR context missing / unknown",IF(AND(B967="CAP",E967="AIR",G967&lt;&gt;F967),"AIR context mismatch",IF(AND(B967="AIR",G967&lt;&gt;C967),"AIR context mismatch",IF(AND(B967="AIR",E967="AIR",C967=F967),"Self-dependency",IF(AND(B967="AIR",E967="AIR",M967&lt;&gt;"Superseded",COUNTIFS($B$4:$B$1003,"AIR",$C$4:$C$1003,F967,$E$4:$E$1003,"AIR",$F$4:$F$1003,C967,$M$4:$M$1003,"&lt;&gt;Superseded")&gt;0),"Dependency cycle (A↔B) — review",IF(AND(B967="AIR",OR(E967="MOD",E967="DATA",E967="IF",E967="AG",E967="TOOL"),IFERROR(INDEX(Components!$G$4:$G$253,MATCH(F967,Components!$A$4:$A$253,0)),"")&lt;&gt;"",IFERROR(INDEX(Components!$G$4:$G$253,MATCH(F967,Components!$A$4:$A$253,0)),"")&lt;&gt;C967),"Component owned by another AIR-ID",IF(AND(M967="Confirmed",OR(IF(B967="UC",COUNTIFS('Use cases'!$A$4:$A$253,C967,'Use cases'!$I$4:$I$253,"Confirmed",'Use cases'!$J$4:$J$253,"OK — verify source"),IF(B967="CAP",COUNTIFS(Capabilities!$A$4:$A$253,C967,Capabilities!$J$4:$J$253,"Confirmed",Capabilities!$K$4:$K$253,"OK — verify source"),IF(B967="AIR",COUNTIFS('System map'!$A$4:$A$203,C967,'System map'!$B$4:$B$203,"&lt;&gt;",'System map'!$C$4:$C$203,"&lt;&gt;",'System map'!$D$4:$D$203,"&lt;&gt;"),COUNTIFS(Components!$A$4:$A$253,C967,Components!$B$4:$B$253,B967,Components!$K$4:$K$253,"Confirmed",Components!$L$4:$L$253,"OK — verify source"))))&lt;&gt;1,IF(E967="UC",COUNTIFS('Use cases'!$A$4:$A$253,F967,'Use cases'!$I$4:$I$253,"Confirmed",'Use cases'!$J$4:$J$253,"OK — verify source"),IF(E967="CAP",COUNTIFS(Capabilities!$A$4:$A$253,F967,Capabilities!$J$4:$J$253,"Confirmed",Capabilities!$K$4:$K$253,"OK — verify source"),IF(E967="AIR",COUNTIFS('System map'!$A$4:$A$203,F967,'System map'!$B$4:$B$203,"&lt;&gt;",'System map'!$C$4:$C$203,"&lt;&gt;",'System map'!$D$4:$D$203,"&lt;&gt;"),COUNTIFS(Components!$A$4:$A$253,F967,Components!$B$4:$B$253,E967,Components!$K$4:$K$253,"Confirmed",Components!$L$4:$L$253,"OK — verify source"))))&lt;&gt;1)),"Endpoint not source-reconciled",IF(AND(M967="Confirmed",OR(L967="",K967="",K967="Unknown",K967="Low")),"Confirmed link lacks verification","OK — verify source"))))))))))))))</f>
        <v/>
      </c>
    </row>
    <row r="968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6" t="n"/>
      <c r="M968" s="25" t="n"/>
      <c r="N968" s="25">
        <f>IF(COUNTA(A968:M968)=0,"",IF(OR(A968="",B968="",C968="",D968="",E968="",F968="",I968="",J968="",K968="",M968=""),"Required link detail missing",IF(COUNTIF($A$4:$A$1003,A968)&gt;1,"Duplicate Map Edge ID",IF(NOT(OR(AND(B968="UC",E968="CAP",D968="requires"),AND(B968="CAP",E968="AIR",D968="provided by"),AND(B968="AIR",OR(E968="MOD",E968="DATA",E968="IF",E968="AG",E968="TOOL"),D968="references"),AND(B968="AIR",E968="AIR",D968="depends on"))),"Invalid relationship",IF(AND(M968&lt;&gt;"Superseded",COUNTIFS($B$4:$B$1003,B968,$C$4:$C$1003,C968,$D$4:$D$1003,D968,$E$4:$E$1003,E968,$F$4:$F$1003,F968,$G$4:$G$1003,G968,$M$4:$M$1003,"&lt;&gt;Superseded")&gt;1),"Duplicate relationship",IF(OR(IF(B968="UC",COUNTIF('Use cases'!$A$4:$A$253,C968),IF(B968="CAP",COUNTIF(Capabilities!$A$4:$A$253,C968),IF(B968="AIR",COUNTIF('System map'!$A$4:$A$203,C968),COUNTIFS(Components!$A$4:$A$253,C968,Components!$B$4:$B$253,B968))))&lt;&gt;1,IF(E968="UC",COUNTIF('Use cases'!$A$4:$A$253,F968),IF(E968="CAP",COUNTIF(Capabilities!$A$4:$A$253,F968),IF(E968="AIR",COUNTIF('System map'!$A$4:$A$203,F968),COUNTIFS(Components!$A$4:$A$253,F968,Components!$B$4:$B$253,E968))))&lt;&gt;1),"Endpoint missing or duplicated",IF(AND(NOT(AND(B968="UC",E968="CAP")),OR(G968="",COUNTIF('System map'!$A$4:$A$203,G968)&lt;&gt;1)),"AIR context missing / unknown",IF(AND(B968="CAP",E968="AIR",G968&lt;&gt;F968),"AIR context mismatch",IF(AND(B968="AIR",G968&lt;&gt;C968),"AIR context mismatch",IF(AND(B968="AIR",E968="AIR",C968=F968),"Self-dependency",IF(AND(B968="AIR",E968="AIR",M968&lt;&gt;"Superseded",COUNTIFS($B$4:$B$1003,"AIR",$C$4:$C$1003,F968,$E$4:$E$1003,"AIR",$F$4:$F$1003,C968,$M$4:$M$1003,"&lt;&gt;Superseded")&gt;0),"Dependency cycle (A↔B) — review",IF(AND(B968="AIR",OR(E968="MOD",E968="DATA",E968="IF",E968="AG",E968="TOOL"),IFERROR(INDEX(Components!$G$4:$G$253,MATCH(F968,Components!$A$4:$A$253,0)),"")&lt;&gt;"",IFERROR(INDEX(Components!$G$4:$G$253,MATCH(F968,Components!$A$4:$A$253,0)),"")&lt;&gt;C968),"Component owned by another AIR-ID",IF(AND(M968="Confirmed",OR(IF(B968="UC",COUNTIFS('Use cases'!$A$4:$A$253,C968,'Use cases'!$I$4:$I$253,"Confirmed",'Use cases'!$J$4:$J$253,"OK — verify source"),IF(B968="CAP",COUNTIFS(Capabilities!$A$4:$A$253,C968,Capabilities!$J$4:$J$253,"Confirmed",Capabilities!$K$4:$K$253,"OK — verify source"),IF(B968="AIR",COUNTIFS('System map'!$A$4:$A$203,C968,'System map'!$B$4:$B$203,"&lt;&gt;",'System map'!$C$4:$C$203,"&lt;&gt;",'System map'!$D$4:$D$203,"&lt;&gt;"),COUNTIFS(Components!$A$4:$A$253,C968,Components!$B$4:$B$253,B968,Components!$K$4:$K$253,"Confirmed",Components!$L$4:$L$253,"OK — verify source"))))&lt;&gt;1,IF(E968="UC",COUNTIFS('Use cases'!$A$4:$A$253,F968,'Use cases'!$I$4:$I$253,"Confirmed",'Use cases'!$J$4:$J$253,"OK — verify source"),IF(E968="CAP",COUNTIFS(Capabilities!$A$4:$A$253,F968,Capabilities!$J$4:$J$253,"Confirmed",Capabilities!$K$4:$K$253,"OK — verify source"),IF(E968="AIR",COUNTIFS('System map'!$A$4:$A$203,F968,'System map'!$B$4:$B$203,"&lt;&gt;",'System map'!$C$4:$C$203,"&lt;&gt;",'System map'!$D$4:$D$203,"&lt;&gt;"),COUNTIFS(Components!$A$4:$A$253,F968,Components!$B$4:$B$253,E968,Components!$K$4:$K$253,"Confirmed",Components!$L$4:$L$253,"OK — verify source"))))&lt;&gt;1)),"Endpoint not source-reconciled",IF(AND(M968="Confirmed",OR(L968="",K968="",K968="Unknown",K968="Low")),"Confirmed link lacks verification","OK — verify source"))))))))))))))</f>
        <v/>
      </c>
    </row>
    <row r="969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8" t="n"/>
      <c r="M969" s="27" t="n"/>
      <c r="N969" s="27">
        <f>IF(COUNTA(A969:M969)=0,"",IF(OR(A969="",B969="",C969="",D969="",E969="",F969="",I969="",J969="",K969="",M969=""),"Required link detail missing",IF(COUNTIF($A$4:$A$1003,A969)&gt;1,"Duplicate Map Edge ID",IF(NOT(OR(AND(B969="UC",E969="CAP",D969="requires"),AND(B969="CAP",E969="AIR",D969="provided by"),AND(B969="AIR",OR(E969="MOD",E969="DATA",E969="IF",E969="AG",E969="TOOL"),D969="references"),AND(B969="AIR",E969="AIR",D969="depends on"))),"Invalid relationship",IF(AND(M969&lt;&gt;"Superseded",COUNTIFS($B$4:$B$1003,B969,$C$4:$C$1003,C969,$D$4:$D$1003,D969,$E$4:$E$1003,E969,$F$4:$F$1003,F969,$G$4:$G$1003,G969,$M$4:$M$1003,"&lt;&gt;Superseded")&gt;1),"Duplicate relationship",IF(OR(IF(B969="UC",COUNTIF('Use cases'!$A$4:$A$253,C969),IF(B969="CAP",COUNTIF(Capabilities!$A$4:$A$253,C969),IF(B969="AIR",COUNTIF('System map'!$A$4:$A$203,C969),COUNTIFS(Components!$A$4:$A$253,C969,Components!$B$4:$B$253,B969))))&lt;&gt;1,IF(E969="UC",COUNTIF('Use cases'!$A$4:$A$253,F969),IF(E969="CAP",COUNTIF(Capabilities!$A$4:$A$253,F969),IF(E969="AIR",COUNTIF('System map'!$A$4:$A$203,F969),COUNTIFS(Components!$A$4:$A$253,F969,Components!$B$4:$B$253,E969))))&lt;&gt;1),"Endpoint missing or duplicated",IF(AND(NOT(AND(B969="UC",E969="CAP")),OR(G969="",COUNTIF('System map'!$A$4:$A$203,G969)&lt;&gt;1)),"AIR context missing / unknown",IF(AND(B969="CAP",E969="AIR",G969&lt;&gt;F969),"AIR context mismatch",IF(AND(B969="AIR",G969&lt;&gt;C969),"AIR context mismatch",IF(AND(B969="AIR",E969="AIR",C969=F969),"Self-dependency",IF(AND(B969="AIR",E969="AIR",M969&lt;&gt;"Superseded",COUNTIFS($B$4:$B$1003,"AIR",$C$4:$C$1003,F969,$E$4:$E$1003,"AIR",$F$4:$F$1003,C969,$M$4:$M$1003,"&lt;&gt;Superseded")&gt;0),"Dependency cycle (A↔B) — review",IF(AND(B969="AIR",OR(E969="MOD",E969="DATA",E969="IF",E969="AG",E969="TOOL"),IFERROR(INDEX(Components!$G$4:$G$253,MATCH(F969,Components!$A$4:$A$253,0)),"")&lt;&gt;"",IFERROR(INDEX(Components!$G$4:$G$253,MATCH(F969,Components!$A$4:$A$253,0)),"")&lt;&gt;C969),"Component owned by another AIR-ID",IF(AND(M969="Confirmed",OR(IF(B969="UC",COUNTIFS('Use cases'!$A$4:$A$253,C969,'Use cases'!$I$4:$I$253,"Confirmed",'Use cases'!$J$4:$J$253,"OK — verify source"),IF(B969="CAP",COUNTIFS(Capabilities!$A$4:$A$253,C969,Capabilities!$J$4:$J$253,"Confirmed",Capabilities!$K$4:$K$253,"OK — verify source"),IF(B969="AIR",COUNTIFS('System map'!$A$4:$A$203,C969,'System map'!$B$4:$B$203,"&lt;&gt;",'System map'!$C$4:$C$203,"&lt;&gt;",'System map'!$D$4:$D$203,"&lt;&gt;"),COUNTIFS(Components!$A$4:$A$253,C969,Components!$B$4:$B$253,B969,Components!$K$4:$K$253,"Confirmed",Components!$L$4:$L$253,"OK — verify source"))))&lt;&gt;1,IF(E969="UC",COUNTIFS('Use cases'!$A$4:$A$253,F969,'Use cases'!$I$4:$I$253,"Confirmed",'Use cases'!$J$4:$J$253,"OK — verify source"),IF(E969="CAP",COUNTIFS(Capabilities!$A$4:$A$253,F969,Capabilities!$J$4:$J$253,"Confirmed",Capabilities!$K$4:$K$253,"OK — verify source"),IF(E969="AIR",COUNTIFS('System map'!$A$4:$A$203,F969,'System map'!$B$4:$B$203,"&lt;&gt;",'System map'!$C$4:$C$203,"&lt;&gt;",'System map'!$D$4:$D$203,"&lt;&gt;"),COUNTIFS(Components!$A$4:$A$253,F969,Components!$B$4:$B$253,E969,Components!$K$4:$K$253,"Confirmed",Components!$L$4:$L$253,"OK — verify source"))))&lt;&gt;1)),"Endpoint not source-reconciled",IF(AND(M969="Confirmed",OR(L969="",K969="",K969="Unknown",K969="Low")),"Confirmed link lacks verification","OK — verify source"))))))))))))))</f>
        <v/>
      </c>
    </row>
    <row r="970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6" t="n"/>
      <c r="M970" s="25" t="n"/>
      <c r="N970" s="25">
        <f>IF(COUNTA(A970:M970)=0,"",IF(OR(A970="",B970="",C970="",D970="",E970="",F970="",I970="",J970="",K970="",M970=""),"Required link detail missing",IF(COUNTIF($A$4:$A$1003,A970)&gt;1,"Duplicate Map Edge ID",IF(NOT(OR(AND(B970="UC",E970="CAP",D970="requires"),AND(B970="CAP",E970="AIR",D970="provided by"),AND(B970="AIR",OR(E970="MOD",E970="DATA",E970="IF",E970="AG",E970="TOOL"),D970="references"),AND(B970="AIR",E970="AIR",D970="depends on"))),"Invalid relationship",IF(AND(M970&lt;&gt;"Superseded",COUNTIFS($B$4:$B$1003,B970,$C$4:$C$1003,C970,$D$4:$D$1003,D970,$E$4:$E$1003,E970,$F$4:$F$1003,F970,$G$4:$G$1003,G970,$M$4:$M$1003,"&lt;&gt;Superseded")&gt;1),"Duplicate relationship",IF(OR(IF(B970="UC",COUNTIF('Use cases'!$A$4:$A$253,C970),IF(B970="CAP",COUNTIF(Capabilities!$A$4:$A$253,C970),IF(B970="AIR",COUNTIF('System map'!$A$4:$A$203,C970),COUNTIFS(Components!$A$4:$A$253,C970,Components!$B$4:$B$253,B970))))&lt;&gt;1,IF(E970="UC",COUNTIF('Use cases'!$A$4:$A$253,F970),IF(E970="CAP",COUNTIF(Capabilities!$A$4:$A$253,F970),IF(E970="AIR",COUNTIF('System map'!$A$4:$A$203,F970),COUNTIFS(Components!$A$4:$A$253,F970,Components!$B$4:$B$253,E970))))&lt;&gt;1),"Endpoint missing or duplicated",IF(AND(NOT(AND(B970="UC",E970="CAP")),OR(G970="",COUNTIF('System map'!$A$4:$A$203,G970)&lt;&gt;1)),"AIR context missing / unknown",IF(AND(B970="CAP",E970="AIR",G970&lt;&gt;F970),"AIR context mismatch",IF(AND(B970="AIR",G970&lt;&gt;C970),"AIR context mismatch",IF(AND(B970="AIR",E970="AIR",C970=F970),"Self-dependency",IF(AND(B970="AIR",E970="AIR",M970&lt;&gt;"Superseded",COUNTIFS($B$4:$B$1003,"AIR",$C$4:$C$1003,F970,$E$4:$E$1003,"AIR",$F$4:$F$1003,C970,$M$4:$M$1003,"&lt;&gt;Superseded")&gt;0),"Dependency cycle (A↔B) — review",IF(AND(B970="AIR",OR(E970="MOD",E970="DATA",E970="IF",E970="AG",E970="TOOL"),IFERROR(INDEX(Components!$G$4:$G$253,MATCH(F970,Components!$A$4:$A$253,0)),"")&lt;&gt;"",IFERROR(INDEX(Components!$G$4:$G$253,MATCH(F970,Components!$A$4:$A$253,0)),"")&lt;&gt;C970),"Component owned by another AIR-ID",IF(AND(M970="Confirmed",OR(IF(B970="UC",COUNTIFS('Use cases'!$A$4:$A$253,C970,'Use cases'!$I$4:$I$253,"Confirmed",'Use cases'!$J$4:$J$253,"OK — verify source"),IF(B970="CAP",COUNTIFS(Capabilities!$A$4:$A$253,C970,Capabilities!$J$4:$J$253,"Confirmed",Capabilities!$K$4:$K$253,"OK — verify source"),IF(B970="AIR",COUNTIFS('System map'!$A$4:$A$203,C970,'System map'!$B$4:$B$203,"&lt;&gt;",'System map'!$C$4:$C$203,"&lt;&gt;",'System map'!$D$4:$D$203,"&lt;&gt;"),COUNTIFS(Components!$A$4:$A$253,C970,Components!$B$4:$B$253,B970,Components!$K$4:$K$253,"Confirmed",Components!$L$4:$L$253,"OK — verify source"))))&lt;&gt;1,IF(E970="UC",COUNTIFS('Use cases'!$A$4:$A$253,F970,'Use cases'!$I$4:$I$253,"Confirmed",'Use cases'!$J$4:$J$253,"OK — verify source"),IF(E970="CAP",COUNTIFS(Capabilities!$A$4:$A$253,F970,Capabilities!$J$4:$J$253,"Confirmed",Capabilities!$K$4:$K$253,"OK — verify source"),IF(E970="AIR",COUNTIFS('System map'!$A$4:$A$203,F970,'System map'!$B$4:$B$203,"&lt;&gt;",'System map'!$C$4:$C$203,"&lt;&gt;",'System map'!$D$4:$D$203,"&lt;&gt;"),COUNTIFS(Components!$A$4:$A$253,F970,Components!$B$4:$B$253,E970,Components!$K$4:$K$253,"Confirmed",Components!$L$4:$L$253,"OK — verify source"))))&lt;&gt;1)),"Endpoint not source-reconciled",IF(AND(M970="Confirmed",OR(L970="",K970="",K970="Unknown",K970="Low")),"Confirmed link lacks verification","OK — verify source"))))))))))))))</f>
        <v/>
      </c>
    </row>
    <row r="971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8" t="n"/>
      <c r="M971" s="27" t="n"/>
      <c r="N971" s="27">
        <f>IF(COUNTA(A971:M971)=0,"",IF(OR(A971="",B971="",C971="",D971="",E971="",F971="",I971="",J971="",K971="",M971=""),"Required link detail missing",IF(COUNTIF($A$4:$A$1003,A971)&gt;1,"Duplicate Map Edge ID",IF(NOT(OR(AND(B971="UC",E971="CAP",D971="requires"),AND(B971="CAP",E971="AIR",D971="provided by"),AND(B971="AIR",OR(E971="MOD",E971="DATA",E971="IF",E971="AG",E971="TOOL"),D971="references"),AND(B971="AIR",E971="AIR",D971="depends on"))),"Invalid relationship",IF(AND(M971&lt;&gt;"Superseded",COUNTIFS($B$4:$B$1003,B971,$C$4:$C$1003,C971,$D$4:$D$1003,D971,$E$4:$E$1003,E971,$F$4:$F$1003,F971,$G$4:$G$1003,G971,$M$4:$M$1003,"&lt;&gt;Superseded")&gt;1),"Duplicate relationship",IF(OR(IF(B971="UC",COUNTIF('Use cases'!$A$4:$A$253,C971),IF(B971="CAP",COUNTIF(Capabilities!$A$4:$A$253,C971),IF(B971="AIR",COUNTIF('System map'!$A$4:$A$203,C971),COUNTIFS(Components!$A$4:$A$253,C971,Components!$B$4:$B$253,B971))))&lt;&gt;1,IF(E971="UC",COUNTIF('Use cases'!$A$4:$A$253,F971),IF(E971="CAP",COUNTIF(Capabilities!$A$4:$A$253,F971),IF(E971="AIR",COUNTIF('System map'!$A$4:$A$203,F971),COUNTIFS(Components!$A$4:$A$253,F971,Components!$B$4:$B$253,E971))))&lt;&gt;1),"Endpoint missing or duplicated",IF(AND(NOT(AND(B971="UC",E971="CAP")),OR(G971="",COUNTIF('System map'!$A$4:$A$203,G971)&lt;&gt;1)),"AIR context missing / unknown",IF(AND(B971="CAP",E971="AIR",G971&lt;&gt;F971),"AIR context mismatch",IF(AND(B971="AIR",G971&lt;&gt;C971),"AIR context mismatch",IF(AND(B971="AIR",E971="AIR",C971=F971),"Self-dependency",IF(AND(B971="AIR",E971="AIR",M971&lt;&gt;"Superseded",COUNTIFS($B$4:$B$1003,"AIR",$C$4:$C$1003,F971,$E$4:$E$1003,"AIR",$F$4:$F$1003,C971,$M$4:$M$1003,"&lt;&gt;Superseded")&gt;0),"Dependency cycle (A↔B) — review",IF(AND(B971="AIR",OR(E971="MOD",E971="DATA",E971="IF",E971="AG",E971="TOOL"),IFERROR(INDEX(Components!$G$4:$G$253,MATCH(F971,Components!$A$4:$A$253,0)),"")&lt;&gt;"",IFERROR(INDEX(Components!$G$4:$G$253,MATCH(F971,Components!$A$4:$A$253,0)),"")&lt;&gt;C971),"Component owned by another AIR-ID",IF(AND(M971="Confirmed",OR(IF(B971="UC",COUNTIFS('Use cases'!$A$4:$A$253,C971,'Use cases'!$I$4:$I$253,"Confirmed",'Use cases'!$J$4:$J$253,"OK — verify source"),IF(B971="CAP",COUNTIFS(Capabilities!$A$4:$A$253,C971,Capabilities!$J$4:$J$253,"Confirmed",Capabilities!$K$4:$K$253,"OK — verify source"),IF(B971="AIR",COUNTIFS('System map'!$A$4:$A$203,C971,'System map'!$B$4:$B$203,"&lt;&gt;",'System map'!$C$4:$C$203,"&lt;&gt;",'System map'!$D$4:$D$203,"&lt;&gt;"),COUNTIFS(Components!$A$4:$A$253,C971,Components!$B$4:$B$253,B971,Components!$K$4:$K$253,"Confirmed",Components!$L$4:$L$253,"OK — verify source"))))&lt;&gt;1,IF(E971="UC",COUNTIFS('Use cases'!$A$4:$A$253,F971,'Use cases'!$I$4:$I$253,"Confirmed",'Use cases'!$J$4:$J$253,"OK — verify source"),IF(E971="CAP",COUNTIFS(Capabilities!$A$4:$A$253,F971,Capabilities!$J$4:$J$253,"Confirmed",Capabilities!$K$4:$K$253,"OK — verify source"),IF(E971="AIR",COUNTIFS('System map'!$A$4:$A$203,F971,'System map'!$B$4:$B$203,"&lt;&gt;",'System map'!$C$4:$C$203,"&lt;&gt;",'System map'!$D$4:$D$203,"&lt;&gt;"),COUNTIFS(Components!$A$4:$A$253,F971,Components!$B$4:$B$253,E971,Components!$K$4:$K$253,"Confirmed",Components!$L$4:$L$253,"OK — verify source"))))&lt;&gt;1)),"Endpoint not source-reconciled",IF(AND(M971="Confirmed",OR(L971="",K971="",K971="Unknown",K971="Low")),"Confirmed link lacks verification","OK — verify source"))))))))))))))</f>
        <v/>
      </c>
    </row>
    <row r="972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6" t="n"/>
      <c r="M972" s="25" t="n"/>
      <c r="N972" s="25">
        <f>IF(COUNTA(A972:M972)=0,"",IF(OR(A972="",B972="",C972="",D972="",E972="",F972="",I972="",J972="",K972="",M972=""),"Required link detail missing",IF(COUNTIF($A$4:$A$1003,A972)&gt;1,"Duplicate Map Edge ID",IF(NOT(OR(AND(B972="UC",E972="CAP",D972="requires"),AND(B972="CAP",E972="AIR",D972="provided by"),AND(B972="AIR",OR(E972="MOD",E972="DATA",E972="IF",E972="AG",E972="TOOL"),D972="references"),AND(B972="AIR",E972="AIR",D972="depends on"))),"Invalid relationship",IF(AND(M972&lt;&gt;"Superseded",COUNTIFS($B$4:$B$1003,B972,$C$4:$C$1003,C972,$D$4:$D$1003,D972,$E$4:$E$1003,E972,$F$4:$F$1003,F972,$G$4:$G$1003,G972,$M$4:$M$1003,"&lt;&gt;Superseded")&gt;1),"Duplicate relationship",IF(OR(IF(B972="UC",COUNTIF('Use cases'!$A$4:$A$253,C972),IF(B972="CAP",COUNTIF(Capabilities!$A$4:$A$253,C972),IF(B972="AIR",COUNTIF('System map'!$A$4:$A$203,C972),COUNTIFS(Components!$A$4:$A$253,C972,Components!$B$4:$B$253,B972))))&lt;&gt;1,IF(E972="UC",COUNTIF('Use cases'!$A$4:$A$253,F972),IF(E972="CAP",COUNTIF(Capabilities!$A$4:$A$253,F972),IF(E972="AIR",COUNTIF('System map'!$A$4:$A$203,F972),COUNTIFS(Components!$A$4:$A$253,F972,Components!$B$4:$B$253,E972))))&lt;&gt;1),"Endpoint missing or duplicated",IF(AND(NOT(AND(B972="UC",E972="CAP")),OR(G972="",COUNTIF('System map'!$A$4:$A$203,G972)&lt;&gt;1)),"AIR context missing / unknown",IF(AND(B972="CAP",E972="AIR",G972&lt;&gt;F972),"AIR context mismatch",IF(AND(B972="AIR",G972&lt;&gt;C972),"AIR context mismatch",IF(AND(B972="AIR",E972="AIR",C972=F972),"Self-dependency",IF(AND(B972="AIR",E972="AIR",M972&lt;&gt;"Superseded",COUNTIFS($B$4:$B$1003,"AIR",$C$4:$C$1003,F972,$E$4:$E$1003,"AIR",$F$4:$F$1003,C972,$M$4:$M$1003,"&lt;&gt;Superseded")&gt;0),"Dependency cycle (A↔B) — review",IF(AND(B972="AIR",OR(E972="MOD",E972="DATA",E972="IF",E972="AG",E972="TOOL"),IFERROR(INDEX(Components!$G$4:$G$253,MATCH(F972,Components!$A$4:$A$253,0)),"")&lt;&gt;"",IFERROR(INDEX(Components!$G$4:$G$253,MATCH(F972,Components!$A$4:$A$253,0)),"")&lt;&gt;C972),"Component owned by another AIR-ID",IF(AND(M972="Confirmed",OR(IF(B972="UC",COUNTIFS('Use cases'!$A$4:$A$253,C972,'Use cases'!$I$4:$I$253,"Confirmed",'Use cases'!$J$4:$J$253,"OK — verify source"),IF(B972="CAP",COUNTIFS(Capabilities!$A$4:$A$253,C972,Capabilities!$J$4:$J$253,"Confirmed",Capabilities!$K$4:$K$253,"OK — verify source"),IF(B972="AIR",COUNTIFS('System map'!$A$4:$A$203,C972,'System map'!$B$4:$B$203,"&lt;&gt;",'System map'!$C$4:$C$203,"&lt;&gt;",'System map'!$D$4:$D$203,"&lt;&gt;"),COUNTIFS(Components!$A$4:$A$253,C972,Components!$B$4:$B$253,B972,Components!$K$4:$K$253,"Confirmed",Components!$L$4:$L$253,"OK — verify source"))))&lt;&gt;1,IF(E972="UC",COUNTIFS('Use cases'!$A$4:$A$253,F972,'Use cases'!$I$4:$I$253,"Confirmed",'Use cases'!$J$4:$J$253,"OK — verify source"),IF(E972="CAP",COUNTIFS(Capabilities!$A$4:$A$253,F972,Capabilities!$J$4:$J$253,"Confirmed",Capabilities!$K$4:$K$253,"OK — verify source"),IF(E972="AIR",COUNTIFS('System map'!$A$4:$A$203,F972,'System map'!$B$4:$B$203,"&lt;&gt;",'System map'!$C$4:$C$203,"&lt;&gt;",'System map'!$D$4:$D$203,"&lt;&gt;"),COUNTIFS(Components!$A$4:$A$253,F972,Components!$B$4:$B$253,E972,Components!$K$4:$K$253,"Confirmed",Components!$L$4:$L$253,"OK — verify source"))))&lt;&gt;1)),"Endpoint not source-reconciled",IF(AND(M972="Confirmed",OR(L972="",K972="",K972="Unknown",K972="Low")),"Confirmed link lacks verification","OK — verify source"))))))))))))))</f>
        <v/>
      </c>
    </row>
    <row r="973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8" t="n"/>
      <c r="M973" s="27" t="n"/>
      <c r="N973" s="27">
        <f>IF(COUNTA(A973:M973)=0,"",IF(OR(A973="",B973="",C973="",D973="",E973="",F973="",I973="",J973="",K973="",M973=""),"Required link detail missing",IF(COUNTIF($A$4:$A$1003,A973)&gt;1,"Duplicate Map Edge ID",IF(NOT(OR(AND(B973="UC",E973="CAP",D973="requires"),AND(B973="CAP",E973="AIR",D973="provided by"),AND(B973="AIR",OR(E973="MOD",E973="DATA",E973="IF",E973="AG",E973="TOOL"),D973="references"),AND(B973="AIR",E973="AIR",D973="depends on"))),"Invalid relationship",IF(AND(M973&lt;&gt;"Superseded",COUNTIFS($B$4:$B$1003,B973,$C$4:$C$1003,C973,$D$4:$D$1003,D973,$E$4:$E$1003,E973,$F$4:$F$1003,F973,$G$4:$G$1003,G973,$M$4:$M$1003,"&lt;&gt;Superseded")&gt;1),"Duplicate relationship",IF(OR(IF(B973="UC",COUNTIF('Use cases'!$A$4:$A$253,C973),IF(B973="CAP",COUNTIF(Capabilities!$A$4:$A$253,C973),IF(B973="AIR",COUNTIF('System map'!$A$4:$A$203,C973),COUNTIFS(Components!$A$4:$A$253,C973,Components!$B$4:$B$253,B973))))&lt;&gt;1,IF(E973="UC",COUNTIF('Use cases'!$A$4:$A$253,F973),IF(E973="CAP",COUNTIF(Capabilities!$A$4:$A$253,F973),IF(E973="AIR",COUNTIF('System map'!$A$4:$A$203,F973),COUNTIFS(Components!$A$4:$A$253,F973,Components!$B$4:$B$253,E973))))&lt;&gt;1),"Endpoint missing or duplicated",IF(AND(NOT(AND(B973="UC",E973="CAP")),OR(G973="",COUNTIF('System map'!$A$4:$A$203,G973)&lt;&gt;1)),"AIR context missing / unknown",IF(AND(B973="CAP",E973="AIR",G973&lt;&gt;F973),"AIR context mismatch",IF(AND(B973="AIR",G973&lt;&gt;C973),"AIR context mismatch",IF(AND(B973="AIR",E973="AIR",C973=F973),"Self-dependency",IF(AND(B973="AIR",E973="AIR",M973&lt;&gt;"Superseded",COUNTIFS($B$4:$B$1003,"AIR",$C$4:$C$1003,F973,$E$4:$E$1003,"AIR",$F$4:$F$1003,C973,$M$4:$M$1003,"&lt;&gt;Superseded")&gt;0),"Dependency cycle (A↔B) — review",IF(AND(B973="AIR",OR(E973="MOD",E973="DATA",E973="IF",E973="AG",E973="TOOL"),IFERROR(INDEX(Components!$G$4:$G$253,MATCH(F973,Components!$A$4:$A$253,0)),"")&lt;&gt;"",IFERROR(INDEX(Components!$G$4:$G$253,MATCH(F973,Components!$A$4:$A$253,0)),"")&lt;&gt;C973),"Component owned by another AIR-ID",IF(AND(M973="Confirmed",OR(IF(B973="UC",COUNTIFS('Use cases'!$A$4:$A$253,C973,'Use cases'!$I$4:$I$253,"Confirmed",'Use cases'!$J$4:$J$253,"OK — verify source"),IF(B973="CAP",COUNTIFS(Capabilities!$A$4:$A$253,C973,Capabilities!$J$4:$J$253,"Confirmed",Capabilities!$K$4:$K$253,"OK — verify source"),IF(B973="AIR",COUNTIFS('System map'!$A$4:$A$203,C973,'System map'!$B$4:$B$203,"&lt;&gt;",'System map'!$C$4:$C$203,"&lt;&gt;",'System map'!$D$4:$D$203,"&lt;&gt;"),COUNTIFS(Components!$A$4:$A$253,C973,Components!$B$4:$B$253,B973,Components!$K$4:$K$253,"Confirmed",Components!$L$4:$L$253,"OK — verify source"))))&lt;&gt;1,IF(E973="UC",COUNTIFS('Use cases'!$A$4:$A$253,F973,'Use cases'!$I$4:$I$253,"Confirmed",'Use cases'!$J$4:$J$253,"OK — verify source"),IF(E973="CAP",COUNTIFS(Capabilities!$A$4:$A$253,F973,Capabilities!$J$4:$J$253,"Confirmed",Capabilities!$K$4:$K$253,"OK — verify source"),IF(E973="AIR",COUNTIFS('System map'!$A$4:$A$203,F973,'System map'!$B$4:$B$203,"&lt;&gt;",'System map'!$C$4:$C$203,"&lt;&gt;",'System map'!$D$4:$D$203,"&lt;&gt;"),COUNTIFS(Components!$A$4:$A$253,F973,Components!$B$4:$B$253,E973,Components!$K$4:$K$253,"Confirmed",Components!$L$4:$L$253,"OK — verify source"))))&lt;&gt;1)),"Endpoint not source-reconciled",IF(AND(M973="Confirmed",OR(L973="",K973="",K973="Unknown",K973="Low")),"Confirmed link lacks verification","OK — verify source"))))))))))))))</f>
        <v/>
      </c>
    </row>
    <row r="97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6" t="n"/>
      <c r="M974" s="25" t="n"/>
      <c r="N974" s="25">
        <f>IF(COUNTA(A974:M974)=0,"",IF(OR(A974="",B974="",C974="",D974="",E974="",F974="",I974="",J974="",K974="",M974=""),"Required link detail missing",IF(COUNTIF($A$4:$A$1003,A974)&gt;1,"Duplicate Map Edge ID",IF(NOT(OR(AND(B974="UC",E974="CAP",D974="requires"),AND(B974="CAP",E974="AIR",D974="provided by"),AND(B974="AIR",OR(E974="MOD",E974="DATA",E974="IF",E974="AG",E974="TOOL"),D974="references"),AND(B974="AIR",E974="AIR",D974="depends on"))),"Invalid relationship",IF(AND(M974&lt;&gt;"Superseded",COUNTIFS($B$4:$B$1003,B974,$C$4:$C$1003,C974,$D$4:$D$1003,D974,$E$4:$E$1003,E974,$F$4:$F$1003,F974,$G$4:$G$1003,G974,$M$4:$M$1003,"&lt;&gt;Superseded")&gt;1),"Duplicate relationship",IF(OR(IF(B974="UC",COUNTIF('Use cases'!$A$4:$A$253,C974),IF(B974="CAP",COUNTIF(Capabilities!$A$4:$A$253,C974),IF(B974="AIR",COUNTIF('System map'!$A$4:$A$203,C974),COUNTIFS(Components!$A$4:$A$253,C974,Components!$B$4:$B$253,B974))))&lt;&gt;1,IF(E974="UC",COUNTIF('Use cases'!$A$4:$A$253,F974),IF(E974="CAP",COUNTIF(Capabilities!$A$4:$A$253,F974),IF(E974="AIR",COUNTIF('System map'!$A$4:$A$203,F974),COUNTIFS(Components!$A$4:$A$253,F974,Components!$B$4:$B$253,E974))))&lt;&gt;1),"Endpoint missing or duplicated",IF(AND(NOT(AND(B974="UC",E974="CAP")),OR(G974="",COUNTIF('System map'!$A$4:$A$203,G974)&lt;&gt;1)),"AIR context missing / unknown",IF(AND(B974="CAP",E974="AIR",G974&lt;&gt;F974),"AIR context mismatch",IF(AND(B974="AIR",G974&lt;&gt;C974),"AIR context mismatch",IF(AND(B974="AIR",E974="AIR",C974=F974),"Self-dependency",IF(AND(B974="AIR",E974="AIR",M974&lt;&gt;"Superseded",COUNTIFS($B$4:$B$1003,"AIR",$C$4:$C$1003,F974,$E$4:$E$1003,"AIR",$F$4:$F$1003,C974,$M$4:$M$1003,"&lt;&gt;Superseded")&gt;0),"Dependency cycle (A↔B) — review",IF(AND(B974="AIR",OR(E974="MOD",E974="DATA",E974="IF",E974="AG",E974="TOOL"),IFERROR(INDEX(Components!$G$4:$G$253,MATCH(F974,Components!$A$4:$A$253,0)),"")&lt;&gt;"",IFERROR(INDEX(Components!$G$4:$G$253,MATCH(F974,Components!$A$4:$A$253,0)),"")&lt;&gt;C974),"Component owned by another AIR-ID",IF(AND(M974="Confirmed",OR(IF(B974="UC",COUNTIFS('Use cases'!$A$4:$A$253,C974,'Use cases'!$I$4:$I$253,"Confirmed",'Use cases'!$J$4:$J$253,"OK — verify source"),IF(B974="CAP",COUNTIFS(Capabilities!$A$4:$A$253,C974,Capabilities!$J$4:$J$253,"Confirmed",Capabilities!$K$4:$K$253,"OK — verify source"),IF(B974="AIR",COUNTIFS('System map'!$A$4:$A$203,C974,'System map'!$B$4:$B$203,"&lt;&gt;",'System map'!$C$4:$C$203,"&lt;&gt;",'System map'!$D$4:$D$203,"&lt;&gt;"),COUNTIFS(Components!$A$4:$A$253,C974,Components!$B$4:$B$253,B974,Components!$K$4:$K$253,"Confirmed",Components!$L$4:$L$253,"OK — verify source"))))&lt;&gt;1,IF(E974="UC",COUNTIFS('Use cases'!$A$4:$A$253,F974,'Use cases'!$I$4:$I$253,"Confirmed",'Use cases'!$J$4:$J$253,"OK — verify source"),IF(E974="CAP",COUNTIFS(Capabilities!$A$4:$A$253,F974,Capabilities!$J$4:$J$253,"Confirmed",Capabilities!$K$4:$K$253,"OK — verify source"),IF(E974="AIR",COUNTIFS('System map'!$A$4:$A$203,F974,'System map'!$B$4:$B$203,"&lt;&gt;",'System map'!$C$4:$C$203,"&lt;&gt;",'System map'!$D$4:$D$203,"&lt;&gt;"),COUNTIFS(Components!$A$4:$A$253,F974,Components!$B$4:$B$253,E974,Components!$K$4:$K$253,"Confirmed",Components!$L$4:$L$253,"OK — verify source"))))&lt;&gt;1)),"Endpoint not source-reconciled",IF(AND(M974="Confirmed",OR(L974="",K974="",K974="Unknown",K974="Low")),"Confirmed link lacks verification","OK — verify source"))))))))))))))</f>
        <v/>
      </c>
    </row>
    <row r="975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8" t="n"/>
      <c r="M975" s="27" t="n"/>
      <c r="N975" s="27">
        <f>IF(COUNTA(A975:M975)=0,"",IF(OR(A975="",B975="",C975="",D975="",E975="",F975="",I975="",J975="",K975="",M975=""),"Required link detail missing",IF(COUNTIF($A$4:$A$1003,A975)&gt;1,"Duplicate Map Edge ID",IF(NOT(OR(AND(B975="UC",E975="CAP",D975="requires"),AND(B975="CAP",E975="AIR",D975="provided by"),AND(B975="AIR",OR(E975="MOD",E975="DATA",E975="IF",E975="AG",E975="TOOL"),D975="references"),AND(B975="AIR",E975="AIR",D975="depends on"))),"Invalid relationship",IF(AND(M975&lt;&gt;"Superseded",COUNTIFS($B$4:$B$1003,B975,$C$4:$C$1003,C975,$D$4:$D$1003,D975,$E$4:$E$1003,E975,$F$4:$F$1003,F975,$G$4:$G$1003,G975,$M$4:$M$1003,"&lt;&gt;Superseded")&gt;1),"Duplicate relationship",IF(OR(IF(B975="UC",COUNTIF('Use cases'!$A$4:$A$253,C975),IF(B975="CAP",COUNTIF(Capabilities!$A$4:$A$253,C975),IF(B975="AIR",COUNTIF('System map'!$A$4:$A$203,C975),COUNTIFS(Components!$A$4:$A$253,C975,Components!$B$4:$B$253,B975))))&lt;&gt;1,IF(E975="UC",COUNTIF('Use cases'!$A$4:$A$253,F975),IF(E975="CAP",COUNTIF(Capabilities!$A$4:$A$253,F975),IF(E975="AIR",COUNTIF('System map'!$A$4:$A$203,F975),COUNTIFS(Components!$A$4:$A$253,F975,Components!$B$4:$B$253,E975))))&lt;&gt;1),"Endpoint missing or duplicated",IF(AND(NOT(AND(B975="UC",E975="CAP")),OR(G975="",COUNTIF('System map'!$A$4:$A$203,G975)&lt;&gt;1)),"AIR context missing / unknown",IF(AND(B975="CAP",E975="AIR",G975&lt;&gt;F975),"AIR context mismatch",IF(AND(B975="AIR",G975&lt;&gt;C975),"AIR context mismatch",IF(AND(B975="AIR",E975="AIR",C975=F975),"Self-dependency",IF(AND(B975="AIR",E975="AIR",M975&lt;&gt;"Superseded",COUNTIFS($B$4:$B$1003,"AIR",$C$4:$C$1003,F975,$E$4:$E$1003,"AIR",$F$4:$F$1003,C975,$M$4:$M$1003,"&lt;&gt;Superseded")&gt;0),"Dependency cycle (A↔B) — review",IF(AND(B975="AIR",OR(E975="MOD",E975="DATA",E975="IF",E975="AG",E975="TOOL"),IFERROR(INDEX(Components!$G$4:$G$253,MATCH(F975,Components!$A$4:$A$253,0)),"")&lt;&gt;"",IFERROR(INDEX(Components!$G$4:$G$253,MATCH(F975,Components!$A$4:$A$253,0)),"")&lt;&gt;C975),"Component owned by another AIR-ID",IF(AND(M975="Confirmed",OR(IF(B975="UC",COUNTIFS('Use cases'!$A$4:$A$253,C975,'Use cases'!$I$4:$I$253,"Confirmed",'Use cases'!$J$4:$J$253,"OK — verify source"),IF(B975="CAP",COUNTIFS(Capabilities!$A$4:$A$253,C975,Capabilities!$J$4:$J$253,"Confirmed",Capabilities!$K$4:$K$253,"OK — verify source"),IF(B975="AIR",COUNTIFS('System map'!$A$4:$A$203,C975,'System map'!$B$4:$B$203,"&lt;&gt;",'System map'!$C$4:$C$203,"&lt;&gt;",'System map'!$D$4:$D$203,"&lt;&gt;"),COUNTIFS(Components!$A$4:$A$253,C975,Components!$B$4:$B$253,B975,Components!$K$4:$K$253,"Confirmed",Components!$L$4:$L$253,"OK — verify source"))))&lt;&gt;1,IF(E975="UC",COUNTIFS('Use cases'!$A$4:$A$253,F975,'Use cases'!$I$4:$I$253,"Confirmed",'Use cases'!$J$4:$J$253,"OK — verify source"),IF(E975="CAP",COUNTIFS(Capabilities!$A$4:$A$253,F975,Capabilities!$J$4:$J$253,"Confirmed",Capabilities!$K$4:$K$253,"OK — verify source"),IF(E975="AIR",COUNTIFS('System map'!$A$4:$A$203,F975,'System map'!$B$4:$B$203,"&lt;&gt;",'System map'!$C$4:$C$203,"&lt;&gt;",'System map'!$D$4:$D$203,"&lt;&gt;"),COUNTIFS(Components!$A$4:$A$253,F975,Components!$B$4:$B$253,E975,Components!$K$4:$K$253,"Confirmed",Components!$L$4:$L$253,"OK — verify source"))))&lt;&gt;1)),"Endpoint not source-reconciled",IF(AND(M975="Confirmed",OR(L975="",K975="",K975="Unknown",K975="Low")),"Confirmed link lacks verification","OK — verify source"))))))))))))))</f>
        <v/>
      </c>
    </row>
    <row r="976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6" t="n"/>
      <c r="M976" s="25" t="n"/>
      <c r="N976" s="25">
        <f>IF(COUNTA(A976:M976)=0,"",IF(OR(A976="",B976="",C976="",D976="",E976="",F976="",I976="",J976="",K976="",M976=""),"Required link detail missing",IF(COUNTIF($A$4:$A$1003,A976)&gt;1,"Duplicate Map Edge ID",IF(NOT(OR(AND(B976="UC",E976="CAP",D976="requires"),AND(B976="CAP",E976="AIR",D976="provided by"),AND(B976="AIR",OR(E976="MOD",E976="DATA",E976="IF",E976="AG",E976="TOOL"),D976="references"),AND(B976="AIR",E976="AIR",D976="depends on"))),"Invalid relationship",IF(AND(M976&lt;&gt;"Superseded",COUNTIFS($B$4:$B$1003,B976,$C$4:$C$1003,C976,$D$4:$D$1003,D976,$E$4:$E$1003,E976,$F$4:$F$1003,F976,$G$4:$G$1003,G976,$M$4:$M$1003,"&lt;&gt;Superseded")&gt;1),"Duplicate relationship",IF(OR(IF(B976="UC",COUNTIF('Use cases'!$A$4:$A$253,C976),IF(B976="CAP",COUNTIF(Capabilities!$A$4:$A$253,C976),IF(B976="AIR",COUNTIF('System map'!$A$4:$A$203,C976),COUNTIFS(Components!$A$4:$A$253,C976,Components!$B$4:$B$253,B976))))&lt;&gt;1,IF(E976="UC",COUNTIF('Use cases'!$A$4:$A$253,F976),IF(E976="CAP",COUNTIF(Capabilities!$A$4:$A$253,F976),IF(E976="AIR",COUNTIF('System map'!$A$4:$A$203,F976),COUNTIFS(Components!$A$4:$A$253,F976,Components!$B$4:$B$253,E976))))&lt;&gt;1),"Endpoint missing or duplicated",IF(AND(NOT(AND(B976="UC",E976="CAP")),OR(G976="",COUNTIF('System map'!$A$4:$A$203,G976)&lt;&gt;1)),"AIR context missing / unknown",IF(AND(B976="CAP",E976="AIR",G976&lt;&gt;F976),"AIR context mismatch",IF(AND(B976="AIR",G976&lt;&gt;C976),"AIR context mismatch",IF(AND(B976="AIR",E976="AIR",C976=F976),"Self-dependency",IF(AND(B976="AIR",E976="AIR",M976&lt;&gt;"Superseded",COUNTIFS($B$4:$B$1003,"AIR",$C$4:$C$1003,F976,$E$4:$E$1003,"AIR",$F$4:$F$1003,C976,$M$4:$M$1003,"&lt;&gt;Superseded")&gt;0),"Dependency cycle (A↔B) — review",IF(AND(B976="AIR",OR(E976="MOD",E976="DATA",E976="IF",E976="AG",E976="TOOL"),IFERROR(INDEX(Components!$G$4:$G$253,MATCH(F976,Components!$A$4:$A$253,0)),"")&lt;&gt;"",IFERROR(INDEX(Components!$G$4:$G$253,MATCH(F976,Components!$A$4:$A$253,0)),"")&lt;&gt;C976),"Component owned by another AIR-ID",IF(AND(M976="Confirmed",OR(IF(B976="UC",COUNTIFS('Use cases'!$A$4:$A$253,C976,'Use cases'!$I$4:$I$253,"Confirmed",'Use cases'!$J$4:$J$253,"OK — verify source"),IF(B976="CAP",COUNTIFS(Capabilities!$A$4:$A$253,C976,Capabilities!$J$4:$J$253,"Confirmed",Capabilities!$K$4:$K$253,"OK — verify source"),IF(B976="AIR",COUNTIFS('System map'!$A$4:$A$203,C976,'System map'!$B$4:$B$203,"&lt;&gt;",'System map'!$C$4:$C$203,"&lt;&gt;",'System map'!$D$4:$D$203,"&lt;&gt;"),COUNTIFS(Components!$A$4:$A$253,C976,Components!$B$4:$B$253,B976,Components!$K$4:$K$253,"Confirmed",Components!$L$4:$L$253,"OK — verify source"))))&lt;&gt;1,IF(E976="UC",COUNTIFS('Use cases'!$A$4:$A$253,F976,'Use cases'!$I$4:$I$253,"Confirmed",'Use cases'!$J$4:$J$253,"OK — verify source"),IF(E976="CAP",COUNTIFS(Capabilities!$A$4:$A$253,F976,Capabilities!$J$4:$J$253,"Confirmed",Capabilities!$K$4:$K$253,"OK — verify source"),IF(E976="AIR",COUNTIFS('System map'!$A$4:$A$203,F976,'System map'!$B$4:$B$203,"&lt;&gt;",'System map'!$C$4:$C$203,"&lt;&gt;",'System map'!$D$4:$D$203,"&lt;&gt;"),COUNTIFS(Components!$A$4:$A$253,F976,Components!$B$4:$B$253,E976,Components!$K$4:$K$253,"Confirmed",Components!$L$4:$L$253,"OK — verify source"))))&lt;&gt;1)),"Endpoint not source-reconciled",IF(AND(M976="Confirmed",OR(L976="",K976="",K976="Unknown",K976="Low")),"Confirmed link lacks verification","OK — verify source"))))))))))))))</f>
        <v/>
      </c>
    </row>
    <row r="977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8" t="n"/>
      <c r="M977" s="27" t="n"/>
      <c r="N977" s="27">
        <f>IF(COUNTA(A977:M977)=0,"",IF(OR(A977="",B977="",C977="",D977="",E977="",F977="",I977="",J977="",K977="",M977=""),"Required link detail missing",IF(COUNTIF($A$4:$A$1003,A977)&gt;1,"Duplicate Map Edge ID",IF(NOT(OR(AND(B977="UC",E977="CAP",D977="requires"),AND(B977="CAP",E977="AIR",D977="provided by"),AND(B977="AIR",OR(E977="MOD",E977="DATA",E977="IF",E977="AG",E977="TOOL"),D977="references"),AND(B977="AIR",E977="AIR",D977="depends on"))),"Invalid relationship",IF(AND(M977&lt;&gt;"Superseded",COUNTIFS($B$4:$B$1003,B977,$C$4:$C$1003,C977,$D$4:$D$1003,D977,$E$4:$E$1003,E977,$F$4:$F$1003,F977,$G$4:$G$1003,G977,$M$4:$M$1003,"&lt;&gt;Superseded")&gt;1),"Duplicate relationship",IF(OR(IF(B977="UC",COUNTIF('Use cases'!$A$4:$A$253,C977),IF(B977="CAP",COUNTIF(Capabilities!$A$4:$A$253,C977),IF(B977="AIR",COUNTIF('System map'!$A$4:$A$203,C977),COUNTIFS(Components!$A$4:$A$253,C977,Components!$B$4:$B$253,B977))))&lt;&gt;1,IF(E977="UC",COUNTIF('Use cases'!$A$4:$A$253,F977),IF(E977="CAP",COUNTIF(Capabilities!$A$4:$A$253,F977),IF(E977="AIR",COUNTIF('System map'!$A$4:$A$203,F977),COUNTIFS(Components!$A$4:$A$253,F977,Components!$B$4:$B$253,E977))))&lt;&gt;1),"Endpoint missing or duplicated",IF(AND(NOT(AND(B977="UC",E977="CAP")),OR(G977="",COUNTIF('System map'!$A$4:$A$203,G977)&lt;&gt;1)),"AIR context missing / unknown",IF(AND(B977="CAP",E977="AIR",G977&lt;&gt;F977),"AIR context mismatch",IF(AND(B977="AIR",G977&lt;&gt;C977),"AIR context mismatch",IF(AND(B977="AIR",E977="AIR",C977=F977),"Self-dependency",IF(AND(B977="AIR",E977="AIR",M977&lt;&gt;"Superseded",COUNTIFS($B$4:$B$1003,"AIR",$C$4:$C$1003,F977,$E$4:$E$1003,"AIR",$F$4:$F$1003,C977,$M$4:$M$1003,"&lt;&gt;Superseded")&gt;0),"Dependency cycle (A↔B) — review",IF(AND(B977="AIR",OR(E977="MOD",E977="DATA",E977="IF",E977="AG",E977="TOOL"),IFERROR(INDEX(Components!$G$4:$G$253,MATCH(F977,Components!$A$4:$A$253,0)),"")&lt;&gt;"",IFERROR(INDEX(Components!$G$4:$G$253,MATCH(F977,Components!$A$4:$A$253,0)),"")&lt;&gt;C977),"Component owned by another AIR-ID",IF(AND(M977="Confirmed",OR(IF(B977="UC",COUNTIFS('Use cases'!$A$4:$A$253,C977,'Use cases'!$I$4:$I$253,"Confirmed",'Use cases'!$J$4:$J$253,"OK — verify source"),IF(B977="CAP",COUNTIFS(Capabilities!$A$4:$A$253,C977,Capabilities!$J$4:$J$253,"Confirmed",Capabilities!$K$4:$K$253,"OK — verify source"),IF(B977="AIR",COUNTIFS('System map'!$A$4:$A$203,C977,'System map'!$B$4:$B$203,"&lt;&gt;",'System map'!$C$4:$C$203,"&lt;&gt;",'System map'!$D$4:$D$203,"&lt;&gt;"),COUNTIFS(Components!$A$4:$A$253,C977,Components!$B$4:$B$253,B977,Components!$K$4:$K$253,"Confirmed",Components!$L$4:$L$253,"OK — verify source"))))&lt;&gt;1,IF(E977="UC",COUNTIFS('Use cases'!$A$4:$A$253,F977,'Use cases'!$I$4:$I$253,"Confirmed",'Use cases'!$J$4:$J$253,"OK — verify source"),IF(E977="CAP",COUNTIFS(Capabilities!$A$4:$A$253,F977,Capabilities!$J$4:$J$253,"Confirmed",Capabilities!$K$4:$K$253,"OK — verify source"),IF(E977="AIR",COUNTIFS('System map'!$A$4:$A$203,F977,'System map'!$B$4:$B$203,"&lt;&gt;",'System map'!$C$4:$C$203,"&lt;&gt;",'System map'!$D$4:$D$203,"&lt;&gt;"),COUNTIFS(Components!$A$4:$A$253,F977,Components!$B$4:$B$253,E977,Components!$K$4:$K$253,"Confirmed",Components!$L$4:$L$253,"OK — verify source"))))&lt;&gt;1)),"Endpoint not source-reconciled",IF(AND(M977="Confirmed",OR(L977="",K977="",K977="Unknown",K977="Low")),"Confirmed link lacks verification","OK — verify source"))))))))))))))</f>
        <v/>
      </c>
    </row>
    <row r="978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6" t="n"/>
      <c r="M978" s="25" t="n"/>
      <c r="N978" s="25">
        <f>IF(COUNTA(A978:M978)=0,"",IF(OR(A978="",B978="",C978="",D978="",E978="",F978="",I978="",J978="",K978="",M978=""),"Required link detail missing",IF(COUNTIF($A$4:$A$1003,A978)&gt;1,"Duplicate Map Edge ID",IF(NOT(OR(AND(B978="UC",E978="CAP",D978="requires"),AND(B978="CAP",E978="AIR",D978="provided by"),AND(B978="AIR",OR(E978="MOD",E978="DATA",E978="IF",E978="AG",E978="TOOL"),D978="references"),AND(B978="AIR",E978="AIR",D978="depends on"))),"Invalid relationship",IF(AND(M978&lt;&gt;"Superseded",COUNTIFS($B$4:$B$1003,B978,$C$4:$C$1003,C978,$D$4:$D$1003,D978,$E$4:$E$1003,E978,$F$4:$F$1003,F978,$G$4:$G$1003,G978,$M$4:$M$1003,"&lt;&gt;Superseded")&gt;1),"Duplicate relationship",IF(OR(IF(B978="UC",COUNTIF('Use cases'!$A$4:$A$253,C978),IF(B978="CAP",COUNTIF(Capabilities!$A$4:$A$253,C978),IF(B978="AIR",COUNTIF('System map'!$A$4:$A$203,C978),COUNTIFS(Components!$A$4:$A$253,C978,Components!$B$4:$B$253,B978))))&lt;&gt;1,IF(E978="UC",COUNTIF('Use cases'!$A$4:$A$253,F978),IF(E978="CAP",COUNTIF(Capabilities!$A$4:$A$253,F978),IF(E978="AIR",COUNTIF('System map'!$A$4:$A$203,F978),COUNTIFS(Components!$A$4:$A$253,F978,Components!$B$4:$B$253,E978))))&lt;&gt;1),"Endpoint missing or duplicated",IF(AND(NOT(AND(B978="UC",E978="CAP")),OR(G978="",COUNTIF('System map'!$A$4:$A$203,G978)&lt;&gt;1)),"AIR context missing / unknown",IF(AND(B978="CAP",E978="AIR",G978&lt;&gt;F978),"AIR context mismatch",IF(AND(B978="AIR",G978&lt;&gt;C978),"AIR context mismatch",IF(AND(B978="AIR",E978="AIR",C978=F978),"Self-dependency",IF(AND(B978="AIR",E978="AIR",M978&lt;&gt;"Superseded",COUNTIFS($B$4:$B$1003,"AIR",$C$4:$C$1003,F978,$E$4:$E$1003,"AIR",$F$4:$F$1003,C978,$M$4:$M$1003,"&lt;&gt;Superseded")&gt;0),"Dependency cycle (A↔B) — review",IF(AND(B978="AIR",OR(E978="MOD",E978="DATA",E978="IF",E978="AG",E978="TOOL"),IFERROR(INDEX(Components!$G$4:$G$253,MATCH(F978,Components!$A$4:$A$253,0)),"")&lt;&gt;"",IFERROR(INDEX(Components!$G$4:$G$253,MATCH(F978,Components!$A$4:$A$253,0)),"")&lt;&gt;C978),"Component owned by another AIR-ID",IF(AND(M978="Confirmed",OR(IF(B978="UC",COUNTIFS('Use cases'!$A$4:$A$253,C978,'Use cases'!$I$4:$I$253,"Confirmed",'Use cases'!$J$4:$J$253,"OK — verify source"),IF(B978="CAP",COUNTIFS(Capabilities!$A$4:$A$253,C978,Capabilities!$J$4:$J$253,"Confirmed",Capabilities!$K$4:$K$253,"OK — verify source"),IF(B978="AIR",COUNTIFS('System map'!$A$4:$A$203,C978,'System map'!$B$4:$B$203,"&lt;&gt;",'System map'!$C$4:$C$203,"&lt;&gt;",'System map'!$D$4:$D$203,"&lt;&gt;"),COUNTIFS(Components!$A$4:$A$253,C978,Components!$B$4:$B$253,B978,Components!$K$4:$K$253,"Confirmed",Components!$L$4:$L$253,"OK — verify source"))))&lt;&gt;1,IF(E978="UC",COUNTIFS('Use cases'!$A$4:$A$253,F978,'Use cases'!$I$4:$I$253,"Confirmed",'Use cases'!$J$4:$J$253,"OK — verify source"),IF(E978="CAP",COUNTIFS(Capabilities!$A$4:$A$253,F978,Capabilities!$J$4:$J$253,"Confirmed",Capabilities!$K$4:$K$253,"OK — verify source"),IF(E978="AIR",COUNTIFS('System map'!$A$4:$A$203,F978,'System map'!$B$4:$B$203,"&lt;&gt;",'System map'!$C$4:$C$203,"&lt;&gt;",'System map'!$D$4:$D$203,"&lt;&gt;"),COUNTIFS(Components!$A$4:$A$253,F978,Components!$B$4:$B$253,E978,Components!$K$4:$K$253,"Confirmed",Components!$L$4:$L$253,"OK — verify source"))))&lt;&gt;1)),"Endpoint not source-reconciled",IF(AND(M978="Confirmed",OR(L978="",K978="",K978="Unknown",K978="Low")),"Confirmed link lacks verification","OK — verify source"))))))))))))))</f>
        <v/>
      </c>
    </row>
    <row r="979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8" t="n"/>
      <c r="M979" s="27" t="n"/>
      <c r="N979" s="27">
        <f>IF(COUNTA(A979:M979)=0,"",IF(OR(A979="",B979="",C979="",D979="",E979="",F979="",I979="",J979="",K979="",M979=""),"Required link detail missing",IF(COUNTIF($A$4:$A$1003,A979)&gt;1,"Duplicate Map Edge ID",IF(NOT(OR(AND(B979="UC",E979="CAP",D979="requires"),AND(B979="CAP",E979="AIR",D979="provided by"),AND(B979="AIR",OR(E979="MOD",E979="DATA",E979="IF",E979="AG",E979="TOOL"),D979="references"),AND(B979="AIR",E979="AIR",D979="depends on"))),"Invalid relationship",IF(AND(M979&lt;&gt;"Superseded",COUNTIFS($B$4:$B$1003,B979,$C$4:$C$1003,C979,$D$4:$D$1003,D979,$E$4:$E$1003,E979,$F$4:$F$1003,F979,$G$4:$G$1003,G979,$M$4:$M$1003,"&lt;&gt;Superseded")&gt;1),"Duplicate relationship",IF(OR(IF(B979="UC",COUNTIF('Use cases'!$A$4:$A$253,C979),IF(B979="CAP",COUNTIF(Capabilities!$A$4:$A$253,C979),IF(B979="AIR",COUNTIF('System map'!$A$4:$A$203,C979),COUNTIFS(Components!$A$4:$A$253,C979,Components!$B$4:$B$253,B979))))&lt;&gt;1,IF(E979="UC",COUNTIF('Use cases'!$A$4:$A$253,F979),IF(E979="CAP",COUNTIF(Capabilities!$A$4:$A$253,F979),IF(E979="AIR",COUNTIF('System map'!$A$4:$A$203,F979),COUNTIFS(Components!$A$4:$A$253,F979,Components!$B$4:$B$253,E979))))&lt;&gt;1),"Endpoint missing or duplicated",IF(AND(NOT(AND(B979="UC",E979="CAP")),OR(G979="",COUNTIF('System map'!$A$4:$A$203,G979)&lt;&gt;1)),"AIR context missing / unknown",IF(AND(B979="CAP",E979="AIR",G979&lt;&gt;F979),"AIR context mismatch",IF(AND(B979="AIR",G979&lt;&gt;C979),"AIR context mismatch",IF(AND(B979="AIR",E979="AIR",C979=F979),"Self-dependency",IF(AND(B979="AIR",E979="AIR",M979&lt;&gt;"Superseded",COUNTIFS($B$4:$B$1003,"AIR",$C$4:$C$1003,F979,$E$4:$E$1003,"AIR",$F$4:$F$1003,C979,$M$4:$M$1003,"&lt;&gt;Superseded")&gt;0),"Dependency cycle (A↔B) — review",IF(AND(B979="AIR",OR(E979="MOD",E979="DATA",E979="IF",E979="AG",E979="TOOL"),IFERROR(INDEX(Components!$G$4:$G$253,MATCH(F979,Components!$A$4:$A$253,0)),"")&lt;&gt;"",IFERROR(INDEX(Components!$G$4:$G$253,MATCH(F979,Components!$A$4:$A$253,0)),"")&lt;&gt;C979),"Component owned by another AIR-ID",IF(AND(M979="Confirmed",OR(IF(B979="UC",COUNTIFS('Use cases'!$A$4:$A$253,C979,'Use cases'!$I$4:$I$253,"Confirmed",'Use cases'!$J$4:$J$253,"OK — verify source"),IF(B979="CAP",COUNTIFS(Capabilities!$A$4:$A$253,C979,Capabilities!$J$4:$J$253,"Confirmed",Capabilities!$K$4:$K$253,"OK — verify source"),IF(B979="AIR",COUNTIFS('System map'!$A$4:$A$203,C979,'System map'!$B$4:$B$203,"&lt;&gt;",'System map'!$C$4:$C$203,"&lt;&gt;",'System map'!$D$4:$D$203,"&lt;&gt;"),COUNTIFS(Components!$A$4:$A$253,C979,Components!$B$4:$B$253,B979,Components!$K$4:$K$253,"Confirmed",Components!$L$4:$L$253,"OK — verify source"))))&lt;&gt;1,IF(E979="UC",COUNTIFS('Use cases'!$A$4:$A$253,F979,'Use cases'!$I$4:$I$253,"Confirmed",'Use cases'!$J$4:$J$253,"OK — verify source"),IF(E979="CAP",COUNTIFS(Capabilities!$A$4:$A$253,F979,Capabilities!$J$4:$J$253,"Confirmed",Capabilities!$K$4:$K$253,"OK — verify source"),IF(E979="AIR",COUNTIFS('System map'!$A$4:$A$203,F979,'System map'!$B$4:$B$203,"&lt;&gt;",'System map'!$C$4:$C$203,"&lt;&gt;",'System map'!$D$4:$D$203,"&lt;&gt;"),COUNTIFS(Components!$A$4:$A$253,F979,Components!$B$4:$B$253,E979,Components!$K$4:$K$253,"Confirmed",Components!$L$4:$L$253,"OK — verify source"))))&lt;&gt;1)),"Endpoint not source-reconciled",IF(AND(M979="Confirmed",OR(L979="",K979="",K979="Unknown",K979="Low")),"Confirmed link lacks verification","OK — verify source"))))))))))))))</f>
        <v/>
      </c>
    </row>
    <row r="980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6" t="n"/>
      <c r="M980" s="25" t="n"/>
      <c r="N980" s="25">
        <f>IF(COUNTA(A980:M980)=0,"",IF(OR(A980="",B980="",C980="",D980="",E980="",F980="",I980="",J980="",K980="",M980=""),"Required link detail missing",IF(COUNTIF($A$4:$A$1003,A980)&gt;1,"Duplicate Map Edge ID",IF(NOT(OR(AND(B980="UC",E980="CAP",D980="requires"),AND(B980="CAP",E980="AIR",D980="provided by"),AND(B980="AIR",OR(E980="MOD",E980="DATA",E980="IF",E980="AG",E980="TOOL"),D980="references"),AND(B980="AIR",E980="AIR",D980="depends on"))),"Invalid relationship",IF(AND(M980&lt;&gt;"Superseded",COUNTIFS($B$4:$B$1003,B980,$C$4:$C$1003,C980,$D$4:$D$1003,D980,$E$4:$E$1003,E980,$F$4:$F$1003,F980,$G$4:$G$1003,G980,$M$4:$M$1003,"&lt;&gt;Superseded")&gt;1),"Duplicate relationship",IF(OR(IF(B980="UC",COUNTIF('Use cases'!$A$4:$A$253,C980),IF(B980="CAP",COUNTIF(Capabilities!$A$4:$A$253,C980),IF(B980="AIR",COUNTIF('System map'!$A$4:$A$203,C980),COUNTIFS(Components!$A$4:$A$253,C980,Components!$B$4:$B$253,B980))))&lt;&gt;1,IF(E980="UC",COUNTIF('Use cases'!$A$4:$A$253,F980),IF(E980="CAP",COUNTIF(Capabilities!$A$4:$A$253,F980),IF(E980="AIR",COUNTIF('System map'!$A$4:$A$203,F980),COUNTIFS(Components!$A$4:$A$253,F980,Components!$B$4:$B$253,E980))))&lt;&gt;1),"Endpoint missing or duplicated",IF(AND(NOT(AND(B980="UC",E980="CAP")),OR(G980="",COUNTIF('System map'!$A$4:$A$203,G980)&lt;&gt;1)),"AIR context missing / unknown",IF(AND(B980="CAP",E980="AIR",G980&lt;&gt;F980),"AIR context mismatch",IF(AND(B980="AIR",G980&lt;&gt;C980),"AIR context mismatch",IF(AND(B980="AIR",E980="AIR",C980=F980),"Self-dependency",IF(AND(B980="AIR",E980="AIR",M980&lt;&gt;"Superseded",COUNTIFS($B$4:$B$1003,"AIR",$C$4:$C$1003,F980,$E$4:$E$1003,"AIR",$F$4:$F$1003,C980,$M$4:$M$1003,"&lt;&gt;Superseded")&gt;0),"Dependency cycle (A↔B) — review",IF(AND(B980="AIR",OR(E980="MOD",E980="DATA",E980="IF",E980="AG",E980="TOOL"),IFERROR(INDEX(Components!$G$4:$G$253,MATCH(F980,Components!$A$4:$A$253,0)),"")&lt;&gt;"",IFERROR(INDEX(Components!$G$4:$G$253,MATCH(F980,Components!$A$4:$A$253,0)),"")&lt;&gt;C980),"Component owned by another AIR-ID",IF(AND(M980="Confirmed",OR(IF(B980="UC",COUNTIFS('Use cases'!$A$4:$A$253,C980,'Use cases'!$I$4:$I$253,"Confirmed",'Use cases'!$J$4:$J$253,"OK — verify source"),IF(B980="CAP",COUNTIFS(Capabilities!$A$4:$A$253,C980,Capabilities!$J$4:$J$253,"Confirmed",Capabilities!$K$4:$K$253,"OK — verify source"),IF(B980="AIR",COUNTIFS('System map'!$A$4:$A$203,C980,'System map'!$B$4:$B$203,"&lt;&gt;",'System map'!$C$4:$C$203,"&lt;&gt;",'System map'!$D$4:$D$203,"&lt;&gt;"),COUNTIFS(Components!$A$4:$A$253,C980,Components!$B$4:$B$253,B980,Components!$K$4:$K$253,"Confirmed",Components!$L$4:$L$253,"OK — verify source"))))&lt;&gt;1,IF(E980="UC",COUNTIFS('Use cases'!$A$4:$A$253,F980,'Use cases'!$I$4:$I$253,"Confirmed",'Use cases'!$J$4:$J$253,"OK — verify source"),IF(E980="CAP",COUNTIFS(Capabilities!$A$4:$A$253,F980,Capabilities!$J$4:$J$253,"Confirmed",Capabilities!$K$4:$K$253,"OK — verify source"),IF(E980="AIR",COUNTIFS('System map'!$A$4:$A$203,F980,'System map'!$B$4:$B$203,"&lt;&gt;",'System map'!$C$4:$C$203,"&lt;&gt;",'System map'!$D$4:$D$203,"&lt;&gt;"),COUNTIFS(Components!$A$4:$A$253,F980,Components!$B$4:$B$253,E980,Components!$K$4:$K$253,"Confirmed",Components!$L$4:$L$253,"OK — verify source"))))&lt;&gt;1)),"Endpoint not source-reconciled",IF(AND(M980="Confirmed",OR(L980="",K980="",K980="Unknown",K980="Low")),"Confirmed link lacks verification","OK — verify source"))))))))))))))</f>
        <v/>
      </c>
    </row>
    <row r="981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8" t="n"/>
      <c r="M981" s="27" t="n"/>
      <c r="N981" s="27">
        <f>IF(COUNTA(A981:M981)=0,"",IF(OR(A981="",B981="",C981="",D981="",E981="",F981="",I981="",J981="",K981="",M981=""),"Required link detail missing",IF(COUNTIF($A$4:$A$1003,A981)&gt;1,"Duplicate Map Edge ID",IF(NOT(OR(AND(B981="UC",E981="CAP",D981="requires"),AND(B981="CAP",E981="AIR",D981="provided by"),AND(B981="AIR",OR(E981="MOD",E981="DATA",E981="IF",E981="AG",E981="TOOL"),D981="references"),AND(B981="AIR",E981="AIR",D981="depends on"))),"Invalid relationship",IF(AND(M981&lt;&gt;"Superseded",COUNTIFS($B$4:$B$1003,B981,$C$4:$C$1003,C981,$D$4:$D$1003,D981,$E$4:$E$1003,E981,$F$4:$F$1003,F981,$G$4:$G$1003,G981,$M$4:$M$1003,"&lt;&gt;Superseded")&gt;1),"Duplicate relationship",IF(OR(IF(B981="UC",COUNTIF('Use cases'!$A$4:$A$253,C981),IF(B981="CAP",COUNTIF(Capabilities!$A$4:$A$253,C981),IF(B981="AIR",COUNTIF('System map'!$A$4:$A$203,C981),COUNTIFS(Components!$A$4:$A$253,C981,Components!$B$4:$B$253,B981))))&lt;&gt;1,IF(E981="UC",COUNTIF('Use cases'!$A$4:$A$253,F981),IF(E981="CAP",COUNTIF(Capabilities!$A$4:$A$253,F981),IF(E981="AIR",COUNTIF('System map'!$A$4:$A$203,F981),COUNTIFS(Components!$A$4:$A$253,F981,Components!$B$4:$B$253,E981))))&lt;&gt;1),"Endpoint missing or duplicated",IF(AND(NOT(AND(B981="UC",E981="CAP")),OR(G981="",COUNTIF('System map'!$A$4:$A$203,G981)&lt;&gt;1)),"AIR context missing / unknown",IF(AND(B981="CAP",E981="AIR",G981&lt;&gt;F981),"AIR context mismatch",IF(AND(B981="AIR",G981&lt;&gt;C981),"AIR context mismatch",IF(AND(B981="AIR",E981="AIR",C981=F981),"Self-dependency",IF(AND(B981="AIR",E981="AIR",M981&lt;&gt;"Superseded",COUNTIFS($B$4:$B$1003,"AIR",$C$4:$C$1003,F981,$E$4:$E$1003,"AIR",$F$4:$F$1003,C981,$M$4:$M$1003,"&lt;&gt;Superseded")&gt;0),"Dependency cycle (A↔B) — review",IF(AND(B981="AIR",OR(E981="MOD",E981="DATA",E981="IF",E981="AG",E981="TOOL"),IFERROR(INDEX(Components!$G$4:$G$253,MATCH(F981,Components!$A$4:$A$253,0)),"")&lt;&gt;"",IFERROR(INDEX(Components!$G$4:$G$253,MATCH(F981,Components!$A$4:$A$253,0)),"")&lt;&gt;C981),"Component owned by another AIR-ID",IF(AND(M981="Confirmed",OR(IF(B981="UC",COUNTIFS('Use cases'!$A$4:$A$253,C981,'Use cases'!$I$4:$I$253,"Confirmed",'Use cases'!$J$4:$J$253,"OK — verify source"),IF(B981="CAP",COUNTIFS(Capabilities!$A$4:$A$253,C981,Capabilities!$J$4:$J$253,"Confirmed",Capabilities!$K$4:$K$253,"OK — verify source"),IF(B981="AIR",COUNTIFS('System map'!$A$4:$A$203,C981,'System map'!$B$4:$B$203,"&lt;&gt;",'System map'!$C$4:$C$203,"&lt;&gt;",'System map'!$D$4:$D$203,"&lt;&gt;"),COUNTIFS(Components!$A$4:$A$253,C981,Components!$B$4:$B$253,B981,Components!$K$4:$K$253,"Confirmed",Components!$L$4:$L$253,"OK — verify source"))))&lt;&gt;1,IF(E981="UC",COUNTIFS('Use cases'!$A$4:$A$253,F981,'Use cases'!$I$4:$I$253,"Confirmed",'Use cases'!$J$4:$J$253,"OK — verify source"),IF(E981="CAP",COUNTIFS(Capabilities!$A$4:$A$253,F981,Capabilities!$J$4:$J$253,"Confirmed",Capabilities!$K$4:$K$253,"OK — verify source"),IF(E981="AIR",COUNTIFS('System map'!$A$4:$A$203,F981,'System map'!$B$4:$B$203,"&lt;&gt;",'System map'!$C$4:$C$203,"&lt;&gt;",'System map'!$D$4:$D$203,"&lt;&gt;"),COUNTIFS(Components!$A$4:$A$253,F981,Components!$B$4:$B$253,E981,Components!$K$4:$K$253,"Confirmed",Components!$L$4:$L$253,"OK — verify source"))))&lt;&gt;1)),"Endpoint not source-reconciled",IF(AND(M981="Confirmed",OR(L981="",K981="",K981="Unknown",K981="Low")),"Confirmed link lacks verification","OK — verify source"))))))))))))))</f>
        <v/>
      </c>
    </row>
    <row r="982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6" t="n"/>
      <c r="M982" s="25" t="n"/>
      <c r="N982" s="25">
        <f>IF(COUNTA(A982:M982)=0,"",IF(OR(A982="",B982="",C982="",D982="",E982="",F982="",I982="",J982="",K982="",M982=""),"Required link detail missing",IF(COUNTIF($A$4:$A$1003,A982)&gt;1,"Duplicate Map Edge ID",IF(NOT(OR(AND(B982="UC",E982="CAP",D982="requires"),AND(B982="CAP",E982="AIR",D982="provided by"),AND(B982="AIR",OR(E982="MOD",E982="DATA",E982="IF",E982="AG",E982="TOOL"),D982="references"),AND(B982="AIR",E982="AIR",D982="depends on"))),"Invalid relationship",IF(AND(M982&lt;&gt;"Superseded",COUNTIFS($B$4:$B$1003,B982,$C$4:$C$1003,C982,$D$4:$D$1003,D982,$E$4:$E$1003,E982,$F$4:$F$1003,F982,$G$4:$G$1003,G982,$M$4:$M$1003,"&lt;&gt;Superseded")&gt;1),"Duplicate relationship",IF(OR(IF(B982="UC",COUNTIF('Use cases'!$A$4:$A$253,C982),IF(B982="CAP",COUNTIF(Capabilities!$A$4:$A$253,C982),IF(B982="AIR",COUNTIF('System map'!$A$4:$A$203,C982),COUNTIFS(Components!$A$4:$A$253,C982,Components!$B$4:$B$253,B982))))&lt;&gt;1,IF(E982="UC",COUNTIF('Use cases'!$A$4:$A$253,F982),IF(E982="CAP",COUNTIF(Capabilities!$A$4:$A$253,F982),IF(E982="AIR",COUNTIF('System map'!$A$4:$A$203,F982),COUNTIFS(Components!$A$4:$A$253,F982,Components!$B$4:$B$253,E982))))&lt;&gt;1),"Endpoint missing or duplicated",IF(AND(NOT(AND(B982="UC",E982="CAP")),OR(G982="",COUNTIF('System map'!$A$4:$A$203,G982)&lt;&gt;1)),"AIR context missing / unknown",IF(AND(B982="CAP",E982="AIR",G982&lt;&gt;F982),"AIR context mismatch",IF(AND(B982="AIR",G982&lt;&gt;C982),"AIR context mismatch",IF(AND(B982="AIR",E982="AIR",C982=F982),"Self-dependency",IF(AND(B982="AIR",E982="AIR",M982&lt;&gt;"Superseded",COUNTIFS($B$4:$B$1003,"AIR",$C$4:$C$1003,F982,$E$4:$E$1003,"AIR",$F$4:$F$1003,C982,$M$4:$M$1003,"&lt;&gt;Superseded")&gt;0),"Dependency cycle (A↔B) — review",IF(AND(B982="AIR",OR(E982="MOD",E982="DATA",E982="IF",E982="AG",E982="TOOL"),IFERROR(INDEX(Components!$G$4:$G$253,MATCH(F982,Components!$A$4:$A$253,0)),"")&lt;&gt;"",IFERROR(INDEX(Components!$G$4:$G$253,MATCH(F982,Components!$A$4:$A$253,0)),"")&lt;&gt;C982),"Component owned by another AIR-ID",IF(AND(M982="Confirmed",OR(IF(B982="UC",COUNTIFS('Use cases'!$A$4:$A$253,C982,'Use cases'!$I$4:$I$253,"Confirmed",'Use cases'!$J$4:$J$253,"OK — verify source"),IF(B982="CAP",COUNTIFS(Capabilities!$A$4:$A$253,C982,Capabilities!$J$4:$J$253,"Confirmed",Capabilities!$K$4:$K$253,"OK — verify source"),IF(B982="AIR",COUNTIFS('System map'!$A$4:$A$203,C982,'System map'!$B$4:$B$203,"&lt;&gt;",'System map'!$C$4:$C$203,"&lt;&gt;",'System map'!$D$4:$D$203,"&lt;&gt;"),COUNTIFS(Components!$A$4:$A$253,C982,Components!$B$4:$B$253,B982,Components!$K$4:$K$253,"Confirmed",Components!$L$4:$L$253,"OK — verify source"))))&lt;&gt;1,IF(E982="UC",COUNTIFS('Use cases'!$A$4:$A$253,F982,'Use cases'!$I$4:$I$253,"Confirmed",'Use cases'!$J$4:$J$253,"OK — verify source"),IF(E982="CAP",COUNTIFS(Capabilities!$A$4:$A$253,F982,Capabilities!$J$4:$J$253,"Confirmed",Capabilities!$K$4:$K$253,"OK — verify source"),IF(E982="AIR",COUNTIFS('System map'!$A$4:$A$203,F982,'System map'!$B$4:$B$203,"&lt;&gt;",'System map'!$C$4:$C$203,"&lt;&gt;",'System map'!$D$4:$D$203,"&lt;&gt;"),COUNTIFS(Components!$A$4:$A$253,F982,Components!$B$4:$B$253,E982,Components!$K$4:$K$253,"Confirmed",Components!$L$4:$L$253,"OK — verify source"))))&lt;&gt;1)),"Endpoint not source-reconciled",IF(AND(M982="Confirmed",OR(L982="",K982="",K982="Unknown",K982="Low")),"Confirmed link lacks verification","OK — verify source"))))))))))))))</f>
        <v/>
      </c>
    </row>
    <row r="983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8" t="n"/>
      <c r="M983" s="27" t="n"/>
      <c r="N983" s="27">
        <f>IF(COUNTA(A983:M983)=0,"",IF(OR(A983="",B983="",C983="",D983="",E983="",F983="",I983="",J983="",K983="",M983=""),"Required link detail missing",IF(COUNTIF($A$4:$A$1003,A983)&gt;1,"Duplicate Map Edge ID",IF(NOT(OR(AND(B983="UC",E983="CAP",D983="requires"),AND(B983="CAP",E983="AIR",D983="provided by"),AND(B983="AIR",OR(E983="MOD",E983="DATA",E983="IF",E983="AG",E983="TOOL"),D983="references"),AND(B983="AIR",E983="AIR",D983="depends on"))),"Invalid relationship",IF(AND(M983&lt;&gt;"Superseded",COUNTIFS($B$4:$B$1003,B983,$C$4:$C$1003,C983,$D$4:$D$1003,D983,$E$4:$E$1003,E983,$F$4:$F$1003,F983,$G$4:$G$1003,G983,$M$4:$M$1003,"&lt;&gt;Superseded")&gt;1),"Duplicate relationship",IF(OR(IF(B983="UC",COUNTIF('Use cases'!$A$4:$A$253,C983),IF(B983="CAP",COUNTIF(Capabilities!$A$4:$A$253,C983),IF(B983="AIR",COUNTIF('System map'!$A$4:$A$203,C983),COUNTIFS(Components!$A$4:$A$253,C983,Components!$B$4:$B$253,B983))))&lt;&gt;1,IF(E983="UC",COUNTIF('Use cases'!$A$4:$A$253,F983),IF(E983="CAP",COUNTIF(Capabilities!$A$4:$A$253,F983),IF(E983="AIR",COUNTIF('System map'!$A$4:$A$203,F983),COUNTIFS(Components!$A$4:$A$253,F983,Components!$B$4:$B$253,E983))))&lt;&gt;1),"Endpoint missing or duplicated",IF(AND(NOT(AND(B983="UC",E983="CAP")),OR(G983="",COUNTIF('System map'!$A$4:$A$203,G983)&lt;&gt;1)),"AIR context missing / unknown",IF(AND(B983="CAP",E983="AIR",G983&lt;&gt;F983),"AIR context mismatch",IF(AND(B983="AIR",G983&lt;&gt;C983),"AIR context mismatch",IF(AND(B983="AIR",E983="AIR",C983=F983),"Self-dependency",IF(AND(B983="AIR",E983="AIR",M983&lt;&gt;"Superseded",COUNTIFS($B$4:$B$1003,"AIR",$C$4:$C$1003,F983,$E$4:$E$1003,"AIR",$F$4:$F$1003,C983,$M$4:$M$1003,"&lt;&gt;Superseded")&gt;0),"Dependency cycle (A↔B) — review",IF(AND(B983="AIR",OR(E983="MOD",E983="DATA",E983="IF",E983="AG",E983="TOOL"),IFERROR(INDEX(Components!$G$4:$G$253,MATCH(F983,Components!$A$4:$A$253,0)),"")&lt;&gt;"",IFERROR(INDEX(Components!$G$4:$G$253,MATCH(F983,Components!$A$4:$A$253,0)),"")&lt;&gt;C983),"Component owned by another AIR-ID",IF(AND(M983="Confirmed",OR(IF(B983="UC",COUNTIFS('Use cases'!$A$4:$A$253,C983,'Use cases'!$I$4:$I$253,"Confirmed",'Use cases'!$J$4:$J$253,"OK — verify source"),IF(B983="CAP",COUNTIFS(Capabilities!$A$4:$A$253,C983,Capabilities!$J$4:$J$253,"Confirmed",Capabilities!$K$4:$K$253,"OK — verify source"),IF(B983="AIR",COUNTIFS('System map'!$A$4:$A$203,C983,'System map'!$B$4:$B$203,"&lt;&gt;",'System map'!$C$4:$C$203,"&lt;&gt;",'System map'!$D$4:$D$203,"&lt;&gt;"),COUNTIFS(Components!$A$4:$A$253,C983,Components!$B$4:$B$253,B983,Components!$K$4:$K$253,"Confirmed",Components!$L$4:$L$253,"OK — verify source"))))&lt;&gt;1,IF(E983="UC",COUNTIFS('Use cases'!$A$4:$A$253,F983,'Use cases'!$I$4:$I$253,"Confirmed",'Use cases'!$J$4:$J$253,"OK — verify source"),IF(E983="CAP",COUNTIFS(Capabilities!$A$4:$A$253,F983,Capabilities!$J$4:$J$253,"Confirmed",Capabilities!$K$4:$K$253,"OK — verify source"),IF(E983="AIR",COUNTIFS('System map'!$A$4:$A$203,F983,'System map'!$B$4:$B$203,"&lt;&gt;",'System map'!$C$4:$C$203,"&lt;&gt;",'System map'!$D$4:$D$203,"&lt;&gt;"),COUNTIFS(Components!$A$4:$A$253,F983,Components!$B$4:$B$253,E983,Components!$K$4:$K$253,"Confirmed",Components!$L$4:$L$253,"OK — verify source"))))&lt;&gt;1)),"Endpoint not source-reconciled",IF(AND(M983="Confirmed",OR(L983="",K983="",K983="Unknown",K983="Low")),"Confirmed link lacks verification","OK — verify source"))))))))))))))</f>
        <v/>
      </c>
    </row>
    <row r="98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6" t="n"/>
      <c r="M984" s="25" t="n"/>
      <c r="N984" s="25">
        <f>IF(COUNTA(A984:M984)=0,"",IF(OR(A984="",B984="",C984="",D984="",E984="",F984="",I984="",J984="",K984="",M984=""),"Required link detail missing",IF(COUNTIF($A$4:$A$1003,A984)&gt;1,"Duplicate Map Edge ID",IF(NOT(OR(AND(B984="UC",E984="CAP",D984="requires"),AND(B984="CAP",E984="AIR",D984="provided by"),AND(B984="AIR",OR(E984="MOD",E984="DATA",E984="IF",E984="AG",E984="TOOL"),D984="references"),AND(B984="AIR",E984="AIR",D984="depends on"))),"Invalid relationship",IF(AND(M984&lt;&gt;"Superseded",COUNTIFS($B$4:$B$1003,B984,$C$4:$C$1003,C984,$D$4:$D$1003,D984,$E$4:$E$1003,E984,$F$4:$F$1003,F984,$G$4:$G$1003,G984,$M$4:$M$1003,"&lt;&gt;Superseded")&gt;1),"Duplicate relationship",IF(OR(IF(B984="UC",COUNTIF('Use cases'!$A$4:$A$253,C984),IF(B984="CAP",COUNTIF(Capabilities!$A$4:$A$253,C984),IF(B984="AIR",COUNTIF('System map'!$A$4:$A$203,C984),COUNTIFS(Components!$A$4:$A$253,C984,Components!$B$4:$B$253,B984))))&lt;&gt;1,IF(E984="UC",COUNTIF('Use cases'!$A$4:$A$253,F984),IF(E984="CAP",COUNTIF(Capabilities!$A$4:$A$253,F984),IF(E984="AIR",COUNTIF('System map'!$A$4:$A$203,F984),COUNTIFS(Components!$A$4:$A$253,F984,Components!$B$4:$B$253,E984))))&lt;&gt;1),"Endpoint missing or duplicated",IF(AND(NOT(AND(B984="UC",E984="CAP")),OR(G984="",COUNTIF('System map'!$A$4:$A$203,G984)&lt;&gt;1)),"AIR context missing / unknown",IF(AND(B984="CAP",E984="AIR",G984&lt;&gt;F984),"AIR context mismatch",IF(AND(B984="AIR",G984&lt;&gt;C984),"AIR context mismatch",IF(AND(B984="AIR",E984="AIR",C984=F984),"Self-dependency",IF(AND(B984="AIR",E984="AIR",M984&lt;&gt;"Superseded",COUNTIFS($B$4:$B$1003,"AIR",$C$4:$C$1003,F984,$E$4:$E$1003,"AIR",$F$4:$F$1003,C984,$M$4:$M$1003,"&lt;&gt;Superseded")&gt;0),"Dependency cycle (A↔B) — review",IF(AND(B984="AIR",OR(E984="MOD",E984="DATA",E984="IF",E984="AG",E984="TOOL"),IFERROR(INDEX(Components!$G$4:$G$253,MATCH(F984,Components!$A$4:$A$253,0)),"")&lt;&gt;"",IFERROR(INDEX(Components!$G$4:$G$253,MATCH(F984,Components!$A$4:$A$253,0)),"")&lt;&gt;C984),"Component owned by another AIR-ID",IF(AND(M984="Confirmed",OR(IF(B984="UC",COUNTIFS('Use cases'!$A$4:$A$253,C984,'Use cases'!$I$4:$I$253,"Confirmed",'Use cases'!$J$4:$J$253,"OK — verify source"),IF(B984="CAP",COUNTIFS(Capabilities!$A$4:$A$253,C984,Capabilities!$J$4:$J$253,"Confirmed",Capabilities!$K$4:$K$253,"OK — verify source"),IF(B984="AIR",COUNTIFS('System map'!$A$4:$A$203,C984,'System map'!$B$4:$B$203,"&lt;&gt;",'System map'!$C$4:$C$203,"&lt;&gt;",'System map'!$D$4:$D$203,"&lt;&gt;"),COUNTIFS(Components!$A$4:$A$253,C984,Components!$B$4:$B$253,B984,Components!$K$4:$K$253,"Confirmed",Components!$L$4:$L$253,"OK — verify source"))))&lt;&gt;1,IF(E984="UC",COUNTIFS('Use cases'!$A$4:$A$253,F984,'Use cases'!$I$4:$I$253,"Confirmed",'Use cases'!$J$4:$J$253,"OK — verify source"),IF(E984="CAP",COUNTIFS(Capabilities!$A$4:$A$253,F984,Capabilities!$J$4:$J$253,"Confirmed",Capabilities!$K$4:$K$253,"OK — verify source"),IF(E984="AIR",COUNTIFS('System map'!$A$4:$A$203,F984,'System map'!$B$4:$B$203,"&lt;&gt;",'System map'!$C$4:$C$203,"&lt;&gt;",'System map'!$D$4:$D$203,"&lt;&gt;"),COUNTIFS(Components!$A$4:$A$253,F984,Components!$B$4:$B$253,E984,Components!$K$4:$K$253,"Confirmed",Components!$L$4:$L$253,"OK — verify source"))))&lt;&gt;1)),"Endpoint not source-reconciled",IF(AND(M984="Confirmed",OR(L984="",K984="",K984="Unknown",K984="Low")),"Confirmed link lacks verification","OK — verify source"))))))))))))))</f>
        <v/>
      </c>
    </row>
    <row r="985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8" t="n"/>
      <c r="M985" s="27" t="n"/>
      <c r="N985" s="27">
        <f>IF(COUNTA(A985:M985)=0,"",IF(OR(A985="",B985="",C985="",D985="",E985="",F985="",I985="",J985="",K985="",M985=""),"Required link detail missing",IF(COUNTIF($A$4:$A$1003,A985)&gt;1,"Duplicate Map Edge ID",IF(NOT(OR(AND(B985="UC",E985="CAP",D985="requires"),AND(B985="CAP",E985="AIR",D985="provided by"),AND(B985="AIR",OR(E985="MOD",E985="DATA",E985="IF",E985="AG",E985="TOOL"),D985="references"),AND(B985="AIR",E985="AIR",D985="depends on"))),"Invalid relationship",IF(AND(M985&lt;&gt;"Superseded",COUNTIFS($B$4:$B$1003,B985,$C$4:$C$1003,C985,$D$4:$D$1003,D985,$E$4:$E$1003,E985,$F$4:$F$1003,F985,$G$4:$G$1003,G985,$M$4:$M$1003,"&lt;&gt;Superseded")&gt;1),"Duplicate relationship",IF(OR(IF(B985="UC",COUNTIF('Use cases'!$A$4:$A$253,C985),IF(B985="CAP",COUNTIF(Capabilities!$A$4:$A$253,C985),IF(B985="AIR",COUNTIF('System map'!$A$4:$A$203,C985),COUNTIFS(Components!$A$4:$A$253,C985,Components!$B$4:$B$253,B985))))&lt;&gt;1,IF(E985="UC",COUNTIF('Use cases'!$A$4:$A$253,F985),IF(E985="CAP",COUNTIF(Capabilities!$A$4:$A$253,F985),IF(E985="AIR",COUNTIF('System map'!$A$4:$A$203,F985),COUNTIFS(Components!$A$4:$A$253,F985,Components!$B$4:$B$253,E985))))&lt;&gt;1),"Endpoint missing or duplicated",IF(AND(NOT(AND(B985="UC",E985="CAP")),OR(G985="",COUNTIF('System map'!$A$4:$A$203,G985)&lt;&gt;1)),"AIR context missing / unknown",IF(AND(B985="CAP",E985="AIR",G985&lt;&gt;F985),"AIR context mismatch",IF(AND(B985="AIR",G985&lt;&gt;C985),"AIR context mismatch",IF(AND(B985="AIR",E985="AIR",C985=F985),"Self-dependency",IF(AND(B985="AIR",E985="AIR",M985&lt;&gt;"Superseded",COUNTIFS($B$4:$B$1003,"AIR",$C$4:$C$1003,F985,$E$4:$E$1003,"AIR",$F$4:$F$1003,C985,$M$4:$M$1003,"&lt;&gt;Superseded")&gt;0),"Dependency cycle (A↔B) — review",IF(AND(B985="AIR",OR(E985="MOD",E985="DATA",E985="IF",E985="AG",E985="TOOL"),IFERROR(INDEX(Components!$G$4:$G$253,MATCH(F985,Components!$A$4:$A$253,0)),"")&lt;&gt;"",IFERROR(INDEX(Components!$G$4:$G$253,MATCH(F985,Components!$A$4:$A$253,0)),"")&lt;&gt;C985),"Component owned by another AIR-ID",IF(AND(M985="Confirmed",OR(IF(B985="UC",COUNTIFS('Use cases'!$A$4:$A$253,C985,'Use cases'!$I$4:$I$253,"Confirmed",'Use cases'!$J$4:$J$253,"OK — verify source"),IF(B985="CAP",COUNTIFS(Capabilities!$A$4:$A$253,C985,Capabilities!$J$4:$J$253,"Confirmed",Capabilities!$K$4:$K$253,"OK — verify source"),IF(B985="AIR",COUNTIFS('System map'!$A$4:$A$203,C985,'System map'!$B$4:$B$203,"&lt;&gt;",'System map'!$C$4:$C$203,"&lt;&gt;",'System map'!$D$4:$D$203,"&lt;&gt;"),COUNTIFS(Components!$A$4:$A$253,C985,Components!$B$4:$B$253,B985,Components!$K$4:$K$253,"Confirmed",Components!$L$4:$L$253,"OK — verify source"))))&lt;&gt;1,IF(E985="UC",COUNTIFS('Use cases'!$A$4:$A$253,F985,'Use cases'!$I$4:$I$253,"Confirmed",'Use cases'!$J$4:$J$253,"OK — verify source"),IF(E985="CAP",COUNTIFS(Capabilities!$A$4:$A$253,F985,Capabilities!$J$4:$J$253,"Confirmed",Capabilities!$K$4:$K$253,"OK — verify source"),IF(E985="AIR",COUNTIFS('System map'!$A$4:$A$203,F985,'System map'!$B$4:$B$203,"&lt;&gt;",'System map'!$C$4:$C$203,"&lt;&gt;",'System map'!$D$4:$D$203,"&lt;&gt;"),COUNTIFS(Components!$A$4:$A$253,F985,Components!$B$4:$B$253,E985,Components!$K$4:$K$253,"Confirmed",Components!$L$4:$L$253,"OK — verify source"))))&lt;&gt;1)),"Endpoint not source-reconciled",IF(AND(M985="Confirmed",OR(L985="",K985="",K985="Unknown",K985="Low")),"Confirmed link lacks verification","OK — verify source"))))))))))))))</f>
        <v/>
      </c>
    </row>
    <row r="986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6" t="n"/>
      <c r="M986" s="25" t="n"/>
      <c r="N986" s="25">
        <f>IF(COUNTA(A986:M986)=0,"",IF(OR(A986="",B986="",C986="",D986="",E986="",F986="",I986="",J986="",K986="",M986=""),"Required link detail missing",IF(COUNTIF($A$4:$A$1003,A986)&gt;1,"Duplicate Map Edge ID",IF(NOT(OR(AND(B986="UC",E986="CAP",D986="requires"),AND(B986="CAP",E986="AIR",D986="provided by"),AND(B986="AIR",OR(E986="MOD",E986="DATA",E986="IF",E986="AG",E986="TOOL"),D986="references"),AND(B986="AIR",E986="AIR",D986="depends on"))),"Invalid relationship",IF(AND(M986&lt;&gt;"Superseded",COUNTIFS($B$4:$B$1003,B986,$C$4:$C$1003,C986,$D$4:$D$1003,D986,$E$4:$E$1003,E986,$F$4:$F$1003,F986,$G$4:$G$1003,G986,$M$4:$M$1003,"&lt;&gt;Superseded")&gt;1),"Duplicate relationship",IF(OR(IF(B986="UC",COUNTIF('Use cases'!$A$4:$A$253,C986),IF(B986="CAP",COUNTIF(Capabilities!$A$4:$A$253,C986),IF(B986="AIR",COUNTIF('System map'!$A$4:$A$203,C986),COUNTIFS(Components!$A$4:$A$253,C986,Components!$B$4:$B$253,B986))))&lt;&gt;1,IF(E986="UC",COUNTIF('Use cases'!$A$4:$A$253,F986),IF(E986="CAP",COUNTIF(Capabilities!$A$4:$A$253,F986),IF(E986="AIR",COUNTIF('System map'!$A$4:$A$203,F986),COUNTIFS(Components!$A$4:$A$253,F986,Components!$B$4:$B$253,E986))))&lt;&gt;1),"Endpoint missing or duplicated",IF(AND(NOT(AND(B986="UC",E986="CAP")),OR(G986="",COUNTIF('System map'!$A$4:$A$203,G986)&lt;&gt;1)),"AIR context missing / unknown",IF(AND(B986="CAP",E986="AIR",G986&lt;&gt;F986),"AIR context mismatch",IF(AND(B986="AIR",G986&lt;&gt;C986),"AIR context mismatch",IF(AND(B986="AIR",E986="AIR",C986=F986),"Self-dependency",IF(AND(B986="AIR",E986="AIR",M986&lt;&gt;"Superseded",COUNTIFS($B$4:$B$1003,"AIR",$C$4:$C$1003,F986,$E$4:$E$1003,"AIR",$F$4:$F$1003,C986,$M$4:$M$1003,"&lt;&gt;Superseded")&gt;0),"Dependency cycle (A↔B) — review",IF(AND(B986="AIR",OR(E986="MOD",E986="DATA",E986="IF",E986="AG",E986="TOOL"),IFERROR(INDEX(Components!$G$4:$G$253,MATCH(F986,Components!$A$4:$A$253,0)),"")&lt;&gt;"",IFERROR(INDEX(Components!$G$4:$G$253,MATCH(F986,Components!$A$4:$A$253,0)),"")&lt;&gt;C986),"Component owned by another AIR-ID",IF(AND(M986="Confirmed",OR(IF(B986="UC",COUNTIFS('Use cases'!$A$4:$A$253,C986,'Use cases'!$I$4:$I$253,"Confirmed",'Use cases'!$J$4:$J$253,"OK — verify source"),IF(B986="CAP",COUNTIFS(Capabilities!$A$4:$A$253,C986,Capabilities!$J$4:$J$253,"Confirmed",Capabilities!$K$4:$K$253,"OK — verify source"),IF(B986="AIR",COUNTIFS('System map'!$A$4:$A$203,C986,'System map'!$B$4:$B$203,"&lt;&gt;",'System map'!$C$4:$C$203,"&lt;&gt;",'System map'!$D$4:$D$203,"&lt;&gt;"),COUNTIFS(Components!$A$4:$A$253,C986,Components!$B$4:$B$253,B986,Components!$K$4:$K$253,"Confirmed",Components!$L$4:$L$253,"OK — verify source"))))&lt;&gt;1,IF(E986="UC",COUNTIFS('Use cases'!$A$4:$A$253,F986,'Use cases'!$I$4:$I$253,"Confirmed",'Use cases'!$J$4:$J$253,"OK — verify source"),IF(E986="CAP",COUNTIFS(Capabilities!$A$4:$A$253,F986,Capabilities!$J$4:$J$253,"Confirmed",Capabilities!$K$4:$K$253,"OK — verify source"),IF(E986="AIR",COUNTIFS('System map'!$A$4:$A$203,F986,'System map'!$B$4:$B$203,"&lt;&gt;",'System map'!$C$4:$C$203,"&lt;&gt;",'System map'!$D$4:$D$203,"&lt;&gt;"),COUNTIFS(Components!$A$4:$A$253,F986,Components!$B$4:$B$253,E986,Components!$K$4:$K$253,"Confirmed",Components!$L$4:$L$253,"OK — verify source"))))&lt;&gt;1)),"Endpoint not source-reconciled",IF(AND(M986="Confirmed",OR(L986="",K986="",K986="Unknown",K986="Low")),"Confirmed link lacks verification","OK — verify source"))))))))))))))</f>
        <v/>
      </c>
    </row>
    <row r="987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8" t="n"/>
      <c r="M987" s="27" t="n"/>
      <c r="N987" s="27">
        <f>IF(COUNTA(A987:M987)=0,"",IF(OR(A987="",B987="",C987="",D987="",E987="",F987="",I987="",J987="",K987="",M987=""),"Required link detail missing",IF(COUNTIF($A$4:$A$1003,A987)&gt;1,"Duplicate Map Edge ID",IF(NOT(OR(AND(B987="UC",E987="CAP",D987="requires"),AND(B987="CAP",E987="AIR",D987="provided by"),AND(B987="AIR",OR(E987="MOD",E987="DATA",E987="IF",E987="AG",E987="TOOL"),D987="references"),AND(B987="AIR",E987="AIR",D987="depends on"))),"Invalid relationship",IF(AND(M987&lt;&gt;"Superseded",COUNTIFS($B$4:$B$1003,B987,$C$4:$C$1003,C987,$D$4:$D$1003,D987,$E$4:$E$1003,E987,$F$4:$F$1003,F987,$G$4:$G$1003,G987,$M$4:$M$1003,"&lt;&gt;Superseded")&gt;1),"Duplicate relationship",IF(OR(IF(B987="UC",COUNTIF('Use cases'!$A$4:$A$253,C987),IF(B987="CAP",COUNTIF(Capabilities!$A$4:$A$253,C987),IF(B987="AIR",COUNTIF('System map'!$A$4:$A$203,C987),COUNTIFS(Components!$A$4:$A$253,C987,Components!$B$4:$B$253,B987))))&lt;&gt;1,IF(E987="UC",COUNTIF('Use cases'!$A$4:$A$253,F987),IF(E987="CAP",COUNTIF(Capabilities!$A$4:$A$253,F987),IF(E987="AIR",COUNTIF('System map'!$A$4:$A$203,F987),COUNTIFS(Components!$A$4:$A$253,F987,Components!$B$4:$B$253,E987))))&lt;&gt;1),"Endpoint missing or duplicated",IF(AND(NOT(AND(B987="UC",E987="CAP")),OR(G987="",COUNTIF('System map'!$A$4:$A$203,G987)&lt;&gt;1)),"AIR context missing / unknown",IF(AND(B987="CAP",E987="AIR",G987&lt;&gt;F987),"AIR context mismatch",IF(AND(B987="AIR",G987&lt;&gt;C987),"AIR context mismatch",IF(AND(B987="AIR",E987="AIR",C987=F987),"Self-dependency",IF(AND(B987="AIR",E987="AIR",M987&lt;&gt;"Superseded",COUNTIFS($B$4:$B$1003,"AIR",$C$4:$C$1003,F987,$E$4:$E$1003,"AIR",$F$4:$F$1003,C987,$M$4:$M$1003,"&lt;&gt;Superseded")&gt;0),"Dependency cycle (A↔B) — review",IF(AND(B987="AIR",OR(E987="MOD",E987="DATA",E987="IF",E987="AG",E987="TOOL"),IFERROR(INDEX(Components!$G$4:$G$253,MATCH(F987,Components!$A$4:$A$253,0)),"")&lt;&gt;"",IFERROR(INDEX(Components!$G$4:$G$253,MATCH(F987,Components!$A$4:$A$253,0)),"")&lt;&gt;C987),"Component owned by another AIR-ID",IF(AND(M987="Confirmed",OR(IF(B987="UC",COUNTIFS('Use cases'!$A$4:$A$253,C987,'Use cases'!$I$4:$I$253,"Confirmed",'Use cases'!$J$4:$J$253,"OK — verify source"),IF(B987="CAP",COUNTIFS(Capabilities!$A$4:$A$253,C987,Capabilities!$J$4:$J$253,"Confirmed",Capabilities!$K$4:$K$253,"OK — verify source"),IF(B987="AIR",COUNTIFS('System map'!$A$4:$A$203,C987,'System map'!$B$4:$B$203,"&lt;&gt;",'System map'!$C$4:$C$203,"&lt;&gt;",'System map'!$D$4:$D$203,"&lt;&gt;"),COUNTIFS(Components!$A$4:$A$253,C987,Components!$B$4:$B$253,B987,Components!$K$4:$K$253,"Confirmed",Components!$L$4:$L$253,"OK — verify source"))))&lt;&gt;1,IF(E987="UC",COUNTIFS('Use cases'!$A$4:$A$253,F987,'Use cases'!$I$4:$I$253,"Confirmed",'Use cases'!$J$4:$J$253,"OK — verify source"),IF(E987="CAP",COUNTIFS(Capabilities!$A$4:$A$253,F987,Capabilities!$J$4:$J$253,"Confirmed",Capabilities!$K$4:$K$253,"OK — verify source"),IF(E987="AIR",COUNTIFS('System map'!$A$4:$A$203,F987,'System map'!$B$4:$B$203,"&lt;&gt;",'System map'!$C$4:$C$203,"&lt;&gt;",'System map'!$D$4:$D$203,"&lt;&gt;"),COUNTIFS(Components!$A$4:$A$253,F987,Components!$B$4:$B$253,E987,Components!$K$4:$K$253,"Confirmed",Components!$L$4:$L$253,"OK — verify source"))))&lt;&gt;1)),"Endpoint not source-reconciled",IF(AND(M987="Confirmed",OR(L987="",K987="",K987="Unknown",K987="Low")),"Confirmed link lacks verification","OK — verify source"))))))))))))))</f>
        <v/>
      </c>
    </row>
    <row r="988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6" t="n"/>
      <c r="M988" s="25" t="n"/>
      <c r="N988" s="25">
        <f>IF(COUNTA(A988:M988)=0,"",IF(OR(A988="",B988="",C988="",D988="",E988="",F988="",I988="",J988="",K988="",M988=""),"Required link detail missing",IF(COUNTIF($A$4:$A$1003,A988)&gt;1,"Duplicate Map Edge ID",IF(NOT(OR(AND(B988="UC",E988="CAP",D988="requires"),AND(B988="CAP",E988="AIR",D988="provided by"),AND(B988="AIR",OR(E988="MOD",E988="DATA",E988="IF",E988="AG",E988="TOOL"),D988="references"),AND(B988="AIR",E988="AIR",D988="depends on"))),"Invalid relationship",IF(AND(M988&lt;&gt;"Superseded",COUNTIFS($B$4:$B$1003,B988,$C$4:$C$1003,C988,$D$4:$D$1003,D988,$E$4:$E$1003,E988,$F$4:$F$1003,F988,$G$4:$G$1003,G988,$M$4:$M$1003,"&lt;&gt;Superseded")&gt;1),"Duplicate relationship",IF(OR(IF(B988="UC",COUNTIF('Use cases'!$A$4:$A$253,C988),IF(B988="CAP",COUNTIF(Capabilities!$A$4:$A$253,C988),IF(B988="AIR",COUNTIF('System map'!$A$4:$A$203,C988),COUNTIFS(Components!$A$4:$A$253,C988,Components!$B$4:$B$253,B988))))&lt;&gt;1,IF(E988="UC",COUNTIF('Use cases'!$A$4:$A$253,F988),IF(E988="CAP",COUNTIF(Capabilities!$A$4:$A$253,F988),IF(E988="AIR",COUNTIF('System map'!$A$4:$A$203,F988),COUNTIFS(Components!$A$4:$A$253,F988,Components!$B$4:$B$253,E988))))&lt;&gt;1),"Endpoint missing or duplicated",IF(AND(NOT(AND(B988="UC",E988="CAP")),OR(G988="",COUNTIF('System map'!$A$4:$A$203,G988)&lt;&gt;1)),"AIR context missing / unknown",IF(AND(B988="CAP",E988="AIR",G988&lt;&gt;F988),"AIR context mismatch",IF(AND(B988="AIR",G988&lt;&gt;C988),"AIR context mismatch",IF(AND(B988="AIR",E988="AIR",C988=F988),"Self-dependency",IF(AND(B988="AIR",E988="AIR",M988&lt;&gt;"Superseded",COUNTIFS($B$4:$B$1003,"AIR",$C$4:$C$1003,F988,$E$4:$E$1003,"AIR",$F$4:$F$1003,C988,$M$4:$M$1003,"&lt;&gt;Superseded")&gt;0),"Dependency cycle (A↔B) — review",IF(AND(B988="AIR",OR(E988="MOD",E988="DATA",E988="IF",E988="AG",E988="TOOL"),IFERROR(INDEX(Components!$G$4:$G$253,MATCH(F988,Components!$A$4:$A$253,0)),"")&lt;&gt;"",IFERROR(INDEX(Components!$G$4:$G$253,MATCH(F988,Components!$A$4:$A$253,0)),"")&lt;&gt;C988),"Component owned by another AIR-ID",IF(AND(M988="Confirmed",OR(IF(B988="UC",COUNTIFS('Use cases'!$A$4:$A$253,C988,'Use cases'!$I$4:$I$253,"Confirmed",'Use cases'!$J$4:$J$253,"OK — verify source"),IF(B988="CAP",COUNTIFS(Capabilities!$A$4:$A$253,C988,Capabilities!$J$4:$J$253,"Confirmed",Capabilities!$K$4:$K$253,"OK — verify source"),IF(B988="AIR",COUNTIFS('System map'!$A$4:$A$203,C988,'System map'!$B$4:$B$203,"&lt;&gt;",'System map'!$C$4:$C$203,"&lt;&gt;",'System map'!$D$4:$D$203,"&lt;&gt;"),COUNTIFS(Components!$A$4:$A$253,C988,Components!$B$4:$B$253,B988,Components!$K$4:$K$253,"Confirmed",Components!$L$4:$L$253,"OK — verify source"))))&lt;&gt;1,IF(E988="UC",COUNTIFS('Use cases'!$A$4:$A$253,F988,'Use cases'!$I$4:$I$253,"Confirmed",'Use cases'!$J$4:$J$253,"OK — verify source"),IF(E988="CAP",COUNTIFS(Capabilities!$A$4:$A$253,F988,Capabilities!$J$4:$J$253,"Confirmed",Capabilities!$K$4:$K$253,"OK — verify source"),IF(E988="AIR",COUNTIFS('System map'!$A$4:$A$203,F988,'System map'!$B$4:$B$203,"&lt;&gt;",'System map'!$C$4:$C$203,"&lt;&gt;",'System map'!$D$4:$D$203,"&lt;&gt;"),COUNTIFS(Components!$A$4:$A$253,F988,Components!$B$4:$B$253,E988,Components!$K$4:$K$253,"Confirmed",Components!$L$4:$L$253,"OK — verify source"))))&lt;&gt;1)),"Endpoint not source-reconciled",IF(AND(M988="Confirmed",OR(L988="",K988="",K988="Unknown",K988="Low")),"Confirmed link lacks verification","OK — verify source"))))))))))))))</f>
        <v/>
      </c>
    </row>
    <row r="989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8" t="n"/>
      <c r="M989" s="27" t="n"/>
      <c r="N989" s="27">
        <f>IF(COUNTA(A989:M989)=0,"",IF(OR(A989="",B989="",C989="",D989="",E989="",F989="",I989="",J989="",K989="",M989=""),"Required link detail missing",IF(COUNTIF($A$4:$A$1003,A989)&gt;1,"Duplicate Map Edge ID",IF(NOT(OR(AND(B989="UC",E989="CAP",D989="requires"),AND(B989="CAP",E989="AIR",D989="provided by"),AND(B989="AIR",OR(E989="MOD",E989="DATA",E989="IF",E989="AG",E989="TOOL"),D989="references"),AND(B989="AIR",E989="AIR",D989="depends on"))),"Invalid relationship",IF(AND(M989&lt;&gt;"Superseded",COUNTIFS($B$4:$B$1003,B989,$C$4:$C$1003,C989,$D$4:$D$1003,D989,$E$4:$E$1003,E989,$F$4:$F$1003,F989,$G$4:$G$1003,G989,$M$4:$M$1003,"&lt;&gt;Superseded")&gt;1),"Duplicate relationship",IF(OR(IF(B989="UC",COUNTIF('Use cases'!$A$4:$A$253,C989),IF(B989="CAP",COUNTIF(Capabilities!$A$4:$A$253,C989),IF(B989="AIR",COUNTIF('System map'!$A$4:$A$203,C989),COUNTIFS(Components!$A$4:$A$253,C989,Components!$B$4:$B$253,B989))))&lt;&gt;1,IF(E989="UC",COUNTIF('Use cases'!$A$4:$A$253,F989),IF(E989="CAP",COUNTIF(Capabilities!$A$4:$A$253,F989),IF(E989="AIR",COUNTIF('System map'!$A$4:$A$203,F989),COUNTIFS(Components!$A$4:$A$253,F989,Components!$B$4:$B$253,E989))))&lt;&gt;1),"Endpoint missing or duplicated",IF(AND(NOT(AND(B989="UC",E989="CAP")),OR(G989="",COUNTIF('System map'!$A$4:$A$203,G989)&lt;&gt;1)),"AIR context missing / unknown",IF(AND(B989="CAP",E989="AIR",G989&lt;&gt;F989),"AIR context mismatch",IF(AND(B989="AIR",G989&lt;&gt;C989),"AIR context mismatch",IF(AND(B989="AIR",E989="AIR",C989=F989),"Self-dependency",IF(AND(B989="AIR",E989="AIR",M989&lt;&gt;"Superseded",COUNTIFS($B$4:$B$1003,"AIR",$C$4:$C$1003,F989,$E$4:$E$1003,"AIR",$F$4:$F$1003,C989,$M$4:$M$1003,"&lt;&gt;Superseded")&gt;0),"Dependency cycle (A↔B) — review",IF(AND(B989="AIR",OR(E989="MOD",E989="DATA",E989="IF",E989="AG",E989="TOOL"),IFERROR(INDEX(Components!$G$4:$G$253,MATCH(F989,Components!$A$4:$A$253,0)),"")&lt;&gt;"",IFERROR(INDEX(Components!$G$4:$G$253,MATCH(F989,Components!$A$4:$A$253,0)),"")&lt;&gt;C989),"Component owned by another AIR-ID",IF(AND(M989="Confirmed",OR(IF(B989="UC",COUNTIFS('Use cases'!$A$4:$A$253,C989,'Use cases'!$I$4:$I$253,"Confirmed",'Use cases'!$J$4:$J$253,"OK — verify source"),IF(B989="CAP",COUNTIFS(Capabilities!$A$4:$A$253,C989,Capabilities!$J$4:$J$253,"Confirmed",Capabilities!$K$4:$K$253,"OK — verify source"),IF(B989="AIR",COUNTIFS('System map'!$A$4:$A$203,C989,'System map'!$B$4:$B$203,"&lt;&gt;",'System map'!$C$4:$C$203,"&lt;&gt;",'System map'!$D$4:$D$203,"&lt;&gt;"),COUNTIFS(Components!$A$4:$A$253,C989,Components!$B$4:$B$253,B989,Components!$K$4:$K$253,"Confirmed",Components!$L$4:$L$253,"OK — verify source"))))&lt;&gt;1,IF(E989="UC",COUNTIFS('Use cases'!$A$4:$A$253,F989,'Use cases'!$I$4:$I$253,"Confirmed",'Use cases'!$J$4:$J$253,"OK — verify source"),IF(E989="CAP",COUNTIFS(Capabilities!$A$4:$A$253,F989,Capabilities!$J$4:$J$253,"Confirmed",Capabilities!$K$4:$K$253,"OK — verify source"),IF(E989="AIR",COUNTIFS('System map'!$A$4:$A$203,F989,'System map'!$B$4:$B$203,"&lt;&gt;",'System map'!$C$4:$C$203,"&lt;&gt;",'System map'!$D$4:$D$203,"&lt;&gt;"),COUNTIFS(Components!$A$4:$A$253,F989,Components!$B$4:$B$253,E989,Components!$K$4:$K$253,"Confirmed",Components!$L$4:$L$253,"OK — verify source"))))&lt;&gt;1)),"Endpoint not source-reconciled",IF(AND(M989="Confirmed",OR(L989="",K989="",K989="Unknown",K989="Low")),"Confirmed link lacks verification","OK — verify source"))))))))))))))</f>
        <v/>
      </c>
    </row>
    <row r="990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6" t="n"/>
      <c r="M990" s="25" t="n"/>
      <c r="N990" s="25">
        <f>IF(COUNTA(A990:M990)=0,"",IF(OR(A990="",B990="",C990="",D990="",E990="",F990="",I990="",J990="",K990="",M990=""),"Required link detail missing",IF(COUNTIF($A$4:$A$1003,A990)&gt;1,"Duplicate Map Edge ID",IF(NOT(OR(AND(B990="UC",E990="CAP",D990="requires"),AND(B990="CAP",E990="AIR",D990="provided by"),AND(B990="AIR",OR(E990="MOD",E990="DATA",E990="IF",E990="AG",E990="TOOL"),D990="references"),AND(B990="AIR",E990="AIR",D990="depends on"))),"Invalid relationship",IF(AND(M990&lt;&gt;"Superseded",COUNTIFS($B$4:$B$1003,B990,$C$4:$C$1003,C990,$D$4:$D$1003,D990,$E$4:$E$1003,E990,$F$4:$F$1003,F990,$G$4:$G$1003,G990,$M$4:$M$1003,"&lt;&gt;Superseded")&gt;1),"Duplicate relationship",IF(OR(IF(B990="UC",COUNTIF('Use cases'!$A$4:$A$253,C990),IF(B990="CAP",COUNTIF(Capabilities!$A$4:$A$253,C990),IF(B990="AIR",COUNTIF('System map'!$A$4:$A$203,C990),COUNTIFS(Components!$A$4:$A$253,C990,Components!$B$4:$B$253,B990))))&lt;&gt;1,IF(E990="UC",COUNTIF('Use cases'!$A$4:$A$253,F990),IF(E990="CAP",COUNTIF(Capabilities!$A$4:$A$253,F990),IF(E990="AIR",COUNTIF('System map'!$A$4:$A$203,F990),COUNTIFS(Components!$A$4:$A$253,F990,Components!$B$4:$B$253,E990))))&lt;&gt;1),"Endpoint missing or duplicated",IF(AND(NOT(AND(B990="UC",E990="CAP")),OR(G990="",COUNTIF('System map'!$A$4:$A$203,G990)&lt;&gt;1)),"AIR context missing / unknown",IF(AND(B990="CAP",E990="AIR",G990&lt;&gt;F990),"AIR context mismatch",IF(AND(B990="AIR",G990&lt;&gt;C990),"AIR context mismatch",IF(AND(B990="AIR",E990="AIR",C990=F990),"Self-dependency",IF(AND(B990="AIR",E990="AIR",M990&lt;&gt;"Superseded",COUNTIFS($B$4:$B$1003,"AIR",$C$4:$C$1003,F990,$E$4:$E$1003,"AIR",$F$4:$F$1003,C990,$M$4:$M$1003,"&lt;&gt;Superseded")&gt;0),"Dependency cycle (A↔B) — review",IF(AND(B990="AIR",OR(E990="MOD",E990="DATA",E990="IF",E990="AG",E990="TOOL"),IFERROR(INDEX(Components!$G$4:$G$253,MATCH(F990,Components!$A$4:$A$253,0)),"")&lt;&gt;"",IFERROR(INDEX(Components!$G$4:$G$253,MATCH(F990,Components!$A$4:$A$253,0)),"")&lt;&gt;C990),"Component owned by another AIR-ID",IF(AND(M990="Confirmed",OR(IF(B990="UC",COUNTIFS('Use cases'!$A$4:$A$253,C990,'Use cases'!$I$4:$I$253,"Confirmed",'Use cases'!$J$4:$J$253,"OK — verify source"),IF(B990="CAP",COUNTIFS(Capabilities!$A$4:$A$253,C990,Capabilities!$J$4:$J$253,"Confirmed",Capabilities!$K$4:$K$253,"OK — verify source"),IF(B990="AIR",COUNTIFS('System map'!$A$4:$A$203,C990,'System map'!$B$4:$B$203,"&lt;&gt;",'System map'!$C$4:$C$203,"&lt;&gt;",'System map'!$D$4:$D$203,"&lt;&gt;"),COUNTIFS(Components!$A$4:$A$253,C990,Components!$B$4:$B$253,B990,Components!$K$4:$K$253,"Confirmed",Components!$L$4:$L$253,"OK — verify source"))))&lt;&gt;1,IF(E990="UC",COUNTIFS('Use cases'!$A$4:$A$253,F990,'Use cases'!$I$4:$I$253,"Confirmed",'Use cases'!$J$4:$J$253,"OK — verify source"),IF(E990="CAP",COUNTIFS(Capabilities!$A$4:$A$253,F990,Capabilities!$J$4:$J$253,"Confirmed",Capabilities!$K$4:$K$253,"OK — verify source"),IF(E990="AIR",COUNTIFS('System map'!$A$4:$A$203,F990,'System map'!$B$4:$B$203,"&lt;&gt;",'System map'!$C$4:$C$203,"&lt;&gt;",'System map'!$D$4:$D$203,"&lt;&gt;"),COUNTIFS(Components!$A$4:$A$253,F990,Components!$B$4:$B$253,E990,Components!$K$4:$K$253,"Confirmed",Components!$L$4:$L$253,"OK — verify source"))))&lt;&gt;1)),"Endpoint not source-reconciled",IF(AND(M990="Confirmed",OR(L990="",K990="",K990="Unknown",K990="Low")),"Confirmed link lacks verification","OK — verify source"))))))))))))))</f>
        <v/>
      </c>
    </row>
    <row r="991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8" t="n"/>
      <c r="M991" s="27" t="n"/>
      <c r="N991" s="27">
        <f>IF(COUNTA(A991:M991)=0,"",IF(OR(A991="",B991="",C991="",D991="",E991="",F991="",I991="",J991="",K991="",M991=""),"Required link detail missing",IF(COUNTIF($A$4:$A$1003,A991)&gt;1,"Duplicate Map Edge ID",IF(NOT(OR(AND(B991="UC",E991="CAP",D991="requires"),AND(B991="CAP",E991="AIR",D991="provided by"),AND(B991="AIR",OR(E991="MOD",E991="DATA",E991="IF",E991="AG",E991="TOOL"),D991="references"),AND(B991="AIR",E991="AIR",D991="depends on"))),"Invalid relationship",IF(AND(M991&lt;&gt;"Superseded",COUNTIFS($B$4:$B$1003,B991,$C$4:$C$1003,C991,$D$4:$D$1003,D991,$E$4:$E$1003,E991,$F$4:$F$1003,F991,$G$4:$G$1003,G991,$M$4:$M$1003,"&lt;&gt;Superseded")&gt;1),"Duplicate relationship",IF(OR(IF(B991="UC",COUNTIF('Use cases'!$A$4:$A$253,C991),IF(B991="CAP",COUNTIF(Capabilities!$A$4:$A$253,C991),IF(B991="AIR",COUNTIF('System map'!$A$4:$A$203,C991),COUNTIFS(Components!$A$4:$A$253,C991,Components!$B$4:$B$253,B991))))&lt;&gt;1,IF(E991="UC",COUNTIF('Use cases'!$A$4:$A$253,F991),IF(E991="CAP",COUNTIF(Capabilities!$A$4:$A$253,F991),IF(E991="AIR",COUNTIF('System map'!$A$4:$A$203,F991),COUNTIFS(Components!$A$4:$A$253,F991,Components!$B$4:$B$253,E991))))&lt;&gt;1),"Endpoint missing or duplicated",IF(AND(NOT(AND(B991="UC",E991="CAP")),OR(G991="",COUNTIF('System map'!$A$4:$A$203,G991)&lt;&gt;1)),"AIR context missing / unknown",IF(AND(B991="CAP",E991="AIR",G991&lt;&gt;F991),"AIR context mismatch",IF(AND(B991="AIR",G991&lt;&gt;C991),"AIR context mismatch",IF(AND(B991="AIR",E991="AIR",C991=F991),"Self-dependency",IF(AND(B991="AIR",E991="AIR",M991&lt;&gt;"Superseded",COUNTIFS($B$4:$B$1003,"AIR",$C$4:$C$1003,F991,$E$4:$E$1003,"AIR",$F$4:$F$1003,C991,$M$4:$M$1003,"&lt;&gt;Superseded")&gt;0),"Dependency cycle (A↔B) — review",IF(AND(B991="AIR",OR(E991="MOD",E991="DATA",E991="IF",E991="AG",E991="TOOL"),IFERROR(INDEX(Components!$G$4:$G$253,MATCH(F991,Components!$A$4:$A$253,0)),"")&lt;&gt;"",IFERROR(INDEX(Components!$G$4:$G$253,MATCH(F991,Components!$A$4:$A$253,0)),"")&lt;&gt;C991),"Component owned by another AIR-ID",IF(AND(M991="Confirmed",OR(IF(B991="UC",COUNTIFS('Use cases'!$A$4:$A$253,C991,'Use cases'!$I$4:$I$253,"Confirmed",'Use cases'!$J$4:$J$253,"OK — verify source"),IF(B991="CAP",COUNTIFS(Capabilities!$A$4:$A$253,C991,Capabilities!$J$4:$J$253,"Confirmed",Capabilities!$K$4:$K$253,"OK — verify source"),IF(B991="AIR",COUNTIFS('System map'!$A$4:$A$203,C991,'System map'!$B$4:$B$203,"&lt;&gt;",'System map'!$C$4:$C$203,"&lt;&gt;",'System map'!$D$4:$D$203,"&lt;&gt;"),COUNTIFS(Components!$A$4:$A$253,C991,Components!$B$4:$B$253,B991,Components!$K$4:$K$253,"Confirmed",Components!$L$4:$L$253,"OK — verify source"))))&lt;&gt;1,IF(E991="UC",COUNTIFS('Use cases'!$A$4:$A$253,F991,'Use cases'!$I$4:$I$253,"Confirmed",'Use cases'!$J$4:$J$253,"OK — verify source"),IF(E991="CAP",COUNTIFS(Capabilities!$A$4:$A$253,F991,Capabilities!$J$4:$J$253,"Confirmed",Capabilities!$K$4:$K$253,"OK — verify source"),IF(E991="AIR",COUNTIFS('System map'!$A$4:$A$203,F991,'System map'!$B$4:$B$203,"&lt;&gt;",'System map'!$C$4:$C$203,"&lt;&gt;",'System map'!$D$4:$D$203,"&lt;&gt;"),COUNTIFS(Components!$A$4:$A$253,F991,Components!$B$4:$B$253,E991,Components!$K$4:$K$253,"Confirmed",Components!$L$4:$L$253,"OK — verify source"))))&lt;&gt;1)),"Endpoint not source-reconciled",IF(AND(M991="Confirmed",OR(L991="",K991="",K991="Unknown",K991="Low")),"Confirmed link lacks verification","OK — verify source"))))))))))))))</f>
        <v/>
      </c>
    </row>
    <row r="992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6" t="n"/>
      <c r="M992" s="25" t="n"/>
      <c r="N992" s="25">
        <f>IF(COUNTA(A992:M992)=0,"",IF(OR(A992="",B992="",C992="",D992="",E992="",F992="",I992="",J992="",K992="",M992=""),"Required link detail missing",IF(COUNTIF($A$4:$A$1003,A992)&gt;1,"Duplicate Map Edge ID",IF(NOT(OR(AND(B992="UC",E992="CAP",D992="requires"),AND(B992="CAP",E992="AIR",D992="provided by"),AND(B992="AIR",OR(E992="MOD",E992="DATA",E992="IF",E992="AG",E992="TOOL"),D992="references"),AND(B992="AIR",E992="AIR",D992="depends on"))),"Invalid relationship",IF(AND(M992&lt;&gt;"Superseded",COUNTIFS($B$4:$B$1003,B992,$C$4:$C$1003,C992,$D$4:$D$1003,D992,$E$4:$E$1003,E992,$F$4:$F$1003,F992,$G$4:$G$1003,G992,$M$4:$M$1003,"&lt;&gt;Superseded")&gt;1),"Duplicate relationship",IF(OR(IF(B992="UC",COUNTIF('Use cases'!$A$4:$A$253,C992),IF(B992="CAP",COUNTIF(Capabilities!$A$4:$A$253,C992),IF(B992="AIR",COUNTIF('System map'!$A$4:$A$203,C992),COUNTIFS(Components!$A$4:$A$253,C992,Components!$B$4:$B$253,B992))))&lt;&gt;1,IF(E992="UC",COUNTIF('Use cases'!$A$4:$A$253,F992),IF(E992="CAP",COUNTIF(Capabilities!$A$4:$A$253,F992),IF(E992="AIR",COUNTIF('System map'!$A$4:$A$203,F992),COUNTIFS(Components!$A$4:$A$253,F992,Components!$B$4:$B$253,E992))))&lt;&gt;1),"Endpoint missing or duplicated",IF(AND(NOT(AND(B992="UC",E992="CAP")),OR(G992="",COUNTIF('System map'!$A$4:$A$203,G992)&lt;&gt;1)),"AIR context missing / unknown",IF(AND(B992="CAP",E992="AIR",G992&lt;&gt;F992),"AIR context mismatch",IF(AND(B992="AIR",G992&lt;&gt;C992),"AIR context mismatch",IF(AND(B992="AIR",E992="AIR",C992=F992),"Self-dependency",IF(AND(B992="AIR",E992="AIR",M992&lt;&gt;"Superseded",COUNTIFS($B$4:$B$1003,"AIR",$C$4:$C$1003,F992,$E$4:$E$1003,"AIR",$F$4:$F$1003,C992,$M$4:$M$1003,"&lt;&gt;Superseded")&gt;0),"Dependency cycle (A↔B) — review",IF(AND(B992="AIR",OR(E992="MOD",E992="DATA",E992="IF",E992="AG",E992="TOOL"),IFERROR(INDEX(Components!$G$4:$G$253,MATCH(F992,Components!$A$4:$A$253,0)),"")&lt;&gt;"",IFERROR(INDEX(Components!$G$4:$G$253,MATCH(F992,Components!$A$4:$A$253,0)),"")&lt;&gt;C992),"Component owned by another AIR-ID",IF(AND(M992="Confirmed",OR(IF(B992="UC",COUNTIFS('Use cases'!$A$4:$A$253,C992,'Use cases'!$I$4:$I$253,"Confirmed",'Use cases'!$J$4:$J$253,"OK — verify source"),IF(B992="CAP",COUNTIFS(Capabilities!$A$4:$A$253,C992,Capabilities!$J$4:$J$253,"Confirmed",Capabilities!$K$4:$K$253,"OK — verify source"),IF(B992="AIR",COUNTIFS('System map'!$A$4:$A$203,C992,'System map'!$B$4:$B$203,"&lt;&gt;",'System map'!$C$4:$C$203,"&lt;&gt;",'System map'!$D$4:$D$203,"&lt;&gt;"),COUNTIFS(Components!$A$4:$A$253,C992,Components!$B$4:$B$253,B992,Components!$K$4:$K$253,"Confirmed",Components!$L$4:$L$253,"OK — verify source"))))&lt;&gt;1,IF(E992="UC",COUNTIFS('Use cases'!$A$4:$A$253,F992,'Use cases'!$I$4:$I$253,"Confirmed",'Use cases'!$J$4:$J$253,"OK — verify source"),IF(E992="CAP",COUNTIFS(Capabilities!$A$4:$A$253,F992,Capabilities!$J$4:$J$253,"Confirmed",Capabilities!$K$4:$K$253,"OK — verify source"),IF(E992="AIR",COUNTIFS('System map'!$A$4:$A$203,F992,'System map'!$B$4:$B$203,"&lt;&gt;",'System map'!$C$4:$C$203,"&lt;&gt;",'System map'!$D$4:$D$203,"&lt;&gt;"),COUNTIFS(Components!$A$4:$A$253,F992,Components!$B$4:$B$253,E992,Components!$K$4:$K$253,"Confirmed",Components!$L$4:$L$253,"OK — verify source"))))&lt;&gt;1)),"Endpoint not source-reconciled",IF(AND(M992="Confirmed",OR(L992="",K992="",K992="Unknown",K992="Low")),"Confirmed link lacks verification","OK — verify source"))))))))))))))</f>
        <v/>
      </c>
    </row>
    <row r="993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8" t="n"/>
      <c r="M993" s="27" t="n"/>
      <c r="N993" s="27">
        <f>IF(COUNTA(A993:M993)=0,"",IF(OR(A993="",B993="",C993="",D993="",E993="",F993="",I993="",J993="",K993="",M993=""),"Required link detail missing",IF(COUNTIF($A$4:$A$1003,A993)&gt;1,"Duplicate Map Edge ID",IF(NOT(OR(AND(B993="UC",E993="CAP",D993="requires"),AND(B993="CAP",E993="AIR",D993="provided by"),AND(B993="AIR",OR(E993="MOD",E993="DATA",E993="IF",E993="AG",E993="TOOL"),D993="references"),AND(B993="AIR",E993="AIR",D993="depends on"))),"Invalid relationship",IF(AND(M993&lt;&gt;"Superseded",COUNTIFS($B$4:$B$1003,B993,$C$4:$C$1003,C993,$D$4:$D$1003,D993,$E$4:$E$1003,E993,$F$4:$F$1003,F993,$G$4:$G$1003,G993,$M$4:$M$1003,"&lt;&gt;Superseded")&gt;1),"Duplicate relationship",IF(OR(IF(B993="UC",COUNTIF('Use cases'!$A$4:$A$253,C993),IF(B993="CAP",COUNTIF(Capabilities!$A$4:$A$253,C993),IF(B993="AIR",COUNTIF('System map'!$A$4:$A$203,C993),COUNTIFS(Components!$A$4:$A$253,C993,Components!$B$4:$B$253,B993))))&lt;&gt;1,IF(E993="UC",COUNTIF('Use cases'!$A$4:$A$253,F993),IF(E993="CAP",COUNTIF(Capabilities!$A$4:$A$253,F993),IF(E993="AIR",COUNTIF('System map'!$A$4:$A$203,F993),COUNTIFS(Components!$A$4:$A$253,F993,Components!$B$4:$B$253,E993))))&lt;&gt;1),"Endpoint missing or duplicated",IF(AND(NOT(AND(B993="UC",E993="CAP")),OR(G993="",COUNTIF('System map'!$A$4:$A$203,G993)&lt;&gt;1)),"AIR context missing / unknown",IF(AND(B993="CAP",E993="AIR",G993&lt;&gt;F993),"AIR context mismatch",IF(AND(B993="AIR",G993&lt;&gt;C993),"AIR context mismatch",IF(AND(B993="AIR",E993="AIR",C993=F993),"Self-dependency",IF(AND(B993="AIR",E993="AIR",M993&lt;&gt;"Superseded",COUNTIFS($B$4:$B$1003,"AIR",$C$4:$C$1003,F993,$E$4:$E$1003,"AIR",$F$4:$F$1003,C993,$M$4:$M$1003,"&lt;&gt;Superseded")&gt;0),"Dependency cycle (A↔B) — review",IF(AND(B993="AIR",OR(E993="MOD",E993="DATA",E993="IF",E993="AG",E993="TOOL"),IFERROR(INDEX(Components!$G$4:$G$253,MATCH(F993,Components!$A$4:$A$253,0)),"")&lt;&gt;"",IFERROR(INDEX(Components!$G$4:$G$253,MATCH(F993,Components!$A$4:$A$253,0)),"")&lt;&gt;C993),"Component owned by another AIR-ID",IF(AND(M993="Confirmed",OR(IF(B993="UC",COUNTIFS('Use cases'!$A$4:$A$253,C993,'Use cases'!$I$4:$I$253,"Confirmed",'Use cases'!$J$4:$J$253,"OK — verify source"),IF(B993="CAP",COUNTIFS(Capabilities!$A$4:$A$253,C993,Capabilities!$J$4:$J$253,"Confirmed",Capabilities!$K$4:$K$253,"OK — verify source"),IF(B993="AIR",COUNTIFS('System map'!$A$4:$A$203,C993,'System map'!$B$4:$B$203,"&lt;&gt;",'System map'!$C$4:$C$203,"&lt;&gt;",'System map'!$D$4:$D$203,"&lt;&gt;"),COUNTIFS(Components!$A$4:$A$253,C993,Components!$B$4:$B$253,B993,Components!$K$4:$K$253,"Confirmed",Components!$L$4:$L$253,"OK — verify source"))))&lt;&gt;1,IF(E993="UC",COUNTIFS('Use cases'!$A$4:$A$253,F993,'Use cases'!$I$4:$I$253,"Confirmed",'Use cases'!$J$4:$J$253,"OK — verify source"),IF(E993="CAP",COUNTIFS(Capabilities!$A$4:$A$253,F993,Capabilities!$J$4:$J$253,"Confirmed",Capabilities!$K$4:$K$253,"OK — verify source"),IF(E993="AIR",COUNTIFS('System map'!$A$4:$A$203,F993,'System map'!$B$4:$B$203,"&lt;&gt;",'System map'!$C$4:$C$203,"&lt;&gt;",'System map'!$D$4:$D$203,"&lt;&gt;"),COUNTIFS(Components!$A$4:$A$253,F993,Components!$B$4:$B$253,E993,Components!$K$4:$K$253,"Confirmed",Components!$L$4:$L$253,"OK — verify source"))))&lt;&gt;1)),"Endpoint not source-reconciled",IF(AND(M993="Confirmed",OR(L993="",K993="",K993="Unknown",K993="Low")),"Confirmed link lacks verification","OK — verify source"))))))))))))))</f>
        <v/>
      </c>
    </row>
    <row r="99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6" t="n"/>
      <c r="M994" s="25" t="n"/>
      <c r="N994" s="25">
        <f>IF(COUNTA(A994:M994)=0,"",IF(OR(A994="",B994="",C994="",D994="",E994="",F994="",I994="",J994="",K994="",M994=""),"Required link detail missing",IF(COUNTIF($A$4:$A$1003,A994)&gt;1,"Duplicate Map Edge ID",IF(NOT(OR(AND(B994="UC",E994="CAP",D994="requires"),AND(B994="CAP",E994="AIR",D994="provided by"),AND(B994="AIR",OR(E994="MOD",E994="DATA",E994="IF",E994="AG",E994="TOOL"),D994="references"),AND(B994="AIR",E994="AIR",D994="depends on"))),"Invalid relationship",IF(AND(M994&lt;&gt;"Superseded",COUNTIFS($B$4:$B$1003,B994,$C$4:$C$1003,C994,$D$4:$D$1003,D994,$E$4:$E$1003,E994,$F$4:$F$1003,F994,$G$4:$G$1003,G994,$M$4:$M$1003,"&lt;&gt;Superseded")&gt;1),"Duplicate relationship",IF(OR(IF(B994="UC",COUNTIF('Use cases'!$A$4:$A$253,C994),IF(B994="CAP",COUNTIF(Capabilities!$A$4:$A$253,C994),IF(B994="AIR",COUNTIF('System map'!$A$4:$A$203,C994),COUNTIFS(Components!$A$4:$A$253,C994,Components!$B$4:$B$253,B994))))&lt;&gt;1,IF(E994="UC",COUNTIF('Use cases'!$A$4:$A$253,F994),IF(E994="CAP",COUNTIF(Capabilities!$A$4:$A$253,F994),IF(E994="AIR",COUNTIF('System map'!$A$4:$A$203,F994),COUNTIFS(Components!$A$4:$A$253,F994,Components!$B$4:$B$253,E994))))&lt;&gt;1),"Endpoint missing or duplicated",IF(AND(NOT(AND(B994="UC",E994="CAP")),OR(G994="",COUNTIF('System map'!$A$4:$A$203,G994)&lt;&gt;1)),"AIR context missing / unknown",IF(AND(B994="CAP",E994="AIR",G994&lt;&gt;F994),"AIR context mismatch",IF(AND(B994="AIR",G994&lt;&gt;C994),"AIR context mismatch",IF(AND(B994="AIR",E994="AIR",C994=F994),"Self-dependency",IF(AND(B994="AIR",E994="AIR",M994&lt;&gt;"Superseded",COUNTIFS($B$4:$B$1003,"AIR",$C$4:$C$1003,F994,$E$4:$E$1003,"AIR",$F$4:$F$1003,C994,$M$4:$M$1003,"&lt;&gt;Superseded")&gt;0),"Dependency cycle (A↔B) — review",IF(AND(B994="AIR",OR(E994="MOD",E994="DATA",E994="IF",E994="AG",E994="TOOL"),IFERROR(INDEX(Components!$G$4:$G$253,MATCH(F994,Components!$A$4:$A$253,0)),"")&lt;&gt;"",IFERROR(INDEX(Components!$G$4:$G$253,MATCH(F994,Components!$A$4:$A$253,0)),"")&lt;&gt;C994),"Component owned by another AIR-ID",IF(AND(M994="Confirmed",OR(IF(B994="UC",COUNTIFS('Use cases'!$A$4:$A$253,C994,'Use cases'!$I$4:$I$253,"Confirmed",'Use cases'!$J$4:$J$253,"OK — verify source"),IF(B994="CAP",COUNTIFS(Capabilities!$A$4:$A$253,C994,Capabilities!$J$4:$J$253,"Confirmed",Capabilities!$K$4:$K$253,"OK — verify source"),IF(B994="AIR",COUNTIFS('System map'!$A$4:$A$203,C994,'System map'!$B$4:$B$203,"&lt;&gt;",'System map'!$C$4:$C$203,"&lt;&gt;",'System map'!$D$4:$D$203,"&lt;&gt;"),COUNTIFS(Components!$A$4:$A$253,C994,Components!$B$4:$B$253,B994,Components!$K$4:$K$253,"Confirmed",Components!$L$4:$L$253,"OK — verify source"))))&lt;&gt;1,IF(E994="UC",COUNTIFS('Use cases'!$A$4:$A$253,F994,'Use cases'!$I$4:$I$253,"Confirmed",'Use cases'!$J$4:$J$253,"OK — verify source"),IF(E994="CAP",COUNTIFS(Capabilities!$A$4:$A$253,F994,Capabilities!$J$4:$J$253,"Confirmed",Capabilities!$K$4:$K$253,"OK — verify source"),IF(E994="AIR",COUNTIFS('System map'!$A$4:$A$203,F994,'System map'!$B$4:$B$203,"&lt;&gt;",'System map'!$C$4:$C$203,"&lt;&gt;",'System map'!$D$4:$D$203,"&lt;&gt;"),COUNTIFS(Components!$A$4:$A$253,F994,Components!$B$4:$B$253,E994,Components!$K$4:$K$253,"Confirmed",Components!$L$4:$L$253,"OK — verify source"))))&lt;&gt;1)),"Endpoint not source-reconciled",IF(AND(M994="Confirmed",OR(L994="",K994="",K994="Unknown",K994="Low")),"Confirmed link lacks verification","OK — verify source"))))))))))))))</f>
        <v/>
      </c>
    </row>
    <row r="995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8" t="n"/>
      <c r="M995" s="27" t="n"/>
      <c r="N995" s="27">
        <f>IF(COUNTA(A995:M995)=0,"",IF(OR(A995="",B995="",C995="",D995="",E995="",F995="",I995="",J995="",K995="",M995=""),"Required link detail missing",IF(COUNTIF($A$4:$A$1003,A995)&gt;1,"Duplicate Map Edge ID",IF(NOT(OR(AND(B995="UC",E995="CAP",D995="requires"),AND(B995="CAP",E995="AIR",D995="provided by"),AND(B995="AIR",OR(E995="MOD",E995="DATA",E995="IF",E995="AG",E995="TOOL"),D995="references"),AND(B995="AIR",E995="AIR",D995="depends on"))),"Invalid relationship",IF(AND(M995&lt;&gt;"Superseded",COUNTIFS($B$4:$B$1003,B995,$C$4:$C$1003,C995,$D$4:$D$1003,D995,$E$4:$E$1003,E995,$F$4:$F$1003,F995,$G$4:$G$1003,G995,$M$4:$M$1003,"&lt;&gt;Superseded")&gt;1),"Duplicate relationship",IF(OR(IF(B995="UC",COUNTIF('Use cases'!$A$4:$A$253,C995),IF(B995="CAP",COUNTIF(Capabilities!$A$4:$A$253,C995),IF(B995="AIR",COUNTIF('System map'!$A$4:$A$203,C995),COUNTIFS(Components!$A$4:$A$253,C995,Components!$B$4:$B$253,B995))))&lt;&gt;1,IF(E995="UC",COUNTIF('Use cases'!$A$4:$A$253,F995),IF(E995="CAP",COUNTIF(Capabilities!$A$4:$A$253,F995),IF(E995="AIR",COUNTIF('System map'!$A$4:$A$203,F995),COUNTIFS(Components!$A$4:$A$253,F995,Components!$B$4:$B$253,E995))))&lt;&gt;1),"Endpoint missing or duplicated",IF(AND(NOT(AND(B995="UC",E995="CAP")),OR(G995="",COUNTIF('System map'!$A$4:$A$203,G995)&lt;&gt;1)),"AIR context missing / unknown",IF(AND(B995="CAP",E995="AIR",G995&lt;&gt;F995),"AIR context mismatch",IF(AND(B995="AIR",G995&lt;&gt;C995),"AIR context mismatch",IF(AND(B995="AIR",E995="AIR",C995=F995),"Self-dependency",IF(AND(B995="AIR",E995="AIR",M995&lt;&gt;"Superseded",COUNTIFS($B$4:$B$1003,"AIR",$C$4:$C$1003,F995,$E$4:$E$1003,"AIR",$F$4:$F$1003,C995,$M$4:$M$1003,"&lt;&gt;Superseded")&gt;0),"Dependency cycle (A↔B) — review",IF(AND(B995="AIR",OR(E995="MOD",E995="DATA",E995="IF",E995="AG",E995="TOOL"),IFERROR(INDEX(Components!$G$4:$G$253,MATCH(F995,Components!$A$4:$A$253,0)),"")&lt;&gt;"",IFERROR(INDEX(Components!$G$4:$G$253,MATCH(F995,Components!$A$4:$A$253,0)),"")&lt;&gt;C995),"Component owned by another AIR-ID",IF(AND(M995="Confirmed",OR(IF(B995="UC",COUNTIFS('Use cases'!$A$4:$A$253,C995,'Use cases'!$I$4:$I$253,"Confirmed",'Use cases'!$J$4:$J$253,"OK — verify source"),IF(B995="CAP",COUNTIFS(Capabilities!$A$4:$A$253,C995,Capabilities!$J$4:$J$253,"Confirmed",Capabilities!$K$4:$K$253,"OK — verify source"),IF(B995="AIR",COUNTIFS('System map'!$A$4:$A$203,C995,'System map'!$B$4:$B$203,"&lt;&gt;",'System map'!$C$4:$C$203,"&lt;&gt;",'System map'!$D$4:$D$203,"&lt;&gt;"),COUNTIFS(Components!$A$4:$A$253,C995,Components!$B$4:$B$253,B995,Components!$K$4:$K$253,"Confirmed",Components!$L$4:$L$253,"OK — verify source"))))&lt;&gt;1,IF(E995="UC",COUNTIFS('Use cases'!$A$4:$A$253,F995,'Use cases'!$I$4:$I$253,"Confirmed",'Use cases'!$J$4:$J$253,"OK — verify source"),IF(E995="CAP",COUNTIFS(Capabilities!$A$4:$A$253,F995,Capabilities!$J$4:$J$253,"Confirmed",Capabilities!$K$4:$K$253,"OK — verify source"),IF(E995="AIR",COUNTIFS('System map'!$A$4:$A$203,F995,'System map'!$B$4:$B$203,"&lt;&gt;",'System map'!$C$4:$C$203,"&lt;&gt;",'System map'!$D$4:$D$203,"&lt;&gt;"),COUNTIFS(Components!$A$4:$A$253,F995,Components!$B$4:$B$253,E995,Components!$K$4:$K$253,"Confirmed",Components!$L$4:$L$253,"OK — verify source"))))&lt;&gt;1)),"Endpoint not source-reconciled",IF(AND(M995="Confirmed",OR(L995="",K995="",K995="Unknown",K995="Low")),"Confirmed link lacks verification","OK — verify source"))))))))))))))</f>
        <v/>
      </c>
    </row>
    <row r="996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6" t="n"/>
      <c r="M996" s="25" t="n"/>
      <c r="N996" s="25">
        <f>IF(COUNTA(A996:M996)=0,"",IF(OR(A996="",B996="",C996="",D996="",E996="",F996="",I996="",J996="",K996="",M996=""),"Required link detail missing",IF(COUNTIF($A$4:$A$1003,A996)&gt;1,"Duplicate Map Edge ID",IF(NOT(OR(AND(B996="UC",E996="CAP",D996="requires"),AND(B996="CAP",E996="AIR",D996="provided by"),AND(B996="AIR",OR(E996="MOD",E996="DATA",E996="IF",E996="AG",E996="TOOL"),D996="references"),AND(B996="AIR",E996="AIR",D996="depends on"))),"Invalid relationship",IF(AND(M996&lt;&gt;"Superseded",COUNTIFS($B$4:$B$1003,B996,$C$4:$C$1003,C996,$D$4:$D$1003,D996,$E$4:$E$1003,E996,$F$4:$F$1003,F996,$G$4:$G$1003,G996,$M$4:$M$1003,"&lt;&gt;Superseded")&gt;1),"Duplicate relationship",IF(OR(IF(B996="UC",COUNTIF('Use cases'!$A$4:$A$253,C996),IF(B996="CAP",COUNTIF(Capabilities!$A$4:$A$253,C996),IF(B996="AIR",COUNTIF('System map'!$A$4:$A$203,C996),COUNTIFS(Components!$A$4:$A$253,C996,Components!$B$4:$B$253,B996))))&lt;&gt;1,IF(E996="UC",COUNTIF('Use cases'!$A$4:$A$253,F996),IF(E996="CAP",COUNTIF(Capabilities!$A$4:$A$253,F996),IF(E996="AIR",COUNTIF('System map'!$A$4:$A$203,F996),COUNTIFS(Components!$A$4:$A$253,F996,Components!$B$4:$B$253,E996))))&lt;&gt;1),"Endpoint missing or duplicated",IF(AND(NOT(AND(B996="UC",E996="CAP")),OR(G996="",COUNTIF('System map'!$A$4:$A$203,G996)&lt;&gt;1)),"AIR context missing / unknown",IF(AND(B996="CAP",E996="AIR",G996&lt;&gt;F996),"AIR context mismatch",IF(AND(B996="AIR",G996&lt;&gt;C996),"AIR context mismatch",IF(AND(B996="AIR",E996="AIR",C996=F996),"Self-dependency",IF(AND(B996="AIR",E996="AIR",M996&lt;&gt;"Superseded",COUNTIFS($B$4:$B$1003,"AIR",$C$4:$C$1003,F996,$E$4:$E$1003,"AIR",$F$4:$F$1003,C996,$M$4:$M$1003,"&lt;&gt;Superseded")&gt;0),"Dependency cycle (A↔B) — review",IF(AND(B996="AIR",OR(E996="MOD",E996="DATA",E996="IF",E996="AG",E996="TOOL"),IFERROR(INDEX(Components!$G$4:$G$253,MATCH(F996,Components!$A$4:$A$253,0)),"")&lt;&gt;"",IFERROR(INDEX(Components!$G$4:$G$253,MATCH(F996,Components!$A$4:$A$253,0)),"")&lt;&gt;C996),"Component owned by another AIR-ID",IF(AND(M996="Confirmed",OR(IF(B996="UC",COUNTIFS('Use cases'!$A$4:$A$253,C996,'Use cases'!$I$4:$I$253,"Confirmed",'Use cases'!$J$4:$J$253,"OK — verify source"),IF(B996="CAP",COUNTIFS(Capabilities!$A$4:$A$253,C996,Capabilities!$J$4:$J$253,"Confirmed",Capabilities!$K$4:$K$253,"OK — verify source"),IF(B996="AIR",COUNTIFS('System map'!$A$4:$A$203,C996,'System map'!$B$4:$B$203,"&lt;&gt;",'System map'!$C$4:$C$203,"&lt;&gt;",'System map'!$D$4:$D$203,"&lt;&gt;"),COUNTIFS(Components!$A$4:$A$253,C996,Components!$B$4:$B$253,B996,Components!$K$4:$K$253,"Confirmed",Components!$L$4:$L$253,"OK — verify source"))))&lt;&gt;1,IF(E996="UC",COUNTIFS('Use cases'!$A$4:$A$253,F996,'Use cases'!$I$4:$I$253,"Confirmed",'Use cases'!$J$4:$J$253,"OK — verify source"),IF(E996="CAP",COUNTIFS(Capabilities!$A$4:$A$253,F996,Capabilities!$J$4:$J$253,"Confirmed",Capabilities!$K$4:$K$253,"OK — verify source"),IF(E996="AIR",COUNTIFS('System map'!$A$4:$A$203,F996,'System map'!$B$4:$B$203,"&lt;&gt;",'System map'!$C$4:$C$203,"&lt;&gt;",'System map'!$D$4:$D$203,"&lt;&gt;"),COUNTIFS(Components!$A$4:$A$253,F996,Components!$B$4:$B$253,E996,Components!$K$4:$K$253,"Confirmed",Components!$L$4:$L$253,"OK — verify source"))))&lt;&gt;1)),"Endpoint not source-reconciled",IF(AND(M996="Confirmed",OR(L996="",K996="",K996="Unknown",K996="Low")),"Confirmed link lacks verification","OK — verify source"))))))))))))))</f>
        <v/>
      </c>
    </row>
    <row r="997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8" t="n"/>
      <c r="M997" s="27" t="n"/>
      <c r="N997" s="27">
        <f>IF(COUNTA(A997:M997)=0,"",IF(OR(A997="",B997="",C997="",D997="",E997="",F997="",I997="",J997="",K997="",M997=""),"Required link detail missing",IF(COUNTIF($A$4:$A$1003,A997)&gt;1,"Duplicate Map Edge ID",IF(NOT(OR(AND(B997="UC",E997="CAP",D997="requires"),AND(B997="CAP",E997="AIR",D997="provided by"),AND(B997="AIR",OR(E997="MOD",E997="DATA",E997="IF",E997="AG",E997="TOOL"),D997="references"),AND(B997="AIR",E997="AIR",D997="depends on"))),"Invalid relationship",IF(AND(M997&lt;&gt;"Superseded",COUNTIFS($B$4:$B$1003,B997,$C$4:$C$1003,C997,$D$4:$D$1003,D997,$E$4:$E$1003,E997,$F$4:$F$1003,F997,$G$4:$G$1003,G997,$M$4:$M$1003,"&lt;&gt;Superseded")&gt;1),"Duplicate relationship",IF(OR(IF(B997="UC",COUNTIF('Use cases'!$A$4:$A$253,C997),IF(B997="CAP",COUNTIF(Capabilities!$A$4:$A$253,C997),IF(B997="AIR",COUNTIF('System map'!$A$4:$A$203,C997),COUNTIFS(Components!$A$4:$A$253,C997,Components!$B$4:$B$253,B997))))&lt;&gt;1,IF(E997="UC",COUNTIF('Use cases'!$A$4:$A$253,F997),IF(E997="CAP",COUNTIF(Capabilities!$A$4:$A$253,F997),IF(E997="AIR",COUNTIF('System map'!$A$4:$A$203,F997),COUNTIFS(Components!$A$4:$A$253,F997,Components!$B$4:$B$253,E997))))&lt;&gt;1),"Endpoint missing or duplicated",IF(AND(NOT(AND(B997="UC",E997="CAP")),OR(G997="",COUNTIF('System map'!$A$4:$A$203,G997)&lt;&gt;1)),"AIR context missing / unknown",IF(AND(B997="CAP",E997="AIR",G997&lt;&gt;F997),"AIR context mismatch",IF(AND(B997="AIR",G997&lt;&gt;C997),"AIR context mismatch",IF(AND(B997="AIR",E997="AIR",C997=F997),"Self-dependency",IF(AND(B997="AIR",E997="AIR",M997&lt;&gt;"Superseded",COUNTIFS($B$4:$B$1003,"AIR",$C$4:$C$1003,F997,$E$4:$E$1003,"AIR",$F$4:$F$1003,C997,$M$4:$M$1003,"&lt;&gt;Superseded")&gt;0),"Dependency cycle (A↔B) — review",IF(AND(B997="AIR",OR(E997="MOD",E997="DATA",E997="IF",E997="AG",E997="TOOL"),IFERROR(INDEX(Components!$G$4:$G$253,MATCH(F997,Components!$A$4:$A$253,0)),"")&lt;&gt;"",IFERROR(INDEX(Components!$G$4:$G$253,MATCH(F997,Components!$A$4:$A$253,0)),"")&lt;&gt;C997),"Component owned by another AIR-ID",IF(AND(M997="Confirmed",OR(IF(B997="UC",COUNTIFS('Use cases'!$A$4:$A$253,C997,'Use cases'!$I$4:$I$253,"Confirmed",'Use cases'!$J$4:$J$253,"OK — verify source"),IF(B997="CAP",COUNTIFS(Capabilities!$A$4:$A$253,C997,Capabilities!$J$4:$J$253,"Confirmed",Capabilities!$K$4:$K$253,"OK — verify source"),IF(B997="AIR",COUNTIFS('System map'!$A$4:$A$203,C997,'System map'!$B$4:$B$203,"&lt;&gt;",'System map'!$C$4:$C$203,"&lt;&gt;",'System map'!$D$4:$D$203,"&lt;&gt;"),COUNTIFS(Components!$A$4:$A$253,C997,Components!$B$4:$B$253,B997,Components!$K$4:$K$253,"Confirmed",Components!$L$4:$L$253,"OK — verify source"))))&lt;&gt;1,IF(E997="UC",COUNTIFS('Use cases'!$A$4:$A$253,F997,'Use cases'!$I$4:$I$253,"Confirmed",'Use cases'!$J$4:$J$253,"OK — verify source"),IF(E997="CAP",COUNTIFS(Capabilities!$A$4:$A$253,F997,Capabilities!$J$4:$J$253,"Confirmed",Capabilities!$K$4:$K$253,"OK — verify source"),IF(E997="AIR",COUNTIFS('System map'!$A$4:$A$203,F997,'System map'!$B$4:$B$203,"&lt;&gt;",'System map'!$C$4:$C$203,"&lt;&gt;",'System map'!$D$4:$D$203,"&lt;&gt;"),COUNTIFS(Components!$A$4:$A$253,F997,Components!$B$4:$B$253,E997,Components!$K$4:$K$253,"Confirmed",Components!$L$4:$L$253,"OK — verify source"))))&lt;&gt;1)),"Endpoint not source-reconciled",IF(AND(M997="Confirmed",OR(L997="",K997="",K997="Unknown",K997="Low")),"Confirmed link lacks verification","OK — verify source"))))))))))))))</f>
        <v/>
      </c>
    </row>
    <row r="998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6" t="n"/>
      <c r="M998" s="25" t="n"/>
      <c r="N998" s="25">
        <f>IF(COUNTA(A998:M998)=0,"",IF(OR(A998="",B998="",C998="",D998="",E998="",F998="",I998="",J998="",K998="",M998=""),"Required link detail missing",IF(COUNTIF($A$4:$A$1003,A998)&gt;1,"Duplicate Map Edge ID",IF(NOT(OR(AND(B998="UC",E998="CAP",D998="requires"),AND(B998="CAP",E998="AIR",D998="provided by"),AND(B998="AIR",OR(E998="MOD",E998="DATA",E998="IF",E998="AG",E998="TOOL"),D998="references"),AND(B998="AIR",E998="AIR",D998="depends on"))),"Invalid relationship",IF(AND(M998&lt;&gt;"Superseded",COUNTIFS($B$4:$B$1003,B998,$C$4:$C$1003,C998,$D$4:$D$1003,D998,$E$4:$E$1003,E998,$F$4:$F$1003,F998,$G$4:$G$1003,G998,$M$4:$M$1003,"&lt;&gt;Superseded")&gt;1),"Duplicate relationship",IF(OR(IF(B998="UC",COUNTIF('Use cases'!$A$4:$A$253,C998),IF(B998="CAP",COUNTIF(Capabilities!$A$4:$A$253,C998),IF(B998="AIR",COUNTIF('System map'!$A$4:$A$203,C998),COUNTIFS(Components!$A$4:$A$253,C998,Components!$B$4:$B$253,B998))))&lt;&gt;1,IF(E998="UC",COUNTIF('Use cases'!$A$4:$A$253,F998),IF(E998="CAP",COUNTIF(Capabilities!$A$4:$A$253,F998),IF(E998="AIR",COUNTIF('System map'!$A$4:$A$203,F998),COUNTIFS(Components!$A$4:$A$253,F998,Components!$B$4:$B$253,E998))))&lt;&gt;1),"Endpoint missing or duplicated",IF(AND(NOT(AND(B998="UC",E998="CAP")),OR(G998="",COUNTIF('System map'!$A$4:$A$203,G998)&lt;&gt;1)),"AIR context missing / unknown",IF(AND(B998="CAP",E998="AIR",G998&lt;&gt;F998),"AIR context mismatch",IF(AND(B998="AIR",G998&lt;&gt;C998),"AIR context mismatch",IF(AND(B998="AIR",E998="AIR",C998=F998),"Self-dependency",IF(AND(B998="AIR",E998="AIR",M998&lt;&gt;"Superseded",COUNTIFS($B$4:$B$1003,"AIR",$C$4:$C$1003,F998,$E$4:$E$1003,"AIR",$F$4:$F$1003,C998,$M$4:$M$1003,"&lt;&gt;Superseded")&gt;0),"Dependency cycle (A↔B) — review",IF(AND(B998="AIR",OR(E998="MOD",E998="DATA",E998="IF",E998="AG",E998="TOOL"),IFERROR(INDEX(Components!$G$4:$G$253,MATCH(F998,Components!$A$4:$A$253,0)),"")&lt;&gt;"",IFERROR(INDEX(Components!$G$4:$G$253,MATCH(F998,Components!$A$4:$A$253,0)),"")&lt;&gt;C998),"Component owned by another AIR-ID",IF(AND(M998="Confirmed",OR(IF(B998="UC",COUNTIFS('Use cases'!$A$4:$A$253,C998,'Use cases'!$I$4:$I$253,"Confirmed",'Use cases'!$J$4:$J$253,"OK — verify source"),IF(B998="CAP",COUNTIFS(Capabilities!$A$4:$A$253,C998,Capabilities!$J$4:$J$253,"Confirmed",Capabilities!$K$4:$K$253,"OK — verify source"),IF(B998="AIR",COUNTIFS('System map'!$A$4:$A$203,C998,'System map'!$B$4:$B$203,"&lt;&gt;",'System map'!$C$4:$C$203,"&lt;&gt;",'System map'!$D$4:$D$203,"&lt;&gt;"),COUNTIFS(Components!$A$4:$A$253,C998,Components!$B$4:$B$253,B998,Components!$K$4:$K$253,"Confirmed",Components!$L$4:$L$253,"OK — verify source"))))&lt;&gt;1,IF(E998="UC",COUNTIFS('Use cases'!$A$4:$A$253,F998,'Use cases'!$I$4:$I$253,"Confirmed",'Use cases'!$J$4:$J$253,"OK — verify source"),IF(E998="CAP",COUNTIFS(Capabilities!$A$4:$A$253,F998,Capabilities!$J$4:$J$253,"Confirmed",Capabilities!$K$4:$K$253,"OK — verify source"),IF(E998="AIR",COUNTIFS('System map'!$A$4:$A$203,F998,'System map'!$B$4:$B$203,"&lt;&gt;",'System map'!$C$4:$C$203,"&lt;&gt;",'System map'!$D$4:$D$203,"&lt;&gt;"),COUNTIFS(Components!$A$4:$A$253,F998,Components!$B$4:$B$253,E998,Components!$K$4:$K$253,"Confirmed",Components!$L$4:$L$253,"OK — verify source"))))&lt;&gt;1)),"Endpoint not source-reconciled",IF(AND(M998="Confirmed",OR(L998="",K998="",K998="Unknown",K998="Low")),"Confirmed link lacks verification","OK — verify source"))))))))))))))</f>
        <v/>
      </c>
    </row>
    <row r="999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8" t="n"/>
      <c r="M999" s="27" t="n"/>
      <c r="N999" s="27">
        <f>IF(COUNTA(A999:M999)=0,"",IF(OR(A999="",B999="",C999="",D999="",E999="",F999="",I999="",J999="",K999="",M999=""),"Required link detail missing",IF(COUNTIF($A$4:$A$1003,A999)&gt;1,"Duplicate Map Edge ID",IF(NOT(OR(AND(B999="UC",E999="CAP",D999="requires"),AND(B999="CAP",E999="AIR",D999="provided by"),AND(B999="AIR",OR(E999="MOD",E999="DATA",E999="IF",E999="AG",E999="TOOL"),D999="references"),AND(B999="AIR",E999="AIR",D999="depends on"))),"Invalid relationship",IF(AND(M999&lt;&gt;"Superseded",COUNTIFS($B$4:$B$1003,B999,$C$4:$C$1003,C999,$D$4:$D$1003,D999,$E$4:$E$1003,E999,$F$4:$F$1003,F999,$G$4:$G$1003,G999,$M$4:$M$1003,"&lt;&gt;Superseded")&gt;1),"Duplicate relationship",IF(OR(IF(B999="UC",COUNTIF('Use cases'!$A$4:$A$253,C999),IF(B999="CAP",COUNTIF(Capabilities!$A$4:$A$253,C999),IF(B999="AIR",COUNTIF('System map'!$A$4:$A$203,C999),COUNTIFS(Components!$A$4:$A$253,C999,Components!$B$4:$B$253,B999))))&lt;&gt;1,IF(E999="UC",COUNTIF('Use cases'!$A$4:$A$253,F999),IF(E999="CAP",COUNTIF(Capabilities!$A$4:$A$253,F999),IF(E999="AIR",COUNTIF('System map'!$A$4:$A$203,F999),COUNTIFS(Components!$A$4:$A$253,F999,Components!$B$4:$B$253,E999))))&lt;&gt;1),"Endpoint missing or duplicated",IF(AND(NOT(AND(B999="UC",E999="CAP")),OR(G999="",COUNTIF('System map'!$A$4:$A$203,G999)&lt;&gt;1)),"AIR context missing / unknown",IF(AND(B999="CAP",E999="AIR",G999&lt;&gt;F999),"AIR context mismatch",IF(AND(B999="AIR",G999&lt;&gt;C999),"AIR context mismatch",IF(AND(B999="AIR",E999="AIR",C999=F999),"Self-dependency",IF(AND(B999="AIR",E999="AIR",M999&lt;&gt;"Superseded",COUNTIFS($B$4:$B$1003,"AIR",$C$4:$C$1003,F999,$E$4:$E$1003,"AIR",$F$4:$F$1003,C999,$M$4:$M$1003,"&lt;&gt;Superseded")&gt;0),"Dependency cycle (A↔B) — review",IF(AND(B999="AIR",OR(E999="MOD",E999="DATA",E999="IF",E999="AG",E999="TOOL"),IFERROR(INDEX(Components!$G$4:$G$253,MATCH(F999,Components!$A$4:$A$253,0)),"")&lt;&gt;"",IFERROR(INDEX(Components!$G$4:$G$253,MATCH(F999,Components!$A$4:$A$253,0)),"")&lt;&gt;C999),"Component owned by another AIR-ID",IF(AND(M999="Confirmed",OR(IF(B999="UC",COUNTIFS('Use cases'!$A$4:$A$253,C999,'Use cases'!$I$4:$I$253,"Confirmed",'Use cases'!$J$4:$J$253,"OK — verify source"),IF(B999="CAP",COUNTIFS(Capabilities!$A$4:$A$253,C999,Capabilities!$J$4:$J$253,"Confirmed",Capabilities!$K$4:$K$253,"OK — verify source"),IF(B999="AIR",COUNTIFS('System map'!$A$4:$A$203,C999,'System map'!$B$4:$B$203,"&lt;&gt;",'System map'!$C$4:$C$203,"&lt;&gt;",'System map'!$D$4:$D$203,"&lt;&gt;"),COUNTIFS(Components!$A$4:$A$253,C999,Components!$B$4:$B$253,B999,Components!$K$4:$K$253,"Confirmed",Components!$L$4:$L$253,"OK — verify source"))))&lt;&gt;1,IF(E999="UC",COUNTIFS('Use cases'!$A$4:$A$253,F999,'Use cases'!$I$4:$I$253,"Confirmed",'Use cases'!$J$4:$J$253,"OK — verify source"),IF(E999="CAP",COUNTIFS(Capabilities!$A$4:$A$253,F999,Capabilities!$J$4:$J$253,"Confirmed",Capabilities!$K$4:$K$253,"OK — verify source"),IF(E999="AIR",COUNTIFS('System map'!$A$4:$A$203,F999,'System map'!$B$4:$B$203,"&lt;&gt;",'System map'!$C$4:$C$203,"&lt;&gt;",'System map'!$D$4:$D$203,"&lt;&gt;"),COUNTIFS(Components!$A$4:$A$253,F999,Components!$B$4:$B$253,E999,Components!$K$4:$K$253,"Confirmed",Components!$L$4:$L$253,"OK — verify source"))))&lt;&gt;1)),"Endpoint not source-reconciled",IF(AND(M999="Confirmed",OR(L999="",K999="",K999="Unknown",K999="Low")),"Confirmed link lacks verification","OK — verify source"))))))))))))))</f>
        <v/>
      </c>
    </row>
    <row r="1000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6" t="n"/>
      <c r="M1000" s="25" t="n"/>
      <c r="N1000" s="25">
        <f>IF(COUNTA(A1000:M1000)=0,"",IF(OR(A1000="",B1000="",C1000="",D1000="",E1000="",F1000="",I1000="",J1000="",K1000="",M1000=""),"Required link detail missing",IF(COUNTIF($A$4:$A$1003,A1000)&gt;1,"Duplicate Map Edge ID",IF(NOT(OR(AND(B1000="UC",E1000="CAP",D1000="requires"),AND(B1000="CAP",E1000="AIR",D1000="provided by"),AND(B1000="AIR",OR(E1000="MOD",E1000="DATA",E1000="IF",E1000="AG",E1000="TOOL"),D1000="references"),AND(B1000="AIR",E1000="AIR",D1000="depends on"))),"Invalid relationship",IF(AND(M1000&lt;&gt;"Superseded",COUNTIFS($B$4:$B$1003,B1000,$C$4:$C$1003,C1000,$D$4:$D$1003,D1000,$E$4:$E$1003,E1000,$F$4:$F$1003,F1000,$G$4:$G$1003,G1000,$M$4:$M$1003,"&lt;&gt;Superseded")&gt;1),"Duplicate relationship",IF(OR(IF(B1000="UC",COUNTIF('Use cases'!$A$4:$A$253,C1000),IF(B1000="CAP",COUNTIF(Capabilities!$A$4:$A$253,C1000),IF(B1000="AIR",COUNTIF('System map'!$A$4:$A$203,C1000),COUNTIFS(Components!$A$4:$A$253,C1000,Components!$B$4:$B$253,B1000))))&lt;&gt;1,IF(E1000="UC",COUNTIF('Use cases'!$A$4:$A$253,F1000),IF(E1000="CAP",COUNTIF(Capabilities!$A$4:$A$253,F1000),IF(E1000="AIR",COUNTIF('System map'!$A$4:$A$203,F1000),COUNTIFS(Components!$A$4:$A$253,F1000,Components!$B$4:$B$253,E1000))))&lt;&gt;1),"Endpoint missing or duplicated",IF(AND(NOT(AND(B1000="UC",E1000="CAP")),OR(G1000="",COUNTIF('System map'!$A$4:$A$203,G1000)&lt;&gt;1)),"AIR context missing / unknown",IF(AND(B1000="CAP",E1000="AIR",G1000&lt;&gt;F1000),"AIR context mismatch",IF(AND(B1000="AIR",G1000&lt;&gt;C1000),"AIR context mismatch",IF(AND(B1000="AIR",E1000="AIR",C1000=F1000),"Self-dependency",IF(AND(B1000="AIR",E1000="AIR",M1000&lt;&gt;"Superseded",COUNTIFS($B$4:$B$1003,"AIR",$C$4:$C$1003,F1000,$E$4:$E$1003,"AIR",$F$4:$F$1003,C1000,$M$4:$M$1003,"&lt;&gt;Superseded")&gt;0),"Dependency cycle (A↔B) — review",IF(AND(B1000="AIR",OR(E1000="MOD",E1000="DATA",E1000="IF",E1000="AG",E1000="TOOL"),IFERROR(INDEX(Components!$G$4:$G$253,MATCH(F1000,Components!$A$4:$A$253,0)),"")&lt;&gt;"",IFERROR(INDEX(Components!$G$4:$G$253,MATCH(F1000,Components!$A$4:$A$253,0)),"")&lt;&gt;C1000),"Component owned by another AIR-ID",IF(AND(M1000="Confirmed",OR(IF(B1000="UC",COUNTIFS('Use cases'!$A$4:$A$253,C1000,'Use cases'!$I$4:$I$253,"Confirmed",'Use cases'!$J$4:$J$253,"OK — verify source"),IF(B1000="CAP",COUNTIFS(Capabilities!$A$4:$A$253,C1000,Capabilities!$J$4:$J$253,"Confirmed",Capabilities!$K$4:$K$253,"OK — verify source"),IF(B1000="AIR",COUNTIFS('System map'!$A$4:$A$203,C1000,'System map'!$B$4:$B$203,"&lt;&gt;",'System map'!$C$4:$C$203,"&lt;&gt;",'System map'!$D$4:$D$203,"&lt;&gt;"),COUNTIFS(Components!$A$4:$A$253,C1000,Components!$B$4:$B$253,B1000,Components!$K$4:$K$253,"Confirmed",Components!$L$4:$L$253,"OK — verify source"))))&lt;&gt;1,IF(E1000="UC",COUNTIFS('Use cases'!$A$4:$A$253,F1000,'Use cases'!$I$4:$I$253,"Confirmed",'Use cases'!$J$4:$J$253,"OK — verify source"),IF(E1000="CAP",COUNTIFS(Capabilities!$A$4:$A$253,F1000,Capabilities!$J$4:$J$253,"Confirmed",Capabilities!$K$4:$K$253,"OK — verify source"),IF(E1000="AIR",COUNTIFS('System map'!$A$4:$A$203,F1000,'System map'!$B$4:$B$203,"&lt;&gt;",'System map'!$C$4:$C$203,"&lt;&gt;",'System map'!$D$4:$D$203,"&lt;&gt;"),COUNTIFS(Components!$A$4:$A$253,F1000,Components!$B$4:$B$253,E1000,Components!$K$4:$K$253,"Confirmed",Components!$L$4:$L$253,"OK — verify source"))))&lt;&gt;1)),"Endpoint not source-reconciled",IF(AND(M1000="Confirmed",OR(L1000="",K1000="",K1000="Unknown",K1000="Low")),"Confirmed link lacks verification","OK — verify source"))))))))))))))</f>
        <v/>
      </c>
    </row>
    <row r="1001">
      <c r="A1001" s="27" t="n"/>
      <c r="B1001" s="27" t="n"/>
      <c r="C1001" s="27" t="n"/>
      <c r="D1001" s="27" t="n"/>
      <c r="E1001" s="27" t="n"/>
      <c r="F1001" s="27" t="n"/>
      <c r="G1001" s="27" t="n"/>
      <c r="H1001" s="27" t="n"/>
      <c r="I1001" s="27" t="n"/>
      <c r="J1001" s="27" t="n"/>
      <c r="K1001" s="27" t="n"/>
      <c r="L1001" s="28" t="n"/>
      <c r="M1001" s="27" t="n"/>
      <c r="N1001" s="27">
        <f>IF(COUNTA(A1001:M1001)=0,"",IF(OR(A1001="",B1001="",C1001="",D1001="",E1001="",F1001="",I1001="",J1001="",K1001="",M1001=""),"Required link detail missing",IF(COUNTIF($A$4:$A$1003,A1001)&gt;1,"Duplicate Map Edge ID",IF(NOT(OR(AND(B1001="UC",E1001="CAP",D1001="requires"),AND(B1001="CAP",E1001="AIR",D1001="provided by"),AND(B1001="AIR",OR(E1001="MOD",E1001="DATA",E1001="IF",E1001="AG",E1001="TOOL"),D1001="references"),AND(B1001="AIR",E1001="AIR",D1001="depends on"))),"Invalid relationship",IF(AND(M1001&lt;&gt;"Superseded",COUNTIFS($B$4:$B$1003,B1001,$C$4:$C$1003,C1001,$D$4:$D$1003,D1001,$E$4:$E$1003,E1001,$F$4:$F$1003,F1001,$G$4:$G$1003,G1001,$M$4:$M$1003,"&lt;&gt;Superseded")&gt;1),"Duplicate relationship",IF(OR(IF(B1001="UC",COUNTIF('Use cases'!$A$4:$A$253,C1001),IF(B1001="CAP",COUNTIF(Capabilities!$A$4:$A$253,C1001),IF(B1001="AIR",COUNTIF('System map'!$A$4:$A$203,C1001),COUNTIFS(Components!$A$4:$A$253,C1001,Components!$B$4:$B$253,B1001))))&lt;&gt;1,IF(E1001="UC",COUNTIF('Use cases'!$A$4:$A$253,F1001),IF(E1001="CAP",COUNTIF(Capabilities!$A$4:$A$253,F1001),IF(E1001="AIR",COUNTIF('System map'!$A$4:$A$203,F1001),COUNTIFS(Components!$A$4:$A$253,F1001,Components!$B$4:$B$253,E1001))))&lt;&gt;1),"Endpoint missing or duplicated",IF(AND(NOT(AND(B1001="UC",E1001="CAP")),OR(G1001="",COUNTIF('System map'!$A$4:$A$203,G1001)&lt;&gt;1)),"AIR context missing / unknown",IF(AND(B1001="CAP",E1001="AIR",G1001&lt;&gt;F1001),"AIR context mismatch",IF(AND(B1001="AIR",G1001&lt;&gt;C1001),"AIR context mismatch",IF(AND(B1001="AIR",E1001="AIR",C1001=F1001),"Self-dependency",IF(AND(B1001="AIR",E1001="AIR",M1001&lt;&gt;"Superseded",COUNTIFS($B$4:$B$1003,"AIR",$C$4:$C$1003,F1001,$E$4:$E$1003,"AIR",$F$4:$F$1003,C1001,$M$4:$M$1003,"&lt;&gt;Superseded")&gt;0),"Dependency cycle (A↔B) — review",IF(AND(B1001="AIR",OR(E1001="MOD",E1001="DATA",E1001="IF",E1001="AG",E1001="TOOL"),IFERROR(INDEX(Components!$G$4:$G$253,MATCH(F1001,Components!$A$4:$A$253,0)),"")&lt;&gt;"",IFERROR(INDEX(Components!$G$4:$G$253,MATCH(F1001,Components!$A$4:$A$253,0)),"")&lt;&gt;C1001),"Component owned by another AIR-ID",IF(AND(M1001="Confirmed",OR(IF(B1001="UC",COUNTIFS('Use cases'!$A$4:$A$253,C1001,'Use cases'!$I$4:$I$253,"Confirmed",'Use cases'!$J$4:$J$253,"OK — verify source"),IF(B1001="CAP",COUNTIFS(Capabilities!$A$4:$A$253,C1001,Capabilities!$J$4:$J$253,"Confirmed",Capabilities!$K$4:$K$253,"OK — verify source"),IF(B1001="AIR",COUNTIFS('System map'!$A$4:$A$203,C1001,'System map'!$B$4:$B$203,"&lt;&gt;",'System map'!$C$4:$C$203,"&lt;&gt;",'System map'!$D$4:$D$203,"&lt;&gt;"),COUNTIFS(Components!$A$4:$A$253,C1001,Components!$B$4:$B$253,B1001,Components!$K$4:$K$253,"Confirmed",Components!$L$4:$L$253,"OK — verify source"))))&lt;&gt;1,IF(E1001="UC",COUNTIFS('Use cases'!$A$4:$A$253,F1001,'Use cases'!$I$4:$I$253,"Confirmed",'Use cases'!$J$4:$J$253,"OK — verify source"),IF(E1001="CAP",COUNTIFS(Capabilities!$A$4:$A$253,F1001,Capabilities!$J$4:$J$253,"Confirmed",Capabilities!$K$4:$K$253,"OK — verify source"),IF(E1001="AIR",COUNTIFS('System map'!$A$4:$A$203,F1001,'System map'!$B$4:$B$203,"&lt;&gt;",'System map'!$C$4:$C$203,"&lt;&gt;",'System map'!$D$4:$D$203,"&lt;&gt;"),COUNTIFS(Components!$A$4:$A$253,F1001,Components!$B$4:$B$253,E1001,Components!$K$4:$K$253,"Confirmed",Components!$L$4:$L$253,"OK — verify source"))))&lt;&gt;1)),"Endpoint not source-reconciled",IF(AND(M1001="Confirmed",OR(L1001="",K1001="",K1001="Unknown",K1001="Low")),"Confirmed link lacks verification","OK — verify source"))))))))))))))</f>
        <v/>
      </c>
    </row>
    <row r="1002">
      <c r="A1002" s="25" t="n"/>
      <c r="B1002" s="25" t="n"/>
      <c r="C1002" s="25" t="n"/>
      <c r="D1002" s="25" t="n"/>
      <c r="E1002" s="25" t="n"/>
      <c r="F1002" s="25" t="n"/>
      <c r="G1002" s="25" t="n"/>
      <c r="H1002" s="25" t="n"/>
      <c r="I1002" s="25" t="n"/>
      <c r="J1002" s="25" t="n"/>
      <c r="K1002" s="25" t="n"/>
      <c r="L1002" s="26" t="n"/>
      <c r="M1002" s="25" t="n"/>
      <c r="N1002" s="25">
        <f>IF(COUNTA(A1002:M1002)=0,"",IF(OR(A1002="",B1002="",C1002="",D1002="",E1002="",F1002="",I1002="",J1002="",K1002="",M1002=""),"Required link detail missing",IF(COUNTIF($A$4:$A$1003,A1002)&gt;1,"Duplicate Map Edge ID",IF(NOT(OR(AND(B1002="UC",E1002="CAP",D1002="requires"),AND(B1002="CAP",E1002="AIR",D1002="provided by"),AND(B1002="AIR",OR(E1002="MOD",E1002="DATA",E1002="IF",E1002="AG",E1002="TOOL"),D1002="references"),AND(B1002="AIR",E1002="AIR",D1002="depends on"))),"Invalid relationship",IF(AND(M1002&lt;&gt;"Superseded",COUNTIFS($B$4:$B$1003,B1002,$C$4:$C$1003,C1002,$D$4:$D$1003,D1002,$E$4:$E$1003,E1002,$F$4:$F$1003,F1002,$G$4:$G$1003,G1002,$M$4:$M$1003,"&lt;&gt;Superseded")&gt;1),"Duplicate relationship",IF(OR(IF(B1002="UC",COUNTIF('Use cases'!$A$4:$A$253,C1002),IF(B1002="CAP",COUNTIF(Capabilities!$A$4:$A$253,C1002),IF(B1002="AIR",COUNTIF('System map'!$A$4:$A$203,C1002),COUNTIFS(Components!$A$4:$A$253,C1002,Components!$B$4:$B$253,B1002))))&lt;&gt;1,IF(E1002="UC",COUNTIF('Use cases'!$A$4:$A$253,F1002),IF(E1002="CAP",COUNTIF(Capabilities!$A$4:$A$253,F1002),IF(E1002="AIR",COUNTIF('System map'!$A$4:$A$203,F1002),COUNTIFS(Components!$A$4:$A$253,F1002,Components!$B$4:$B$253,E1002))))&lt;&gt;1),"Endpoint missing or duplicated",IF(AND(NOT(AND(B1002="UC",E1002="CAP")),OR(G1002="",COUNTIF('System map'!$A$4:$A$203,G1002)&lt;&gt;1)),"AIR context missing / unknown",IF(AND(B1002="CAP",E1002="AIR",G1002&lt;&gt;F1002),"AIR context mismatch",IF(AND(B1002="AIR",G1002&lt;&gt;C1002),"AIR context mismatch",IF(AND(B1002="AIR",E1002="AIR",C1002=F1002),"Self-dependency",IF(AND(B1002="AIR",E1002="AIR",M1002&lt;&gt;"Superseded",COUNTIFS($B$4:$B$1003,"AIR",$C$4:$C$1003,F1002,$E$4:$E$1003,"AIR",$F$4:$F$1003,C1002,$M$4:$M$1003,"&lt;&gt;Superseded")&gt;0),"Dependency cycle (A↔B) — review",IF(AND(B1002="AIR",OR(E1002="MOD",E1002="DATA",E1002="IF",E1002="AG",E1002="TOOL"),IFERROR(INDEX(Components!$G$4:$G$253,MATCH(F1002,Components!$A$4:$A$253,0)),"")&lt;&gt;"",IFERROR(INDEX(Components!$G$4:$G$253,MATCH(F1002,Components!$A$4:$A$253,0)),"")&lt;&gt;C1002),"Component owned by another AIR-ID",IF(AND(M1002="Confirmed",OR(IF(B1002="UC",COUNTIFS('Use cases'!$A$4:$A$253,C1002,'Use cases'!$I$4:$I$253,"Confirmed",'Use cases'!$J$4:$J$253,"OK — verify source"),IF(B1002="CAP",COUNTIFS(Capabilities!$A$4:$A$253,C1002,Capabilities!$J$4:$J$253,"Confirmed",Capabilities!$K$4:$K$253,"OK — verify source"),IF(B1002="AIR",COUNTIFS('System map'!$A$4:$A$203,C1002,'System map'!$B$4:$B$203,"&lt;&gt;",'System map'!$C$4:$C$203,"&lt;&gt;",'System map'!$D$4:$D$203,"&lt;&gt;"),COUNTIFS(Components!$A$4:$A$253,C1002,Components!$B$4:$B$253,B1002,Components!$K$4:$K$253,"Confirmed",Components!$L$4:$L$253,"OK — verify source"))))&lt;&gt;1,IF(E1002="UC",COUNTIFS('Use cases'!$A$4:$A$253,F1002,'Use cases'!$I$4:$I$253,"Confirmed",'Use cases'!$J$4:$J$253,"OK — verify source"),IF(E1002="CAP",COUNTIFS(Capabilities!$A$4:$A$253,F1002,Capabilities!$J$4:$J$253,"Confirmed",Capabilities!$K$4:$K$253,"OK — verify source"),IF(E1002="AIR",COUNTIFS('System map'!$A$4:$A$203,F1002,'System map'!$B$4:$B$203,"&lt;&gt;",'System map'!$C$4:$C$203,"&lt;&gt;",'System map'!$D$4:$D$203,"&lt;&gt;"),COUNTIFS(Components!$A$4:$A$253,F1002,Components!$B$4:$B$253,E1002,Components!$K$4:$K$253,"Confirmed",Components!$L$4:$L$253,"OK — verify source"))))&lt;&gt;1)),"Endpoint not source-reconciled",IF(AND(M1002="Confirmed",OR(L1002="",K1002="",K1002="Unknown",K1002="Low")),"Confirmed link lacks verification","OK — verify source"))))))))))))))</f>
        <v/>
      </c>
    </row>
    <row r="1003">
      <c r="A1003" s="27" t="n"/>
      <c r="B1003" s="27" t="n"/>
      <c r="C1003" s="27" t="n"/>
      <c r="D1003" s="27" t="n"/>
      <c r="E1003" s="27" t="n"/>
      <c r="F1003" s="27" t="n"/>
      <c r="G1003" s="27" t="n"/>
      <c r="H1003" s="27" t="n"/>
      <c r="I1003" s="27" t="n"/>
      <c r="J1003" s="27" t="n"/>
      <c r="K1003" s="27" t="n"/>
      <c r="L1003" s="28" t="n"/>
      <c r="M1003" s="27" t="n"/>
      <c r="N1003" s="27">
        <f>IF(COUNTA(A1003:M1003)=0,"",IF(OR(A1003="",B1003="",C1003="",D1003="",E1003="",F1003="",I1003="",J1003="",K1003="",M1003=""),"Required link detail missing",IF(COUNTIF($A$4:$A$1003,A1003)&gt;1,"Duplicate Map Edge ID",IF(NOT(OR(AND(B1003="UC",E1003="CAP",D1003="requires"),AND(B1003="CAP",E1003="AIR",D1003="provided by"),AND(B1003="AIR",OR(E1003="MOD",E1003="DATA",E1003="IF",E1003="AG",E1003="TOOL"),D1003="references"),AND(B1003="AIR",E1003="AIR",D1003="depends on"))),"Invalid relationship",IF(AND(M1003&lt;&gt;"Superseded",COUNTIFS($B$4:$B$1003,B1003,$C$4:$C$1003,C1003,$D$4:$D$1003,D1003,$E$4:$E$1003,E1003,$F$4:$F$1003,F1003,$G$4:$G$1003,G1003,$M$4:$M$1003,"&lt;&gt;Superseded")&gt;1),"Duplicate relationship",IF(OR(IF(B1003="UC",COUNTIF('Use cases'!$A$4:$A$253,C1003),IF(B1003="CAP",COUNTIF(Capabilities!$A$4:$A$253,C1003),IF(B1003="AIR",COUNTIF('System map'!$A$4:$A$203,C1003),COUNTIFS(Components!$A$4:$A$253,C1003,Components!$B$4:$B$253,B1003))))&lt;&gt;1,IF(E1003="UC",COUNTIF('Use cases'!$A$4:$A$253,F1003),IF(E1003="CAP",COUNTIF(Capabilities!$A$4:$A$253,F1003),IF(E1003="AIR",COUNTIF('System map'!$A$4:$A$203,F1003),COUNTIFS(Components!$A$4:$A$253,F1003,Components!$B$4:$B$253,E1003))))&lt;&gt;1),"Endpoint missing or duplicated",IF(AND(NOT(AND(B1003="UC",E1003="CAP")),OR(G1003="",COUNTIF('System map'!$A$4:$A$203,G1003)&lt;&gt;1)),"AIR context missing / unknown",IF(AND(B1003="CAP",E1003="AIR",G1003&lt;&gt;F1003),"AIR context mismatch",IF(AND(B1003="AIR",G1003&lt;&gt;C1003),"AIR context mismatch",IF(AND(B1003="AIR",E1003="AIR",C1003=F1003),"Self-dependency",IF(AND(B1003="AIR",E1003="AIR",M1003&lt;&gt;"Superseded",COUNTIFS($B$4:$B$1003,"AIR",$C$4:$C$1003,F1003,$E$4:$E$1003,"AIR",$F$4:$F$1003,C1003,$M$4:$M$1003,"&lt;&gt;Superseded")&gt;0),"Dependency cycle (A↔B) — review",IF(AND(B1003="AIR",OR(E1003="MOD",E1003="DATA",E1003="IF",E1003="AG",E1003="TOOL"),IFERROR(INDEX(Components!$G$4:$G$253,MATCH(F1003,Components!$A$4:$A$253,0)),"")&lt;&gt;"",IFERROR(INDEX(Components!$G$4:$G$253,MATCH(F1003,Components!$A$4:$A$253,0)),"")&lt;&gt;C1003),"Component owned by another AIR-ID",IF(AND(M1003="Confirmed",OR(IF(B1003="UC",COUNTIFS('Use cases'!$A$4:$A$253,C1003,'Use cases'!$I$4:$I$253,"Confirmed",'Use cases'!$J$4:$J$253,"OK — verify source"),IF(B1003="CAP",COUNTIFS(Capabilities!$A$4:$A$253,C1003,Capabilities!$J$4:$J$253,"Confirmed",Capabilities!$K$4:$K$253,"OK — verify source"),IF(B1003="AIR",COUNTIFS('System map'!$A$4:$A$203,C1003,'System map'!$B$4:$B$203,"&lt;&gt;",'System map'!$C$4:$C$203,"&lt;&gt;",'System map'!$D$4:$D$203,"&lt;&gt;"),COUNTIFS(Components!$A$4:$A$253,C1003,Components!$B$4:$B$253,B1003,Components!$K$4:$K$253,"Confirmed",Components!$L$4:$L$253,"OK — verify source"))))&lt;&gt;1,IF(E1003="UC",COUNTIFS('Use cases'!$A$4:$A$253,F1003,'Use cases'!$I$4:$I$253,"Confirmed",'Use cases'!$J$4:$J$253,"OK — verify source"),IF(E1003="CAP",COUNTIFS(Capabilities!$A$4:$A$253,F1003,Capabilities!$J$4:$J$253,"Confirmed",Capabilities!$K$4:$K$253,"OK — verify source"),IF(E1003="AIR",COUNTIFS('System map'!$A$4:$A$203,F1003,'System map'!$B$4:$B$203,"&lt;&gt;",'System map'!$C$4:$C$203,"&lt;&gt;",'System map'!$D$4:$D$203,"&lt;&gt;"),COUNTIFS(Components!$A$4:$A$253,F1003,Components!$B$4:$B$253,E1003,Components!$K$4:$K$253,"Confirmed",Components!$L$4:$L$253,"OK — verify source"))))&lt;&gt;1)),"Endpoint not source-reconciled",IF(AND(M1003="Confirmed",OR(L1003="",K1003="",K1003="Unknown",K1003="Low")),"Confirmed link lacks verification","OK — verify source"))))))))))))))</f>
        <v/>
      </c>
    </row>
  </sheetData>
  <mergeCells count="2">
    <mergeCell ref="A2:N2"/>
    <mergeCell ref="A1:N1"/>
  </mergeCells>
  <dataValidations count="5">
    <dataValidation sqref="B4:B1003" showDropDown="0" showInputMessage="0" showErrorMessage="1" allowBlank="1" errorTitle="Controlled value" error="Select a listed value." type="list">
      <formula1>"UC,CAP,AIR,MOD,DATA,IF,AG,TOOL"</formula1>
    </dataValidation>
    <dataValidation sqref="E4:E1003" showDropDown="0" showInputMessage="0" showErrorMessage="1" allowBlank="1" errorTitle="Controlled value" error="Select a listed value." type="list">
      <formula1>"UC,CAP,AIR,MOD,DATA,IF,AG,TOOL"</formula1>
    </dataValidation>
    <dataValidation sqref="D4:D1003" showDropDown="0" showInputMessage="0" showErrorMessage="1" allowBlank="1" errorTitle="Controlled value" error="Select a listed value." type="list">
      <formula1>"requires,provided by,references,depends on"</formula1>
    </dataValidation>
    <dataValidation sqref="K4:K1003" showDropDown="0" showInputMessage="0" showErrorMessage="1" allowBlank="1" errorTitle="Controlled value" error="Select a listed value." type="list">
      <formula1>"High,Medium,Low,Unknown"</formula1>
    </dataValidation>
    <dataValidation sqref="M4:M1003" showDropDown="0" showInputMessage="0" showErrorMessage="1" allowBlank="1" errorTitle="Controlled value" error="Select a listed value." type="list">
      <formula1>"Proposed,Confirmed,Superseded"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264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34" customWidth="1" min="3" max="3"/>
    <col width="16" customWidth="1" min="4" max="4"/>
    <col width="16" customWidth="1" min="5" max="5"/>
    <col width="24" customWidth="1" min="6" max="6"/>
    <col width="3" customWidth="1" min="7" max="7"/>
    <col width="19" customWidth="1" min="8" max="8"/>
    <col width="34" customWidth="1" min="9" max="9"/>
    <col width="30" customWidth="1" min="10" max="10"/>
    <col width="3" customWidth="1" min="11" max="11"/>
    <col width="34" customWidth="1" min="12" max="12"/>
    <col width="14" customWidth="1" min="13" max="13"/>
    <col width="14" customWidth="1" min="14" max="14"/>
    <col width="24" customWidth="1" min="15" max="15"/>
  </cols>
  <sheetData>
    <row r="1" ht="34" customHeight="1">
      <c r="A1" s="22" t="inlineStr">
        <is>
          <t>DEPENDENCY CONCENTRATION / PORTFOLIO VIEW (Proposed — for Council confirmation)</t>
        </is>
      </c>
    </row>
    <row r="2" ht="44" customHeight="1">
      <c r="A2" s="23" t="inlineStr">
        <is>
          <t>Whole-portfolio view of shared dependencies. Counts distinct AIR-IDs relying on each model, data asset, interface, agent or tool (confirmed, QA-clean links only) and on each supplier or source. Derived view only: it does not change the AI Register (AIG-INV-04), grant approval or set the threshold, which the Council sets.</t>
        </is>
      </c>
    </row>
    <row r="4" ht="22" customHeight="1">
      <c r="A4" s="24" t="inlineStr">
        <is>
          <t>Threshold and portfolio summary</t>
        </is>
      </c>
      <c r="H4" s="24" t="inlineStr">
        <is>
          <t>Notes (Proposed — for Council confirmation)</t>
        </is>
      </c>
    </row>
    <row r="5" ht="54" customHeight="1">
      <c r="A5" s="18" t="inlineStr">
        <is>
          <t>Threshold for concern (set by the Council)</t>
        </is>
      </c>
      <c r="D5" s="41" t="n"/>
      <c r="E5" s="30" t="inlineStr">
        <is>
          <t>Blank by default. Enter a share (for example 25%) only once the Council sets it; while blank, no flag is shown.</t>
        </is>
      </c>
      <c r="H5" s="30" t="inlineStr">
        <is>
          <t>Purpose: supports the Playbook portfolio view of AI risk (§4.5.8) and measure M-16 in AIG-AIMS-10 (dependency concentration); the result is reported through AIG-OPS-06 and the AI Assurance Board Report (AIG-OPS-05).</t>
        </is>
      </c>
    </row>
    <row r="6" ht="54" customHeight="1">
      <c r="A6" s="20" t="inlineStr">
        <is>
          <t>Mapped AIR-IDs on System map (distinct)</t>
        </is>
      </c>
      <c r="D6" s="42">
        <f>IF(COUNTIF('System map'!$A$4:$A$203,"?*")=0,"",SUMPRODUCT(('System map'!$A$4:$A$203&lt;&gt;"")/COUNTIF('System map'!$A$4:$A$203,'System map'!$A$4:$A$203&amp;"")))</f>
        <v/>
      </c>
      <c r="E6" s="43" t="inlineStr">
        <is>
          <t>Denominator for component shares. Blank until AIR-IDs are entered on System map.</t>
        </is>
      </c>
      <c r="H6" s="43" t="inlineStr">
        <is>
          <t>Zero is not absence: a zero or blank count means no confirmed, QA-clean link or extract row has been recorded. It does NOT prove that no AIR-ID relies on the model, data asset, interface, tool or supplier.</t>
        </is>
      </c>
    </row>
    <row r="7" ht="54" customHeight="1">
      <c r="A7" s="18" t="inlineStr">
        <is>
          <t>Largest component share</t>
        </is>
      </c>
      <c r="D7" s="44">
        <f>IF(COUNT($E$15:$E$264)=0,"",MAX($E$15:$E$264))</f>
        <v/>
      </c>
      <c r="E7" s="30">
        <f>IF(D7="","",IF(D7=0,"No confirmed links recorded (zero is not absence)",INDEX($A$15:$A$264,MATCH(D7,$E$15:$E$264,0))&amp;" ("&amp;INDEX($C$15:$C$264,MATCH(D7,$E$15:$E$264,0))&amp;")"&amp;IF(COUNTIF($E$15:$E$264,D7)&gt;1," (and "&amp;(COUNTIF($E$15:$E$264,D7)-1)&amp;" more at the same share)","")))</f>
        <v/>
      </c>
      <c r="H7" s="30" t="inlineStr">
        <is>
          <t>Source of truth: AIG-INV-04 is authoritative for AIR-ID identity and supplier; AIG-INV-05 Components and Relationships hold the links. This sheet is derived: it does not change the Register and grants no access, approval or decision.</t>
        </is>
      </c>
    </row>
    <row r="8" ht="54" customHeight="1">
      <c r="A8" s="20" t="inlineStr">
        <is>
          <t>AIR-IDs in supplier extract (distinct)</t>
        </is>
      </c>
      <c r="D8" s="42">
        <f>IF(COUNTIF($H$15:$H$264,"?*")=0,"",SUMPRODUCT(($H$15:$H$264&lt;&gt;"")/COUNTIF($H$15:$H$264,$H$15:$H$264&amp;"")))</f>
        <v/>
      </c>
      <c r="E8" s="43" t="inlineStr">
        <is>
          <t>Denominator for supplier shares. Blank until the AIG-INV-04 extract is pasted.</t>
        </is>
      </c>
      <c r="H8" s="43" t="inlineStr">
        <is>
          <t>Component method: counts Relationships rows with From type AIR, Relationship "references", To ID = the component, State Confirmed and Link check OK (the same confirmed-state test as System map). A duplicated live link fails the link check and is excluded from the count until it is resolved (zero is not absence); once resolved, each AIR-ID counts once per component. A shared component must leave "Owning AIR-ID" blank on Components, or other AIR-IDs' links fail the check.</t>
        </is>
      </c>
    </row>
    <row r="9" ht="54" customHeight="1">
      <c r="A9" s="18" t="inlineStr">
        <is>
          <t>Largest supplier share</t>
        </is>
      </c>
      <c r="D9" s="44">
        <f>IF(COUNT($N$15:$N$64)=0,"",MAX($N$15:$N$64))</f>
        <v/>
      </c>
      <c r="E9" s="30">
        <f>IF(D9="","",IF(D9=0,"No supplier links recorded (zero is not absence)",INDEX($L$15:$L$64,MATCH(D9,$N$15:$N$64,0))&amp;IF(COUNTIF($N$15:$N$64,D9)&gt;1," (and "&amp;(COUNTIF($N$15:$N$64,D9)-1)&amp;" more at the same share)","")))</f>
        <v/>
      </c>
      <c r="H9" s="30" t="inlineStr">
        <is>
          <t>Supplier method: paste AIR-ID and supplier / source from the controlled AIG-INV-04 extract, then type each supplier name once in the summary (same spelling as the extract). Each AIR-ID counts once per supplier (duplicate rows are ignored).</t>
        </is>
      </c>
    </row>
    <row r="10" ht="54" customHeight="1">
      <c r="A10" s="20" t="inlineStr">
        <is>
          <t>Largest share overall (AIG-AIMS-10 M-16)</t>
        </is>
      </c>
      <c r="D10" s="45">
        <f>IF(COUNT(D7,D9)=0,"",MAX(D7,D9))</f>
        <v/>
      </c>
      <c r="E10" s="43">
        <f>IF(D10="","",IF(AND(ISNUMBER(D7),D7=D10),"Component: "&amp;E7,"Supplier: "&amp;E9))</f>
        <v/>
      </c>
      <c r="H10" s="43" t="inlineStr">
        <is>
          <t>Flag: "Review: concentration" shows when a share is at or above the Council's threshold and at least one AIR-ID relies on the dependency. The High/Critical UC-IDs relying on a flagged dependency are named in the AI Assurance Board Report.</t>
        </is>
      </c>
    </row>
    <row r="11" ht="54" customHeight="1">
      <c r="A11" s="18" t="inlineStr">
        <is>
          <t>Dependencies flagged for review</t>
        </is>
      </c>
      <c r="D11" s="46">
        <f>IF(NOT(ISNUMBER(D5)),"",COUNTIF($F$15:$F$264,"Review: concentration")+COUNTIF($O$15:$O$64,"Review: concentration"))</f>
        <v/>
      </c>
      <c r="E11" s="30" t="inlineStr">
        <is>
          <t>Blank while no threshold is set. Name the High/Critical UC-IDs relying on each flagged dependency in the AI Assurance Board Report (AIG-OPS-05).</t>
        </is>
      </c>
      <c r="H11" s="30" t="inlineStr">
        <is>
          <t>Before use: confirm the threshold, supplier naming and the extract date; record the as-at dates of the Components, Relationships and AIG-INV-04 extract used for each report.</t>
        </is>
      </c>
    </row>
    <row r="13" ht="22" customHeight="1">
      <c r="A13" s="47" t="inlineStr">
        <is>
          <t>Table 1: Components (derived from Components and Relationships)</t>
        </is>
      </c>
      <c r="H13" s="47" t="inlineStr">
        <is>
          <t>Table 2a: Supplier extract (paste from the controlled AIG-INV-04 extract)</t>
        </is>
      </c>
      <c r="L13" s="47" t="inlineStr">
        <is>
          <t>Table 2b: Suppliers (type each supplier once)</t>
        </is>
      </c>
    </row>
    <row r="14" ht="36" customHeight="1">
      <c r="A14" s="24" t="inlineStr">
        <is>
          <t>Reference ID (from Components)</t>
        </is>
      </c>
      <c r="B14" s="24" t="inlineStr">
        <is>
          <t>Type</t>
        </is>
      </c>
      <c r="C14" s="24" t="inlineStr">
        <is>
          <t>Name / short label</t>
        </is>
      </c>
      <c r="D14" s="24" t="inlineStr">
        <is>
          <t>AIR-IDs relying on it</t>
        </is>
      </c>
      <c r="E14" s="24" t="inlineStr">
        <is>
          <t>Share of mapped AIR-IDs</t>
        </is>
      </c>
      <c r="F14" s="24" t="inlineStr">
        <is>
          <t>Concentration flag</t>
        </is>
      </c>
      <c r="H14" s="24" t="inlineStr">
        <is>
          <t>AIR-ID</t>
        </is>
      </c>
      <c r="I14" s="24" t="inlineStr">
        <is>
          <t>Supplier / source (from the controlled AIG-INV-04 extract)</t>
        </is>
      </c>
      <c r="J14" s="24" t="inlineStr">
        <is>
          <t>Row check</t>
        </is>
      </c>
      <c r="L14" s="24" t="inlineStr">
        <is>
          <t>Supplier / source</t>
        </is>
      </c>
      <c r="M14" s="24" t="inlineStr">
        <is>
          <t>AIR-IDs relying on it</t>
        </is>
      </c>
      <c r="N14" s="24" t="inlineStr">
        <is>
          <t>Share of AIR-IDs in extract</t>
        </is>
      </c>
      <c r="O14" s="24" t="inlineStr">
        <is>
          <t>Concentration flag</t>
        </is>
      </c>
    </row>
    <row r="15">
      <c r="A15" s="25">
        <f>IF(Components!A4="","",Components!A4)</f>
        <v/>
      </c>
      <c r="B15" s="25">
        <f>IF(OR(A15="",Components!B4=""),"",Components!B4)</f>
        <v/>
      </c>
      <c r="C15" s="25">
        <f>IF(OR(A15="",Components!C4=""),"",Components!C4)</f>
        <v/>
      </c>
      <c r="D15" s="25">
        <f>IF(A15="","",COUNTIFS(Relationships!$B$4:$B$1003,"AIR",Relationships!$D$4:$D$1003,"references",Relationships!$F$4:$F$1003,A15,Relationships!$M$4:$M$1003,"Confirmed",Relationships!$N$4:$N$1003,"OK — verify source"))</f>
        <v/>
      </c>
      <c r="E15" s="48">
        <f>IF(OR(A15="",NOT(ISNUMBER($D$6))),"",D15/$D$6)</f>
        <v/>
      </c>
      <c r="F15" s="25">
        <f>IF(OR(NOT(ISNUMBER(E15)),NOT(ISNUMBER($D$5))),"",IF(AND(D15&gt;0,E15&gt;=$D$5),"Review: concentration",""))</f>
        <v/>
      </c>
      <c r="H15" s="25" t="n"/>
      <c r="I15" s="25" t="n"/>
      <c r="J15" s="25">
        <f>IF(COUNTA(H15:I15)=0,"",IF(OR(H15="",I15=""),"AIR-ID or supplier missing",IF(COUNTIFS($H$15:$H$264,H15,$I$15:$I$264,I15)&gt;1,"Duplicate row (counted once)",IF(COUNTIF('System map'!$A$4:$A$203,H15)=0,"AIR-ID not on System map",IF(COUNTIF($L$15:$L$64,I15)=0,"Supplier not listed in Table 2b","OK — verify source")))))</f>
        <v/>
      </c>
      <c r="L15" s="25" t="n"/>
      <c r="M15" s="25">
        <f>IF(L15="","",IFERROR(SUMPRODUCT(($I$15:$I$264=L15)*($H$15:$H$264&lt;&gt;"")/COUNTIFS($H$15:$H$264,$H$15:$H$264&amp;"",$I$15:$I$264,$I$15:$I$264&amp;"")),"Check extract"))</f>
        <v/>
      </c>
      <c r="N15" s="48">
        <f>IF(OR(L15="",NOT(ISNUMBER(M15)),NOT(ISNUMBER($D$8))),"",M15/$D$8)</f>
        <v/>
      </c>
      <c r="O15" s="25">
        <f>IF(L15="","",IF(COUNTIF($L$15:$L$64,L15)&gt;1,"Duplicate supplier name",IF(OR(NOT(ISNUMBER(N15)),NOT(ISNUMBER($D$5))),"",IF(AND(M15&gt;0,N15&gt;=$D$5),"Review: concentration",""))))</f>
        <v/>
      </c>
    </row>
    <row r="16">
      <c r="A16" s="27">
        <f>IF(Components!A5="","",Components!A5)</f>
        <v/>
      </c>
      <c r="B16" s="27">
        <f>IF(OR(A16="",Components!B5=""),"",Components!B5)</f>
        <v/>
      </c>
      <c r="C16" s="27">
        <f>IF(OR(A16="",Components!C5=""),"",Components!C5)</f>
        <v/>
      </c>
      <c r="D16" s="27">
        <f>IF(A16="","",COUNTIFS(Relationships!$B$4:$B$1003,"AIR",Relationships!$D$4:$D$1003,"references",Relationships!$F$4:$F$1003,A16,Relationships!$M$4:$M$1003,"Confirmed",Relationships!$N$4:$N$1003,"OK — verify source"))</f>
        <v/>
      </c>
      <c r="E16" s="49">
        <f>IF(OR(A16="",NOT(ISNUMBER($D$6))),"",D16/$D$6)</f>
        <v/>
      </c>
      <c r="F16" s="27">
        <f>IF(OR(NOT(ISNUMBER(E16)),NOT(ISNUMBER($D$5))),"",IF(AND(D16&gt;0,E16&gt;=$D$5),"Review: concentration",""))</f>
        <v/>
      </c>
      <c r="H16" s="27" t="n"/>
      <c r="I16" s="27" t="n"/>
      <c r="J16" s="27">
        <f>IF(COUNTA(H16:I16)=0,"",IF(OR(H16="",I16=""),"AIR-ID or supplier missing",IF(COUNTIFS($H$15:$H$264,H16,$I$15:$I$264,I16)&gt;1,"Duplicate row (counted once)",IF(COUNTIF('System map'!$A$4:$A$203,H16)=0,"AIR-ID not on System map",IF(COUNTIF($L$15:$L$64,I16)=0,"Supplier not listed in Table 2b","OK — verify source")))))</f>
        <v/>
      </c>
      <c r="L16" s="27" t="n"/>
      <c r="M16" s="27">
        <f>IF(L16="","",IFERROR(SUMPRODUCT(($I$15:$I$264=L16)*($H$15:$H$264&lt;&gt;"")/COUNTIFS($H$15:$H$264,$H$15:$H$264&amp;"",$I$15:$I$264,$I$15:$I$264&amp;"")),"Check extract"))</f>
        <v/>
      </c>
      <c r="N16" s="49">
        <f>IF(OR(L16="",NOT(ISNUMBER(M16)),NOT(ISNUMBER($D$8))),"",M16/$D$8)</f>
        <v/>
      </c>
      <c r="O16" s="27">
        <f>IF(L16="","",IF(COUNTIF($L$15:$L$64,L16)&gt;1,"Duplicate supplier name",IF(OR(NOT(ISNUMBER(N16)),NOT(ISNUMBER($D$5))),"",IF(AND(M16&gt;0,N16&gt;=$D$5),"Review: concentration",""))))</f>
        <v/>
      </c>
    </row>
    <row r="17">
      <c r="A17" s="25">
        <f>IF(Components!A6="","",Components!A6)</f>
        <v/>
      </c>
      <c r="B17" s="25">
        <f>IF(OR(A17="",Components!B6=""),"",Components!B6)</f>
        <v/>
      </c>
      <c r="C17" s="25">
        <f>IF(OR(A17="",Components!C6=""),"",Components!C6)</f>
        <v/>
      </c>
      <c r="D17" s="25">
        <f>IF(A17="","",COUNTIFS(Relationships!$B$4:$B$1003,"AIR",Relationships!$D$4:$D$1003,"references",Relationships!$F$4:$F$1003,A17,Relationships!$M$4:$M$1003,"Confirmed",Relationships!$N$4:$N$1003,"OK — verify source"))</f>
        <v/>
      </c>
      <c r="E17" s="48">
        <f>IF(OR(A17="",NOT(ISNUMBER($D$6))),"",D17/$D$6)</f>
        <v/>
      </c>
      <c r="F17" s="25">
        <f>IF(OR(NOT(ISNUMBER(E17)),NOT(ISNUMBER($D$5))),"",IF(AND(D17&gt;0,E17&gt;=$D$5),"Review: concentration",""))</f>
        <v/>
      </c>
      <c r="H17" s="25" t="n"/>
      <c r="I17" s="25" t="n"/>
      <c r="J17" s="25">
        <f>IF(COUNTA(H17:I17)=0,"",IF(OR(H17="",I17=""),"AIR-ID or supplier missing",IF(COUNTIFS($H$15:$H$264,H17,$I$15:$I$264,I17)&gt;1,"Duplicate row (counted once)",IF(COUNTIF('System map'!$A$4:$A$203,H17)=0,"AIR-ID not on System map",IF(COUNTIF($L$15:$L$64,I17)=0,"Supplier not listed in Table 2b","OK — verify source")))))</f>
        <v/>
      </c>
      <c r="L17" s="25" t="n"/>
      <c r="M17" s="25">
        <f>IF(L17="","",IFERROR(SUMPRODUCT(($I$15:$I$264=L17)*($H$15:$H$264&lt;&gt;"")/COUNTIFS($H$15:$H$264,$H$15:$H$264&amp;"",$I$15:$I$264,$I$15:$I$264&amp;"")),"Check extract"))</f>
        <v/>
      </c>
      <c r="N17" s="48">
        <f>IF(OR(L17="",NOT(ISNUMBER(M17)),NOT(ISNUMBER($D$8))),"",M17/$D$8)</f>
        <v/>
      </c>
      <c r="O17" s="25">
        <f>IF(L17="","",IF(COUNTIF($L$15:$L$64,L17)&gt;1,"Duplicate supplier name",IF(OR(NOT(ISNUMBER(N17)),NOT(ISNUMBER($D$5))),"",IF(AND(M17&gt;0,N17&gt;=$D$5),"Review: concentration",""))))</f>
        <v/>
      </c>
    </row>
    <row r="18">
      <c r="A18" s="27">
        <f>IF(Components!A7="","",Components!A7)</f>
        <v/>
      </c>
      <c r="B18" s="27">
        <f>IF(OR(A18="",Components!B7=""),"",Components!B7)</f>
        <v/>
      </c>
      <c r="C18" s="27">
        <f>IF(OR(A18="",Components!C7=""),"",Components!C7)</f>
        <v/>
      </c>
      <c r="D18" s="27">
        <f>IF(A18="","",COUNTIFS(Relationships!$B$4:$B$1003,"AIR",Relationships!$D$4:$D$1003,"references",Relationships!$F$4:$F$1003,A18,Relationships!$M$4:$M$1003,"Confirmed",Relationships!$N$4:$N$1003,"OK — verify source"))</f>
        <v/>
      </c>
      <c r="E18" s="49">
        <f>IF(OR(A18="",NOT(ISNUMBER($D$6))),"",D18/$D$6)</f>
        <v/>
      </c>
      <c r="F18" s="27">
        <f>IF(OR(NOT(ISNUMBER(E18)),NOT(ISNUMBER($D$5))),"",IF(AND(D18&gt;0,E18&gt;=$D$5),"Review: concentration",""))</f>
        <v/>
      </c>
      <c r="H18" s="27" t="n"/>
      <c r="I18" s="27" t="n"/>
      <c r="J18" s="27">
        <f>IF(COUNTA(H18:I18)=0,"",IF(OR(H18="",I18=""),"AIR-ID or supplier missing",IF(COUNTIFS($H$15:$H$264,H18,$I$15:$I$264,I18)&gt;1,"Duplicate row (counted once)",IF(COUNTIF('System map'!$A$4:$A$203,H18)=0,"AIR-ID not on System map",IF(COUNTIF($L$15:$L$64,I18)=0,"Supplier not listed in Table 2b","OK — verify source")))))</f>
        <v/>
      </c>
      <c r="L18" s="27" t="n"/>
      <c r="M18" s="27">
        <f>IF(L18="","",IFERROR(SUMPRODUCT(($I$15:$I$264=L18)*($H$15:$H$264&lt;&gt;"")/COUNTIFS($H$15:$H$264,$H$15:$H$264&amp;"",$I$15:$I$264,$I$15:$I$264&amp;"")),"Check extract"))</f>
        <v/>
      </c>
      <c r="N18" s="49">
        <f>IF(OR(L18="",NOT(ISNUMBER(M18)),NOT(ISNUMBER($D$8))),"",M18/$D$8)</f>
        <v/>
      </c>
      <c r="O18" s="27">
        <f>IF(L18="","",IF(COUNTIF($L$15:$L$64,L18)&gt;1,"Duplicate supplier name",IF(OR(NOT(ISNUMBER(N18)),NOT(ISNUMBER($D$5))),"",IF(AND(M18&gt;0,N18&gt;=$D$5),"Review: concentration",""))))</f>
        <v/>
      </c>
    </row>
    <row r="19">
      <c r="A19" s="25">
        <f>IF(Components!A8="","",Components!A8)</f>
        <v/>
      </c>
      <c r="B19" s="25">
        <f>IF(OR(A19="",Components!B8=""),"",Components!B8)</f>
        <v/>
      </c>
      <c r="C19" s="25">
        <f>IF(OR(A19="",Components!C8=""),"",Components!C8)</f>
        <v/>
      </c>
      <c r="D19" s="25">
        <f>IF(A19="","",COUNTIFS(Relationships!$B$4:$B$1003,"AIR",Relationships!$D$4:$D$1003,"references",Relationships!$F$4:$F$1003,A19,Relationships!$M$4:$M$1003,"Confirmed",Relationships!$N$4:$N$1003,"OK — verify source"))</f>
        <v/>
      </c>
      <c r="E19" s="48">
        <f>IF(OR(A19="",NOT(ISNUMBER($D$6))),"",D19/$D$6)</f>
        <v/>
      </c>
      <c r="F19" s="25">
        <f>IF(OR(NOT(ISNUMBER(E19)),NOT(ISNUMBER($D$5))),"",IF(AND(D19&gt;0,E19&gt;=$D$5),"Review: concentration",""))</f>
        <v/>
      </c>
      <c r="H19" s="25" t="n"/>
      <c r="I19" s="25" t="n"/>
      <c r="J19" s="25">
        <f>IF(COUNTA(H19:I19)=0,"",IF(OR(H19="",I19=""),"AIR-ID or supplier missing",IF(COUNTIFS($H$15:$H$264,H19,$I$15:$I$264,I19)&gt;1,"Duplicate row (counted once)",IF(COUNTIF('System map'!$A$4:$A$203,H19)=0,"AIR-ID not on System map",IF(COUNTIF($L$15:$L$64,I19)=0,"Supplier not listed in Table 2b","OK — verify source")))))</f>
        <v/>
      </c>
      <c r="L19" s="25" t="n"/>
      <c r="M19" s="25">
        <f>IF(L19="","",IFERROR(SUMPRODUCT(($I$15:$I$264=L19)*($H$15:$H$264&lt;&gt;"")/COUNTIFS($H$15:$H$264,$H$15:$H$264&amp;"",$I$15:$I$264,$I$15:$I$264&amp;"")),"Check extract"))</f>
        <v/>
      </c>
      <c r="N19" s="48">
        <f>IF(OR(L19="",NOT(ISNUMBER(M19)),NOT(ISNUMBER($D$8))),"",M19/$D$8)</f>
        <v/>
      </c>
      <c r="O19" s="25">
        <f>IF(L19="","",IF(COUNTIF($L$15:$L$64,L19)&gt;1,"Duplicate supplier name",IF(OR(NOT(ISNUMBER(N19)),NOT(ISNUMBER($D$5))),"",IF(AND(M19&gt;0,N19&gt;=$D$5),"Review: concentration",""))))</f>
        <v/>
      </c>
    </row>
    <row r="20">
      <c r="A20" s="27">
        <f>IF(Components!A9="","",Components!A9)</f>
        <v/>
      </c>
      <c r="B20" s="27">
        <f>IF(OR(A20="",Components!B9=""),"",Components!B9)</f>
        <v/>
      </c>
      <c r="C20" s="27">
        <f>IF(OR(A20="",Components!C9=""),"",Components!C9)</f>
        <v/>
      </c>
      <c r="D20" s="27">
        <f>IF(A20="","",COUNTIFS(Relationships!$B$4:$B$1003,"AIR",Relationships!$D$4:$D$1003,"references",Relationships!$F$4:$F$1003,A20,Relationships!$M$4:$M$1003,"Confirmed",Relationships!$N$4:$N$1003,"OK — verify source"))</f>
        <v/>
      </c>
      <c r="E20" s="49">
        <f>IF(OR(A20="",NOT(ISNUMBER($D$6))),"",D20/$D$6)</f>
        <v/>
      </c>
      <c r="F20" s="27">
        <f>IF(OR(NOT(ISNUMBER(E20)),NOT(ISNUMBER($D$5))),"",IF(AND(D20&gt;0,E20&gt;=$D$5),"Review: concentration",""))</f>
        <v/>
      </c>
      <c r="H20" s="27" t="n"/>
      <c r="I20" s="27" t="n"/>
      <c r="J20" s="27">
        <f>IF(COUNTA(H20:I20)=0,"",IF(OR(H20="",I20=""),"AIR-ID or supplier missing",IF(COUNTIFS($H$15:$H$264,H20,$I$15:$I$264,I20)&gt;1,"Duplicate row (counted once)",IF(COUNTIF('System map'!$A$4:$A$203,H20)=0,"AIR-ID not on System map",IF(COUNTIF($L$15:$L$64,I20)=0,"Supplier not listed in Table 2b","OK — verify source")))))</f>
        <v/>
      </c>
      <c r="L20" s="27" t="n"/>
      <c r="M20" s="27">
        <f>IF(L20="","",IFERROR(SUMPRODUCT(($I$15:$I$264=L20)*($H$15:$H$264&lt;&gt;"")/COUNTIFS($H$15:$H$264,$H$15:$H$264&amp;"",$I$15:$I$264,$I$15:$I$264&amp;"")),"Check extract"))</f>
        <v/>
      </c>
      <c r="N20" s="49">
        <f>IF(OR(L20="",NOT(ISNUMBER(M20)),NOT(ISNUMBER($D$8))),"",M20/$D$8)</f>
        <v/>
      </c>
      <c r="O20" s="27">
        <f>IF(L20="","",IF(COUNTIF($L$15:$L$64,L20)&gt;1,"Duplicate supplier name",IF(OR(NOT(ISNUMBER(N20)),NOT(ISNUMBER($D$5))),"",IF(AND(M20&gt;0,N20&gt;=$D$5),"Review: concentration",""))))</f>
        <v/>
      </c>
    </row>
    <row r="21">
      <c r="A21" s="25">
        <f>IF(Components!A10="","",Components!A10)</f>
        <v/>
      </c>
      <c r="B21" s="25">
        <f>IF(OR(A21="",Components!B10=""),"",Components!B10)</f>
        <v/>
      </c>
      <c r="C21" s="25">
        <f>IF(OR(A21="",Components!C10=""),"",Components!C10)</f>
        <v/>
      </c>
      <c r="D21" s="25">
        <f>IF(A21="","",COUNTIFS(Relationships!$B$4:$B$1003,"AIR",Relationships!$D$4:$D$1003,"references",Relationships!$F$4:$F$1003,A21,Relationships!$M$4:$M$1003,"Confirmed",Relationships!$N$4:$N$1003,"OK — verify source"))</f>
        <v/>
      </c>
      <c r="E21" s="48">
        <f>IF(OR(A21="",NOT(ISNUMBER($D$6))),"",D21/$D$6)</f>
        <v/>
      </c>
      <c r="F21" s="25">
        <f>IF(OR(NOT(ISNUMBER(E21)),NOT(ISNUMBER($D$5))),"",IF(AND(D21&gt;0,E21&gt;=$D$5),"Review: concentration",""))</f>
        <v/>
      </c>
      <c r="H21" s="25" t="n"/>
      <c r="I21" s="25" t="n"/>
      <c r="J21" s="25">
        <f>IF(COUNTA(H21:I21)=0,"",IF(OR(H21="",I21=""),"AIR-ID or supplier missing",IF(COUNTIFS($H$15:$H$264,H21,$I$15:$I$264,I21)&gt;1,"Duplicate row (counted once)",IF(COUNTIF('System map'!$A$4:$A$203,H21)=0,"AIR-ID not on System map",IF(COUNTIF($L$15:$L$64,I21)=0,"Supplier not listed in Table 2b","OK — verify source")))))</f>
        <v/>
      </c>
      <c r="L21" s="25" t="n"/>
      <c r="M21" s="25">
        <f>IF(L21="","",IFERROR(SUMPRODUCT(($I$15:$I$264=L21)*($H$15:$H$264&lt;&gt;"")/COUNTIFS($H$15:$H$264,$H$15:$H$264&amp;"",$I$15:$I$264,$I$15:$I$264&amp;"")),"Check extract"))</f>
        <v/>
      </c>
      <c r="N21" s="48">
        <f>IF(OR(L21="",NOT(ISNUMBER(M21)),NOT(ISNUMBER($D$8))),"",M21/$D$8)</f>
        <v/>
      </c>
      <c r="O21" s="25">
        <f>IF(L21="","",IF(COUNTIF($L$15:$L$64,L21)&gt;1,"Duplicate supplier name",IF(OR(NOT(ISNUMBER(N21)),NOT(ISNUMBER($D$5))),"",IF(AND(M21&gt;0,N21&gt;=$D$5),"Review: concentration",""))))</f>
        <v/>
      </c>
    </row>
    <row r="22">
      <c r="A22" s="27">
        <f>IF(Components!A11="","",Components!A11)</f>
        <v/>
      </c>
      <c r="B22" s="27">
        <f>IF(OR(A22="",Components!B11=""),"",Components!B11)</f>
        <v/>
      </c>
      <c r="C22" s="27">
        <f>IF(OR(A22="",Components!C11=""),"",Components!C11)</f>
        <v/>
      </c>
      <c r="D22" s="27">
        <f>IF(A22="","",COUNTIFS(Relationships!$B$4:$B$1003,"AIR",Relationships!$D$4:$D$1003,"references",Relationships!$F$4:$F$1003,A22,Relationships!$M$4:$M$1003,"Confirmed",Relationships!$N$4:$N$1003,"OK — verify source"))</f>
        <v/>
      </c>
      <c r="E22" s="49">
        <f>IF(OR(A22="",NOT(ISNUMBER($D$6))),"",D22/$D$6)</f>
        <v/>
      </c>
      <c r="F22" s="27">
        <f>IF(OR(NOT(ISNUMBER(E22)),NOT(ISNUMBER($D$5))),"",IF(AND(D22&gt;0,E22&gt;=$D$5),"Review: concentration",""))</f>
        <v/>
      </c>
      <c r="H22" s="27" t="n"/>
      <c r="I22" s="27" t="n"/>
      <c r="J22" s="27">
        <f>IF(COUNTA(H22:I22)=0,"",IF(OR(H22="",I22=""),"AIR-ID or supplier missing",IF(COUNTIFS($H$15:$H$264,H22,$I$15:$I$264,I22)&gt;1,"Duplicate row (counted once)",IF(COUNTIF('System map'!$A$4:$A$203,H22)=0,"AIR-ID not on System map",IF(COUNTIF($L$15:$L$64,I22)=0,"Supplier not listed in Table 2b","OK — verify source")))))</f>
        <v/>
      </c>
      <c r="L22" s="27" t="n"/>
      <c r="M22" s="27">
        <f>IF(L22="","",IFERROR(SUMPRODUCT(($I$15:$I$264=L22)*($H$15:$H$264&lt;&gt;"")/COUNTIFS($H$15:$H$264,$H$15:$H$264&amp;"",$I$15:$I$264,$I$15:$I$264&amp;"")),"Check extract"))</f>
        <v/>
      </c>
      <c r="N22" s="49">
        <f>IF(OR(L22="",NOT(ISNUMBER(M22)),NOT(ISNUMBER($D$8))),"",M22/$D$8)</f>
        <v/>
      </c>
      <c r="O22" s="27">
        <f>IF(L22="","",IF(COUNTIF($L$15:$L$64,L22)&gt;1,"Duplicate supplier name",IF(OR(NOT(ISNUMBER(N22)),NOT(ISNUMBER($D$5))),"",IF(AND(M22&gt;0,N22&gt;=$D$5),"Review: concentration",""))))</f>
        <v/>
      </c>
    </row>
    <row r="23">
      <c r="A23" s="25">
        <f>IF(Components!A12="","",Components!A12)</f>
        <v/>
      </c>
      <c r="B23" s="25">
        <f>IF(OR(A23="",Components!B12=""),"",Components!B12)</f>
        <v/>
      </c>
      <c r="C23" s="25">
        <f>IF(OR(A23="",Components!C12=""),"",Components!C12)</f>
        <v/>
      </c>
      <c r="D23" s="25">
        <f>IF(A23="","",COUNTIFS(Relationships!$B$4:$B$1003,"AIR",Relationships!$D$4:$D$1003,"references",Relationships!$F$4:$F$1003,A23,Relationships!$M$4:$M$1003,"Confirmed",Relationships!$N$4:$N$1003,"OK — verify source"))</f>
        <v/>
      </c>
      <c r="E23" s="48">
        <f>IF(OR(A23="",NOT(ISNUMBER($D$6))),"",D23/$D$6)</f>
        <v/>
      </c>
      <c r="F23" s="25">
        <f>IF(OR(NOT(ISNUMBER(E23)),NOT(ISNUMBER($D$5))),"",IF(AND(D23&gt;0,E23&gt;=$D$5),"Review: concentration",""))</f>
        <v/>
      </c>
      <c r="H23" s="25" t="n"/>
      <c r="I23" s="25" t="n"/>
      <c r="J23" s="25">
        <f>IF(COUNTA(H23:I23)=0,"",IF(OR(H23="",I23=""),"AIR-ID or supplier missing",IF(COUNTIFS($H$15:$H$264,H23,$I$15:$I$264,I23)&gt;1,"Duplicate row (counted once)",IF(COUNTIF('System map'!$A$4:$A$203,H23)=0,"AIR-ID not on System map",IF(COUNTIF($L$15:$L$64,I23)=0,"Supplier not listed in Table 2b","OK — verify source")))))</f>
        <v/>
      </c>
      <c r="L23" s="25" t="n"/>
      <c r="M23" s="25">
        <f>IF(L23="","",IFERROR(SUMPRODUCT(($I$15:$I$264=L23)*($H$15:$H$264&lt;&gt;"")/COUNTIFS($H$15:$H$264,$H$15:$H$264&amp;"",$I$15:$I$264,$I$15:$I$264&amp;"")),"Check extract"))</f>
        <v/>
      </c>
      <c r="N23" s="48">
        <f>IF(OR(L23="",NOT(ISNUMBER(M23)),NOT(ISNUMBER($D$8))),"",M23/$D$8)</f>
        <v/>
      </c>
      <c r="O23" s="25">
        <f>IF(L23="","",IF(COUNTIF($L$15:$L$64,L23)&gt;1,"Duplicate supplier name",IF(OR(NOT(ISNUMBER(N23)),NOT(ISNUMBER($D$5))),"",IF(AND(M23&gt;0,N23&gt;=$D$5),"Review: concentration",""))))</f>
        <v/>
      </c>
    </row>
    <row r="24">
      <c r="A24" s="27">
        <f>IF(Components!A13="","",Components!A13)</f>
        <v/>
      </c>
      <c r="B24" s="27">
        <f>IF(OR(A24="",Components!B13=""),"",Components!B13)</f>
        <v/>
      </c>
      <c r="C24" s="27">
        <f>IF(OR(A24="",Components!C13=""),"",Components!C13)</f>
        <v/>
      </c>
      <c r="D24" s="27">
        <f>IF(A24="","",COUNTIFS(Relationships!$B$4:$B$1003,"AIR",Relationships!$D$4:$D$1003,"references",Relationships!$F$4:$F$1003,A24,Relationships!$M$4:$M$1003,"Confirmed",Relationships!$N$4:$N$1003,"OK — verify source"))</f>
        <v/>
      </c>
      <c r="E24" s="49">
        <f>IF(OR(A24="",NOT(ISNUMBER($D$6))),"",D24/$D$6)</f>
        <v/>
      </c>
      <c r="F24" s="27">
        <f>IF(OR(NOT(ISNUMBER(E24)),NOT(ISNUMBER($D$5))),"",IF(AND(D24&gt;0,E24&gt;=$D$5),"Review: concentration",""))</f>
        <v/>
      </c>
      <c r="H24" s="27" t="n"/>
      <c r="I24" s="27" t="n"/>
      <c r="J24" s="27">
        <f>IF(COUNTA(H24:I24)=0,"",IF(OR(H24="",I24=""),"AIR-ID or supplier missing",IF(COUNTIFS($H$15:$H$264,H24,$I$15:$I$264,I24)&gt;1,"Duplicate row (counted once)",IF(COUNTIF('System map'!$A$4:$A$203,H24)=0,"AIR-ID not on System map",IF(COUNTIF($L$15:$L$64,I24)=0,"Supplier not listed in Table 2b","OK — verify source")))))</f>
        <v/>
      </c>
      <c r="L24" s="27" t="n"/>
      <c r="M24" s="27">
        <f>IF(L24="","",IFERROR(SUMPRODUCT(($I$15:$I$264=L24)*($H$15:$H$264&lt;&gt;"")/COUNTIFS($H$15:$H$264,$H$15:$H$264&amp;"",$I$15:$I$264,$I$15:$I$264&amp;"")),"Check extract"))</f>
        <v/>
      </c>
      <c r="N24" s="49">
        <f>IF(OR(L24="",NOT(ISNUMBER(M24)),NOT(ISNUMBER($D$8))),"",M24/$D$8)</f>
        <v/>
      </c>
      <c r="O24" s="27">
        <f>IF(L24="","",IF(COUNTIF($L$15:$L$64,L24)&gt;1,"Duplicate supplier name",IF(OR(NOT(ISNUMBER(N24)),NOT(ISNUMBER($D$5))),"",IF(AND(M24&gt;0,N24&gt;=$D$5),"Review: concentration",""))))</f>
        <v/>
      </c>
    </row>
    <row r="25">
      <c r="A25" s="25">
        <f>IF(Components!A14="","",Components!A14)</f>
        <v/>
      </c>
      <c r="B25" s="25">
        <f>IF(OR(A25="",Components!B14=""),"",Components!B14)</f>
        <v/>
      </c>
      <c r="C25" s="25">
        <f>IF(OR(A25="",Components!C14=""),"",Components!C14)</f>
        <v/>
      </c>
      <c r="D25" s="25">
        <f>IF(A25="","",COUNTIFS(Relationships!$B$4:$B$1003,"AIR",Relationships!$D$4:$D$1003,"references",Relationships!$F$4:$F$1003,A25,Relationships!$M$4:$M$1003,"Confirmed",Relationships!$N$4:$N$1003,"OK — verify source"))</f>
        <v/>
      </c>
      <c r="E25" s="48">
        <f>IF(OR(A25="",NOT(ISNUMBER($D$6))),"",D25/$D$6)</f>
        <v/>
      </c>
      <c r="F25" s="25">
        <f>IF(OR(NOT(ISNUMBER(E25)),NOT(ISNUMBER($D$5))),"",IF(AND(D25&gt;0,E25&gt;=$D$5),"Review: concentration",""))</f>
        <v/>
      </c>
      <c r="H25" s="25" t="n"/>
      <c r="I25" s="25" t="n"/>
      <c r="J25" s="25">
        <f>IF(COUNTA(H25:I25)=0,"",IF(OR(H25="",I25=""),"AIR-ID or supplier missing",IF(COUNTIFS($H$15:$H$264,H25,$I$15:$I$264,I25)&gt;1,"Duplicate row (counted once)",IF(COUNTIF('System map'!$A$4:$A$203,H25)=0,"AIR-ID not on System map",IF(COUNTIF($L$15:$L$64,I25)=0,"Supplier not listed in Table 2b","OK — verify source")))))</f>
        <v/>
      </c>
      <c r="L25" s="25" t="n"/>
      <c r="M25" s="25">
        <f>IF(L25="","",IFERROR(SUMPRODUCT(($I$15:$I$264=L25)*($H$15:$H$264&lt;&gt;"")/COUNTIFS($H$15:$H$264,$H$15:$H$264&amp;"",$I$15:$I$264,$I$15:$I$264&amp;"")),"Check extract"))</f>
        <v/>
      </c>
      <c r="N25" s="48">
        <f>IF(OR(L25="",NOT(ISNUMBER(M25)),NOT(ISNUMBER($D$8))),"",M25/$D$8)</f>
        <v/>
      </c>
      <c r="O25" s="25">
        <f>IF(L25="","",IF(COUNTIF($L$15:$L$64,L25)&gt;1,"Duplicate supplier name",IF(OR(NOT(ISNUMBER(N25)),NOT(ISNUMBER($D$5))),"",IF(AND(M25&gt;0,N25&gt;=$D$5),"Review: concentration",""))))</f>
        <v/>
      </c>
    </row>
    <row r="26">
      <c r="A26" s="27">
        <f>IF(Components!A15="","",Components!A15)</f>
        <v/>
      </c>
      <c r="B26" s="27">
        <f>IF(OR(A26="",Components!B15=""),"",Components!B15)</f>
        <v/>
      </c>
      <c r="C26" s="27">
        <f>IF(OR(A26="",Components!C15=""),"",Components!C15)</f>
        <v/>
      </c>
      <c r="D26" s="27">
        <f>IF(A26="","",COUNTIFS(Relationships!$B$4:$B$1003,"AIR",Relationships!$D$4:$D$1003,"references",Relationships!$F$4:$F$1003,A26,Relationships!$M$4:$M$1003,"Confirmed",Relationships!$N$4:$N$1003,"OK — verify source"))</f>
        <v/>
      </c>
      <c r="E26" s="49">
        <f>IF(OR(A26="",NOT(ISNUMBER($D$6))),"",D26/$D$6)</f>
        <v/>
      </c>
      <c r="F26" s="27">
        <f>IF(OR(NOT(ISNUMBER(E26)),NOT(ISNUMBER($D$5))),"",IF(AND(D26&gt;0,E26&gt;=$D$5),"Review: concentration",""))</f>
        <v/>
      </c>
      <c r="H26" s="27" t="n"/>
      <c r="I26" s="27" t="n"/>
      <c r="J26" s="27">
        <f>IF(COUNTA(H26:I26)=0,"",IF(OR(H26="",I26=""),"AIR-ID or supplier missing",IF(COUNTIFS($H$15:$H$264,H26,$I$15:$I$264,I26)&gt;1,"Duplicate row (counted once)",IF(COUNTIF('System map'!$A$4:$A$203,H26)=0,"AIR-ID not on System map",IF(COUNTIF($L$15:$L$64,I26)=0,"Supplier not listed in Table 2b","OK — verify source")))))</f>
        <v/>
      </c>
      <c r="L26" s="27" t="n"/>
      <c r="M26" s="27">
        <f>IF(L26="","",IFERROR(SUMPRODUCT(($I$15:$I$264=L26)*($H$15:$H$264&lt;&gt;"")/COUNTIFS($H$15:$H$264,$H$15:$H$264&amp;"",$I$15:$I$264,$I$15:$I$264&amp;"")),"Check extract"))</f>
        <v/>
      </c>
      <c r="N26" s="49">
        <f>IF(OR(L26="",NOT(ISNUMBER(M26)),NOT(ISNUMBER($D$8))),"",M26/$D$8)</f>
        <v/>
      </c>
      <c r="O26" s="27">
        <f>IF(L26="","",IF(COUNTIF($L$15:$L$64,L26)&gt;1,"Duplicate supplier name",IF(OR(NOT(ISNUMBER(N26)),NOT(ISNUMBER($D$5))),"",IF(AND(M26&gt;0,N26&gt;=$D$5),"Review: concentration",""))))</f>
        <v/>
      </c>
    </row>
    <row r="27">
      <c r="A27" s="25">
        <f>IF(Components!A16="","",Components!A16)</f>
        <v/>
      </c>
      <c r="B27" s="25">
        <f>IF(OR(A27="",Components!B16=""),"",Components!B16)</f>
        <v/>
      </c>
      <c r="C27" s="25">
        <f>IF(OR(A27="",Components!C16=""),"",Components!C16)</f>
        <v/>
      </c>
      <c r="D27" s="25">
        <f>IF(A27="","",COUNTIFS(Relationships!$B$4:$B$1003,"AIR",Relationships!$D$4:$D$1003,"references",Relationships!$F$4:$F$1003,A27,Relationships!$M$4:$M$1003,"Confirmed",Relationships!$N$4:$N$1003,"OK — verify source"))</f>
        <v/>
      </c>
      <c r="E27" s="48">
        <f>IF(OR(A27="",NOT(ISNUMBER($D$6))),"",D27/$D$6)</f>
        <v/>
      </c>
      <c r="F27" s="25">
        <f>IF(OR(NOT(ISNUMBER(E27)),NOT(ISNUMBER($D$5))),"",IF(AND(D27&gt;0,E27&gt;=$D$5),"Review: concentration",""))</f>
        <v/>
      </c>
      <c r="H27" s="25" t="n"/>
      <c r="I27" s="25" t="n"/>
      <c r="J27" s="25">
        <f>IF(COUNTA(H27:I27)=0,"",IF(OR(H27="",I27=""),"AIR-ID or supplier missing",IF(COUNTIFS($H$15:$H$264,H27,$I$15:$I$264,I27)&gt;1,"Duplicate row (counted once)",IF(COUNTIF('System map'!$A$4:$A$203,H27)=0,"AIR-ID not on System map",IF(COUNTIF($L$15:$L$64,I27)=0,"Supplier not listed in Table 2b","OK — verify source")))))</f>
        <v/>
      </c>
      <c r="L27" s="25" t="n"/>
      <c r="M27" s="25">
        <f>IF(L27="","",IFERROR(SUMPRODUCT(($I$15:$I$264=L27)*($H$15:$H$264&lt;&gt;"")/COUNTIFS($H$15:$H$264,$H$15:$H$264&amp;"",$I$15:$I$264,$I$15:$I$264&amp;"")),"Check extract"))</f>
        <v/>
      </c>
      <c r="N27" s="48">
        <f>IF(OR(L27="",NOT(ISNUMBER(M27)),NOT(ISNUMBER($D$8))),"",M27/$D$8)</f>
        <v/>
      </c>
      <c r="O27" s="25">
        <f>IF(L27="","",IF(COUNTIF($L$15:$L$64,L27)&gt;1,"Duplicate supplier name",IF(OR(NOT(ISNUMBER(N27)),NOT(ISNUMBER($D$5))),"",IF(AND(M27&gt;0,N27&gt;=$D$5),"Review: concentration",""))))</f>
        <v/>
      </c>
    </row>
    <row r="28">
      <c r="A28" s="27">
        <f>IF(Components!A17="","",Components!A17)</f>
        <v/>
      </c>
      <c r="B28" s="27">
        <f>IF(OR(A28="",Components!B17=""),"",Components!B17)</f>
        <v/>
      </c>
      <c r="C28" s="27">
        <f>IF(OR(A28="",Components!C17=""),"",Components!C17)</f>
        <v/>
      </c>
      <c r="D28" s="27">
        <f>IF(A28="","",COUNTIFS(Relationships!$B$4:$B$1003,"AIR",Relationships!$D$4:$D$1003,"references",Relationships!$F$4:$F$1003,A28,Relationships!$M$4:$M$1003,"Confirmed",Relationships!$N$4:$N$1003,"OK — verify source"))</f>
        <v/>
      </c>
      <c r="E28" s="49">
        <f>IF(OR(A28="",NOT(ISNUMBER($D$6))),"",D28/$D$6)</f>
        <v/>
      </c>
      <c r="F28" s="27">
        <f>IF(OR(NOT(ISNUMBER(E28)),NOT(ISNUMBER($D$5))),"",IF(AND(D28&gt;0,E28&gt;=$D$5),"Review: concentration",""))</f>
        <v/>
      </c>
      <c r="H28" s="27" t="n"/>
      <c r="I28" s="27" t="n"/>
      <c r="J28" s="27">
        <f>IF(COUNTA(H28:I28)=0,"",IF(OR(H28="",I28=""),"AIR-ID or supplier missing",IF(COUNTIFS($H$15:$H$264,H28,$I$15:$I$264,I28)&gt;1,"Duplicate row (counted once)",IF(COUNTIF('System map'!$A$4:$A$203,H28)=0,"AIR-ID not on System map",IF(COUNTIF($L$15:$L$64,I28)=0,"Supplier not listed in Table 2b","OK — verify source")))))</f>
        <v/>
      </c>
      <c r="L28" s="27" t="n"/>
      <c r="M28" s="27">
        <f>IF(L28="","",IFERROR(SUMPRODUCT(($I$15:$I$264=L28)*($H$15:$H$264&lt;&gt;"")/COUNTIFS($H$15:$H$264,$H$15:$H$264&amp;"",$I$15:$I$264,$I$15:$I$264&amp;"")),"Check extract"))</f>
        <v/>
      </c>
      <c r="N28" s="49">
        <f>IF(OR(L28="",NOT(ISNUMBER(M28)),NOT(ISNUMBER($D$8))),"",M28/$D$8)</f>
        <v/>
      </c>
      <c r="O28" s="27">
        <f>IF(L28="","",IF(COUNTIF($L$15:$L$64,L28)&gt;1,"Duplicate supplier name",IF(OR(NOT(ISNUMBER(N28)),NOT(ISNUMBER($D$5))),"",IF(AND(M28&gt;0,N28&gt;=$D$5),"Review: concentration",""))))</f>
        <v/>
      </c>
    </row>
    <row r="29">
      <c r="A29" s="25">
        <f>IF(Components!A18="","",Components!A18)</f>
        <v/>
      </c>
      <c r="B29" s="25">
        <f>IF(OR(A29="",Components!B18=""),"",Components!B18)</f>
        <v/>
      </c>
      <c r="C29" s="25">
        <f>IF(OR(A29="",Components!C18=""),"",Components!C18)</f>
        <v/>
      </c>
      <c r="D29" s="25">
        <f>IF(A29="","",COUNTIFS(Relationships!$B$4:$B$1003,"AIR",Relationships!$D$4:$D$1003,"references",Relationships!$F$4:$F$1003,A29,Relationships!$M$4:$M$1003,"Confirmed",Relationships!$N$4:$N$1003,"OK — verify source"))</f>
        <v/>
      </c>
      <c r="E29" s="48">
        <f>IF(OR(A29="",NOT(ISNUMBER($D$6))),"",D29/$D$6)</f>
        <v/>
      </c>
      <c r="F29" s="25">
        <f>IF(OR(NOT(ISNUMBER(E29)),NOT(ISNUMBER($D$5))),"",IF(AND(D29&gt;0,E29&gt;=$D$5),"Review: concentration",""))</f>
        <v/>
      </c>
      <c r="H29" s="25" t="n"/>
      <c r="I29" s="25" t="n"/>
      <c r="J29" s="25">
        <f>IF(COUNTA(H29:I29)=0,"",IF(OR(H29="",I29=""),"AIR-ID or supplier missing",IF(COUNTIFS($H$15:$H$264,H29,$I$15:$I$264,I29)&gt;1,"Duplicate row (counted once)",IF(COUNTIF('System map'!$A$4:$A$203,H29)=0,"AIR-ID not on System map",IF(COUNTIF($L$15:$L$64,I29)=0,"Supplier not listed in Table 2b","OK — verify source")))))</f>
        <v/>
      </c>
      <c r="L29" s="25" t="n"/>
      <c r="M29" s="25">
        <f>IF(L29="","",IFERROR(SUMPRODUCT(($I$15:$I$264=L29)*($H$15:$H$264&lt;&gt;"")/COUNTIFS($H$15:$H$264,$H$15:$H$264&amp;"",$I$15:$I$264,$I$15:$I$264&amp;"")),"Check extract"))</f>
        <v/>
      </c>
      <c r="N29" s="48">
        <f>IF(OR(L29="",NOT(ISNUMBER(M29)),NOT(ISNUMBER($D$8))),"",M29/$D$8)</f>
        <v/>
      </c>
      <c r="O29" s="25">
        <f>IF(L29="","",IF(COUNTIF($L$15:$L$64,L29)&gt;1,"Duplicate supplier name",IF(OR(NOT(ISNUMBER(N29)),NOT(ISNUMBER($D$5))),"",IF(AND(M29&gt;0,N29&gt;=$D$5),"Review: concentration",""))))</f>
        <v/>
      </c>
    </row>
    <row r="30">
      <c r="A30" s="27">
        <f>IF(Components!A19="","",Components!A19)</f>
        <v/>
      </c>
      <c r="B30" s="27">
        <f>IF(OR(A30="",Components!B19=""),"",Components!B19)</f>
        <v/>
      </c>
      <c r="C30" s="27">
        <f>IF(OR(A30="",Components!C19=""),"",Components!C19)</f>
        <v/>
      </c>
      <c r="D30" s="27">
        <f>IF(A30="","",COUNTIFS(Relationships!$B$4:$B$1003,"AIR",Relationships!$D$4:$D$1003,"references",Relationships!$F$4:$F$1003,A30,Relationships!$M$4:$M$1003,"Confirmed",Relationships!$N$4:$N$1003,"OK — verify source"))</f>
        <v/>
      </c>
      <c r="E30" s="49">
        <f>IF(OR(A30="",NOT(ISNUMBER($D$6))),"",D30/$D$6)</f>
        <v/>
      </c>
      <c r="F30" s="27">
        <f>IF(OR(NOT(ISNUMBER(E30)),NOT(ISNUMBER($D$5))),"",IF(AND(D30&gt;0,E30&gt;=$D$5),"Review: concentration",""))</f>
        <v/>
      </c>
      <c r="H30" s="27" t="n"/>
      <c r="I30" s="27" t="n"/>
      <c r="J30" s="27">
        <f>IF(COUNTA(H30:I30)=0,"",IF(OR(H30="",I30=""),"AIR-ID or supplier missing",IF(COUNTIFS($H$15:$H$264,H30,$I$15:$I$264,I30)&gt;1,"Duplicate row (counted once)",IF(COUNTIF('System map'!$A$4:$A$203,H30)=0,"AIR-ID not on System map",IF(COUNTIF($L$15:$L$64,I30)=0,"Supplier not listed in Table 2b","OK — verify source")))))</f>
        <v/>
      </c>
      <c r="L30" s="27" t="n"/>
      <c r="M30" s="27">
        <f>IF(L30="","",IFERROR(SUMPRODUCT(($I$15:$I$264=L30)*($H$15:$H$264&lt;&gt;"")/COUNTIFS($H$15:$H$264,$H$15:$H$264&amp;"",$I$15:$I$264,$I$15:$I$264&amp;"")),"Check extract"))</f>
        <v/>
      </c>
      <c r="N30" s="49">
        <f>IF(OR(L30="",NOT(ISNUMBER(M30)),NOT(ISNUMBER($D$8))),"",M30/$D$8)</f>
        <v/>
      </c>
      <c r="O30" s="27">
        <f>IF(L30="","",IF(COUNTIF($L$15:$L$64,L30)&gt;1,"Duplicate supplier name",IF(OR(NOT(ISNUMBER(N30)),NOT(ISNUMBER($D$5))),"",IF(AND(M30&gt;0,N30&gt;=$D$5),"Review: concentration",""))))</f>
        <v/>
      </c>
    </row>
    <row r="31">
      <c r="A31" s="25">
        <f>IF(Components!A20="","",Components!A20)</f>
        <v/>
      </c>
      <c r="B31" s="25">
        <f>IF(OR(A31="",Components!B20=""),"",Components!B20)</f>
        <v/>
      </c>
      <c r="C31" s="25">
        <f>IF(OR(A31="",Components!C20=""),"",Components!C20)</f>
        <v/>
      </c>
      <c r="D31" s="25">
        <f>IF(A31="","",COUNTIFS(Relationships!$B$4:$B$1003,"AIR",Relationships!$D$4:$D$1003,"references",Relationships!$F$4:$F$1003,A31,Relationships!$M$4:$M$1003,"Confirmed",Relationships!$N$4:$N$1003,"OK — verify source"))</f>
        <v/>
      </c>
      <c r="E31" s="48">
        <f>IF(OR(A31="",NOT(ISNUMBER($D$6))),"",D31/$D$6)</f>
        <v/>
      </c>
      <c r="F31" s="25">
        <f>IF(OR(NOT(ISNUMBER(E31)),NOT(ISNUMBER($D$5))),"",IF(AND(D31&gt;0,E31&gt;=$D$5),"Review: concentration",""))</f>
        <v/>
      </c>
      <c r="H31" s="25" t="n"/>
      <c r="I31" s="25" t="n"/>
      <c r="J31" s="25">
        <f>IF(COUNTA(H31:I31)=0,"",IF(OR(H31="",I31=""),"AIR-ID or supplier missing",IF(COUNTIFS($H$15:$H$264,H31,$I$15:$I$264,I31)&gt;1,"Duplicate row (counted once)",IF(COUNTIF('System map'!$A$4:$A$203,H31)=0,"AIR-ID not on System map",IF(COUNTIF($L$15:$L$64,I31)=0,"Supplier not listed in Table 2b","OK — verify source")))))</f>
        <v/>
      </c>
      <c r="L31" s="25" t="n"/>
      <c r="M31" s="25">
        <f>IF(L31="","",IFERROR(SUMPRODUCT(($I$15:$I$264=L31)*($H$15:$H$264&lt;&gt;"")/COUNTIFS($H$15:$H$264,$H$15:$H$264&amp;"",$I$15:$I$264,$I$15:$I$264&amp;"")),"Check extract"))</f>
        <v/>
      </c>
      <c r="N31" s="48">
        <f>IF(OR(L31="",NOT(ISNUMBER(M31)),NOT(ISNUMBER($D$8))),"",M31/$D$8)</f>
        <v/>
      </c>
      <c r="O31" s="25">
        <f>IF(L31="","",IF(COUNTIF($L$15:$L$64,L31)&gt;1,"Duplicate supplier name",IF(OR(NOT(ISNUMBER(N31)),NOT(ISNUMBER($D$5))),"",IF(AND(M31&gt;0,N31&gt;=$D$5),"Review: concentration",""))))</f>
        <v/>
      </c>
    </row>
    <row r="32">
      <c r="A32" s="27">
        <f>IF(Components!A21="","",Components!A21)</f>
        <v/>
      </c>
      <c r="B32" s="27">
        <f>IF(OR(A32="",Components!B21=""),"",Components!B21)</f>
        <v/>
      </c>
      <c r="C32" s="27">
        <f>IF(OR(A32="",Components!C21=""),"",Components!C21)</f>
        <v/>
      </c>
      <c r="D32" s="27">
        <f>IF(A32="","",COUNTIFS(Relationships!$B$4:$B$1003,"AIR",Relationships!$D$4:$D$1003,"references",Relationships!$F$4:$F$1003,A32,Relationships!$M$4:$M$1003,"Confirmed",Relationships!$N$4:$N$1003,"OK — verify source"))</f>
        <v/>
      </c>
      <c r="E32" s="49">
        <f>IF(OR(A32="",NOT(ISNUMBER($D$6))),"",D32/$D$6)</f>
        <v/>
      </c>
      <c r="F32" s="27">
        <f>IF(OR(NOT(ISNUMBER(E32)),NOT(ISNUMBER($D$5))),"",IF(AND(D32&gt;0,E32&gt;=$D$5),"Review: concentration",""))</f>
        <v/>
      </c>
      <c r="H32" s="27" t="n"/>
      <c r="I32" s="27" t="n"/>
      <c r="J32" s="27">
        <f>IF(COUNTA(H32:I32)=0,"",IF(OR(H32="",I32=""),"AIR-ID or supplier missing",IF(COUNTIFS($H$15:$H$264,H32,$I$15:$I$264,I32)&gt;1,"Duplicate row (counted once)",IF(COUNTIF('System map'!$A$4:$A$203,H32)=0,"AIR-ID not on System map",IF(COUNTIF($L$15:$L$64,I32)=0,"Supplier not listed in Table 2b","OK — verify source")))))</f>
        <v/>
      </c>
      <c r="L32" s="27" t="n"/>
      <c r="M32" s="27">
        <f>IF(L32="","",IFERROR(SUMPRODUCT(($I$15:$I$264=L32)*($H$15:$H$264&lt;&gt;"")/COUNTIFS($H$15:$H$264,$H$15:$H$264&amp;"",$I$15:$I$264,$I$15:$I$264&amp;"")),"Check extract"))</f>
        <v/>
      </c>
      <c r="N32" s="49">
        <f>IF(OR(L32="",NOT(ISNUMBER(M32)),NOT(ISNUMBER($D$8))),"",M32/$D$8)</f>
        <v/>
      </c>
      <c r="O32" s="27">
        <f>IF(L32="","",IF(COUNTIF($L$15:$L$64,L32)&gt;1,"Duplicate supplier name",IF(OR(NOT(ISNUMBER(N32)),NOT(ISNUMBER($D$5))),"",IF(AND(M32&gt;0,N32&gt;=$D$5),"Review: concentration",""))))</f>
        <v/>
      </c>
    </row>
    <row r="33">
      <c r="A33" s="25">
        <f>IF(Components!A22="","",Components!A22)</f>
        <v/>
      </c>
      <c r="B33" s="25">
        <f>IF(OR(A33="",Components!B22=""),"",Components!B22)</f>
        <v/>
      </c>
      <c r="C33" s="25">
        <f>IF(OR(A33="",Components!C22=""),"",Components!C22)</f>
        <v/>
      </c>
      <c r="D33" s="25">
        <f>IF(A33="","",COUNTIFS(Relationships!$B$4:$B$1003,"AIR",Relationships!$D$4:$D$1003,"references",Relationships!$F$4:$F$1003,A33,Relationships!$M$4:$M$1003,"Confirmed",Relationships!$N$4:$N$1003,"OK — verify source"))</f>
        <v/>
      </c>
      <c r="E33" s="48">
        <f>IF(OR(A33="",NOT(ISNUMBER($D$6))),"",D33/$D$6)</f>
        <v/>
      </c>
      <c r="F33" s="25">
        <f>IF(OR(NOT(ISNUMBER(E33)),NOT(ISNUMBER($D$5))),"",IF(AND(D33&gt;0,E33&gt;=$D$5),"Review: concentration",""))</f>
        <v/>
      </c>
      <c r="H33" s="25" t="n"/>
      <c r="I33" s="25" t="n"/>
      <c r="J33" s="25">
        <f>IF(COUNTA(H33:I33)=0,"",IF(OR(H33="",I33=""),"AIR-ID or supplier missing",IF(COUNTIFS($H$15:$H$264,H33,$I$15:$I$264,I33)&gt;1,"Duplicate row (counted once)",IF(COUNTIF('System map'!$A$4:$A$203,H33)=0,"AIR-ID not on System map",IF(COUNTIF($L$15:$L$64,I33)=0,"Supplier not listed in Table 2b","OK — verify source")))))</f>
        <v/>
      </c>
      <c r="L33" s="25" t="n"/>
      <c r="M33" s="25">
        <f>IF(L33="","",IFERROR(SUMPRODUCT(($I$15:$I$264=L33)*($H$15:$H$264&lt;&gt;"")/COUNTIFS($H$15:$H$264,$H$15:$H$264&amp;"",$I$15:$I$264,$I$15:$I$264&amp;"")),"Check extract"))</f>
        <v/>
      </c>
      <c r="N33" s="48">
        <f>IF(OR(L33="",NOT(ISNUMBER(M33)),NOT(ISNUMBER($D$8))),"",M33/$D$8)</f>
        <v/>
      </c>
      <c r="O33" s="25">
        <f>IF(L33="","",IF(COUNTIF($L$15:$L$64,L33)&gt;1,"Duplicate supplier name",IF(OR(NOT(ISNUMBER(N33)),NOT(ISNUMBER($D$5))),"",IF(AND(M33&gt;0,N33&gt;=$D$5),"Review: concentration",""))))</f>
        <v/>
      </c>
    </row>
    <row r="34">
      <c r="A34" s="27">
        <f>IF(Components!A23="","",Components!A23)</f>
        <v/>
      </c>
      <c r="B34" s="27">
        <f>IF(OR(A34="",Components!B23=""),"",Components!B23)</f>
        <v/>
      </c>
      <c r="C34" s="27">
        <f>IF(OR(A34="",Components!C23=""),"",Components!C23)</f>
        <v/>
      </c>
      <c r="D34" s="27">
        <f>IF(A34="","",COUNTIFS(Relationships!$B$4:$B$1003,"AIR",Relationships!$D$4:$D$1003,"references",Relationships!$F$4:$F$1003,A34,Relationships!$M$4:$M$1003,"Confirmed",Relationships!$N$4:$N$1003,"OK — verify source"))</f>
        <v/>
      </c>
      <c r="E34" s="49">
        <f>IF(OR(A34="",NOT(ISNUMBER($D$6))),"",D34/$D$6)</f>
        <v/>
      </c>
      <c r="F34" s="27">
        <f>IF(OR(NOT(ISNUMBER(E34)),NOT(ISNUMBER($D$5))),"",IF(AND(D34&gt;0,E34&gt;=$D$5),"Review: concentration",""))</f>
        <v/>
      </c>
      <c r="H34" s="27" t="n"/>
      <c r="I34" s="27" t="n"/>
      <c r="J34" s="27">
        <f>IF(COUNTA(H34:I34)=0,"",IF(OR(H34="",I34=""),"AIR-ID or supplier missing",IF(COUNTIFS($H$15:$H$264,H34,$I$15:$I$264,I34)&gt;1,"Duplicate row (counted once)",IF(COUNTIF('System map'!$A$4:$A$203,H34)=0,"AIR-ID not on System map",IF(COUNTIF($L$15:$L$64,I34)=0,"Supplier not listed in Table 2b","OK — verify source")))))</f>
        <v/>
      </c>
      <c r="L34" s="27" t="n"/>
      <c r="M34" s="27">
        <f>IF(L34="","",IFERROR(SUMPRODUCT(($I$15:$I$264=L34)*($H$15:$H$264&lt;&gt;"")/COUNTIFS($H$15:$H$264,$H$15:$H$264&amp;"",$I$15:$I$264,$I$15:$I$264&amp;"")),"Check extract"))</f>
        <v/>
      </c>
      <c r="N34" s="49">
        <f>IF(OR(L34="",NOT(ISNUMBER(M34)),NOT(ISNUMBER($D$8))),"",M34/$D$8)</f>
        <v/>
      </c>
      <c r="O34" s="27">
        <f>IF(L34="","",IF(COUNTIF($L$15:$L$64,L34)&gt;1,"Duplicate supplier name",IF(OR(NOT(ISNUMBER(N34)),NOT(ISNUMBER($D$5))),"",IF(AND(M34&gt;0,N34&gt;=$D$5),"Review: concentration",""))))</f>
        <v/>
      </c>
    </row>
    <row r="35">
      <c r="A35" s="25">
        <f>IF(Components!A24="","",Components!A24)</f>
        <v/>
      </c>
      <c r="B35" s="25">
        <f>IF(OR(A35="",Components!B24=""),"",Components!B24)</f>
        <v/>
      </c>
      <c r="C35" s="25">
        <f>IF(OR(A35="",Components!C24=""),"",Components!C24)</f>
        <v/>
      </c>
      <c r="D35" s="25">
        <f>IF(A35="","",COUNTIFS(Relationships!$B$4:$B$1003,"AIR",Relationships!$D$4:$D$1003,"references",Relationships!$F$4:$F$1003,A35,Relationships!$M$4:$M$1003,"Confirmed",Relationships!$N$4:$N$1003,"OK — verify source"))</f>
        <v/>
      </c>
      <c r="E35" s="48">
        <f>IF(OR(A35="",NOT(ISNUMBER($D$6))),"",D35/$D$6)</f>
        <v/>
      </c>
      <c r="F35" s="25">
        <f>IF(OR(NOT(ISNUMBER(E35)),NOT(ISNUMBER($D$5))),"",IF(AND(D35&gt;0,E35&gt;=$D$5),"Review: concentration",""))</f>
        <v/>
      </c>
      <c r="H35" s="25" t="n"/>
      <c r="I35" s="25" t="n"/>
      <c r="J35" s="25">
        <f>IF(COUNTA(H35:I35)=0,"",IF(OR(H35="",I35=""),"AIR-ID or supplier missing",IF(COUNTIFS($H$15:$H$264,H35,$I$15:$I$264,I35)&gt;1,"Duplicate row (counted once)",IF(COUNTIF('System map'!$A$4:$A$203,H35)=0,"AIR-ID not on System map",IF(COUNTIF($L$15:$L$64,I35)=0,"Supplier not listed in Table 2b","OK — verify source")))))</f>
        <v/>
      </c>
      <c r="L35" s="25" t="n"/>
      <c r="M35" s="25">
        <f>IF(L35="","",IFERROR(SUMPRODUCT(($I$15:$I$264=L35)*($H$15:$H$264&lt;&gt;"")/COUNTIFS($H$15:$H$264,$H$15:$H$264&amp;"",$I$15:$I$264,$I$15:$I$264&amp;"")),"Check extract"))</f>
        <v/>
      </c>
      <c r="N35" s="48">
        <f>IF(OR(L35="",NOT(ISNUMBER(M35)),NOT(ISNUMBER($D$8))),"",M35/$D$8)</f>
        <v/>
      </c>
      <c r="O35" s="25">
        <f>IF(L35="","",IF(COUNTIF($L$15:$L$64,L35)&gt;1,"Duplicate supplier name",IF(OR(NOT(ISNUMBER(N35)),NOT(ISNUMBER($D$5))),"",IF(AND(M35&gt;0,N35&gt;=$D$5),"Review: concentration",""))))</f>
        <v/>
      </c>
    </row>
    <row r="36">
      <c r="A36" s="27">
        <f>IF(Components!A25="","",Components!A25)</f>
        <v/>
      </c>
      <c r="B36" s="27">
        <f>IF(OR(A36="",Components!B25=""),"",Components!B25)</f>
        <v/>
      </c>
      <c r="C36" s="27">
        <f>IF(OR(A36="",Components!C25=""),"",Components!C25)</f>
        <v/>
      </c>
      <c r="D36" s="27">
        <f>IF(A36="","",COUNTIFS(Relationships!$B$4:$B$1003,"AIR",Relationships!$D$4:$D$1003,"references",Relationships!$F$4:$F$1003,A36,Relationships!$M$4:$M$1003,"Confirmed",Relationships!$N$4:$N$1003,"OK — verify source"))</f>
        <v/>
      </c>
      <c r="E36" s="49">
        <f>IF(OR(A36="",NOT(ISNUMBER($D$6))),"",D36/$D$6)</f>
        <v/>
      </c>
      <c r="F36" s="27">
        <f>IF(OR(NOT(ISNUMBER(E36)),NOT(ISNUMBER($D$5))),"",IF(AND(D36&gt;0,E36&gt;=$D$5),"Review: concentration",""))</f>
        <v/>
      </c>
      <c r="H36" s="27" t="n"/>
      <c r="I36" s="27" t="n"/>
      <c r="J36" s="27">
        <f>IF(COUNTA(H36:I36)=0,"",IF(OR(H36="",I36=""),"AIR-ID or supplier missing",IF(COUNTIFS($H$15:$H$264,H36,$I$15:$I$264,I36)&gt;1,"Duplicate row (counted once)",IF(COUNTIF('System map'!$A$4:$A$203,H36)=0,"AIR-ID not on System map",IF(COUNTIF($L$15:$L$64,I36)=0,"Supplier not listed in Table 2b","OK — verify source")))))</f>
        <v/>
      </c>
      <c r="L36" s="27" t="n"/>
      <c r="M36" s="27">
        <f>IF(L36="","",IFERROR(SUMPRODUCT(($I$15:$I$264=L36)*($H$15:$H$264&lt;&gt;"")/COUNTIFS($H$15:$H$264,$H$15:$H$264&amp;"",$I$15:$I$264,$I$15:$I$264&amp;"")),"Check extract"))</f>
        <v/>
      </c>
      <c r="N36" s="49">
        <f>IF(OR(L36="",NOT(ISNUMBER(M36)),NOT(ISNUMBER($D$8))),"",M36/$D$8)</f>
        <v/>
      </c>
      <c r="O36" s="27">
        <f>IF(L36="","",IF(COUNTIF($L$15:$L$64,L36)&gt;1,"Duplicate supplier name",IF(OR(NOT(ISNUMBER(N36)),NOT(ISNUMBER($D$5))),"",IF(AND(M36&gt;0,N36&gt;=$D$5),"Review: concentration",""))))</f>
        <v/>
      </c>
    </row>
    <row r="37">
      <c r="A37" s="25">
        <f>IF(Components!A26="","",Components!A26)</f>
        <v/>
      </c>
      <c r="B37" s="25">
        <f>IF(OR(A37="",Components!B26=""),"",Components!B26)</f>
        <v/>
      </c>
      <c r="C37" s="25">
        <f>IF(OR(A37="",Components!C26=""),"",Components!C26)</f>
        <v/>
      </c>
      <c r="D37" s="25">
        <f>IF(A37="","",COUNTIFS(Relationships!$B$4:$B$1003,"AIR",Relationships!$D$4:$D$1003,"references",Relationships!$F$4:$F$1003,A37,Relationships!$M$4:$M$1003,"Confirmed",Relationships!$N$4:$N$1003,"OK — verify source"))</f>
        <v/>
      </c>
      <c r="E37" s="48">
        <f>IF(OR(A37="",NOT(ISNUMBER($D$6))),"",D37/$D$6)</f>
        <v/>
      </c>
      <c r="F37" s="25">
        <f>IF(OR(NOT(ISNUMBER(E37)),NOT(ISNUMBER($D$5))),"",IF(AND(D37&gt;0,E37&gt;=$D$5),"Review: concentration",""))</f>
        <v/>
      </c>
      <c r="H37" s="25" t="n"/>
      <c r="I37" s="25" t="n"/>
      <c r="J37" s="25">
        <f>IF(COUNTA(H37:I37)=0,"",IF(OR(H37="",I37=""),"AIR-ID or supplier missing",IF(COUNTIFS($H$15:$H$264,H37,$I$15:$I$264,I37)&gt;1,"Duplicate row (counted once)",IF(COUNTIF('System map'!$A$4:$A$203,H37)=0,"AIR-ID not on System map",IF(COUNTIF($L$15:$L$64,I37)=0,"Supplier not listed in Table 2b","OK — verify source")))))</f>
        <v/>
      </c>
      <c r="L37" s="25" t="n"/>
      <c r="M37" s="25">
        <f>IF(L37="","",IFERROR(SUMPRODUCT(($I$15:$I$264=L37)*($H$15:$H$264&lt;&gt;"")/COUNTIFS($H$15:$H$264,$H$15:$H$264&amp;"",$I$15:$I$264,$I$15:$I$264&amp;"")),"Check extract"))</f>
        <v/>
      </c>
      <c r="N37" s="48">
        <f>IF(OR(L37="",NOT(ISNUMBER(M37)),NOT(ISNUMBER($D$8))),"",M37/$D$8)</f>
        <v/>
      </c>
      <c r="O37" s="25">
        <f>IF(L37="","",IF(COUNTIF($L$15:$L$64,L37)&gt;1,"Duplicate supplier name",IF(OR(NOT(ISNUMBER(N37)),NOT(ISNUMBER($D$5))),"",IF(AND(M37&gt;0,N37&gt;=$D$5),"Review: concentration",""))))</f>
        <v/>
      </c>
    </row>
    <row r="38">
      <c r="A38" s="27">
        <f>IF(Components!A27="","",Components!A27)</f>
        <v/>
      </c>
      <c r="B38" s="27">
        <f>IF(OR(A38="",Components!B27=""),"",Components!B27)</f>
        <v/>
      </c>
      <c r="C38" s="27">
        <f>IF(OR(A38="",Components!C27=""),"",Components!C27)</f>
        <v/>
      </c>
      <c r="D38" s="27">
        <f>IF(A38="","",COUNTIFS(Relationships!$B$4:$B$1003,"AIR",Relationships!$D$4:$D$1003,"references",Relationships!$F$4:$F$1003,A38,Relationships!$M$4:$M$1003,"Confirmed",Relationships!$N$4:$N$1003,"OK — verify source"))</f>
        <v/>
      </c>
      <c r="E38" s="49">
        <f>IF(OR(A38="",NOT(ISNUMBER($D$6))),"",D38/$D$6)</f>
        <v/>
      </c>
      <c r="F38" s="27">
        <f>IF(OR(NOT(ISNUMBER(E38)),NOT(ISNUMBER($D$5))),"",IF(AND(D38&gt;0,E38&gt;=$D$5),"Review: concentration",""))</f>
        <v/>
      </c>
      <c r="H38" s="27" t="n"/>
      <c r="I38" s="27" t="n"/>
      <c r="J38" s="27">
        <f>IF(COUNTA(H38:I38)=0,"",IF(OR(H38="",I38=""),"AIR-ID or supplier missing",IF(COUNTIFS($H$15:$H$264,H38,$I$15:$I$264,I38)&gt;1,"Duplicate row (counted once)",IF(COUNTIF('System map'!$A$4:$A$203,H38)=0,"AIR-ID not on System map",IF(COUNTIF($L$15:$L$64,I38)=0,"Supplier not listed in Table 2b","OK — verify source")))))</f>
        <v/>
      </c>
      <c r="L38" s="27" t="n"/>
      <c r="M38" s="27">
        <f>IF(L38="","",IFERROR(SUMPRODUCT(($I$15:$I$264=L38)*($H$15:$H$264&lt;&gt;"")/COUNTIFS($H$15:$H$264,$H$15:$H$264&amp;"",$I$15:$I$264,$I$15:$I$264&amp;"")),"Check extract"))</f>
        <v/>
      </c>
      <c r="N38" s="49">
        <f>IF(OR(L38="",NOT(ISNUMBER(M38)),NOT(ISNUMBER($D$8))),"",M38/$D$8)</f>
        <v/>
      </c>
      <c r="O38" s="27">
        <f>IF(L38="","",IF(COUNTIF($L$15:$L$64,L38)&gt;1,"Duplicate supplier name",IF(OR(NOT(ISNUMBER(N38)),NOT(ISNUMBER($D$5))),"",IF(AND(M38&gt;0,N38&gt;=$D$5),"Review: concentration",""))))</f>
        <v/>
      </c>
    </row>
    <row r="39">
      <c r="A39" s="25">
        <f>IF(Components!A28="","",Components!A28)</f>
        <v/>
      </c>
      <c r="B39" s="25">
        <f>IF(OR(A39="",Components!B28=""),"",Components!B28)</f>
        <v/>
      </c>
      <c r="C39" s="25">
        <f>IF(OR(A39="",Components!C28=""),"",Components!C28)</f>
        <v/>
      </c>
      <c r="D39" s="25">
        <f>IF(A39="","",COUNTIFS(Relationships!$B$4:$B$1003,"AIR",Relationships!$D$4:$D$1003,"references",Relationships!$F$4:$F$1003,A39,Relationships!$M$4:$M$1003,"Confirmed",Relationships!$N$4:$N$1003,"OK — verify source"))</f>
        <v/>
      </c>
      <c r="E39" s="48">
        <f>IF(OR(A39="",NOT(ISNUMBER($D$6))),"",D39/$D$6)</f>
        <v/>
      </c>
      <c r="F39" s="25">
        <f>IF(OR(NOT(ISNUMBER(E39)),NOT(ISNUMBER($D$5))),"",IF(AND(D39&gt;0,E39&gt;=$D$5),"Review: concentration",""))</f>
        <v/>
      </c>
      <c r="H39" s="25" t="n"/>
      <c r="I39" s="25" t="n"/>
      <c r="J39" s="25">
        <f>IF(COUNTA(H39:I39)=0,"",IF(OR(H39="",I39=""),"AIR-ID or supplier missing",IF(COUNTIFS($H$15:$H$264,H39,$I$15:$I$264,I39)&gt;1,"Duplicate row (counted once)",IF(COUNTIF('System map'!$A$4:$A$203,H39)=0,"AIR-ID not on System map",IF(COUNTIF($L$15:$L$64,I39)=0,"Supplier not listed in Table 2b","OK — verify source")))))</f>
        <v/>
      </c>
      <c r="L39" s="25" t="n"/>
      <c r="M39" s="25">
        <f>IF(L39="","",IFERROR(SUMPRODUCT(($I$15:$I$264=L39)*($H$15:$H$264&lt;&gt;"")/COUNTIFS($H$15:$H$264,$H$15:$H$264&amp;"",$I$15:$I$264,$I$15:$I$264&amp;"")),"Check extract"))</f>
        <v/>
      </c>
      <c r="N39" s="48">
        <f>IF(OR(L39="",NOT(ISNUMBER(M39)),NOT(ISNUMBER($D$8))),"",M39/$D$8)</f>
        <v/>
      </c>
      <c r="O39" s="25">
        <f>IF(L39="","",IF(COUNTIF($L$15:$L$64,L39)&gt;1,"Duplicate supplier name",IF(OR(NOT(ISNUMBER(N39)),NOT(ISNUMBER($D$5))),"",IF(AND(M39&gt;0,N39&gt;=$D$5),"Review: concentration",""))))</f>
        <v/>
      </c>
    </row>
    <row r="40">
      <c r="A40" s="27">
        <f>IF(Components!A29="","",Components!A29)</f>
        <v/>
      </c>
      <c r="B40" s="27">
        <f>IF(OR(A40="",Components!B29=""),"",Components!B29)</f>
        <v/>
      </c>
      <c r="C40" s="27">
        <f>IF(OR(A40="",Components!C29=""),"",Components!C29)</f>
        <v/>
      </c>
      <c r="D40" s="27">
        <f>IF(A40="","",COUNTIFS(Relationships!$B$4:$B$1003,"AIR",Relationships!$D$4:$D$1003,"references",Relationships!$F$4:$F$1003,A40,Relationships!$M$4:$M$1003,"Confirmed",Relationships!$N$4:$N$1003,"OK — verify source"))</f>
        <v/>
      </c>
      <c r="E40" s="49">
        <f>IF(OR(A40="",NOT(ISNUMBER($D$6))),"",D40/$D$6)</f>
        <v/>
      </c>
      <c r="F40" s="27">
        <f>IF(OR(NOT(ISNUMBER(E40)),NOT(ISNUMBER($D$5))),"",IF(AND(D40&gt;0,E40&gt;=$D$5),"Review: concentration",""))</f>
        <v/>
      </c>
      <c r="H40" s="27" t="n"/>
      <c r="I40" s="27" t="n"/>
      <c r="J40" s="27">
        <f>IF(COUNTA(H40:I40)=0,"",IF(OR(H40="",I40=""),"AIR-ID or supplier missing",IF(COUNTIFS($H$15:$H$264,H40,$I$15:$I$264,I40)&gt;1,"Duplicate row (counted once)",IF(COUNTIF('System map'!$A$4:$A$203,H40)=0,"AIR-ID not on System map",IF(COUNTIF($L$15:$L$64,I40)=0,"Supplier not listed in Table 2b","OK — verify source")))))</f>
        <v/>
      </c>
      <c r="L40" s="27" t="n"/>
      <c r="M40" s="27">
        <f>IF(L40="","",IFERROR(SUMPRODUCT(($I$15:$I$264=L40)*($H$15:$H$264&lt;&gt;"")/COUNTIFS($H$15:$H$264,$H$15:$H$264&amp;"",$I$15:$I$264,$I$15:$I$264&amp;"")),"Check extract"))</f>
        <v/>
      </c>
      <c r="N40" s="49">
        <f>IF(OR(L40="",NOT(ISNUMBER(M40)),NOT(ISNUMBER($D$8))),"",M40/$D$8)</f>
        <v/>
      </c>
      <c r="O40" s="27">
        <f>IF(L40="","",IF(COUNTIF($L$15:$L$64,L40)&gt;1,"Duplicate supplier name",IF(OR(NOT(ISNUMBER(N40)),NOT(ISNUMBER($D$5))),"",IF(AND(M40&gt;0,N40&gt;=$D$5),"Review: concentration",""))))</f>
        <v/>
      </c>
    </row>
    <row r="41">
      <c r="A41" s="25">
        <f>IF(Components!A30="","",Components!A30)</f>
        <v/>
      </c>
      <c r="B41" s="25">
        <f>IF(OR(A41="",Components!B30=""),"",Components!B30)</f>
        <v/>
      </c>
      <c r="C41" s="25">
        <f>IF(OR(A41="",Components!C30=""),"",Components!C30)</f>
        <v/>
      </c>
      <c r="D41" s="25">
        <f>IF(A41="","",COUNTIFS(Relationships!$B$4:$B$1003,"AIR",Relationships!$D$4:$D$1003,"references",Relationships!$F$4:$F$1003,A41,Relationships!$M$4:$M$1003,"Confirmed",Relationships!$N$4:$N$1003,"OK — verify source"))</f>
        <v/>
      </c>
      <c r="E41" s="48">
        <f>IF(OR(A41="",NOT(ISNUMBER($D$6))),"",D41/$D$6)</f>
        <v/>
      </c>
      <c r="F41" s="25">
        <f>IF(OR(NOT(ISNUMBER(E41)),NOT(ISNUMBER($D$5))),"",IF(AND(D41&gt;0,E41&gt;=$D$5),"Review: concentration",""))</f>
        <v/>
      </c>
      <c r="H41" s="25" t="n"/>
      <c r="I41" s="25" t="n"/>
      <c r="J41" s="25">
        <f>IF(COUNTA(H41:I41)=0,"",IF(OR(H41="",I41=""),"AIR-ID or supplier missing",IF(COUNTIFS($H$15:$H$264,H41,$I$15:$I$264,I41)&gt;1,"Duplicate row (counted once)",IF(COUNTIF('System map'!$A$4:$A$203,H41)=0,"AIR-ID not on System map",IF(COUNTIF($L$15:$L$64,I41)=0,"Supplier not listed in Table 2b","OK — verify source")))))</f>
        <v/>
      </c>
      <c r="L41" s="25" t="n"/>
      <c r="M41" s="25">
        <f>IF(L41="","",IFERROR(SUMPRODUCT(($I$15:$I$264=L41)*($H$15:$H$264&lt;&gt;"")/COUNTIFS($H$15:$H$264,$H$15:$H$264&amp;"",$I$15:$I$264,$I$15:$I$264&amp;"")),"Check extract"))</f>
        <v/>
      </c>
      <c r="N41" s="48">
        <f>IF(OR(L41="",NOT(ISNUMBER(M41)),NOT(ISNUMBER($D$8))),"",M41/$D$8)</f>
        <v/>
      </c>
      <c r="O41" s="25">
        <f>IF(L41="","",IF(COUNTIF($L$15:$L$64,L41)&gt;1,"Duplicate supplier name",IF(OR(NOT(ISNUMBER(N41)),NOT(ISNUMBER($D$5))),"",IF(AND(M41&gt;0,N41&gt;=$D$5),"Review: concentration",""))))</f>
        <v/>
      </c>
    </row>
    <row r="42">
      <c r="A42" s="27">
        <f>IF(Components!A31="","",Components!A31)</f>
        <v/>
      </c>
      <c r="B42" s="27">
        <f>IF(OR(A42="",Components!B31=""),"",Components!B31)</f>
        <v/>
      </c>
      <c r="C42" s="27">
        <f>IF(OR(A42="",Components!C31=""),"",Components!C31)</f>
        <v/>
      </c>
      <c r="D42" s="27">
        <f>IF(A42="","",COUNTIFS(Relationships!$B$4:$B$1003,"AIR",Relationships!$D$4:$D$1003,"references",Relationships!$F$4:$F$1003,A42,Relationships!$M$4:$M$1003,"Confirmed",Relationships!$N$4:$N$1003,"OK — verify source"))</f>
        <v/>
      </c>
      <c r="E42" s="49">
        <f>IF(OR(A42="",NOT(ISNUMBER($D$6))),"",D42/$D$6)</f>
        <v/>
      </c>
      <c r="F42" s="27">
        <f>IF(OR(NOT(ISNUMBER(E42)),NOT(ISNUMBER($D$5))),"",IF(AND(D42&gt;0,E42&gt;=$D$5),"Review: concentration",""))</f>
        <v/>
      </c>
      <c r="H42" s="27" t="n"/>
      <c r="I42" s="27" t="n"/>
      <c r="J42" s="27">
        <f>IF(COUNTA(H42:I42)=0,"",IF(OR(H42="",I42=""),"AIR-ID or supplier missing",IF(COUNTIFS($H$15:$H$264,H42,$I$15:$I$264,I42)&gt;1,"Duplicate row (counted once)",IF(COUNTIF('System map'!$A$4:$A$203,H42)=0,"AIR-ID not on System map",IF(COUNTIF($L$15:$L$64,I42)=0,"Supplier not listed in Table 2b","OK — verify source")))))</f>
        <v/>
      </c>
      <c r="L42" s="27" t="n"/>
      <c r="M42" s="27">
        <f>IF(L42="","",IFERROR(SUMPRODUCT(($I$15:$I$264=L42)*($H$15:$H$264&lt;&gt;"")/COUNTIFS($H$15:$H$264,$H$15:$H$264&amp;"",$I$15:$I$264,$I$15:$I$264&amp;"")),"Check extract"))</f>
        <v/>
      </c>
      <c r="N42" s="49">
        <f>IF(OR(L42="",NOT(ISNUMBER(M42)),NOT(ISNUMBER($D$8))),"",M42/$D$8)</f>
        <v/>
      </c>
      <c r="O42" s="27">
        <f>IF(L42="","",IF(COUNTIF($L$15:$L$64,L42)&gt;1,"Duplicate supplier name",IF(OR(NOT(ISNUMBER(N42)),NOT(ISNUMBER($D$5))),"",IF(AND(M42&gt;0,N42&gt;=$D$5),"Review: concentration",""))))</f>
        <v/>
      </c>
    </row>
    <row r="43">
      <c r="A43" s="25">
        <f>IF(Components!A32="","",Components!A32)</f>
        <v/>
      </c>
      <c r="B43" s="25">
        <f>IF(OR(A43="",Components!B32=""),"",Components!B32)</f>
        <v/>
      </c>
      <c r="C43" s="25">
        <f>IF(OR(A43="",Components!C32=""),"",Components!C32)</f>
        <v/>
      </c>
      <c r="D43" s="25">
        <f>IF(A43="","",COUNTIFS(Relationships!$B$4:$B$1003,"AIR",Relationships!$D$4:$D$1003,"references",Relationships!$F$4:$F$1003,A43,Relationships!$M$4:$M$1003,"Confirmed",Relationships!$N$4:$N$1003,"OK — verify source"))</f>
        <v/>
      </c>
      <c r="E43" s="48">
        <f>IF(OR(A43="",NOT(ISNUMBER($D$6))),"",D43/$D$6)</f>
        <v/>
      </c>
      <c r="F43" s="25">
        <f>IF(OR(NOT(ISNUMBER(E43)),NOT(ISNUMBER($D$5))),"",IF(AND(D43&gt;0,E43&gt;=$D$5),"Review: concentration",""))</f>
        <v/>
      </c>
      <c r="H43" s="25" t="n"/>
      <c r="I43" s="25" t="n"/>
      <c r="J43" s="25">
        <f>IF(COUNTA(H43:I43)=0,"",IF(OR(H43="",I43=""),"AIR-ID or supplier missing",IF(COUNTIFS($H$15:$H$264,H43,$I$15:$I$264,I43)&gt;1,"Duplicate row (counted once)",IF(COUNTIF('System map'!$A$4:$A$203,H43)=0,"AIR-ID not on System map",IF(COUNTIF($L$15:$L$64,I43)=0,"Supplier not listed in Table 2b","OK — verify source")))))</f>
        <v/>
      </c>
      <c r="L43" s="25" t="n"/>
      <c r="M43" s="25">
        <f>IF(L43="","",IFERROR(SUMPRODUCT(($I$15:$I$264=L43)*($H$15:$H$264&lt;&gt;"")/COUNTIFS($H$15:$H$264,$H$15:$H$264&amp;"",$I$15:$I$264,$I$15:$I$264&amp;"")),"Check extract"))</f>
        <v/>
      </c>
      <c r="N43" s="48">
        <f>IF(OR(L43="",NOT(ISNUMBER(M43)),NOT(ISNUMBER($D$8))),"",M43/$D$8)</f>
        <v/>
      </c>
      <c r="O43" s="25">
        <f>IF(L43="","",IF(COUNTIF($L$15:$L$64,L43)&gt;1,"Duplicate supplier name",IF(OR(NOT(ISNUMBER(N43)),NOT(ISNUMBER($D$5))),"",IF(AND(M43&gt;0,N43&gt;=$D$5),"Review: concentration",""))))</f>
        <v/>
      </c>
    </row>
    <row r="44">
      <c r="A44" s="27">
        <f>IF(Components!A33="","",Components!A33)</f>
        <v/>
      </c>
      <c r="B44" s="27">
        <f>IF(OR(A44="",Components!B33=""),"",Components!B33)</f>
        <v/>
      </c>
      <c r="C44" s="27">
        <f>IF(OR(A44="",Components!C33=""),"",Components!C33)</f>
        <v/>
      </c>
      <c r="D44" s="27">
        <f>IF(A44="","",COUNTIFS(Relationships!$B$4:$B$1003,"AIR",Relationships!$D$4:$D$1003,"references",Relationships!$F$4:$F$1003,A44,Relationships!$M$4:$M$1003,"Confirmed",Relationships!$N$4:$N$1003,"OK — verify source"))</f>
        <v/>
      </c>
      <c r="E44" s="49">
        <f>IF(OR(A44="",NOT(ISNUMBER($D$6))),"",D44/$D$6)</f>
        <v/>
      </c>
      <c r="F44" s="27">
        <f>IF(OR(NOT(ISNUMBER(E44)),NOT(ISNUMBER($D$5))),"",IF(AND(D44&gt;0,E44&gt;=$D$5),"Review: concentration",""))</f>
        <v/>
      </c>
      <c r="H44" s="27" t="n"/>
      <c r="I44" s="27" t="n"/>
      <c r="J44" s="27">
        <f>IF(COUNTA(H44:I44)=0,"",IF(OR(H44="",I44=""),"AIR-ID or supplier missing",IF(COUNTIFS($H$15:$H$264,H44,$I$15:$I$264,I44)&gt;1,"Duplicate row (counted once)",IF(COUNTIF('System map'!$A$4:$A$203,H44)=0,"AIR-ID not on System map",IF(COUNTIF($L$15:$L$64,I44)=0,"Supplier not listed in Table 2b","OK — verify source")))))</f>
        <v/>
      </c>
      <c r="L44" s="27" t="n"/>
      <c r="M44" s="27">
        <f>IF(L44="","",IFERROR(SUMPRODUCT(($I$15:$I$264=L44)*($H$15:$H$264&lt;&gt;"")/COUNTIFS($H$15:$H$264,$H$15:$H$264&amp;"",$I$15:$I$264,$I$15:$I$264&amp;"")),"Check extract"))</f>
        <v/>
      </c>
      <c r="N44" s="49">
        <f>IF(OR(L44="",NOT(ISNUMBER(M44)),NOT(ISNUMBER($D$8))),"",M44/$D$8)</f>
        <v/>
      </c>
      <c r="O44" s="27">
        <f>IF(L44="","",IF(COUNTIF($L$15:$L$64,L44)&gt;1,"Duplicate supplier name",IF(OR(NOT(ISNUMBER(N44)),NOT(ISNUMBER($D$5))),"",IF(AND(M44&gt;0,N44&gt;=$D$5),"Review: concentration",""))))</f>
        <v/>
      </c>
    </row>
    <row r="45">
      <c r="A45" s="25">
        <f>IF(Components!A34="","",Components!A34)</f>
        <v/>
      </c>
      <c r="B45" s="25">
        <f>IF(OR(A45="",Components!B34=""),"",Components!B34)</f>
        <v/>
      </c>
      <c r="C45" s="25">
        <f>IF(OR(A45="",Components!C34=""),"",Components!C34)</f>
        <v/>
      </c>
      <c r="D45" s="25">
        <f>IF(A45="","",COUNTIFS(Relationships!$B$4:$B$1003,"AIR",Relationships!$D$4:$D$1003,"references",Relationships!$F$4:$F$1003,A45,Relationships!$M$4:$M$1003,"Confirmed",Relationships!$N$4:$N$1003,"OK — verify source"))</f>
        <v/>
      </c>
      <c r="E45" s="48">
        <f>IF(OR(A45="",NOT(ISNUMBER($D$6))),"",D45/$D$6)</f>
        <v/>
      </c>
      <c r="F45" s="25">
        <f>IF(OR(NOT(ISNUMBER(E45)),NOT(ISNUMBER($D$5))),"",IF(AND(D45&gt;0,E45&gt;=$D$5),"Review: concentration",""))</f>
        <v/>
      </c>
      <c r="H45" s="25" t="n"/>
      <c r="I45" s="25" t="n"/>
      <c r="J45" s="25">
        <f>IF(COUNTA(H45:I45)=0,"",IF(OR(H45="",I45=""),"AIR-ID or supplier missing",IF(COUNTIFS($H$15:$H$264,H45,$I$15:$I$264,I45)&gt;1,"Duplicate row (counted once)",IF(COUNTIF('System map'!$A$4:$A$203,H45)=0,"AIR-ID not on System map",IF(COUNTIF($L$15:$L$64,I45)=0,"Supplier not listed in Table 2b","OK — verify source")))))</f>
        <v/>
      </c>
      <c r="L45" s="25" t="n"/>
      <c r="M45" s="25">
        <f>IF(L45="","",IFERROR(SUMPRODUCT(($I$15:$I$264=L45)*($H$15:$H$264&lt;&gt;"")/COUNTIFS($H$15:$H$264,$H$15:$H$264&amp;"",$I$15:$I$264,$I$15:$I$264&amp;"")),"Check extract"))</f>
        <v/>
      </c>
      <c r="N45" s="48">
        <f>IF(OR(L45="",NOT(ISNUMBER(M45)),NOT(ISNUMBER($D$8))),"",M45/$D$8)</f>
        <v/>
      </c>
      <c r="O45" s="25">
        <f>IF(L45="","",IF(COUNTIF($L$15:$L$64,L45)&gt;1,"Duplicate supplier name",IF(OR(NOT(ISNUMBER(N45)),NOT(ISNUMBER($D$5))),"",IF(AND(M45&gt;0,N45&gt;=$D$5),"Review: concentration",""))))</f>
        <v/>
      </c>
    </row>
    <row r="46">
      <c r="A46" s="27">
        <f>IF(Components!A35="","",Components!A35)</f>
        <v/>
      </c>
      <c r="B46" s="27">
        <f>IF(OR(A46="",Components!B35=""),"",Components!B35)</f>
        <v/>
      </c>
      <c r="C46" s="27">
        <f>IF(OR(A46="",Components!C35=""),"",Components!C35)</f>
        <v/>
      </c>
      <c r="D46" s="27">
        <f>IF(A46="","",COUNTIFS(Relationships!$B$4:$B$1003,"AIR",Relationships!$D$4:$D$1003,"references",Relationships!$F$4:$F$1003,A46,Relationships!$M$4:$M$1003,"Confirmed",Relationships!$N$4:$N$1003,"OK — verify source"))</f>
        <v/>
      </c>
      <c r="E46" s="49">
        <f>IF(OR(A46="",NOT(ISNUMBER($D$6))),"",D46/$D$6)</f>
        <v/>
      </c>
      <c r="F46" s="27">
        <f>IF(OR(NOT(ISNUMBER(E46)),NOT(ISNUMBER($D$5))),"",IF(AND(D46&gt;0,E46&gt;=$D$5),"Review: concentration",""))</f>
        <v/>
      </c>
      <c r="H46" s="27" t="n"/>
      <c r="I46" s="27" t="n"/>
      <c r="J46" s="27">
        <f>IF(COUNTA(H46:I46)=0,"",IF(OR(H46="",I46=""),"AIR-ID or supplier missing",IF(COUNTIFS($H$15:$H$264,H46,$I$15:$I$264,I46)&gt;1,"Duplicate row (counted once)",IF(COUNTIF('System map'!$A$4:$A$203,H46)=0,"AIR-ID not on System map",IF(COUNTIF($L$15:$L$64,I46)=0,"Supplier not listed in Table 2b","OK — verify source")))))</f>
        <v/>
      </c>
      <c r="L46" s="27" t="n"/>
      <c r="M46" s="27">
        <f>IF(L46="","",IFERROR(SUMPRODUCT(($I$15:$I$264=L46)*($H$15:$H$264&lt;&gt;"")/COUNTIFS($H$15:$H$264,$H$15:$H$264&amp;"",$I$15:$I$264,$I$15:$I$264&amp;"")),"Check extract"))</f>
        <v/>
      </c>
      <c r="N46" s="49">
        <f>IF(OR(L46="",NOT(ISNUMBER(M46)),NOT(ISNUMBER($D$8))),"",M46/$D$8)</f>
        <v/>
      </c>
      <c r="O46" s="27">
        <f>IF(L46="","",IF(COUNTIF($L$15:$L$64,L46)&gt;1,"Duplicate supplier name",IF(OR(NOT(ISNUMBER(N46)),NOT(ISNUMBER($D$5))),"",IF(AND(M46&gt;0,N46&gt;=$D$5),"Review: concentration",""))))</f>
        <v/>
      </c>
    </row>
    <row r="47">
      <c r="A47" s="25">
        <f>IF(Components!A36="","",Components!A36)</f>
        <v/>
      </c>
      <c r="B47" s="25">
        <f>IF(OR(A47="",Components!B36=""),"",Components!B36)</f>
        <v/>
      </c>
      <c r="C47" s="25">
        <f>IF(OR(A47="",Components!C36=""),"",Components!C36)</f>
        <v/>
      </c>
      <c r="D47" s="25">
        <f>IF(A47="","",COUNTIFS(Relationships!$B$4:$B$1003,"AIR",Relationships!$D$4:$D$1003,"references",Relationships!$F$4:$F$1003,A47,Relationships!$M$4:$M$1003,"Confirmed",Relationships!$N$4:$N$1003,"OK — verify source"))</f>
        <v/>
      </c>
      <c r="E47" s="48">
        <f>IF(OR(A47="",NOT(ISNUMBER($D$6))),"",D47/$D$6)</f>
        <v/>
      </c>
      <c r="F47" s="25">
        <f>IF(OR(NOT(ISNUMBER(E47)),NOT(ISNUMBER($D$5))),"",IF(AND(D47&gt;0,E47&gt;=$D$5),"Review: concentration",""))</f>
        <v/>
      </c>
      <c r="H47" s="25" t="n"/>
      <c r="I47" s="25" t="n"/>
      <c r="J47" s="25">
        <f>IF(COUNTA(H47:I47)=0,"",IF(OR(H47="",I47=""),"AIR-ID or supplier missing",IF(COUNTIFS($H$15:$H$264,H47,$I$15:$I$264,I47)&gt;1,"Duplicate row (counted once)",IF(COUNTIF('System map'!$A$4:$A$203,H47)=0,"AIR-ID not on System map",IF(COUNTIF($L$15:$L$64,I47)=0,"Supplier not listed in Table 2b","OK — verify source")))))</f>
        <v/>
      </c>
      <c r="L47" s="25" t="n"/>
      <c r="M47" s="25">
        <f>IF(L47="","",IFERROR(SUMPRODUCT(($I$15:$I$264=L47)*($H$15:$H$264&lt;&gt;"")/COUNTIFS($H$15:$H$264,$H$15:$H$264&amp;"",$I$15:$I$264,$I$15:$I$264&amp;"")),"Check extract"))</f>
        <v/>
      </c>
      <c r="N47" s="48">
        <f>IF(OR(L47="",NOT(ISNUMBER(M47)),NOT(ISNUMBER($D$8))),"",M47/$D$8)</f>
        <v/>
      </c>
      <c r="O47" s="25">
        <f>IF(L47="","",IF(COUNTIF($L$15:$L$64,L47)&gt;1,"Duplicate supplier name",IF(OR(NOT(ISNUMBER(N47)),NOT(ISNUMBER($D$5))),"",IF(AND(M47&gt;0,N47&gt;=$D$5),"Review: concentration",""))))</f>
        <v/>
      </c>
    </row>
    <row r="48">
      <c r="A48" s="27">
        <f>IF(Components!A37="","",Components!A37)</f>
        <v/>
      </c>
      <c r="B48" s="27">
        <f>IF(OR(A48="",Components!B37=""),"",Components!B37)</f>
        <v/>
      </c>
      <c r="C48" s="27">
        <f>IF(OR(A48="",Components!C37=""),"",Components!C37)</f>
        <v/>
      </c>
      <c r="D48" s="27">
        <f>IF(A48="","",COUNTIFS(Relationships!$B$4:$B$1003,"AIR",Relationships!$D$4:$D$1003,"references",Relationships!$F$4:$F$1003,A48,Relationships!$M$4:$M$1003,"Confirmed",Relationships!$N$4:$N$1003,"OK — verify source"))</f>
        <v/>
      </c>
      <c r="E48" s="49">
        <f>IF(OR(A48="",NOT(ISNUMBER($D$6))),"",D48/$D$6)</f>
        <v/>
      </c>
      <c r="F48" s="27">
        <f>IF(OR(NOT(ISNUMBER(E48)),NOT(ISNUMBER($D$5))),"",IF(AND(D48&gt;0,E48&gt;=$D$5),"Review: concentration",""))</f>
        <v/>
      </c>
      <c r="H48" s="27" t="n"/>
      <c r="I48" s="27" t="n"/>
      <c r="J48" s="27">
        <f>IF(COUNTA(H48:I48)=0,"",IF(OR(H48="",I48=""),"AIR-ID or supplier missing",IF(COUNTIFS($H$15:$H$264,H48,$I$15:$I$264,I48)&gt;1,"Duplicate row (counted once)",IF(COUNTIF('System map'!$A$4:$A$203,H48)=0,"AIR-ID not on System map",IF(COUNTIF($L$15:$L$64,I48)=0,"Supplier not listed in Table 2b","OK — verify source")))))</f>
        <v/>
      </c>
      <c r="L48" s="27" t="n"/>
      <c r="M48" s="27">
        <f>IF(L48="","",IFERROR(SUMPRODUCT(($I$15:$I$264=L48)*($H$15:$H$264&lt;&gt;"")/COUNTIFS($H$15:$H$264,$H$15:$H$264&amp;"",$I$15:$I$264,$I$15:$I$264&amp;"")),"Check extract"))</f>
        <v/>
      </c>
      <c r="N48" s="49">
        <f>IF(OR(L48="",NOT(ISNUMBER(M48)),NOT(ISNUMBER($D$8))),"",M48/$D$8)</f>
        <v/>
      </c>
      <c r="O48" s="27">
        <f>IF(L48="","",IF(COUNTIF($L$15:$L$64,L48)&gt;1,"Duplicate supplier name",IF(OR(NOT(ISNUMBER(N48)),NOT(ISNUMBER($D$5))),"",IF(AND(M48&gt;0,N48&gt;=$D$5),"Review: concentration",""))))</f>
        <v/>
      </c>
    </row>
    <row r="49">
      <c r="A49" s="25">
        <f>IF(Components!A38="","",Components!A38)</f>
        <v/>
      </c>
      <c r="B49" s="25">
        <f>IF(OR(A49="",Components!B38=""),"",Components!B38)</f>
        <v/>
      </c>
      <c r="C49" s="25">
        <f>IF(OR(A49="",Components!C38=""),"",Components!C38)</f>
        <v/>
      </c>
      <c r="D49" s="25">
        <f>IF(A49="","",COUNTIFS(Relationships!$B$4:$B$1003,"AIR",Relationships!$D$4:$D$1003,"references",Relationships!$F$4:$F$1003,A49,Relationships!$M$4:$M$1003,"Confirmed",Relationships!$N$4:$N$1003,"OK — verify source"))</f>
        <v/>
      </c>
      <c r="E49" s="48">
        <f>IF(OR(A49="",NOT(ISNUMBER($D$6))),"",D49/$D$6)</f>
        <v/>
      </c>
      <c r="F49" s="25">
        <f>IF(OR(NOT(ISNUMBER(E49)),NOT(ISNUMBER($D$5))),"",IF(AND(D49&gt;0,E49&gt;=$D$5),"Review: concentration",""))</f>
        <v/>
      </c>
      <c r="H49" s="25" t="n"/>
      <c r="I49" s="25" t="n"/>
      <c r="J49" s="25">
        <f>IF(COUNTA(H49:I49)=0,"",IF(OR(H49="",I49=""),"AIR-ID or supplier missing",IF(COUNTIFS($H$15:$H$264,H49,$I$15:$I$264,I49)&gt;1,"Duplicate row (counted once)",IF(COUNTIF('System map'!$A$4:$A$203,H49)=0,"AIR-ID not on System map",IF(COUNTIF($L$15:$L$64,I49)=0,"Supplier not listed in Table 2b","OK — verify source")))))</f>
        <v/>
      </c>
      <c r="L49" s="25" t="n"/>
      <c r="M49" s="25">
        <f>IF(L49="","",IFERROR(SUMPRODUCT(($I$15:$I$264=L49)*($H$15:$H$264&lt;&gt;"")/COUNTIFS($H$15:$H$264,$H$15:$H$264&amp;"",$I$15:$I$264,$I$15:$I$264&amp;"")),"Check extract"))</f>
        <v/>
      </c>
      <c r="N49" s="48">
        <f>IF(OR(L49="",NOT(ISNUMBER(M49)),NOT(ISNUMBER($D$8))),"",M49/$D$8)</f>
        <v/>
      </c>
      <c r="O49" s="25">
        <f>IF(L49="","",IF(COUNTIF($L$15:$L$64,L49)&gt;1,"Duplicate supplier name",IF(OR(NOT(ISNUMBER(N49)),NOT(ISNUMBER($D$5))),"",IF(AND(M49&gt;0,N49&gt;=$D$5),"Review: concentration",""))))</f>
        <v/>
      </c>
    </row>
    <row r="50">
      <c r="A50" s="27">
        <f>IF(Components!A39="","",Components!A39)</f>
        <v/>
      </c>
      <c r="B50" s="27">
        <f>IF(OR(A50="",Components!B39=""),"",Components!B39)</f>
        <v/>
      </c>
      <c r="C50" s="27">
        <f>IF(OR(A50="",Components!C39=""),"",Components!C39)</f>
        <v/>
      </c>
      <c r="D50" s="27">
        <f>IF(A50="","",COUNTIFS(Relationships!$B$4:$B$1003,"AIR",Relationships!$D$4:$D$1003,"references",Relationships!$F$4:$F$1003,A50,Relationships!$M$4:$M$1003,"Confirmed",Relationships!$N$4:$N$1003,"OK — verify source"))</f>
        <v/>
      </c>
      <c r="E50" s="49">
        <f>IF(OR(A50="",NOT(ISNUMBER($D$6))),"",D50/$D$6)</f>
        <v/>
      </c>
      <c r="F50" s="27">
        <f>IF(OR(NOT(ISNUMBER(E50)),NOT(ISNUMBER($D$5))),"",IF(AND(D50&gt;0,E50&gt;=$D$5),"Review: concentration",""))</f>
        <v/>
      </c>
      <c r="H50" s="27" t="n"/>
      <c r="I50" s="27" t="n"/>
      <c r="J50" s="27">
        <f>IF(COUNTA(H50:I50)=0,"",IF(OR(H50="",I50=""),"AIR-ID or supplier missing",IF(COUNTIFS($H$15:$H$264,H50,$I$15:$I$264,I50)&gt;1,"Duplicate row (counted once)",IF(COUNTIF('System map'!$A$4:$A$203,H50)=0,"AIR-ID not on System map",IF(COUNTIF($L$15:$L$64,I50)=0,"Supplier not listed in Table 2b","OK — verify source")))))</f>
        <v/>
      </c>
      <c r="L50" s="27" t="n"/>
      <c r="M50" s="27">
        <f>IF(L50="","",IFERROR(SUMPRODUCT(($I$15:$I$264=L50)*($H$15:$H$264&lt;&gt;"")/COUNTIFS($H$15:$H$264,$H$15:$H$264&amp;"",$I$15:$I$264,$I$15:$I$264&amp;"")),"Check extract"))</f>
        <v/>
      </c>
      <c r="N50" s="49">
        <f>IF(OR(L50="",NOT(ISNUMBER(M50)),NOT(ISNUMBER($D$8))),"",M50/$D$8)</f>
        <v/>
      </c>
      <c r="O50" s="27">
        <f>IF(L50="","",IF(COUNTIF($L$15:$L$64,L50)&gt;1,"Duplicate supplier name",IF(OR(NOT(ISNUMBER(N50)),NOT(ISNUMBER($D$5))),"",IF(AND(M50&gt;0,N50&gt;=$D$5),"Review: concentration",""))))</f>
        <v/>
      </c>
    </row>
    <row r="51">
      <c r="A51" s="25">
        <f>IF(Components!A40="","",Components!A40)</f>
        <v/>
      </c>
      <c r="B51" s="25">
        <f>IF(OR(A51="",Components!B40=""),"",Components!B40)</f>
        <v/>
      </c>
      <c r="C51" s="25">
        <f>IF(OR(A51="",Components!C40=""),"",Components!C40)</f>
        <v/>
      </c>
      <c r="D51" s="25">
        <f>IF(A51="","",COUNTIFS(Relationships!$B$4:$B$1003,"AIR",Relationships!$D$4:$D$1003,"references",Relationships!$F$4:$F$1003,A51,Relationships!$M$4:$M$1003,"Confirmed",Relationships!$N$4:$N$1003,"OK — verify source"))</f>
        <v/>
      </c>
      <c r="E51" s="48">
        <f>IF(OR(A51="",NOT(ISNUMBER($D$6))),"",D51/$D$6)</f>
        <v/>
      </c>
      <c r="F51" s="25">
        <f>IF(OR(NOT(ISNUMBER(E51)),NOT(ISNUMBER($D$5))),"",IF(AND(D51&gt;0,E51&gt;=$D$5),"Review: concentration",""))</f>
        <v/>
      </c>
      <c r="H51" s="25" t="n"/>
      <c r="I51" s="25" t="n"/>
      <c r="J51" s="25">
        <f>IF(COUNTA(H51:I51)=0,"",IF(OR(H51="",I51=""),"AIR-ID or supplier missing",IF(COUNTIFS($H$15:$H$264,H51,$I$15:$I$264,I51)&gt;1,"Duplicate row (counted once)",IF(COUNTIF('System map'!$A$4:$A$203,H51)=0,"AIR-ID not on System map",IF(COUNTIF($L$15:$L$64,I51)=0,"Supplier not listed in Table 2b","OK — verify source")))))</f>
        <v/>
      </c>
      <c r="L51" s="25" t="n"/>
      <c r="M51" s="25">
        <f>IF(L51="","",IFERROR(SUMPRODUCT(($I$15:$I$264=L51)*($H$15:$H$264&lt;&gt;"")/COUNTIFS($H$15:$H$264,$H$15:$H$264&amp;"",$I$15:$I$264,$I$15:$I$264&amp;"")),"Check extract"))</f>
        <v/>
      </c>
      <c r="N51" s="48">
        <f>IF(OR(L51="",NOT(ISNUMBER(M51)),NOT(ISNUMBER($D$8))),"",M51/$D$8)</f>
        <v/>
      </c>
      <c r="O51" s="25">
        <f>IF(L51="","",IF(COUNTIF($L$15:$L$64,L51)&gt;1,"Duplicate supplier name",IF(OR(NOT(ISNUMBER(N51)),NOT(ISNUMBER($D$5))),"",IF(AND(M51&gt;0,N51&gt;=$D$5),"Review: concentration",""))))</f>
        <v/>
      </c>
    </row>
    <row r="52">
      <c r="A52" s="27">
        <f>IF(Components!A41="","",Components!A41)</f>
        <v/>
      </c>
      <c r="B52" s="27">
        <f>IF(OR(A52="",Components!B41=""),"",Components!B41)</f>
        <v/>
      </c>
      <c r="C52" s="27">
        <f>IF(OR(A52="",Components!C41=""),"",Components!C41)</f>
        <v/>
      </c>
      <c r="D52" s="27">
        <f>IF(A52="","",COUNTIFS(Relationships!$B$4:$B$1003,"AIR",Relationships!$D$4:$D$1003,"references",Relationships!$F$4:$F$1003,A52,Relationships!$M$4:$M$1003,"Confirmed",Relationships!$N$4:$N$1003,"OK — verify source"))</f>
        <v/>
      </c>
      <c r="E52" s="49">
        <f>IF(OR(A52="",NOT(ISNUMBER($D$6))),"",D52/$D$6)</f>
        <v/>
      </c>
      <c r="F52" s="27">
        <f>IF(OR(NOT(ISNUMBER(E52)),NOT(ISNUMBER($D$5))),"",IF(AND(D52&gt;0,E52&gt;=$D$5),"Review: concentration",""))</f>
        <v/>
      </c>
      <c r="H52" s="27" t="n"/>
      <c r="I52" s="27" t="n"/>
      <c r="J52" s="27">
        <f>IF(COUNTA(H52:I52)=0,"",IF(OR(H52="",I52=""),"AIR-ID or supplier missing",IF(COUNTIFS($H$15:$H$264,H52,$I$15:$I$264,I52)&gt;1,"Duplicate row (counted once)",IF(COUNTIF('System map'!$A$4:$A$203,H52)=0,"AIR-ID not on System map",IF(COUNTIF($L$15:$L$64,I52)=0,"Supplier not listed in Table 2b","OK — verify source")))))</f>
        <v/>
      </c>
      <c r="L52" s="27" t="n"/>
      <c r="M52" s="27">
        <f>IF(L52="","",IFERROR(SUMPRODUCT(($I$15:$I$264=L52)*($H$15:$H$264&lt;&gt;"")/COUNTIFS($H$15:$H$264,$H$15:$H$264&amp;"",$I$15:$I$264,$I$15:$I$264&amp;"")),"Check extract"))</f>
        <v/>
      </c>
      <c r="N52" s="49">
        <f>IF(OR(L52="",NOT(ISNUMBER(M52)),NOT(ISNUMBER($D$8))),"",M52/$D$8)</f>
        <v/>
      </c>
      <c r="O52" s="27">
        <f>IF(L52="","",IF(COUNTIF($L$15:$L$64,L52)&gt;1,"Duplicate supplier name",IF(OR(NOT(ISNUMBER(N52)),NOT(ISNUMBER($D$5))),"",IF(AND(M52&gt;0,N52&gt;=$D$5),"Review: concentration",""))))</f>
        <v/>
      </c>
    </row>
    <row r="53">
      <c r="A53" s="25">
        <f>IF(Components!A42="","",Components!A42)</f>
        <v/>
      </c>
      <c r="B53" s="25">
        <f>IF(OR(A53="",Components!B42=""),"",Components!B42)</f>
        <v/>
      </c>
      <c r="C53" s="25">
        <f>IF(OR(A53="",Components!C42=""),"",Components!C42)</f>
        <v/>
      </c>
      <c r="D53" s="25">
        <f>IF(A53="","",COUNTIFS(Relationships!$B$4:$B$1003,"AIR",Relationships!$D$4:$D$1003,"references",Relationships!$F$4:$F$1003,A53,Relationships!$M$4:$M$1003,"Confirmed",Relationships!$N$4:$N$1003,"OK — verify source"))</f>
        <v/>
      </c>
      <c r="E53" s="48">
        <f>IF(OR(A53="",NOT(ISNUMBER($D$6))),"",D53/$D$6)</f>
        <v/>
      </c>
      <c r="F53" s="25">
        <f>IF(OR(NOT(ISNUMBER(E53)),NOT(ISNUMBER($D$5))),"",IF(AND(D53&gt;0,E53&gt;=$D$5),"Review: concentration",""))</f>
        <v/>
      </c>
      <c r="H53" s="25" t="n"/>
      <c r="I53" s="25" t="n"/>
      <c r="J53" s="25">
        <f>IF(COUNTA(H53:I53)=0,"",IF(OR(H53="",I53=""),"AIR-ID or supplier missing",IF(COUNTIFS($H$15:$H$264,H53,$I$15:$I$264,I53)&gt;1,"Duplicate row (counted once)",IF(COUNTIF('System map'!$A$4:$A$203,H53)=0,"AIR-ID not on System map",IF(COUNTIF($L$15:$L$64,I53)=0,"Supplier not listed in Table 2b","OK — verify source")))))</f>
        <v/>
      </c>
      <c r="L53" s="25" t="n"/>
      <c r="M53" s="25">
        <f>IF(L53="","",IFERROR(SUMPRODUCT(($I$15:$I$264=L53)*($H$15:$H$264&lt;&gt;"")/COUNTIFS($H$15:$H$264,$H$15:$H$264&amp;"",$I$15:$I$264,$I$15:$I$264&amp;"")),"Check extract"))</f>
        <v/>
      </c>
      <c r="N53" s="48">
        <f>IF(OR(L53="",NOT(ISNUMBER(M53)),NOT(ISNUMBER($D$8))),"",M53/$D$8)</f>
        <v/>
      </c>
      <c r="O53" s="25">
        <f>IF(L53="","",IF(COUNTIF($L$15:$L$64,L53)&gt;1,"Duplicate supplier name",IF(OR(NOT(ISNUMBER(N53)),NOT(ISNUMBER($D$5))),"",IF(AND(M53&gt;0,N53&gt;=$D$5),"Review: concentration",""))))</f>
        <v/>
      </c>
    </row>
    <row r="54">
      <c r="A54" s="27">
        <f>IF(Components!A43="","",Components!A43)</f>
        <v/>
      </c>
      <c r="B54" s="27">
        <f>IF(OR(A54="",Components!B43=""),"",Components!B43)</f>
        <v/>
      </c>
      <c r="C54" s="27">
        <f>IF(OR(A54="",Components!C43=""),"",Components!C43)</f>
        <v/>
      </c>
      <c r="D54" s="27">
        <f>IF(A54="","",COUNTIFS(Relationships!$B$4:$B$1003,"AIR",Relationships!$D$4:$D$1003,"references",Relationships!$F$4:$F$1003,A54,Relationships!$M$4:$M$1003,"Confirmed",Relationships!$N$4:$N$1003,"OK — verify source"))</f>
        <v/>
      </c>
      <c r="E54" s="49">
        <f>IF(OR(A54="",NOT(ISNUMBER($D$6))),"",D54/$D$6)</f>
        <v/>
      </c>
      <c r="F54" s="27">
        <f>IF(OR(NOT(ISNUMBER(E54)),NOT(ISNUMBER($D$5))),"",IF(AND(D54&gt;0,E54&gt;=$D$5),"Review: concentration",""))</f>
        <v/>
      </c>
      <c r="H54" s="27" t="n"/>
      <c r="I54" s="27" t="n"/>
      <c r="J54" s="27">
        <f>IF(COUNTA(H54:I54)=0,"",IF(OR(H54="",I54=""),"AIR-ID or supplier missing",IF(COUNTIFS($H$15:$H$264,H54,$I$15:$I$264,I54)&gt;1,"Duplicate row (counted once)",IF(COUNTIF('System map'!$A$4:$A$203,H54)=0,"AIR-ID not on System map",IF(COUNTIF($L$15:$L$64,I54)=0,"Supplier not listed in Table 2b","OK — verify source")))))</f>
        <v/>
      </c>
      <c r="L54" s="27" t="n"/>
      <c r="M54" s="27">
        <f>IF(L54="","",IFERROR(SUMPRODUCT(($I$15:$I$264=L54)*($H$15:$H$264&lt;&gt;"")/COUNTIFS($H$15:$H$264,$H$15:$H$264&amp;"",$I$15:$I$264,$I$15:$I$264&amp;"")),"Check extract"))</f>
        <v/>
      </c>
      <c r="N54" s="49">
        <f>IF(OR(L54="",NOT(ISNUMBER(M54)),NOT(ISNUMBER($D$8))),"",M54/$D$8)</f>
        <v/>
      </c>
      <c r="O54" s="27">
        <f>IF(L54="","",IF(COUNTIF($L$15:$L$64,L54)&gt;1,"Duplicate supplier name",IF(OR(NOT(ISNUMBER(N54)),NOT(ISNUMBER($D$5))),"",IF(AND(M54&gt;0,N54&gt;=$D$5),"Review: concentration",""))))</f>
        <v/>
      </c>
    </row>
    <row r="55">
      <c r="A55" s="25">
        <f>IF(Components!A44="","",Components!A44)</f>
        <v/>
      </c>
      <c r="B55" s="25">
        <f>IF(OR(A55="",Components!B44=""),"",Components!B44)</f>
        <v/>
      </c>
      <c r="C55" s="25">
        <f>IF(OR(A55="",Components!C44=""),"",Components!C44)</f>
        <v/>
      </c>
      <c r="D55" s="25">
        <f>IF(A55="","",COUNTIFS(Relationships!$B$4:$B$1003,"AIR",Relationships!$D$4:$D$1003,"references",Relationships!$F$4:$F$1003,A55,Relationships!$M$4:$M$1003,"Confirmed",Relationships!$N$4:$N$1003,"OK — verify source"))</f>
        <v/>
      </c>
      <c r="E55" s="48">
        <f>IF(OR(A55="",NOT(ISNUMBER($D$6))),"",D55/$D$6)</f>
        <v/>
      </c>
      <c r="F55" s="25">
        <f>IF(OR(NOT(ISNUMBER(E55)),NOT(ISNUMBER($D$5))),"",IF(AND(D55&gt;0,E55&gt;=$D$5),"Review: concentration",""))</f>
        <v/>
      </c>
      <c r="H55" s="25" t="n"/>
      <c r="I55" s="25" t="n"/>
      <c r="J55" s="25">
        <f>IF(COUNTA(H55:I55)=0,"",IF(OR(H55="",I55=""),"AIR-ID or supplier missing",IF(COUNTIFS($H$15:$H$264,H55,$I$15:$I$264,I55)&gt;1,"Duplicate row (counted once)",IF(COUNTIF('System map'!$A$4:$A$203,H55)=0,"AIR-ID not on System map",IF(COUNTIF($L$15:$L$64,I55)=0,"Supplier not listed in Table 2b","OK — verify source")))))</f>
        <v/>
      </c>
      <c r="L55" s="25" t="n"/>
      <c r="M55" s="25">
        <f>IF(L55="","",IFERROR(SUMPRODUCT(($I$15:$I$264=L55)*($H$15:$H$264&lt;&gt;"")/COUNTIFS($H$15:$H$264,$H$15:$H$264&amp;"",$I$15:$I$264,$I$15:$I$264&amp;"")),"Check extract"))</f>
        <v/>
      </c>
      <c r="N55" s="48">
        <f>IF(OR(L55="",NOT(ISNUMBER(M55)),NOT(ISNUMBER($D$8))),"",M55/$D$8)</f>
        <v/>
      </c>
      <c r="O55" s="25">
        <f>IF(L55="","",IF(COUNTIF($L$15:$L$64,L55)&gt;1,"Duplicate supplier name",IF(OR(NOT(ISNUMBER(N55)),NOT(ISNUMBER($D$5))),"",IF(AND(M55&gt;0,N55&gt;=$D$5),"Review: concentration",""))))</f>
        <v/>
      </c>
    </row>
    <row r="56">
      <c r="A56" s="27">
        <f>IF(Components!A45="","",Components!A45)</f>
        <v/>
      </c>
      <c r="B56" s="27">
        <f>IF(OR(A56="",Components!B45=""),"",Components!B45)</f>
        <v/>
      </c>
      <c r="C56" s="27">
        <f>IF(OR(A56="",Components!C45=""),"",Components!C45)</f>
        <v/>
      </c>
      <c r="D56" s="27">
        <f>IF(A56="","",COUNTIFS(Relationships!$B$4:$B$1003,"AIR",Relationships!$D$4:$D$1003,"references",Relationships!$F$4:$F$1003,A56,Relationships!$M$4:$M$1003,"Confirmed",Relationships!$N$4:$N$1003,"OK — verify source"))</f>
        <v/>
      </c>
      <c r="E56" s="49">
        <f>IF(OR(A56="",NOT(ISNUMBER($D$6))),"",D56/$D$6)</f>
        <v/>
      </c>
      <c r="F56" s="27">
        <f>IF(OR(NOT(ISNUMBER(E56)),NOT(ISNUMBER($D$5))),"",IF(AND(D56&gt;0,E56&gt;=$D$5),"Review: concentration",""))</f>
        <v/>
      </c>
      <c r="H56" s="27" t="n"/>
      <c r="I56" s="27" t="n"/>
      <c r="J56" s="27">
        <f>IF(COUNTA(H56:I56)=0,"",IF(OR(H56="",I56=""),"AIR-ID or supplier missing",IF(COUNTIFS($H$15:$H$264,H56,$I$15:$I$264,I56)&gt;1,"Duplicate row (counted once)",IF(COUNTIF('System map'!$A$4:$A$203,H56)=0,"AIR-ID not on System map",IF(COUNTIF($L$15:$L$64,I56)=0,"Supplier not listed in Table 2b","OK — verify source")))))</f>
        <v/>
      </c>
      <c r="L56" s="27" t="n"/>
      <c r="M56" s="27">
        <f>IF(L56="","",IFERROR(SUMPRODUCT(($I$15:$I$264=L56)*($H$15:$H$264&lt;&gt;"")/COUNTIFS($H$15:$H$264,$H$15:$H$264&amp;"",$I$15:$I$264,$I$15:$I$264&amp;"")),"Check extract"))</f>
        <v/>
      </c>
      <c r="N56" s="49">
        <f>IF(OR(L56="",NOT(ISNUMBER(M56)),NOT(ISNUMBER($D$8))),"",M56/$D$8)</f>
        <v/>
      </c>
      <c r="O56" s="27">
        <f>IF(L56="","",IF(COUNTIF($L$15:$L$64,L56)&gt;1,"Duplicate supplier name",IF(OR(NOT(ISNUMBER(N56)),NOT(ISNUMBER($D$5))),"",IF(AND(M56&gt;0,N56&gt;=$D$5),"Review: concentration",""))))</f>
        <v/>
      </c>
    </row>
    <row r="57">
      <c r="A57" s="25">
        <f>IF(Components!A46="","",Components!A46)</f>
        <v/>
      </c>
      <c r="B57" s="25">
        <f>IF(OR(A57="",Components!B46=""),"",Components!B46)</f>
        <v/>
      </c>
      <c r="C57" s="25">
        <f>IF(OR(A57="",Components!C46=""),"",Components!C46)</f>
        <v/>
      </c>
      <c r="D57" s="25">
        <f>IF(A57="","",COUNTIFS(Relationships!$B$4:$B$1003,"AIR",Relationships!$D$4:$D$1003,"references",Relationships!$F$4:$F$1003,A57,Relationships!$M$4:$M$1003,"Confirmed",Relationships!$N$4:$N$1003,"OK — verify source"))</f>
        <v/>
      </c>
      <c r="E57" s="48">
        <f>IF(OR(A57="",NOT(ISNUMBER($D$6))),"",D57/$D$6)</f>
        <v/>
      </c>
      <c r="F57" s="25">
        <f>IF(OR(NOT(ISNUMBER(E57)),NOT(ISNUMBER($D$5))),"",IF(AND(D57&gt;0,E57&gt;=$D$5),"Review: concentration",""))</f>
        <v/>
      </c>
      <c r="H57" s="25" t="n"/>
      <c r="I57" s="25" t="n"/>
      <c r="J57" s="25">
        <f>IF(COUNTA(H57:I57)=0,"",IF(OR(H57="",I57=""),"AIR-ID or supplier missing",IF(COUNTIFS($H$15:$H$264,H57,$I$15:$I$264,I57)&gt;1,"Duplicate row (counted once)",IF(COUNTIF('System map'!$A$4:$A$203,H57)=0,"AIR-ID not on System map",IF(COUNTIF($L$15:$L$64,I57)=0,"Supplier not listed in Table 2b","OK — verify source")))))</f>
        <v/>
      </c>
      <c r="L57" s="25" t="n"/>
      <c r="M57" s="25">
        <f>IF(L57="","",IFERROR(SUMPRODUCT(($I$15:$I$264=L57)*($H$15:$H$264&lt;&gt;"")/COUNTIFS($H$15:$H$264,$H$15:$H$264&amp;"",$I$15:$I$264,$I$15:$I$264&amp;"")),"Check extract"))</f>
        <v/>
      </c>
      <c r="N57" s="48">
        <f>IF(OR(L57="",NOT(ISNUMBER(M57)),NOT(ISNUMBER($D$8))),"",M57/$D$8)</f>
        <v/>
      </c>
      <c r="O57" s="25">
        <f>IF(L57="","",IF(COUNTIF($L$15:$L$64,L57)&gt;1,"Duplicate supplier name",IF(OR(NOT(ISNUMBER(N57)),NOT(ISNUMBER($D$5))),"",IF(AND(M57&gt;0,N57&gt;=$D$5),"Review: concentration",""))))</f>
        <v/>
      </c>
    </row>
    <row r="58">
      <c r="A58" s="27">
        <f>IF(Components!A47="","",Components!A47)</f>
        <v/>
      </c>
      <c r="B58" s="27">
        <f>IF(OR(A58="",Components!B47=""),"",Components!B47)</f>
        <v/>
      </c>
      <c r="C58" s="27">
        <f>IF(OR(A58="",Components!C47=""),"",Components!C47)</f>
        <v/>
      </c>
      <c r="D58" s="27">
        <f>IF(A58="","",COUNTIFS(Relationships!$B$4:$B$1003,"AIR",Relationships!$D$4:$D$1003,"references",Relationships!$F$4:$F$1003,A58,Relationships!$M$4:$M$1003,"Confirmed",Relationships!$N$4:$N$1003,"OK — verify source"))</f>
        <v/>
      </c>
      <c r="E58" s="49">
        <f>IF(OR(A58="",NOT(ISNUMBER($D$6))),"",D58/$D$6)</f>
        <v/>
      </c>
      <c r="F58" s="27">
        <f>IF(OR(NOT(ISNUMBER(E58)),NOT(ISNUMBER($D$5))),"",IF(AND(D58&gt;0,E58&gt;=$D$5),"Review: concentration",""))</f>
        <v/>
      </c>
      <c r="H58" s="27" t="n"/>
      <c r="I58" s="27" t="n"/>
      <c r="J58" s="27">
        <f>IF(COUNTA(H58:I58)=0,"",IF(OR(H58="",I58=""),"AIR-ID or supplier missing",IF(COUNTIFS($H$15:$H$264,H58,$I$15:$I$264,I58)&gt;1,"Duplicate row (counted once)",IF(COUNTIF('System map'!$A$4:$A$203,H58)=0,"AIR-ID not on System map",IF(COUNTIF($L$15:$L$64,I58)=0,"Supplier not listed in Table 2b","OK — verify source")))))</f>
        <v/>
      </c>
      <c r="L58" s="27" t="n"/>
      <c r="M58" s="27">
        <f>IF(L58="","",IFERROR(SUMPRODUCT(($I$15:$I$264=L58)*($H$15:$H$264&lt;&gt;"")/COUNTIFS($H$15:$H$264,$H$15:$H$264&amp;"",$I$15:$I$264,$I$15:$I$264&amp;"")),"Check extract"))</f>
        <v/>
      </c>
      <c r="N58" s="49">
        <f>IF(OR(L58="",NOT(ISNUMBER(M58)),NOT(ISNUMBER($D$8))),"",M58/$D$8)</f>
        <v/>
      </c>
      <c r="O58" s="27">
        <f>IF(L58="","",IF(COUNTIF($L$15:$L$64,L58)&gt;1,"Duplicate supplier name",IF(OR(NOT(ISNUMBER(N58)),NOT(ISNUMBER($D$5))),"",IF(AND(M58&gt;0,N58&gt;=$D$5),"Review: concentration",""))))</f>
        <v/>
      </c>
    </row>
    <row r="59">
      <c r="A59" s="25">
        <f>IF(Components!A48="","",Components!A48)</f>
        <v/>
      </c>
      <c r="B59" s="25">
        <f>IF(OR(A59="",Components!B48=""),"",Components!B48)</f>
        <v/>
      </c>
      <c r="C59" s="25">
        <f>IF(OR(A59="",Components!C48=""),"",Components!C48)</f>
        <v/>
      </c>
      <c r="D59" s="25">
        <f>IF(A59="","",COUNTIFS(Relationships!$B$4:$B$1003,"AIR",Relationships!$D$4:$D$1003,"references",Relationships!$F$4:$F$1003,A59,Relationships!$M$4:$M$1003,"Confirmed",Relationships!$N$4:$N$1003,"OK — verify source"))</f>
        <v/>
      </c>
      <c r="E59" s="48">
        <f>IF(OR(A59="",NOT(ISNUMBER($D$6))),"",D59/$D$6)</f>
        <v/>
      </c>
      <c r="F59" s="25">
        <f>IF(OR(NOT(ISNUMBER(E59)),NOT(ISNUMBER($D$5))),"",IF(AND(D59&gt;0,E59&gt;=$D$5),"Review: concentration",""))</f>
        <v/>
      </c>
      <c r="H59" s="25" t="n"/>
      <c r="I59" s="25" t="n"/>
      <c r="J59" s="25">
        <f>IF(COUNTA(H59:I59)=0,"",IF(OR(H59="",I59=""),"AIR-ID or supplier missing",IF(COUNTIFS($H$15:$H$264,H59,$I$15:$I$264,I59)&gt;1,"Duplicate row (counted once)",IF(COUNTIF('System map'!$A$4:$A$203,H59)=0,"AIR-ID not on System map",IF(COUNTIF($L$15:$L$64,I59)=0,"Supplier not listed in Table 2b","OK — verify source")))))</f>
        <v/>
      </c>
      <c r="L59" s="25" t="n"/>
      <c r="M59" s="25">
        <f>IF(L59="","",IFERROR(SUMPRODUCT(($I$15:$I$264=L59)*($H$15:$H$264&lt;&gt;"")/COUNTIFS($H$15:$H$264,$H$15:$H$264&amp;"",$I$15:$I$264,$I$15:$I$264&amp;"")),"Check extract"))</f>
        <v/>
      </c>
      <c r="N59" s="48">
        <f>IF(OR(L59="",NOT(ISNUMBER(M59)),NOT(ISNUMBER($D$8))),"",M59/$D$8)</f>
        <v/>
      </c>
      <c r="O59" s="25">
        <f>IF(L59="","",IF(COUNTIF($L$15:$L$64,L59)&gt;1,"Duplicate supplier name",IF(OR(NOT(ISNUMBER(N59)),NOT(ISNUMBER($D$5))),"",IF(AND(M59&gt;0,N59&gt;=$D$5),"Review: concentration",""))))</f>
        <v/>
      </c>
    </row>
    <row r="60">
      <c r="A60" s="27">
        <f>IF(Components!A49="","",Components!A49)</f>
        <v/>
      </c>
      <c r="B60" s="27">
        <f>IF(OR(A60="",Components!B49=""),"",Components!B49)</f>
        <v/>
      </c>
      <c r="C60" s="27">
        <f>IF(OR(A60="",Components!C49=""),"",Components!C49)</f>
        <v/>
      </c>
      <c r="D60" s="27">
        <f>IF(A60="","",COUNTIFS(Relationships!$B$4:$B$1003,"AIR",Relationships!$D$4:$D$1003,"references",Relationships!$F$4:$F$1003,A60,Relationships!$M$4:$M$1003,"Confirmed",Relationships!$N$4:$N$1003,"OK — verify source"))</f>
        <v/>
      </c>
      <c r="E60" s="49">
        <f>IF(OR(A60="",NOT(ISNUMBER($D$6))),"",D60/$D$6)</f>
        <v/>
      </c>
      <c r="F60" s="27">
        <f>IF(OR(NOT(ISNUMBER(E60)),NOT(ISNUMBER($D$5))),"",IF(AND(D60&gt;0,E60&gt;=$D$5),"Review: concentration",""))</f>
        <v/>
      </c>
      <c r="H60" s="27" t="n"/>
      <c r="I60" s="27" t="n"/>
      <c r="J60" s="27">
        <f>IF(COUNTA(H60:I60)=0,"",IF(OR(H60="",I60=""),"AIR-ID or supplier missing",IF(COUNTIFS($H$15:$H$264,H60,$I$15:$I$264,I60)&gt;1,"Duplicate row (counted once)",IF(COUNTIF('System map'!$A$4:$A$203,H60)=0,"AIR-ID not on System map",IF(COUNTIF($L$15:$L$64,I60)=0,"Supplier not listed in Table 2b","OK — verify source")))))</f>
        <v/>
      </c>
      <c r="L60" s="27" t="n"/>
      <c r="M60" s="27">
        <f>IF(L60="","",IFERROR(SUMPRODUCT(($I$15:$I$264=L60)*($H$15:$H$264&lt;&gt;"")/COUNTIFS($H$15:$H$264,$H$15:$H$264&amp;"",$I$15:$I$264,$I$15:$I$264&amp;"")),"Check extract"))</f>
        <v/>
      </c>
      <c r="N60" s="49">
        <f>IF(OR(L60="",NOT(ISNUMBER(M60)),NOT(ISNUMBER($D$8))),"",M60/$D$8)</f>
        <v/>
      </c>
      <c r="O60" s="27">
        <f>IF(L60="","",IF(COUNTIF($L$15:$L$64,L60)&gt;1,"Duplicate supplier name",IF(OR(NOT(ISNUMBER(N60)),NOT(ISNUMBER($D$5))),"",IF(AND(M60&gt;0,N60&gt;=$D$5),"Review: concentration",""))))</f>
        <v/>
      </c>
    </row>
    <row r="61">
      <c r="A61" s="25">
        <f>IF(Components!A50="","",Components!A50)</f>
        <v/>
      </c>
      <c r="B61" s="25">
        <f>IF(OR(A61="",Components!B50=""),"",Components!B50)</f>
        <v/>
      </c>
      <c r="C61" s="25">
        <f>IF(OR(A61="",Components!C50=""),"",Components!C50)</f>
        <v/>
      </c>
      <c r="D61" s="25">
        <f>IF(A61="","",COUNTIFS(Relationships!$B$4:$B$1003,"AIR",Relationships!$D$4:$D$1003,"references",Relationships!$F$4:$F$1003,A61,Relationships!$M$4:$M$1003,"Confirmed",Relationships!$N$4:$N$1003,"OK — verify source"))</f>
        <v/>
      </c>
      <c r="E61" s="48">
        <f>IF(OR(A61="",NOT(ISNUMBER($D$6))),"",D61/$D$6)</f>
        <v/>
      </c>
      <c r="F61" s="25">
        <f>IF(OR(NOT(ISNUMBER(E61)),NOT(ISNUMBER($D$5))),"",IF(AND(D61&gt;0,E61&gt;=$D$5),"Review: concentration",""))</f>
        <v/>
      </c>
      <c r="H61" s="25" t="n"/>
      <c r="I61" s="25" t="n"/>
      <c r="J61" s="25">
        <f>IF(COUNTA(H61:I61)=0,"",IF(OR(H61="",I61=""),"AIR-ID or supplier missing",IF(COUNTIFS($H$15:$H$264,H61,$I$15:$I$264,I61)&gt;1,"Duplicate row (counted once)",IF(COUNTIF('System map'!$A$4:$A$203,H61)=0,"AIR-ID not on System map",IF(COUNTIF($L$15:$L$64,I61)=0,"Supplier not listed in Table 2b","OK — verify source")))))</f>
        <v/>
      </c>
      <c r="L61" s="25" t="n"/>
      <c r="M61" s="25">
        <f>IF(L61="","",IFERROR(SUMPRODUCT(($I$15:$I$264=L61)*($H$15:$H$264&lt;&gt;"")/COUNTIFS($H$15:$H$264,$H$15:$H$264&amp;"",$I$15:$I$264,$I$15:$I$264&amp;"")),"Check extract"))</f>
        <v/>
      </c>
      <c r="N61" s="48">
        <f>IF(OR(L61="",NOT(ISNUMBER(M61)),NOT(ISNUMBER($D$8))),"",M61/$D$8)</f>
        <v/>
      </c>
      <c r="O61" s="25">
        <f>IF(L61="","",IF(COUNTIF($L$15:$L$64,L61)&gt;1,"Duplicate supplier name",IF(OR(NOT(ISNUMBER(N61)),NOT(ISNUMBER($D$5))),"",IF(AND(M61&gt;0,N61&gt;=$D$5),"Review: concentration",""))))</f>
        <v/>
      </c>
    </row>
    <row r="62">
      <c r="A62" s="27">
        <f>IF(Components!A51="","",Components!A51)</f>
        <v/>
      </c>
      <c r="B62" s="27">
        <f>IF(OR(A62="",Components!B51=""),"",Components!B51)</f>
        <v/>
      </c>
      <c r="C62" s="27">
        <f>IF(OR(A62="",Components!C51=""),"",Components!C51)</f>
        <v/>
      </c>
      <c r="D62" s="27">
        <f>IF(A62="","",COUNTIFS(Relationships!$B$4:$B$1003,"AIR",Relationships!$D$4:$D$1003,"references",Relationships!$F$4:$F$1003,A62,Relationships!$M$4:$M$1003,"Confirmed",Relationships!$N$4:$N$1003,"OK — verify source"))</f>
        <v/>
      </c>
      <c r="E62" s="49">
        <f>IF(OR(A62="",NOT(ISNUMBER($D$6))),"",D62/$D$6)</f>
        <v/>
      </c>
      <c r="F62" s="27">
        <f>IF(OR(NOT(ISNUMBER(E62)),NOT(ISNUMBER($D$5))),"",IF(AND(D62&gt;0,E62&gt;=$D$5),"Review: concentration",""))</f>
        <v/>
      </c>
      <c r="H62" s="27" t="n"/>
      <c r="I62" s="27" t="n"/>
      <c r="J62" s="27">
        <f>IF(COUNTA(H62:I62)=0,"",IF(OR(H62="",I62=""),"AIR-ID or supplier missing",IF(COUNTIFS($H$15:$H$264,H62,$I$15:$I$264,I62)&gt;1,"Duplicate row (counted once)",IF(COUNTIF('System map'!$A$4:$A$203,H62)=0,"AIR-ID not on System map",IF(COUNTIF($L$15:$L$64,I62)=0,"Supplier not listed in Table 2b","OK — verify source")))))</f>
        <v/>
      </c>
      <c r="L62" s="27" t="n"/>
      <c r="M62" s="27">
        <f>IF(L62="","",IFERROR(SUMPRODUCT(($I$15:$I$264=L62)*($H$15:$H$264&lt;&gt;"")/COUNTIFS($H$15:$H$264,$H$15:$H$264&amp;"",$I$15:$I$264,$I$15:$I$264&amp;"")),"Check extract"))</f>
        <v/>
      </c>
      <c r="N62" s="49">
        <f>IF(OR(L62="",NOT(ISNUMBER(M62)),NOT(ISNUMBER($D$8))),"",M62/$D$8)</f>
        <v/>
      </c>
      <c r="O62" s="27">
        <f>IF(L62="","",IF(COUNTIF($L$15:$L$64,L62)&gt;1,"Duplicate supplier name",IF(OR(NOT(ISNUMBER(N62)),NOT(ISNUMBER($D$5))),"",IF(AND(M62&gt;0,N62&gt;=$D$5),"Review: concentration",""))))</f>
        <v/>
      </c>
    </row>
    <row r="63">
      <c r="A63" s="25">
        <f>IF(Components!A52="","",Components!A52)</f>
        <v/>
      </c>
      <c r="B63" s="25">
        <f>IF(OR(A63="",Components!B52=""),"",Components!B52)</f>
        <v/>
      </c>
      <c r="C63" s="25">
        <f>IF(OR(A63="",Components!C52=""),"",Components!C52)</f>
        <v/>
      </c>
      <c r="D63" s="25">
        <f>IF(A63="","",COUNTIFS(Relationships!$B$4:$B$1003,"AIR",Relationships!$D$4:$D$1003,"references",Relationships!$F$4:$F$1003,A63,Relationships!$M$4:$M$1003,"Confirmed",Relationships!$N$4:$N$1003,"OK — verify source"))</f>
        <v/>
      </c>
      <c r="E63" s="48">
        <f>IF(OR(A63="",NOT(ISNUMBER($D$6))),"",D63/$D$6)</f>
        <v/>
      </c>
      <c r="F63" s="25">
        <f>IF(OR(NOT(ISNUMBER(E63)),NOT(ISNUMBER($D$5))),"",IF(AND(D63&gt;0,E63&gt;=$D$5),"Review: concentration",""))</f>
        <v/>
      </c>
      <c r="H63" s="25" t="n"/>
      <c r="I63" s="25" t="n"/>
      <c r="J63" s="25">
        <f>IF(COUNTA(H63:I63)=0,"",IF(OR(H63="",I63=""),"AIR-ID or supplier missing",IF(COUNTIFS($H$15:$H$264,H63,$I$15:$I$264,I63)&gt;1,"Duplicate row (counted once)",IF(COUNTIF('System map'!$A$4:$A$203,H63)=0,"AIR-ID not on System map",IF(COUNTIF($L$15:$L$64,I63)=0,"Supplier not listed in Table 2b","OK — verify source")))))</f>
        <v/>
      </c>
      <c r="L63" s="25" t="n"/>
      <c r="M63" s="25">
        <f>IF(L63="","",IFERROR(SUMPRODUCT(($I$15:$I$264=L63)*($H$15:$H$264&lt;&gt;"")/COUNTIFS($H$15:$H$264,$H$15:$H$264&amp;"",$I$15:$I$264,$I$15:$I$264&amp;"")),"Check extract"))</f>
        <v/>
      </c>
      <c r="N63" s="48">
        <f>IF(OR(L63="",NOT(ISNUMBER(M63)),NOT(ISNUMBER($D$8))),"",M63/$D$8)</f>
        <v/>
      </c>
      <c r="O63" s="25">
        <f>IF(L63="","",IF(COUNTIF($L$15:$L$64,L63)&gt;1,"Duplicate supplier name",IF(OR(NOT(ISNUMBER(N63)),NOT(ISNUMBER($D$5))),"",IF(AND(M63&gt;0,N63&gt;=$D$5),"Review: concentration",""))))</f>
        <v/>
      </c>
    </row>
    <row r="64">
      <c r="A64" s="27">
        <f>IF(Components!A53="","",Components!A53)</f>
        <v/>
      </c>
      <c r="B64" s="27">
        <f>IF(OR(A64="",Components!B53=""),"",Components!B53)</f>
        <v/>
      </c>
      <c r="C64" s="27">
        <f>IF(OR(A64="",Components!C53=""),"",Components!C53)</f>
        <v/>
      </c>
      <c r="D64" s="27">
        <f>IF(A64="","",COUNTIFS(Relationships!$B$4:$B$1003,"AIR",Relationships!$D$4:$D$1003,"references",Relationships!$F$4:$F$1003,A64,Relationships!$M$4:$M$1003,"Confirmed",Relationships!$N$4:$N$1003,"OK — verify source"))</f>
        <v/>
      </c>
      <c r="E64" s="49">
        <f>IF(OR(A64="",NOT(ISNUMBER($D$6))),"",D64/$D$6)</f>
        <v/>
      </c>
      <c r="F64" s="27">
        <f>IF(OR(NOT(ISNUMBER(E64)),NOT(ISNUMBER($D$5))),"",IF(AND(D64&gt;0,E64&gt;=$D$5),"Review: concentration",""))</f>
        <v/>
      </c>
      <c r="H64" s="27" t="n"/>
      <c r="I64" s="27" t="n"/>
      <c r="J64" s="27">
        <f>IF(COUNTA(H64:I64)=0,"",IF(OR(H64="",I64=""),"AIR-ID or supplier missing",IF(COUNTIFS($H$15:$H$264,H64,$I$15:$I$264,I64)&gt;1,"Duplicate row (counted once)",IF(COUNTIF('System map'!$A$4:$A$203,H64)=0,"AIR-ID not on System map",IF(COUNTIF($L$15:$L$64,I64)=0,"Supplier not listed in Table 2b","OK — verify source")))))</f>
        <v/>
      </c>
      <c r="L64" s="27" t="n"/>
      <c r="M64" s="27">
        <f>IF(L64="","",IFERROR(SUMPRODUCT(($I$15:$I$264=L64)*($H$15:$H$264&lt;&gt;"")/COUNTIFS($H$15:$H$264,$H$15:$H$264&amp;"",$I$15:$I$264,$I$15:$I$264&amp;"")),"Check extract"))</f>
        <v/>
      </c>
      <c r="N64" s="49">
        <f>IF(OR(L64="",NOT(ISNUMBER(M64)),NOT(ISNUMBER($D$8))),"",M64/$D$8)</f>
        <v/>
      </c>
      <c r="O64" s="27">
        <f>IF(L64="","",IF(COUNTIF($L$15:$L$64,L64)&gt;1,"Duplicate supplier name",IF(OR(NOT(ISNUMBER(N64)),NOT(ISNUMBER($D$5))),"",IF(AND(M64&gt;0,N64&gt;=$D$5),"Review: concentration",""))))</f>
        <v/>
      </c>
    </row>
    <row r="65">
      <c r="A65" s="25">
        <f>IF(Components!A54="","",Components!A54)</f>
        <v/>
      </c>
      <c r="B65" s="25">
        <f>IF(OR(A65="",Components!B54=""),"",Components!B54)</f>
        <v/>
      </c>
      <c r="C65" s="25">
        <f>IF(OR(A65="",Components!C54=""),"",Components!C54)</f>
        <v/>
      </c>
      <c r="D65" s="25">
        <f>IF(A65="","",COUNTIFS(Relationships!$B$4:$B$1003,"AIR",Relationships!$D$4:$D$1003,"references",Relationships!$F$4:$F$1003,A65,Relationships!$M$4:$M$1003,"Confirmed",Relationships!$N$4:$N$1003,"OK — verify source"))</f>
        <v/>
      </c>
      <c r="E65" s="48">
        <f>IF(OR(A65="",NOT(ISNUMBER($D$6))),"",D65/$D$6)</f>
        <v/>
      </c>
      <c r="F65" s="25">
        <f>IF(OR(NOT(ISNUMBER(E65)),NOT(ISNUMBER($D$5))),"",IF(AND(D65&gt;0,E65&gt;=$D$5),"Review: concentration",""))</f>
        <v/>
      </c>
      <c r="H65" s="25" t="n"/>
      <c r="I65" s="25" t="n"/>
      <c r="J65" s="25">
        <f>IF(COUNTA(H65:I65)=0,"",IF(OR(H65="",I65=""),"AIR-ID or supplier missing",IF(COUNTIFS($H$15:$H$264,H65,$I$15:$I$264,I65)&gt;1,"Duplicate row (counted once)",IF(COUNTIF('System map'!$A$4:$A$203,H65)=0,"AIR-ID not on System map",IF(COUNTIF($L$15:$L$64,I65)=0,"Supplier not listed in Table 2b","OK — verify source")))))</f>
        <v/>
      </c>
    </row>
    <row r="66">
      <c r="A66" s="27">
        <f>IF(Components!A55="","",Components!A55)</f>
        <v/>
      </c>
      <c r="B66" s="27">
        <f>IF(OR(A66="",Components!B55=""),"",Components!B55)</f>
        <v/>
      </c>
      <c r="C66" s="27">
        <f>IF(OR(A66="",Components!C55=""),"",Components!C55)</f>
        <v/>
      </c>
      <c r="D66" s="27">
        <f>IF(A66="","",COUNTIFS(Relationships!$B$4:$B$1003,"AIR",Relationships!$D$4:$D$1003,"references",Relationships!$F$4:$F$1003,A66,Relationships!$M$4:$M$1003,"Confirmed",Relationships!$N$4:$N$1003,"OK — verify source"))</f>
        <v/>
      </c>
      <c r="E66" s="49">
        <f>IF(OR(A66="",NOT(ISNUMBER($D$6))),"",D66/$D$6)</f>
        <v/>
      </c>
      <c r="F66" s="27">
        <f>IF(OR(NOT(ISNUMBER(E66)),NOT(ISNUMBER($D$5))),"",IF(AND(D66&gt;0,E66&gt;=$D$5),"Review: concentration",""))</f>
        <v/>
      </c>
      <c r="H66" s="27" t="n"/>
      <c r="I66" s="27" t="n"/>
      <c r="J66" s="27">
        <f>IF(COUNTA(H66:I66)=0,"",IF(OR(H66="",I66=""),"AIR-ID or supplier missing",IF(COUNTIFS($H$15:$H$264,H66,$I$15:$I$264,I66)&gt;1,"Duplicate row (counted once)",IF(COUNTIF('System map'!$A$4:$A$203,H66)=0,"AIR-ID not on System map",IF(COUNTIF($L$15:$L$64,I66)=0,"Supplier not listed in Table 2b","OK — verify source")))))</f>
        <v/>
      </c>
    </row>
    <row r="67">
      <c r="A67" s="25">
        <f>IF(Components!A56="","",Components!A56)</f>
        <v/>
      </c>
      <c r="B67" s="25">
        <f>IF(OR(A67="",Components!B56=""),"",Components!B56)</f>
        <v/>
      </c>
      <c r="C67" s="25">
        <f>IF(OR(A67="",Components!C56=""),"",Components!C56)</f>
        <v/>
      </c>
      <c r="D67" s="25">
        <f>IF(A67="","",COUNTIFS(Relationships!$B$4:$B$1003,"AIR",Relationships!$D$4:$D$1003,"references",Relationships!$F$4:$F$1003,A67,Relationships!$M$4:$M$1003,"Confirmed",Relationships!$N$4:$N$1003,"OK — verify source"))</f>
        <v/>
      </c>
      <c r="E67" s="48">
        <f>IF(OR(A67="",NOT(ISNUMBER($D$6))),"",D67/$D$6)</f>
        <v/>
      </c>
      <c r="F67" s="25">
        <f>IF(OR(NOT(ISNUMBER(E67)),NOT(ISNUMBER($D$5))),"",IF(AND(D67&gt;0,E67&gt;=$D$5),"Review: concentration",""))</f>
        <v/>
      </c>
      <c r="H67" s="25" t="n"/>
      <c r="I67" s="25" t="n"/>
      <c r="J67" s="25">
        <f>IF(COUNTA(H67:I67)=0,"",IF(OR(H67="",I67=""),"AIR-ID or supplier missing",IF(COUNTIFS($H$15:$H$264,H67,$I$15:$I$264,I67)&gt;1,"Duplicate row (counted once)",IF(COUNTIF('System map'!$A$4:$A$203,H67)=0,"AIR-ID not on System map",IF(COUNTIF($L$15:$L$64,I67)=0,"Supplier not listed in Table 2b","OK — verify source")))))</f>
        <v/>
      </c>
    </row>
    <row r="68">
      <c r="A68" s="27">
        <f>IF(Components!A57="","",Components!A57)</f>
        <v/>
      </c>
      <c r="B68" s="27">
        <f>IF(OR(A68="",Components!B57=""),"",Components!B57)</f>
        <v/>
      </c>
      <c r="C68" s="27">
        <f>IF(OR(A68="",Components!C57=""),"",Components!C57)</f>
        <v/>
      </c>
      <c r="D68" s="27">
        <f>IF(A68="","",COUNTIFS(Relationships!$B$4:$B$1003,"AIR",Relationships!$D$4:$D$1003,"references",Relationships!$F$4:$F$1003,A68,Relationships!$M$4:$M$1003,"Confirmed",Relationships!$N$4:$N$1003,"OK — verify source"))</f>
        <v/>
      </c>
      <c r="E68" s="49">
        <f>IF(OR(A68="",NOT(ISNUMBER($D$6))),"",D68/$D$6)</f>
        <v/>
      </c>
      <c r="F68" s="27">
        <f>IF(OR(NOT(ISNUMBER(E68)),NOT(ISNUMBER($D$5))),"",IF(AND(D68&gt;0,E68&gt;=$D$5),"Review: concentration",""))</f>
        <v/>
      </c>
      <c r="H68" s="27" t="n"/>
      <c r="I68" s="27" t="n"/>
      <c r="J68" s="27">
        <f>IF(COUNTA(H68:I68)=0,"",IF(OR(H68="",I68=""),"AIR-ID or supplier missing",IF(COUNTIFS($H$15:$H$264,H68,$I$15:$I$264,I68)&gt;1,"Duplicate row (counted once)",IF(COUNTIF('System map'!$A$4:$A$203,H68)=0,"AIR-ID not on System map",IF(COUNTIF($L$15:$L$64,I68)=0,"Supplier not listed in Table 2b","OK — verify source")))))</f>
        <v/>
      </c>
    </row>
    <row r="69">
      <c r="A69" s="25">
        <f>IF(Components!A58="","",Components!A58)</f>
        <v/>
      </c>
      <c r="B69" s="25">
        <f>IF(OR(A69="",Components!B58=""),"",Components!B58)</f>
        <v/>
      </c>
      <c r="C69" s="25">
        <f>IF(OR(A69="",Components!C58=""),"",Components!C58)</f>
        <v/>
      </c>
      <c r="D69" s="25">
        <f>IF(A69="","",COUNTIFS(Relationships!$B$4:$B$1003,"AIR",Relationships!$D$4:$D$1003,"references",Relationships!$F$4:$F$1003,A69,Relationships!$M$4:$M$1003,"Confirmed",Relationships!$N$4:$N$1003,"OK — verify source"))</f>
        <v/>
      </c>
      <c r="E69" s="48">
        <f>IF(OR(A69="",NOT(ISNUMBER($D$6))),"",D69/$D$6)</f>
        <v/>
      </c>
      <c r="F69" s="25">
        <f>IF(OR(NOT(ISNUMBER(E69)),NOT(ISNUMBER($D$5))),"",IF(AND(D69&gt;0,E69&gt;=$D$5),"Review: concentration",""))</f>
        <v/>
      </c>
      <c r="H69" s="25" t="n"/>
      <c r="I69" s="25" t="n"/>
      <c r="J69" s="25">
        <f>IF(COUNTA(H69:I69)=0,"",IF(OR(H69="",I69=""),"AIR-ID or supplier missing",IF(COUNTIFS($H$15:$H$264,H69,$I$15:$I$264,I69)&gt;1,"Duplicate row (counted once)",IF(COUNTIF('System map'!$A$4:$A$203,H69)=0,"AIR-ID not on System map",IF(COUNTIF($L$15:$L$64,I69)=0,"Supplier not listed in Table 2b","OK — verify source")))))</f>
        <v/>
      </c>
    </row>
    <row r="70">
      <c r="A70" s="27">
        <f>IF(Components!A59="","",Components!A59)</f>
        <v/>
      </c>
      <c r="B70" s="27">
        <f>IF(OR(A70="",Components!B59=""),"",Components!B59)</f>
        <v/>
      </c>
      <c r="C70" s="27">
        <f>IF(OR(A70="",Components!C59=""),"",Components!C59)</f>
        <v/>
      </c>
      <c r="D70" s="27">
        <f>IF(A70="","",COUNTIFS(Relationships!$B$4:$B$1003,"AIR",Relationships!$D$4:$D$1003,"references",Relationships!$F$4:$F$1003,A70,Relationships!$M$4:$M$1003,"Confirmed",Relationships!$N$4:$N$1003,"OK — verify source"))</f>
        <v/>
      </c>
      <c r="E70" s="49">
        <f>IF(OR(A70="",NOT(ISNUMBER($D$6))),"",D70/$D$6)</f>
        <v/>
      </c>
      <c r="F70" s="27">
        <f>IF(OR(NOT(ISNUMBER(E70)),NOT(ISNUMBER($D$5))),"",IF(AND(D70&gt;0,E70&gt;=$D$5),"Review: concentration",""))</f>
        <v/>
      </c>
      <c r="H70" s="27" t="n"/>
      <c r="I70" s="27" t="n"/>
      <c r="J70" s="27">
        <f>IF(COUNTA(H70:I70)=0,"",IF(OR(H70="",I70=""),"AIR-ID or supplier missing",IF(COUNTIFS($H$15:$H$264,H70,$I$15:$I$264,I70)&gt;1,"Duplicate row (counted once)",IF(COUNTIF('System map'!$A$4:$A$203,H70)=0,"AIR-ID not on System map",IF(COUNTIF($L$15:$L$64,I70)=0,"Supplier not listed in Table 2b","OK — verify source")))))</f>
        <v/>
      </c>
    </row>
    <row r="71">
      <c r="A71" s="25">
        <f>IF(Components!A60="","",Components!A60)</f>
        <v/>
      </c>
      <c r="B71" s="25">
        <f>IF(OR(A71="",Components!B60=""),"",Components!B60)</f>
        <v/>
      </c>
      <c r="C71" s="25">
        <f>IF(OR(A71="",Components!C60=""),"",Components!C60)</f>
        <v/>
      </c>
      <c r="D71" s="25">
        <f>IF(A71="","",COUNTIFS(Relationships!$B$4:$B$1003,"AIR",Relationships!$D$4:$D$1003,"references",Relationships!$F$4:$F$1003,A71,Relationships!$M$4:$M$1003,"Confirmed",Relationships!$N$4:$N$1003,"OK — verify source"))</f>
        <v/>
      </c>
      <c r="E71" s="48">
        <f>IF(OR(A71="",NOT(ISNUMBER($D$6))),"",D71/$D$6)</f>
        <v/>
      </c>
      <c r="F71" s="25">
        <f>IF(OR(NOT(ISNUMBER(E71)),NOT(ISNUMBER($D$5))),"",IF(AND(D71&gt;0,E71&gt;=$D$5),"Review: concentration",""))</f>
        <v/>
      </c>
      <c r="H71" s="25" t="n"/>
      <c r="I71" s="25" t="n"/>
      <c r="J71" s="25">
        <f>IF(COUNTA(H71:I71)=0,"",IF(OR(H71="",I71=""),"AIR-ID or supplier missing",IF(COUNTIFS($H$15:$H$264,H71,$I$15:$I$264,I71)&gt;1,"Duplicate row (counted once)",IF(COUNTIF('System map'!$A$4:$A$203,H71)=0,"AIR-ID not on System map",IF(COUNTIF($L$15:$L$64,I71)=0,"Supplier not listed in Table 2b","OK — verify source")))))</f>
        <v/>
      </c>
    </row>
    <row r="72">
      <c r="A72" s="27">
        <f>IF(Components!A61="","",Components!A61)</f>
        <v/>
      </c>
      <c r="B72" s="27">
        <f>IF(OR(A72="",Components!B61=""),"",Components!B61)</f>
        <v/>
      </c>
      <c r="C72" s="27">
        <f>IF(OR(A72="",Components!C61=""),"",Components!C61)</f>
        <v/>
      </c>
      <c r="D72" s="27">
        <f>IF(A72="","",COUNTIFS(Relationships!$B$4:$B$1003,"AIR",Relationships!$D$4:$D$1003,"references",Relationships!$F$4:$F$1003,A72,Relationships!$M$4:$M$1003,"Confirmed",Relationships!$N$4:$N$1003,"OK — verify source"))</f>
        <v/>
      </c>
      <c r="E72" s="49">
        <f>IF(OR(A72="",NOT(ISNUMBER($D$6))),"",D72/$D$6)</f>
        <v/>
      </c>
      <c r="F72" s="27">
        <f>IF(OR(NOT(ISNUMBER(E72)),NOT(ISNUMBER($D$5))),"",IF(AND(D72&gt;0,E72&gt;=$D$5),"Review: concentration",""))</f>
        <v/>
      </c>
      <c r="H72" s="27" t="n"/>
      <c r="I72" s="27" t="n"/>
      <c r="J72" s="27">
        <f>IF(COUNTA(H72:I72)=0,"",IF(OR(H72="",I72=""),"AIR-ID or supplier missing",IF(COUNTIFS($H$15:$H$264,H72,$I$15:$I$264,I72)&gt;1,"Duplicate row (counted once)",IF(COUNTIF('System map'!$A$4:$A$203,H72)=0,"AIR-ID not on System map",IF(COUNTIF($L$15:$L$64,I72)=0,"Supplier not listed in Table 2b","OK — verify source")))))</f>
        <v/>
      </c>
    </row>
    <row r="73">
      <c r="A73" s="25">
        <f>IF(Components!A62="","",Components!A62)</f>
        <v/>
      </c>
      <c r="B73" s="25">
        <f>IF(OR(A73="",Components!B62=""),"",Components!B62)</f>
        <v/>
      </c>
      <c r="C73" s="25">
        <f>IF(OR(A73="",Components!C62=""),"",Components!C62)</f>
        <v/>
      </c>
      <c r="D73" s="25">
        <f>IF(A73="","",COUNTIFS(Relationships!$B$4:$B$1003,"AIR",Relationships!$D$4:$D$1003,"references",Relationships!$F$4:$F$1003,A73,Relationships!$M$4:$M$1003,"Confirmed",Relationships!$N$4:$N$1003,"OK — verify source"))</f>
        <v/>
      </c>
      <c r="E73" s="48">
        <f>IF(OR(A73="",NOT(ISNUMBER($D$6))),"",D73/$D$6)</f>
        <v/>
      </c>
      <c r="F73" s="25">
        <f>IF(OR(NOT(ISNUMBER(E73)),NOT(ISNUMBER($D$5))),"",IF(AND(D73&gt;0,E73&gt;=$D$5),"Review: concentration",""))</f>
        <v/>
      </c>
      <c r="H73" s="25" t="n"/>
      <c r="I73" s="25" t="n"/>
      <c r="J73" s="25">
        <f>IF(COUNTA(H73:I73)=0,"",IF(OR(H73="",I73=""),"AIR-ID or supplier missing",IF(COUNTIFS($H$15:$H$264,H73,$I$15:$I$264,I73)&gt;1,"Duplicate row (counted once)",IF(COUNTIF('System map'!$A$4:$A$203,H73)=0,"AIR-ID not on System map",IF(COUNTIF($L$15:$L$64,I73)=0,"Supplier not listed in Table 2b","OK — verify source")))))</f>
        <v/>
      </c>
    </row>
    <row r="74">
      <c r="A74" s="27">
        <f>IF(Components!A63="","",Components!A63)</f>
        <v/>
      </c>
      <c r="B74" s="27">
        <f>IF(OR(A74="",Components!B63=""),"",Components!B63)</f>
        <v/>
      </c>
      <c r="C74" s="27">
        <f>IF(OR(A74="",Components!C63=""),"",Components!C63)</f>
        <v/>
      </c>
      <c r="D74" s="27">
        <f>IF(A74="","",COUNTIFS(Relationships!$B$4:$B$1003,"AIR",Relationships!$D$4:$D$1003,"references",Relationships!$F$4:$F$1003,A74,Relationships!$M$4:$M$1003,"Confirmed",Relationships!$N$4:$N$1003,"OK — verify source"))</f>
        <v/>
      </c>
      <c r="E74" s="49">
        <f>IF(OR(A74="",NOT(ISNUMBER($D$6))),"",D74/$D$6)</f>
        <v/>
      </c>
      <c r="F74" s="27">
        <f>IF(OR(NOT(ISNUMBER(E74)),NOT(ISNUMBER($D$5))),"",IF(AND(D74&gt;0,E74&gt;=$D$5),"Review: concentration",""))</f>
        <v/>
      </c>
      <c r="H74" s="27" t="n"/>
      <c r="I74" s="27" t="n"/>
      <c r="J74" s="27">
        <f>IF(COUNTA(H74:I74)=0,"",IF(OR(H74="",I74=""),"AIR-ID or supplier missing",IF(COUNTIFS($H$15:$H$264,H74,$I$15:$I$264,I74)&gt;1,"Duplicate row (counted once)",IF(COUNTIF('System map'!$A$4:$A$203,H74)=0,"AIR-ID not on System map",IF(COUNTIF($L$15:$L$64,I74)=0,"Supplier not listed in Table 2b","OK — verify source")))))</f>
        <v/>
      </c>
    </row>
    <row r="75">
      <c r="A75" s="25">
        <f>IF(Components!A64="","",Components!A64)</f>
        <v/>
      </c>
      <c r="B75" s="25">
        <f>IF(OR(A75="",Components!B64=""),"",Components!B64)</f>
        <v/>
      </c>
      <c r="C75" s="25">
        <f>IF(OR(A75="",Components!C64=""),"",Components!C64)</f>
        <v/>
      </c>
      <c r="D75" s="25">
        <f>IF(A75="","",COUNTIFS(Relationships!$B$4:$B$1003,"AIR",Relationships!$D$4:$D$1003,"references",Relationships!$F$4:$F$1003,A75,Relationships!$M$4:$M$1003,"Confirmed",Relationships!$N$4:$N$1003,"OK — verify source"))</f>
        <v/>
      </c>
      <c r="E75" s="48">
        <f>IF(OR(A75="",NOT(ISNUMBER($D$6))),"",D75/$D$6)</f>
        <v/>
      </c>
      <c r="F75" s="25">
        <f>IF(OR(NOT(ISNUMBER(E75)),NOT(ISNUMBER($D$5))),"",IF(AND(D75&gt;0,E75&gt;=$D$5),"Review: concentration",""))</f>
        <v/>
      </c>
      <c r="H75" s="25" t="n"/>
      <c r="I75" s="25" t="n"/>
      <c r="J75" s="25">
        <f>IF(COUNTA(H75:I75)=0,"",IF(OR(H75="",I75=""),"AIR-ID or supplier missing",IF(COUNTIFS($H$15:$H$264,H75,$I$15:$I$264,I75)&gt;1,"Duplicate row (counted once)",IF(COUNTIF('System map'!$A$4:$A$203,H75)=0,"AIR-ID not on System map",IF(COUNTIF($L$15:$L$64,I75)=0,"Supplier not listed in Table 2b","OK — verify source")))))</f>
        <v/>
      </c>
    </row>
    <row r="76">
      <c r="A76" s="27">
        <f>IF(Components!A65="","",Components!A65)</f>
        <v/>
      </c>
      <c r="B76" s="27">
        <f>IF(OR(A76="",Components!B65=""),"",Components!B65)</f>
        <v/>
      </c>
      <c r="C76" s="27">
        <f>IF(OR(A76="",Components!C65=""),"",Components!C65)</f>
        <v/>
      </c>
      <c r="D76" s="27">
        <f>IF(A76="","",COUNTIFS(Relationships!$B$4:$B$1003,"AIR",Relationships!$D$4:$D$1003,"references",Relationships!$F$4:$F$1003,A76,Relationships!$M$4:$M$1003,"Confirmed",Relationships!$N$4:$N$1003,"OK — verify source"))</f>
        <v/>
      </c>
      <c r="E76" s="49">
        <f>IF(OR(A76="",NOT(ISNUMBER($D$6))),"",D76/$D$6)</f>
        <v/>
      </c>
      <c r="F76" s="27">
        <f>IF(OR(NOT(ISNUMBER(E76)),NOT(ISNUMBER($D$5))),"",IF(AND(D76&gt;0,E76&gt;=$D$5),"Review: concentration",""))</f>
        <v/>
      </c>
      <c r="H76" s="27" t="n"/>
      <c r="I76" s="27" t="n"/>
      <c r="J76" s="27">
        <f>IF(COUNTA(H76:I76)=0,"",IF(OR(H76="",I76=""),"AIR-ID or supplier missing",IF(COUNTIFS($H$15:$H$264,H76,$I$15:$I$264,I76)&gt;1,"Duplicate row (counted once)",IF(COUNTIF('System map'!$A$4:$A$203,H76)=0,"AIR-ID not on System map",IF(COUNTIF($L$15:$L$64,I76)=0,"Supplier not listed in Table 2b","OK — verify source")))))</f>
        <v/>
      </c>
    </row>
    <row r="77">
      <c r="A77" s="25">
        <f>IF(Components!A66="","",Components!A66)</f>
        <v/>
      </c>
      <c r="B77" s="25">
        <f>IF(OR(A77="",Components!B66=""),"",Components!B66)</f>
        <v/>
      </c>
      <c r="C77" s="25">
        <f>IF(OR(A77="",Components!C66=""),"",Components!C66)</f>
        <v/>
      </c>
      <c r="D77" s="25">
        <f>IF(A77="","",COUNTIFS(Relationships!$B$4:$B$1003,"AIR",Relationships!$D$4:$D$1003,"references",Relationships!$F$4:$F$1003,A77,Relationships!$M$4:$M$1003,"Confirmed",Relationships!$N$4:$N$1003,"OK — verify source"))</f>
        <v/>
      </c>
      <c r="E77" s="48">
        <f>IF(OR(A77="",NOT(ISNUMBER($D$6))),"",D77/$D$6)</f>
        <v/>
      </c>
      <c r="F77" s="25">
        <f>IF(OR(NOT(ISNUMBER(E77)),NOT(ISNUMBER($D$5))),"",IF(AND(D77&gt;0,E77&gt;=$D$5),"Review: concentration",""))</f>
        <v/>
      </c>
      <c r="H77" s="25" t="n"/>
      <c r="I77" s="25" t="n"/>
      <c r="J77" s="25">
        <f>IF(COUNTA(H77:I77)=0,"",IF(OR(H77="",I77=""),"AIR-ID or supplier missing",IF(COUNTIFS($H$15:$H$264,H77,$I$15:$I$264,I77)&gt;1,"Duplicate row (counted once)",IF(COUNTIF('System map'!$A$4:$A$203,H77)=0,"AIR-ID not on System map",IF(COUNTIF($L$15:$L$64,I77)=0,"Supplier not listed in Table 2b","OK — verify source")))))</f>
        <v/>
      </c>
    </row>
    <row r="78">
      <c r="A78" s="27">
        <f>IF(Components!A67="","",Components!A67)</f>
        <v/>
      </c>
      <c r="B78" s="27">
        <f>IF(OR(A78="",Components!B67=""),"",Components!B67)</f>
        <v/>
      </c>
      <c r="C78" s="27">
        <f>IF(OR(A78="",Components!C67=""),"",Components!C67)</f>
        <v/>
      </c>
      <c r="D78" s="27">
        <f>IF(A78="","",COUNTIFS(Relationships!$B$4:$B$1003,"AIR",Relationships!$D$4:$D$1003,"references",Relationships!$F$4:$F$1003,A78,Relationships!$M$4:$M$1003,"Confirmed",Relationships!$N$4:$N$1003,"OK — verify source"))</f>
        <v/>
      </c>
      <c r="E78" s="49">
        <f>IF(OR(A78="",NOT(ISNUMBER($D$6))),"",D78/$D$6)</f>
        <v/>
      </c>
      <c r="F78" s="27">
        <f>IF(OR(NOT(ISNUMBER(E78)),NOT(ISNUMBER($D$5))),"",IF(AND(D78&gt;0,E78&gt;=$D$5),"Review: concentration",""))</f>
        <v/>
      </c>
      <c r="H78" s="27" t="n"/>
      <c r="I78" s="27" t="n"/>
      <c r="J78" s="27">
        <f>IF(COUNTA(H78:I78)=0,"",IF(OR(H78="",I78=""),"AIR-ID or supplier missing",IF(COUNTIFS($H$15:$H$264,H78,$I$15:$I$264,I78)&gt;1,"Duplicate row (counted once)",IF(COUNTIF('System map'!$A$4:$A$203,H78)=0,"AIR-ID not on System map",IF(COUNTIF($L$15:$L$64,I78)=0,"Supplier not listed in Table 2b","OK — verify source")))))</f>
        <v/>
      </c>
    </row>
    <row r="79">
      <c r="A79" s="25">
        <f>IF(Components!A68="","",Components!A68)</f>
        <v/>
      </c>
      <c r="B79" s="25">
        <f>IF(OR(A79="",Components!B68=""),"",Components!B68)</f>
        <v/>
      </c>
      <c r="C79" s="25">
        <f>IF(OR(A79="",Components!C68=""),"",Components!C68)</f>
        <v/>
      </c>
      <c r="D79" s="25">
        <f>IF(A79="","",COUNTIFS(Relationships!$B$4:$B$1003,"AIR",Relationships!$D$4:$D$1003,"references",Relationships!$F$4:$F$1003,A79,Relationships!$M$4:$M$1003,"Confirmed",Relationships!$N$4:$N$1003,"OK — verify source"))</f>
        <v/>
      </c>
      <c r="E79" s="48">
        <f>IF(OR(A79="",NOT(ISNUMBER($D$6))),"",D79/$D$6)</f>
        <v/>
      </c>
      <c r="F79" s="25">
        <f>IF(OR(NOT(ISNUMBER(E79)),NOT(ISNUMBER($D$5))),"",IF(AND(D79&gt;0,E79&gt;=$D$5),"Review: concentration",""))</f>
        <v/>
      </c>
      <c r="H79" s="25" t="n"/>
      <c r="I79" s="25" t="n"/>
      <c r="J79" s="25">
        <f>IF(COUNTA(H79:I79)=0,"",IF(OR(H79="",I79=""),"AIR-ID or supplier missing",IF(COUNTIFS($H$15:$H$264,H79,$I$15:$I$264,I79)&gt;1,"Duplicate row (counted once)",IF(COUNTIF('System map'!$A$4:$A$203,H79)=0,"AIR-ID not on System map",IF(COUNTIF($L$15:$L$64,I79)=0,"Supplier not listed in Table 2b","OK — verify source")))))</f>
        <v/>
      </c>
    </row>
    <row r="80">
      <c r="A80" s="27">
        <f>IF(Components!A69="","",Components!A69)</f>
        <v/>
      </c>
      <c r="B80" s="27">
        <f>IF(OR(A80="",Components!B69=""),"",Components!B69)</f>
        <v/>
      </c>
      <c r="C80" s="27">
        <f>IF(OR(A80="",Components!C69=""),"",Components!C69)</f>
        <v/>
      </c>
      <c r="D80" s="27">
        <f>IF(A80="","",COUNTIFS(Relationships!$B$4:$B$1003,"AIR",Relationships!$D$4:$D$1003,"references",Relationships!$F$4:$F$1003,A80,Relationships!$M$4:$M$1003,"Confirmed",Relationships!$N$4:$N$1003,"OK — verify source"))</f>
        <v/>
      </c>
      <c r="E80" s="49">
        <f>IF(OR(A80="",NOT(ISNUMBER($D$6))),"",D80/$D$6)</f>
        <v/>
      </c>
      <c r="F80" s="27">
        <f>IF(OR(NOT(ISNUMBER(E80)),NOT(ISNUMBER($D$5))),"",IF(AND(D80&gt;0,E80&gt;=$D$5),"Review: concentration",""))</f>
        <v/>
      </c>
      <c r="H80" s="27" t="n"/>
      <c r="I80" s="27" t="n"/>
      <c r="J80" s="27">
        <f>IF(COUNTA(H80:I80)=0,"",IF(OR(H80="",I80=""),"AIR-ID or supplier missing",IF(COUNTIFS($H$15:$H$264,H80,$I$15:$I$264,I80)&gt;1,"Duplicate row (counted once)",IF(COUNTIF('System map'!$A$4:$A$203,H80)=0,"AIR-ID not on System map",IF(COUNTIF($L$15:$L$64,I80)=0,"Supplier not listed in Table 2b","OK — verify source")))))</f>
        <v/>
      </c>
    </row>
    <row r="81">
      <c r="A81" s="25">
        <f>IF(Components!A70="","",Components!A70)</f>
        <v/>
      </c>
      <c r="B81" s="25">
        <f>IF(OR(A81="",Components!B70=""),"",Components!B70)</f>
        <v/>
      </c>
      <c r="C81" s="25">
        <f>IF(OR(A81="",Components!C70=""),"",Components!C70)</f>
        <v/>
      </c>
      <c r="D81" s="25">
        <f>IF(A81="","",COUNTIFS(Relationships!$B$4:$B$1003,"AIR",Relationships!$D$4:$D$1003,"references",Relationships!$F$4:$F$1003,A81,Relationships!$M$4:$M$1003,"Confirmed",Relationships!$N$4:$N$1003,"OK — verify source"))</f>
        <v/>
      </c>
      <c r="E81" s="48">
        <f>IF(OR(A81="",NOT(ISNUMBER($D$6))),"",D81/$D$6)</f>
        <v/>
      </c>
      <c r="F81" s="25">
        <f>IF(OR(NOT(ISNUMBER(E81)),NOT(ISNUMBER($D$5))),"",IF(AND(D81&gt;0,E81&gt;=$D$5),"Review: concentration",""))</f>
        <v/>
      </c>
      <c r="H81" s="25" t="n"/>
      <c r="I81" s="25" t="n"/>
      <c r="J81" s="25">
        <f>IF(COUNTA(H81:I81)=0,"",IF(OR(H81="",I81=""),"AIR-ID or supplier missing",IF(COUNTIFS($H$15:$H$264,H81,$I$15:$I$264,I81)&gt;1,"Duplicate row (counted once)",IF(COUNTIF('System map'!$A$4:$A$203,H81)=0,"AIR-ID not on System map",IF(COUNTIF($L$15:$L$64,I81)=0,"Supplier not listed in Table 2b","OK — verify source")))))</f>
        <v/>
      </c>
    </row>
    <row r="82">
      <c r="A82" s="27">
        <f>IF(Components!A71="","",Components!A71)</f>
        <v/>
      </c>
      <c r="B82" s="27">
        <f>IF(OR(A82="",Components!B71=""),"",Components!B71)</f>
        <v/>
      </c>
      <c r="C82" s="27">
        <f>IF(OR(A82="",Components!C71=""),"",Components!C71)</f>
        <v/>
      </c>
      <c r="D82" s="27">
        <f>IF(A82="","",COUNTIFS(Relationships!$B$4:$B$1003,"AIR",Relationships!$D$4:$D$1003,"references",Relationships!$F$4:$F$1003,A82,Relationships!$M$4:$M$1003,"Confirmed",Relationships!$N$4:$N$1003,"OK — verify source"))</f>
        <v/>
      </c>
      <c r="E82" s="49">
        <f>IF(OR(A82="",NOT(ISNUMBER($D$6))),"",D82/$D$6)</f>
        <v/>
      </c>
      <c r="F82" s="27">
        <f>IF(OR(NOT(ISNUMBER(E82)),NOT(ISNUMBER($D$5))),"",IF(AND(D82&gt;0,E82&gt;=$D$5),"Review: concentration",""))</f>
        <v/>
      </c>
      <c r="H82" s="27" t="n"/>
      <c r="I82" s="27" t="n"/>
      <c r="J82" s="27">
        <f>IF(COUNTA(H82:I82)=0,"",IF(OR(H82="",I82=""),"AIR-ID or supplier missing",IF(COUNTIFS($H$15:$H$264,H82,$I$15:$I$264,I82)&gt;1,"Duplicate row (counted once)",IF(COUNTIF('System map'!$A$4:$A$203,H82)=0,"AIR-ID not on System map",IF(COUNTIF($L$15:$L$64,I82)=0,"Supplier not listed in Table 2b","OK — verify source")))))</f>
        <v/>
      </c>
    </row>
    <row r="83">
      <c r="A83" s="25">
        <f>IF(Components!A72="","",Components!A72)</f>
        <v/>
      </c>
      <c r="B83" s="25">
        <f>IF(OR(A83="",Components!B72=""),"",Components!B72)</f>
        <v/>
      </c>
      <c r="C83" s="25">
        <f>IF(OR(A83="",Components!C72=""),"",Components!C72)</f>
        <v/>
      </c>
      <c r="D83" s="25">
        <f>IF(A83="","",COUNTIFS(Relationships!$B$4:$B$1003,"AIR",Relationships!$D$4:$D$1003,"references",Relationships!$F$4:$F$1003,A83,Relationships!$M$4:$M$1003,"Confirmed",Relationships!$N$4:$N$1003,"OK — verify source"))</f>
        <v/>
      </c>
      <c r="E83" s="48">
        <f>IF(OR(A83="",NOT(ISNUMBER($D$6))),"",D83/$D$6)</f>
        <v/>
      </c>
      <c r="F83" s="25">
        <f>IF(OR(NOT(ISNUMBER(E83)),NOT(ISNUMBER($D$5))),"",IF(AND(D83&gt;0,E83&gt;=$D$5),"Review: concentration",""))</f>
        <v/>
      </c>
      <c r="H83" s="25" t="n"/>
      <c r="I83" s="25" t="n"/>
      <c r="J83" s="25">
        <f>IF(COUNTA(H83:I83)=0,"",IF(OR(H83="",I83=""),"AIR-ID or supplier missing",IF(COUNTIFS($H$15:$H$264,H83,$I$15:$I$264,I83)&gt;1,"Duplicate row (counted once)",IF(COUNTIF('System map'!$A$4:$A$203,H83)=0,"AIR-ID not on System map",IF(COUNTIF($L$15:$L$64,I83)=0,"Supplier not listed in Table 2b","OK — verify source")))))</f>
        <v/>
      </c>
    </row>
    <row r="84">
      <c r="A84" s="27">
        <f>IF(Components!A73="","",Components!A73)</f>
        <v/>
      </c>
      <c r="B84" s="27">
        <f>IF(OR(A84="",Components!B73=""),"",Components!B73)</f>
        <v/>
      </c>
      <c r="C84" s="27">
        <f>IF(OR(A84="",Components!C73=""),"",Components!C73)</f>
        <v/>
      </c>
      <c r="D84" s="27">
        <f>IF(A84="","",COUNTIFS(Relationships!$B$4:$B$1003,"AIR",Relationships!$D$4:$D$1003,"references",Relationships!$F$4:$F$1003,A84,Relationships!$M$4:$M$1003,"Confirmed",Relationships!$N$4:$N$1003,"OK — verify source"))</f>
        <v/>
      </c>
      <c r="E84" s="49">
        <f>IF(OR(A84="",NOT(ISNUMBER($D$6))),"",D84/$D$6)</f>
        <v/>
      </c>
      <c r="F84" s="27">
        <f>IF(OR(NOT(ISNUMBER(E84)),NOT(ISNUMBER($D$5))),"",IF(AND(D84&gt;0,E84&gt;=$D$5),"Review: concentration",""))</f>
        <v/>
      </c>
      <c r="H84" s="27" t="n"/>
      <c r="I84" s="27" t="n"/>
      <c r="J84" s="27">
        <f>IF(COUNTA(H84:I84)=0,"",IF(OR(H84="",I84=""),"AIR-ID or supplier missing",IF(COUNTIFS($H$15:$H$264,H84,$I$15:$I$264,I84)&gt;1,"Duplicate row (counted once)",IF(COUNTIF('System map'!$A$4:$A$203,H84)=0,"AIR-ID not on System map",IF(COUNTIF($L$15:$L$64,I84)=0,"Supplier not listed in Table 2b","OK — verify source")))))</f>
        <v/>
      </c>
    </row>
    <row r="85">
      <c r="A85" s="25">
        <f>IF(Components!A74="","",Components!A74)</f>
        <v/>
      </c>
      <c r="B85" s="25">
        <f>IF(OR(A85="",Components!B74=""),"",Components!B74)</f>
        <v/>
      </c>
      <c r="C85" s="25">
        <f>IF(OR(A85="",Components!C74=""),"",Components!C74)</f>
        <v/>
      </c>
      <c r="D85" s="25">
        <f>IF(A85="","",COUNTIFS(Relationships!$B$4:$B$1003,"AIR",Relationships!$D$4:$D$1003,"references",Relationships!$F$4:$F$1003,A85,Relationships!$M$4:$M$1003,"Confirmed",Relationships!$N$4:$N$1003,"OK — verify source"))</f>
        <v/>
      </c>
      <c r="E85" s="48">
        <f>IF(OR(A85="",NOT(ISNUMBER($D$6))),"",D85/$D$6)</f>
        <v/>
      </c>
      <c r="F85" s="25">
        <f>IF(OR(NOT(ISNUMBER(E85)),NOT(ISNUMBER($D$5))),"",IF(AND(D85&gt;0,E85&gt;=$D$5),"Review: concentration",""))</f>
        <v/>
      </c>
      <c r="H85" s="25" t="n"/>
      <c r="I85" s="25" t="n"/>
      <c r="J85" s="25">
        <f>IF(COUNTA(H85:I85)=0,"",IF(OR(H85="",I85=""),"AIR-ID or supplier missing",IF(COUNTIFS($H$15:$H$264,H85,$I$15:$I$264,I85)&gt;1,"Duplicate row (counted once)",IF(COUNTIF('System map'!$A$4:$A$203,H85)=0,"AIR-ID not on System map",IF(COUNTIF($L$15:$L$64,I85)=0,"Supplier not listed in Table 2b","OK — verify source")))))</f>
        <v/>
      </c>
    </row>
    <row r="86">
      <c r="A86" s="27">
        <f>IF(Components!A75="","",Components!A75)</f>
        <v/>
      </c>
      <c r="B86" s="27">
        <f>IF(OR(A86="",Components!B75=""),"",Components!B75)</f>
        <v/>
      </c>
      <c r="C86" s="27">
        <f>IF(OR(A86="",Components!C75=""),"",Components!C75)</f>
        <v/>
      </c>
      <c r="D86" s="27">
        <f>IF(A86="","",COUNTIFS(Relationships!$B$4:$B$1003,"AIR",Relationships!$D$4:$D$1003,"references",Relationships!$F$4:$F$1003,A86,Relationships!$M$4:$M$1003,"Confirmed",Relationships!$N$4:$N$1003,"OK — verify source"))</f>
        <v/>
      </c>
      <c r="E86" s="49">
        <f>IF(OR(A86="",NOT(ISNUMBER($D$6))),"",D86/$D$6)</f>
        <v/>
      </c>
      <c r="F86" s="27">
        <f>IF(OR(NOT(ISNUMBER(E86)),NOT(ISNUMBER($D$5))),"",IF(AND(D86&gt;0,E86&gt;=$D$5),"Review: concentration",""))</f>
        <v/>
      </c>
      <c r="H86" s="27" t="n"/>
      <c r="I86" s="27" t="n"/>
      <c r="J86" s="27">
        <f>IF(COUNTA(H86:I86)=0,"",IF(OR(H86="",I86=""),"AIR-ID or supplier missing",IF(COUNTIFS($H$15:$H$264,H86,$I$15:$I$264,I86)&gt;1,"Duplicate row (counted once)",IF(COUNTIF('System map'!$A$4:$A$203,H86)=0,"AIR-ID not on System map",IF(COUNTIF($L$15:$L$64,I86)=0,"Supplier not listed in Table 2b","OK — verify source")))))</f>
        <v/>
      </c>
    </row>
    <row r="87">
      <c r="A87" s="25">
        <f>IF(Components!A76="","",Components!A76)</f>
        <v/>
      </c>
      <c r="B87" s="25">
        <f>IF(OR(A87="",Components!B76=""),"",Components!B76)</f>
        <v/>
      </c>
      <c r="C87" s="25">
        <f>IF(OR(A87="",Components!C76=""),"",Components!C76)</f>
        <v/>
      </c>
      <c r="D87" s="25">
        <f>IF(A87="","",COUNTIFS(Relationships!$B$4:$B$1003,"AIR",Relationships!$D$4:$D$1003,"references",Relationships!$F$4:$F$1003,A87,Relationships!$M$4:$M$1003,"Confirmed",Relationships!$N$4:$N$1003,"OK — verify source"))</f>
        <v/>
      </c>
      <c r="E87" s="48">
        <f>IF(OR(A87="",NOT(ISNUMBER($D$6))),"",D87/$D$6)</f>
        <v/>
      </c>
      <c r="F87" s="25">
        <f>IF(OR(NOT(ISNUMBER(E87)),NOT(ISNUMBER($D$5))),"",IF(AND(D87&gt;0,E87&gt;=$D$5),"Review: concentration",""))</f>
        <v/>
      </c>
      <c r="H87" s="25" t="n"/>
      <c r="I87" s="25" t="n"/>
      <c r="J87" s="25">
        <f>IF(COUNTA(H87:I87)=0,"",IF(OR(H87="",I87=""),"AIR-ID or supplier missing",IF(COUNTIFS($H$15:$H$264,H87,$I$15:$I$264,I87)&gt;1,"Duplicate row (counted once)",IF(COUNTIF('System map'!$A$4:$A$203,H87)=0,"AIR-ID not on System map",IF(COUNTIF($L$15:$L$64,I87)=0,"Supplier not listed in Table 2b","OK — verify source")))))</f>
        <v/>
      </c>
    </row>
    <row r="88">
      <c r="A88" s="27">
        <f>IF(Components!A77="","",Components!A77)</f>
        <v/>
      </c>
      <c r="B88" s="27">
        <f>IF(OR(A88="",Components!B77=""),"",Components!B77)</f>
        <v/>
      </c>
      <c r="C88" s="27">
        <f>IF(OR(A88="",Components!C77=""),"",Components!C77)</f>
        <v/>
      </c>
      <c r="D88" s="27">
        <f>IF(A88="","",COUNTIFS(Relationships!$B$4:$B$1003,"AIR",Relationships!$D$4:$D$1003,"references",Relationships!$F$4:$F$1003,A88,Relationships!$M$4:$M$1003,"Confirmed",Relationships!$N$4:$N$1003,"OK — verify source"))</f>
        <v/>
      </c>
      <c r="E88" s="49">
        <f>IF(OR(A88="",NOT(ISNUMBER($D$6))),"",D88/$D$6)</f>
        <v/>
      </c>
      <c r="F88" s="27">
        <f>IF(OR(NOT(ISNUMBER(E88)),NOT(ISNUMBER($D$5))),"",IF(AND(D88&gt;0,E88&gt;=$D$5),"Review: concentration",""))</f>
        <v/>
      </c>
      <c r="H88" s="27" t="n"/>
      <c r="I88" s="27" t="n"/>
      <c r="J88" s="27">
        <f>IF(COUNTA(H88:I88)=0,"",IF(OR(H88="",I88=""),"AIR-ID or supplier missing",IF(COUNTIFS($H$15:$H$264,H88,$I$15:$I$264,I88)&gt;1,"Duplicate row (counted once)",IF(COUNTIF('System map'!$A$4:$A$203,H88)=0,"AIR-ID not on System map",IF(COUNTIF($L$15:$L$64,I88)=0,"Supplier not listed in Table 2b","OK — verify source")))))</f>
        <v/>
      </c>
    </row>
    <row r="89">
      <c r="A89" s="25">
        <f>IF(Components!A78="","",Components!A78)</f>
        <v/>
      </c>
      <c r="B89" s="25">
        <f>IF(OR(A89="",Components!B78=""),"",Components!B78)</f>
        <v/>
      </c>
      <c r="C89" s="25">
        <f>IF(OR(A89="",Components!C78=""),"",Components!C78)</f>
        <v/>
      </c>
      <c r="D89" s="25">
        <f>IF(A89="","",COUNTIFS(Relationships!$B$4:$B$1003,"AIR",Relationships!$D$4:$D$1003,"references",Relationships!$F$4:$F$1003,A89,Relationships!$M$4:$M$1003,"Confirmed",Relationships!$N$4:$N$1003,"OK — verify source"))</f>
        <v/>
      </c>
      <c r="E89" s="48">
        <f>IF(OR(A89="",NOT(ISNUMBER($D$6))),"",D89/$D$6)</f>
        <v/>
      </c>
      <c r="F89" s="25">
        <f>IF(OR(NOT(ISNUMBER(E89)),NOT(ISNUMBER($D$5))),"",IF(AND(D89&gt;0,E89&gt;=$D$5),"Review: concentration",""))</f>
        <v/>
      </c>
      <c r="H89" s="25" t="n"/>
      <c r="I89" s="25" t="n"/>
      <c r="J89" s="25">
        <f>IF(COUNTA(H89:I89)=0,"",IF(OR(H89="",I89=""),"AIR-ID or supplier missing",IF(COUNTIFS($H$15:$H$264,H89,$I$15:$I$264,I89)&gt;1,"Duplicate row (counted once)",IF(COUNTIF('System map'!$A$4:$A$203,H89)=0,"AIR-ID not on System map",IF(COUNTIF($L$15:$L$64,I89)=0,"Supplier not listed in Table 2b","OK — verify source")))))</f>
        <v/>
      </c>
    </row>
    <row r="90">
      <c r="A90" s="27">
        <f>IF(Components!A79="","",Components!A79)</f>
        <v/>
      </c>
      <c r="B90" s="27">
        <f>IF(OR(A90="",Components!B79=""),"",Components!B79)</f>
        <v/>
      </c>
      <c r="C90" s="27">
        <f>IF(OR(A90="",Components!C79=""),"",Components!C79)</f>
        <v/>
      </c>
      <c r="D90" s="27">
        <f>IF(A90="","",COUNTIFS(Relationships!$B$4:$B$1003,"AIR",Relationships!$D$4:$D$1003,"references",Relationships!$F$4:$F$1003,A90,Relationships!$M$4:$M$1003,"Confirmed",Relationships!$N$4:$N$1003,"OK — verify source"))</f>
        <v/>
      </c>
      <c r="E90" s="49">
        <f>IF(OR(A90="",NOT(ISNUMBER($D$6))),"",D90/$D$6)</f>
        <v/>
      </c>
      <c r="F90" s="27">
        <f>IF(OR(NOT(ISNUMBER(E90)),NOT(ISNUMBER($D$5))),"",IF(AND(D90&gt;0,E90&gt;=$D$5),"Review: concentration",""))</f>
        <v/>
      </c>
      <c r="H90" s="27" t="n"/>
      <c r="I90" s="27" t="n"/>
      <c r="J90" s="27">
        <f>IF(COUNTA(H90:I90)=0,"",IF(OR(H90="",I90=""),"AIR-ID or supplier missing",IF(COUNTIFS($H$15:$H$264,H90,$I$15:$I$264,I90)&gt;1,"Duplicate row (counted once)",IF(COUNTIF('System map'!$A$4:$A$203,H90)=0,"AIR-ID not on System map",IF(COUNTIF($L$15:$L$64,I90)=0,"Supplier not listed in Table 2b","OK — verify source")))))</f>
        <v/>
      </c>
    </row>
    <row r="91">
      <c r="A91" s="25">
        <f>IF(Components!A80="","",Components!A80)</f>
        <v/>
      </c>
      <c r="B91" s="25">
        <f>IF(OR(A91="",Components!B80=""),"",Components!B80)</f>
        <v/>
      </c>
      <c r="C91" s="25">
        <f>IF(OR(A91="",Components!C80=""),"",Components!C80)</f>
        <v/>
      </c>
      <c r="D91" s="25">
        <f>IF(A91="","",COUNTIFS(Relationships!$B$4:$B$1003,"AIR",Relationships!$D$4:$D$1003,"references",Relationships!$F$4:$F$1003,A91,Relationships!$M$4:$M$1003,"Confirmed",Relationships!$N$4:$N$1003,"OK — verify source"))</f>
        <v/>
      </c>
      <c r="E91" s="48">
        <f>IF(OR(A91="",NOT(ISNUMBER($D$6))),"",D91/$D$6)</f>
        <v/>
      </c>
      <c r="F91" s="25">
        <f>IF(OR(NOT(ISNUMBER(E91)),NOT(ISNUMBER($D$5))),"",IF(AND(D91&gt;0,E91&gt;=$D$5),"Review: concentration",""))</f>
        <v/>
      </c>
      <c r="H91" s="25" t="n"/>
      <c r="I91" s="25" t="n"/>
      <c r="J91" s="25">
        <f>IF(COUNTA(H91:I91)=0,"",IF(OR(H91="",I91=""),"AIR-ID or supplier missing",IF(COUNTIFS($H$15:$H$264,H91,$I$15:$I$264,I91)&gt;1,"Duplicate row (counted once)",IF(COUNTIF('System map'!$A$4:$A$203,H91)=0,"AIR-ID not on System map",IF(COUNTIF($L$15:$L$64,I91)=0,"Supplier not listed in Table 2b","OK — verify source")))))</f>
        <v/>
      </c>
    </row>
    <row r="92">
      <c r="A92" s="27">
        <f>IF(Components!A81="","",Components!A81)</f>
        <v/>
      </c>
      <c r="B92" s="27">
        <f>IF(OR(A92="",Components!B81=""),"",Components!B81)</f>
        <v/>
      </c>
      <c r="C92" s="27">
        <f>IF(OR(A92="",Components!C81=""),"",Components!C81)</f>
        <v/>
      </c>
      <c r="D92" s="27">
        <f>IF(A92="","",COUNTIFS(Relationships!$B$4:$B$1003,"AIR",Relationships!$D$4:$D$1003,"references",Relationships!$F$4:$F$1003,A92,Relationships!$M$4:$M$1003,"Confirmed",Relationships!$N$4:$N$1003,"OK — verify source"))</f>
        <v/>
      </c>
      <c r="E92" s="49">
        <f>IF(OR(A92="",NOT(ISNUMBER($D$6))),"",D92/$D$6)</f>
        <v/>
      </c>
      <c r="F92" s="27">
        <f>IF(OR(NOT(ISNUMBER(E92)),NOT(ISNUMBER($D$5))),"",IF(AND(D92&gt;0,E92&gt;=$D$5),"Review: concentration",""))</f>
        <v/>
      </c>
      <c r="H92" s="27" t="n"/>
      <c r="I92" s="27" t="n"/>
      <c r="J92" s="27">
        <f>IF(COUNTA(H92:I92)=0,"",IF(OR(H92="",I92=""),"AIR-ID or supplier missing",IF(COUNTIFS($H$15:$H$264,H92,$I$15:$I$264,I92)&gt;1,"Duplicate row (counted once)",IF(COUNTIF('System map'!$A$4:$A$203,H92)=0,"AIR-ID not on System map",IF(COUNTIF($L$15:$L$64,I92)=0,"Supplier not listed in Table 2b","OK — verify source")))))</f>
        <v/>
      </c>
    </row>
    <row r="93">
      <c r="A93" s="25">
        <f>IF(Components!A82="","",Components!A82)</f>
        <v/>
      </c>
      <c r="B93" s="25">
        <f>IF(OR(A93="",Components!B82=""),"",Components!B82)</f>
        <v/>
      </c>
      <c r="C93" s="25">
        <f>IF(OR(A93="",Components!C82=""),"",Components!C82)</f>
        <v/>
      </c>
      <c r="D93" s="25">
        <f>IF(A93="","",COUNTIFS(Relationships!$B$4:$B$1003,"AIR",Relationships!$D$4:$D$1003,"references",Relationships!$F$4:$F$1003,A93,Relationships!$M$4:$M$1003,"Confirmed",Relationships!$N$4:$N$1003,"OK — verify source"))</f>
        <v/>
      </c>
      <c r="E93" s="48">
        <f>IF(OR(A93="",NOT(ISNUMBER($D$6))),"",D93/$D$6)</f>
        <v/>
      </c>
      <c r="F93" s="25">
        <f>IF(OR(NOT(ISNUMBER(E93)),NOT(ISNUMBER($D$5))),"",IF(AND(D93&gt;0,E93&gt;=$D$5),"Review: concentration",""))</f>
        <v/>
      </c>
      <c r="H93" s="25" t="n"/>
      <c r="I93" s="25" t="n"/>
      <c r="J93" s="25">
        <f>IF(COUNTA(H93:I93)=0,"",IF(OR(H93="",I93=""),"AIR-ID or supplier missing",IF(COUNTIFS($H$15:$H$264,H93,$I$15:$I$264,I93)&gt;1,"Duplicate row (counted once)",IF(COUNTIF('System map'!$A$4:$A$203,H93)=0,"AIR-ID not on System map",IF(COUNTIF($L$15:$L$64,I93)=0,"Supplier not listed in Table 2b","OK — verify source")))))</f>
        <v/>
      </c>
    </row>
    <row r="94">
      <c r="A94" s="27">
        <f>IF(Components!A83="","",Components!A83)</f>
        <v/>
      </c>
      <c r="B94" s="27">
        <f>IF(OR(A94="",Components!B83=""),"",Components!B83)</f>
        <v/>
      </c>
      <c r="C94" s="27">
        <f>IF(OR(A94="",Components!C83=""),"",Components!C83)</f>
        <v/>
      </c>
      <c r="D94" s="27">
        <f>IF(A94="","",COUNTIFS(Relationships!$B$4:$B$1003,"AIR",Relationships!$D$4:$D$1003,"references",Relationships!$F$4:$F$1003,A94,Relationships!$M$4:$M$1003,"Confirmed",Relationships!$N$4:$N$1003,"OK — verify source"))</f>
        <v/>
      </c>
      <c r="E94" s="49">
        <f>IF(OR(A94="",NOT(ISNUMBER($D$6))),"",D94/$D$6)</f>
        <v/>
      </c>
      <c r="F94" s="27">
        <f>IF(OR(NOT(ISNUMBER(E94)),NOT(ISNUMBER($D$5))),"",IF(AND(D94&gt;0,E94&gt;=$D$5),"Review: concentration",""))</f>
        <v/>
      </c>
      <c r="H94" s="27" t="n"/>
      <c r="I94" s="27" t="n"/>
      <c r="J94" s="27">
        <f>IF(COUNTA(H94:I94)=0,"",IF(OR(H94="",I94=""),"AIR-ID or supplier missing",IF(COUNTIFS($H$15:$H$264,H94,$I$15:$I$264,I94)&gt;1,"Duplicate row (counted once)",IF(COUNTIF('System map'!$A$4:$A$203,H94)=0,"AIR-ID not on System map",IF(COUNTIF($L$15:$L$64,I94)=0,"Supplier not listed in Table 2b","OK — verify source")))))</f>
        <v/>
      </c>
    </row>
    <row r="95">
      <c r="A95" s="25">
        <f>IF(Components!A84="","",Components!A84)</f>
        <v/>
      </c>
      <c r="B95" s="25">
        <f>IF(OR(A95="",Components!B84=""),"",Components!B84)</f>
        <v/>
      </c>
      <c r="C95" s="25">
        <f>IF(OR(A95="",Components!C84=""),"",Components!C84)</f>
        <v/>
      </c>
      <c r="D95" s="25">
        <f>IF(A95="","",COUNTIFS(Relationships!$B$4:$B$1003,"AIR",Relationships!$D$4:$D$1003,"references",Relationships!$F$4:$F$1003,A95,Relationships!$M$4:$M$1003,"Confirmed",Relationships!$N$4:$N$1003,"OK — verify source"))</f>
        <v/>
      </c>
      <c r="E95" s="48">
        <f>IF(OR(A95="",NOT(ISNUMBER($D$6))),"",D95/$D$6)</f>
        <v/>
      </c>
      <c r="F95" s="25">
        <f>IF(OR(NOT(ISNUMBER(E95)),NOT(ISNUMBER($D$5))),"",IF(AND(D95&gt;0,E95&gt;=$D$5),"Review: concentration",""))</f>
        <v/>
      </c>
      <c r="H95" s="25" t="n"/>
      <c r="I95" s="25" t="n"/>
      <c r="J95" s="25">
        <f>IF(COUNTA(H95:I95)=0,"",IF(OR(H95="",I95=""),"AIR-ID or supplier missing",IF(COUNTIFS($H$15:$H$264,H95,$I$15:$I$264,I95)&gt;1,"Duplicate row (counted once)",IF(COUNTIF('System map'!$A$4:$A$203,H95)=0,"AIR-ID not on System map",IF(COUNTIF($L$15:$L$64,I95)=0,"Supplier not listed in Table 2b","OK — verify source")))))</f>
        <v/>
      </c>
    </row>
    <row r="96">
      <c r="A96" s="27">
        <f>IF(Components!A85="","",Components!A85)</f>
        <v/>
      </c>
      <c r="B96" s="27">
        <f>IF(OR(A96="",Components!B85=""),"",Components!B85)</f>
        <v/>
      </c>
      <c r="C96" s="27">
        <f>IF(OR(A96="",Components!C85=""),"",Components!C85)</f>
        <v/>
      </c>
      <c r="D96" s="27">
        <f>IF(A96="","",COUNTIFS(Relationships!$B$4:$B$1003,"AIR",Relationships!$D$4:$D$1003,"references",Relationships!$F$4:$F$1003,A96,Relationships!$M$4:$M$1003,"Confirmed",Relationships!$N$4:$N$1003,"OK — verify source"))</f>
        <v/>
      </c>
      <c r="E96" s="49">
        <f>IF(OR(A96="",NOT(ISNUMBER($D$6))),"",D96/$D$6)</f>
        <v/>
      </c>
      <c r="F96" s="27">
        <f>IF(OR(NOT(ISNUMBER(E96)),NOT(ISNUMBER($D$5))),"",IF(AND(D96&gt;0,E96&gt;=$D$5),"Review: concentration",""))</f>
        <v/>
      </c>
      <c r="H96" s="27" t="n"/>
      <c r="I96" s="27" t="n"/>
      <c r="J96" s="27">
        <f>IF(COUNTA(H96:I96)=0,"",IF(OR(H96="",I96=""),"AIR-ID or supplier missing",IF(COUNTIFS($H$15:$H$264,H96,$I$15:$I$264,I96)&gt;1,"Duplicate row (counted once)",IF(COUNTIF('System map'!$A$4:$A$203,H96)=0,"AIR-ID not on System map",IF(COUNTIF($L$15:$L$64,I96)=0,"Supplier not listed in Table 2b","OK — verify source")))))</f>
        <v/>
      </c>
    </row>
    <row r="97">
      <c r="A97" s="25">
        <f>IF(Components!A86="","",Components!A86)</f>
        <v/>
      </c>
      <c r="B97" s="25">
        <f>IF(OR(A97="",Components!B86=""),"",Components!B86)</f>
        <v/>
      </c>
      <c r="C97" s="25">
        <f>IF(OR(A97="",Components!C86=""),"",Components!C86)</f>
        <v/>
      </c>
      <c r="D97" s="25">
        <f>IF(A97="","",COUNTIFS(Relationships!$B$4:$B$1003,"AIR",Relationships!$D$4:$D$1003,"references",Relationships!$F$4:$F$1003,A97,Relationships!$M$4:$M$1003,"Confirmed",Relationships!$N$4:$N$1003,"OK — verify source"))</f>
        <v/>
      </c>
      <c r="E97" s="48">
        <f>IF(OR(A97="",NOT(ISNUMBER($D$6))),"",D97/$D$6)</f>
        <v/>
      </c>
      <c r="F97" s="25">
        <f>IF(OR(NOT(ISNUMBER(E97)),NOT(ISNUMBER($D$5))),"",IF(AND(D97&gt;0,E97&gt;=$D$5),"Review: concentration",""))</f>
        <v/>
      </c>
      <c r="H97" s="25" t="n"/>
      <c r="I97" s="25" t="n"/>
      <c r="J97" s="25">
        <f>IF(COUNTA(H97:I97)=0,"",IF(OR(H97="",I97=""),"AIR-ID or supplier missing",IF(COUNTIFS($H$15:$H$264,H97,$I$15:$I$264,I97)&gt;1,"Duplicate row (counted once)",IF(COUNTIF('System map'!$A$4:$A$203,H97)=0,"AIR-ID not on System map",IF(COUNTIF($L$15:$L$64,I97)=0,"Supplier not listed in Table 2b","OK — verify source")))))</f>
        <v/>
      </c>
    </row>
    <row r="98">
      <c r="A98" s="27">
        <f>IF(Components!A87="","",Components!A87)</f>
        <v/>
      </c>
      <c r="B98" s="27">
        <f>IF(OR(A98="",Components!B87=""),"",Components!B87)</f>
        <v/>
      </c>
      <c r="C98" s="27">
        <f>IF(OR(A98="",Components!C87=""),"",Components!C87)</f>
        <v/>
      </c>
      <c r="D98" s="27">
        <f>IF(A98="","",COUNTIFS(Relationships!$B$4:$B$1003,"AIR",Relationships!$D$4:$D$1003,"references",Relationships!$F$4:$F$1003,A98,Relationships!$M$4:$M$1003,"Confirmed",Relationships!$N$4:$N$1003,"OK — verify source"))</f>
        <v/>
      </c>
      <c r="E98" s="49">
        <f>IF(OR(A98="",NOT(ISNUMBER($D$6))),"",D98/$D$6)</f>
        <v/>
      </c>
      <c r="F98" s="27">
        <f>IF(OR(NOT(ISNUMBER(E98)),NOT(ISNUMBER($D$5))),"",IF(AND(D98&gt;0,E98&gt;=$D$5),"Review: concentration",""))</f>
        <v/>
      </c>
      <c r="H98" s="27" t="n"/>
      <c r="I98" s="27" t="n"/>
      <c r="J98" s="27">
        <f>IF(COUNTA(H98:I98)=0,"",IF(OR(H98="",I98=""),"AIR-ID or supplier missing",IF(COUNTIFS($H$15:$H$264,H98,$I$15:$I$264,I98)&gt;1,"Duplicate row (counted once)",IF(COUNTIF('System map'!$A$4:$A$203,H98)=0,"AIR-ID not on System map",IF(COUNTIF($L$15:$L$64,I98)=0,"Supplier not listed in Table 2b","OK — verify source")))))</f>
        <v/>
      </c>
    </row>
    <row r="99">
      <c r="A99" s="25">
        <f>IF(Components!A88="","",Components!A88)</f>
        <v/>
      </c>
      <c r="B99" s="25">
        <f>IF(OR(A99="",Components!B88=""),"",Components!B88)</f>
        <v/>
      </c>
      <c r="C99" s="25">
        <f>IF(OR(A99="",Components!C88=""),"",Components!C88)</f>
        <v/>
      </c>
      <c r="D99" s="25">
        <f>IF(A99="","",COUNTIFS(Relationships!$B$4:$B$1003,"AIR",Relationships!$D$4:$D$1003,"references",Relationships!$F$4:$F$1003,A99,Relationships!$M$4:$M$1003,"Confirmed",Relationships!$N$4:$N$1003,"OK — verify source"))</f>
        <v/>
      </c>
      <c r="E99" s="48">
        <f>IF(OR(A99="",NOT(ISNUMBER($D$6))),"",D99/$D$6)</f>
        <v/>
      </c>
      <c r="F99" s="25">
        <f>IF(OR(NOT(ISNUMBER(E99)),NOT(ISNUMBER($D$5))),"",IF(AND(D99&gt;0,E99&gt;=$D$5),"Review: concentration",""))</f>
        <v/>
      </c>
      <c r="H99" s="25" t="n"/>
      <c r="I99" s="25" t="n"/>
      <c r="J99" s="25">
        <f>IF(COUNTA(H99:I99)=0,"",IF(OR(H99="",I99=""),"AIR-ID or supplier missing",IF(COUNTIFS($H$15:$H$264,H99,$I$15:$I$264,I99)&gt;1,"Duplicate row (counted once)",IF(COUNTIF('System map'!$A$4:$A$203,H99)=0,"AIR-ID not on System map",IF(COUNTIF($L$15:$L$64,I99)=0,"Supplier not listed in Table 2b","OK — verify source")))))</f>
        <v/>
      </c>
    </row>
    <row r="100">
      <c r="A100" s="27">
        <f>IF(Components!A89="","",Components!A89)</f>
        <v/>
      </c>
      <c r="B100" s="27">
        <f>IF(OR(A100="",Components!B89=""),"",Components!B89)</f>
        <v/>
      </c>
      <c r="C100" s="27">
        <f>IF(OR(A100="",Components!C89=""),"",Components!C89)</f>
        <v/>
      </c>
      <c r="D100" s="27">
        <f>IF(A100="","",COUNTIFS(Relationships!$B$4:$B$1003,"AIR",Relationships!$D$4:$D$1003,"references",Relationships!$F$4:$F$1003,A100,Relationships!$M$4:$M$1003,"Confirmed",Relationships!$N$4:$N$1003,"OK — verify source"))</f>
        <v/>
      </c>
      <c r="E100" s="49">
        <f>IF(OR(A100="",NOT(ISNUMBER($D$6))),"",D100/$D$6)</f>
        <v/>
      </c>
      <c r="F100" s="27">
        <f>IF(OR(NOT(ISNUMBER(E100)),NOT(ISNUMBER($D$5))),"",IF(AND(D100&gt;0,E100&gt;=$D$5),"Review: concentration",""))</f>
        <v/>
      </c>
      <c r="H100" s="27" t="n"/>
      <c r="I100" s="27" t="n"/>
      <c r="J100" s="27">
        <f>IF(COUNTA(H100:I100)=0,"",IF(OR(H100="",I100=""),"AIR-ID or supplier missing",IF(COUNTIFS($H$15:$H$264,H100,$I$15:$I$264,I100)&gt;1,"Duplicate row (counted once)",IF(COUNTIF('System map'!$A$4:$A$203,H100)=0,"AIR-ID not on System map",IF(COUNTIF($L$15:$L$64,I100)=0,"Supplier not listed in Table 2b","OK — verify source")))))</f>
        <v/>
      </c>
    </row>
    <row r="101">
      <c r="A101" s="25">
        <f>IF(Components!A90="","",Components!A90)</f>
        <v/>
      </c>
      <c r="B101" s="25">
        <f>IF(OR(A101="",Components!B90=""),"",Components!B90)</f>
        <v/>
      </c>
      <c r="C101" s="25">
        <f>IF(OR(A101="",Components!C90=""),"",Components!C90)</f>
        <v/>
      </c>
      <c r="D101" s="25">
        <f>IF(A101="","",COUNTIFS(Relationships!$B$4:$B$1003,"AIR",Relationships!$D$4:$D$1003,"references",Relationships!$F$4:$F$1003,A101,Relationships!$M$4:$M$1003,"Confirmed",Relationships!$N$4:$N$1003,"OK — verify source"))</f>
        <v/>
      </c>
      <c r="E101" s="48">
        <f>IF(OR(A101="",NOT(ISNUMBER($D$6))),"",D101/$D$6)</f>
        <v/>
      </c>
      <c r="F101" s="25">
        <f>IF(OR(NOT(ISNUMBER(E101)),NOT(ISNUMBER($D$5))),"",IF(AND(D101&gt;0,E101&gt;=$D$5),"Review: concentration",""))</f>
        <v/>
      </c>
      <c r="H101" s="25" t="n"/>
      <c r="I101" s="25" t="n"/>
      <c r="J101" s="25">
        <f>IF(COUNTA(H101:I101)=0,"",IF(OR(H101="",I101=""),"AIR-ID or supplier missing",IF(COUNTIFS($H$15:$H$264,H101,$I$15:$I$264,I101)&gt;1,"Duplicate row (counted once)",IF(COUNTIF('System map'!$A$4:$A$203,H101)=0,"AIR-ID not on System map",IF(COUNTIF($L$15:$L$64,I101)=0,"Supplier not listed in Table 2b","OK — verify source")))))</f>
        <v/>
      </c>
    </row>
    <row r="102">
      <c r="A102" s="27">
        <f>IF(Components!A91="","",Components!A91)</f>
        <v/>
      </c>
      <c r="B102" s="27">
        <f>IF(OR(A102="",Components!B91=""),"",Components!B91)</f>
        <v/>
      </c>
      <c r="C102" s="27">
        <f>IF(OR(A102="",Components!C91=""),"",Components!C91)</f>
        <v/>
      </c>
      <c r="D102" s="27">
        <f>IF(A102="","",COUNTIFS(Relationships!$B$4:$B$1003,"AIR",Relationships!$D$4:$D$1003,"references",Relationships!$F$4:$F$1003,A102,Relationships!$M$4:$M$1003,"Confirmed",Relationships!$N$4:$N$1003,"OK — verify source"))</f>
        <v/>
      </c>
      <c r="E102" s="49">
        <f>IF(OR(A102="",NOT(ISNUMBER($D$6))),"",D102/$D$6)</f>
        <v/>
      </c>
      <c r="F102" s="27">
        <f>IF(OR(NOT(ISNUMBER(E102)),NOT(ISNUMBER($D$5))),"",IF(AND(D102&gt;0,E102&gt;=$D$5),"Review: concentration",""))</f>
        <v/>
      </c>
      <c r="H102" s="27" t="n"/>
      <c r="I102" s="27" t="n"/>
      <c r="J102" s="27">
        <f>IF(COUNTA(H102:I102)=0,"",IF(OR(H102="",I102=""),"AIR-ID or supplier missing",IF(COUNTIFS($H$15:$H$264,H102,$I$15:$I$264,I102)&gt;1,"Duplicate row (counted once)",IF(COUNTIF('System map'!$A$4:$A$203,H102)=0,"AIR-ID not on System map",IF(COUNTIF($L$15:$L$64,I102)=0,"Supplier not listed in Table 2b","OK — verify source")))))</f>
        <v/>
      </c>
    </row>
    <row r="103">
      <c r="A103" s="25">
        <f>IF(Components!A92="","",Components!A92)</f>
        <v/>
      </c>
      <c r="B103" s="25">
        <f>IF(OR(A103="",Components!B92=""),"",Components!B92)</f>
        <v/>
      </c>
      <c r="C103" s="25">
        <f>IF(OR(A103="",Components!C92=""),"",Components!C92)</f>
        <v/>
      </c>
      <c r="D103" s="25">
        <f>IF(A103="","",COUNTIFS(Relationships!$B$4:$B$1003,"AIR",Relationships!$D$4:$D$1003,"references",Relationships!$F$4:$F$1003,A103,Relationships!$M$4:$M$1003,"Confirmed",Relationships!$N$4:$N$1003,"OK — verify source"))</f>
        <v/>
      </c>
      <c r="E103" s="48">
        <f>IF(OR(A103="",NOT(ISNUMBER($D$6))),"",D103/$D$6)</f>
        <v/>
      </c>
      <c r="F103" s="25">
        <f>IF(OR(NOT(ISNUMBER(E103)),NOT(ISNUMBER($D$5))),"",IF(AND(D103&gt;0,E103&gt;=$D$5),"Review: concentration",""))</f>
        <v/>
      </c>
      <c r="H103" s="25" t="n"/>
      <c r="I103" s="25" t="n"/>
      <c r="J103" s="25">
        <f>IF(COUNTA(H103:I103)=0,"",IF(OR(H103="",I103=""),"AIR-ID or supplier missing",IF(COUNTIFS($H$15:$H$264,H103,$I$15:$I$264,I103)&gt;1,"Duplicate row (counted once)",IF(COUNTIF('System map'!$A$4:$A$203,H103)=0,"AIR-ID not on System map",IF(COUNTIF($L$15:$L$64,I103)=0,"Supplier not listed in Table 2b","OK — verify source")))))</f>
        <v/>
      </c>
    </row>
    <row r="104">
      <c r="A104" s="27">
        <f>IF(Components!A93="","",Components!A93)</f>
        <v/>
      </c>
      <c r="B104" s="27">
        <f>IF(OR(A104="",Components!B93=""),"",Components!B93)</f>
        <v/>
      </c>
      <c r="C104" s="27">
        <f>IF(OR(A104="",Components!C93=""),"",Components!C93)</f>
        <v/>
      </c>
      <c r="D104" s="27">
        <f>IF(A104="","",COUNTIFS(Relationships!$B$4:$B$1003,"AIR",Relationships!$D$4:$D$1003,"references",Relationships!$F$4:$F$1003,A104,Relationships!$M$4:$M$1003,"Confirmed",Relationships!$N$4:$N$1003,"OK — verify source"))</f>
        <v/>
      </c>
      <c r="E104" s="49">
        <f>IF(OR(A104="",NOT(ISNUMBER($D$6))),"",D104/$D$6)</f>
        <v/>
      </c>
      <c r="F104" s="27">
        <f>IF(OR(NOT(ISNUMBER(E104)),NOT(ISNUMBER($D$5))),"",IF(AND(D104&gt;0,E104&gt;=$D$5),"Review: concentration",""))</f>
        <v/>
      </c>
      <c r="H104" s="27" t="n"/>
      <c r="I104" s="27" t="n"/>
      <c r="J104" s="27">
        <f>IF(COUNTA(H104:I104)=0,"",IF(OR(H104="",I104=""),"AIR-ID or supplier missing",IF(COUNTIFS($H$15:$H$264,H104,$I$15:$I$264,I104)&gt;1,"Duplicate row (counted once)",IF(COUNTIF('System map'!$A$4:$A$203,H104)=0,"AIR-ID not on System map",IF(COUNTIF($L$15:$L$64,I104)=0,"Supplier not listed in Table 2b","OK — verify source")))))</f>
        <v/>
      </c>
    </row>
    <row r="105">
      <c r="A105" s="25">
        <f>IF(Components!A94="","",Components!A94)</f>
        <v/>
      </c>
      <c r="B105" s="25">
        <f>IF(OR(A105="",Components!B94=""),"",Components!B94)</f>
        <v/>
      </c>
      <c r="C105" s="25">
        <f>IF(OR(A105="",Components!C94=""),"",Components!C94)</f>
        <v/>
      </c>
      <c r="D105" s="25">
        <f>IF(A105="","",COUNTIFS(Relationships!$B$4:$B$1003,"AIR",Relationships!$D$4:$D$1003,"references",Relationships!$F$4:$F$1003,A105,Relationships!$M$4:$M$1003,"Confirmed",Relationships!$N$4:$N$1003,"OK — verify source"))</f>
        <v/>
      </c>
      <c r="E105" s="48">
        <f>IF(OR(A105="",NOT(ISNUMBER($D$6))),"",D105/$D$6)</f>
        <v/>
      </c>
      <c r="F105" s="25">
        <f>IF(OR(NOT(ISNUMBER(E105)),NOT(ISNUMBER($D$5))),"",IF(AND(D105&gt;0,E105&gt;=$D$5),"Review: concentration",""))</f>
        <v/>
      </c>
      <c r="H105" s="25" t="n"/>
      <c r="I105" s="25" t="n"/>
      <c r="J105" s="25">
        <f>IF(COUNTA(H105:I105)=0,"",IF(OR(H105="",I105=""),"AIR-ID or supplier missing",IF(COUNTIFS($H$15:$H$264,H105,$I$15:$I$264,I105)&gt;1,"Duplicate row (counted once)",IF(COUNTIF('System map'!$A$4:$A$203,H105)=0,"AIR-ID not on System map",IF(COUNTIF($L$15:$L$64,I105)=0,"Supplier not listed in Table 2b","OK — verify source")))))</f>
        <v/>
      </c>
    </row>
    <row r="106">
      <c r="A106" s="27">
        <f>IF(Components!A95="","",Components!A95)</f>
        <v/>
      </c>
      <c r="B106" s="27">
        <f>IF(OR(A106="",Components!B95=""),"",Components!B95)</f>
        <v/>
      </c>
      <c r="C106" s="27">
        <f>IF(OR(A106="",Components!C95=""),"",Components!C95)</f>
        <v/>
      </c>
      <c r="D106" s="27">
        <f>IF(A106="","",COUNTIFS(Relationships!$B$4:$B$1003,"AIR",Relationships!$D$4:$D$1003,"references",Relationships!$F$4:$F$1003,A106,Relationships!$M$4:$M$1003,"Confirmed",Relationships!$N$4:$N$1003,"OK — verify source"))</f>
        <v/>
      </c>
      <c r="E106" s="49">
        <f>IF(OR(A106="",NOT(ISNUMBER($D$6))),"",D106/$D$6)</f>
        <v/>
      </c>
      <c r="F106" s="27">
        <f>IF(OR(NOT(ISNUMBER(E106)),NOT(ISNUMBER($D$5))),"",IF(AND(D106&gt;0,E106&gt;=$D$5),"Review: concentration",""))</f>
        <v/>
      </c>
      <c r="H106" s="27" t="n"/>
      <c r="I106" s="27" t="n"/>
      <c r="J106" s="27">
        <f>IF(COUNTA(H106:I106)=0,"",IF(OR(H106="",I106=""),"AIR-ID or supplier missing",IF(COUNTIFS($H$15:$H$264,H106,$I$15:$I$264,I106)&gt;1,"Duplicate row (counted once)",IF(COUNTIF('System map'!$A$4:$A$203,H106)=0,"AIR-ID not on System map",IF(COUNTIF($L$15:$L$64,I106)=0,"Supplier not listed in Table 2b","OK — verify source")))))</f>
        <v/>
      </c>
    </row>
    <row r="107">
      <c r="A107" s="25">
        <f>IF(Components!A96="","",Components!A96)</f>
        <v/>
      </c>
      <c r="B107" s="25">
        <f>IF(OR(A107="",Components!B96=""),"",Components!B96)</f>
        <v/>
      </c>
      <c r="C107" s="25">
        <f>IF(OR(A107="",Components!C96=""),"",Components!C96)</f>
        <v/>
      </c>
      <c r="D107" s="25">
        <f>IF(A107="","",COUNTIFS(Relationships!$B$4:$B$1003,"AIR",Relationships!$D$4:$D$1003,"references",Relationships!$F$4:$F$1003,A107,Relationships!$M$4:$M$1003,"Confirmed",Relationships!$N$4:$N$1003,"OK — verify source"))</f>
        <v/>
      </c>
      <c r="E107" s="48">
        <f>IF(OR(A107="",NOT(ISNUMBER($D$6))),"",D107/$D$6)</f>
        <v/>
      </c>
      <c r="F107" s="25">
        <f>IF(OR(NOT(ISNUMBER(E107)),NOT(ISNUMBER($D$5))),"",IF(AND(D107&gt;0,E107&gt;=$D$5),"Review: concentration",""))</f>
        <v/>
      </c>
      <c r="H107" s="25" t="n"/>
      <c r="I107" s="25" t="n"/>
      <c r="J107" s="25">
        <f>IF(COUNTA(H107:I107)=0,"",IF(OR(H107="",I107=""),"AIR-ID or supplier missing",IF(COUNTIFS($H$15:$H$264,H107,$I$15:$I$264,I107)&gt;1,"Duplicate row (counted once)",IF(COUNTIF('System map'!$A$4:$A$203,H107)=0,"AIR-ID not on System map",IF(COUNTIF($L$15:$L$64,I107)=0,"Supplier not listed in Table 2b","OK — verify source")))))</f>
        <v/>
      </c>
    </row>
    <row r="108">
      <c r="A108" s="27">
        <f>IF(Components!A97="","",Components!A97)</f>
        <v/>
      </c>
      <c r="B108" s="27">
        <f>IF(OR(A108="",Components!B97=""),"",Components!B97)</f>
        <v/>
      </c>
      <c r="C108" s="27">
        <f>IF(OR(A108="",Components!C97=""),"",Components!C97)</f>
        <v/>
      </c>
      <c r="D108" s="27">
        <f>IF(A108="","",COUNTIFS(Relationships!$B$4:$B$1003,"AIR",Relationships!$D$4:$D$1003,"references",Relationships!$F$4:$F$1003,A108,Relationships!$M$4:$M$1003,"Confirmed",Relationships!$N$4:$N$1003,"OK — verify source"))</f>
        <v/>
      </c>
      <c r="E108" s="49">
        <f>IF(OR(A108="",NOT(ISNUMBER($D$6))),"",D108/$D$6)</f>
        <v/>
      </c>
      <c r="F108" s="27">
        <f>IF(OR(NOT(ISNUMBER(E108)),NOT(ISNUMBER($D$5))),"",IF(AND(D108&gt;0,E108&gt;=$D$5),"Review: concentration",""))</f>
        <v/>
      </c>
      <c r="H108" s="27" t="n"/>
      <c r="I108" s="27" t="n"/>
      <c r="J108" s="27">
        <f>IF(COUNTA(H108:I108)=0,"",IF(OR(H108="",I108=""),"AIR-ID or supplier missing",IF(COUNTIFS($H$15:$H$264,H108,$I$15:$I$264,I108)&gt;1,"Duplicate row (counted once)",IF(COUNTIF('System map'!$A$4:$A$203,H108)=0,"AIR-ID not on System map",IF(COUNTIF($L$15:$L$64,I108)=0,"Supplier not listed in Table 2b","OK — verify source")))))</f>
        <v/>
      </c>
    </row>
    <row r="109">
      <c r="A109" s="25">
        <f>IF(Components!A98="","",Components!A98)</f>
        <v/>
      </c>
      <c r="B109" s="25">
        <f>IF(OR(A109="",Components!B98=""),"",Components!B98)</f>
        <v/>
      </c>
      <c r="C109" s="25">
        <f>IF(OR(A109="",Components!C98=""),"",Components!C98)</f>
        <v/>
      </c>
      <c r="D109" s="25">
        <f>IF(A109="","",COUNTIFS(Relationships!$B$4:$B$1003,"AIR",Relationships!$D$4:$D$1003,"references",Relationships!$F$4:$F$1003,A109,Relationships!$M$4:$M$1003,"Confirmed",Relationships!$N$4:$N$1003,"OK — verify source"))</f>
        <v/>
      </c>
      <c r="E109" s="48">
        <f>IF(OR(A109="",NOT(ISNUMBER($D$6))),"",D109/$D$6)</f>
        <v/>
      </c>
      <c r="F109" s="25">
        <f>IF(OR(NOT(ISNUMBER(E109)),NOT(ISNUMBER($D$5))),"",IF(AND(D109&gt;0,E109&gt;=$D$5),"Review: concentration",""))</f>
        <v/>
      </c>
      <c r="H109" s="25" t="n"/>
      <c r="I109" s="25" t="n"/>
      <c r="J109" s="25">
        <f>IF(COUNTA(H109:I109)=0,"",IF(OR(H109="",I109=""),"AIR-ID or supplier missing",IF(COUNTIFS($H$15:$H$264,H109,$I$15:$I$264,I109)&gt;1,"Duplicate row (counted once)",IF(COUNTIF('System map'!$A$4:$A$203,H109)=0,"AIR-ID not on System map",IF(COUNTIF($L$15:$L$64,I109)=0,"Supplier not listed in Table 2b","OK — verify source")))))</f>
        <v/>
      </c>
    </row>
    <row r="110">
      <c r="A110" s="27">
        <f>IF(Components!A99="","",Components!A99)</f>
        <v/>
      </c>
      <c r="B110" s="27">
        <f>IF(OR(A110="",Components!B99=""),"",Components!B99)</f>
        <v/>
      </c>
      <c r="C110" s="27">
        <f>IF(OR(A110="",Components!C99=""),"",Components!C99)</f>
        <v/>
      </c>
      <c r="D110" s="27">
        <f>IF(A110="","",COUNTIFS(Relationships!$B$4:$B$1003,"AIR",Relationships!$D$4:$D$1003,"references",Relationships!$F$4:$F$1003,A110,Relationships!$M$4:$M$1003,"Confirmed",Relationships!$N$4:$N$1003,"OK — verify source"))</f>
        <v/>
      </c>
      <c r="E110" s="49">
        <f>IF(OR(A110="",NOT(ISNUMBER($D$6))),"",D110/$D$6)</f>
        <v/>
      </c>
      <c r="F110" s="27">
        <f>IF(OR(NOT(ISNUMBER(E110)),NOT(ISNUMBER($D$5))),"",IF(AND(D110&gt;0,E110&gt;=$D$5),"Review: concentration",""))</f>
        <v/>
      </c>
      <c r="H110" s="27" t="n"/>
      <c r="I110" s="27" t="n"/>
      <c r="J110" s="27">
        <f>IF(COUNTA(H110:I110)=0,"",IF(OR(H110="",I110=""),"AIR-ID or supplier missing",IF(COUNTIFS($H$15:$H$264,H110,$I$15:$I$264,I110)&gt;1,"Duplicate row (counted once)",IF(COUNTIF('System map'!$A$4:$A$203,H110)=0,"AIR-ID not on System map",IF(COUNTIF($L$15:$L$64,I110)=0,"Supplier not listed in Table 2b","OK — verify source")))))</f>
        <v/>
      </c>
    </row>
    <row r="111">
      <c r="A111" s="25">
        <f>IF(Components!A100="","",Components!A100)</f>
        <v/>
      </c>
      <c r="B111" s="25">
        <f>IF(OR(A111="",Components!B100=""),"",Components!B100)</f>
        <v/>
      </c>
      <c r="C111" s="25">
        <f>IF(OR(A111="",Components!C100=""),"",Components!C100)</f>
        <v/>
      </c>
      <c r="D111" s="25">
        <f>IF(A111="","",COUNTIFS(Relationships!$B$4:$B$1003,"AIR",Relationships!$D$4:$D$1003,"references",Relationships!$F$4:$F$1003,A111,Relationships!$M$4:$M$1003,"Confirmed",Relationships!$N$4:$N$1003,"OK — verify source"))</f>
        <v/>
      </c>
      <c r="E111" s="48">
        <f>IF(OR(A111="",NOT(ISNUMBER($D$6))),"",D111/$D$6)</f>
        <v/>
      </c>
      <c r="F111" s="25">
        <f>IF(OR(NOT(ISNUMBER(E111)),NOT(ISNUMBER($D$5))),"",IF(AND(D111&gt;0,E111&gt;=$D$5),"Review: concentration",""))</f>
        <v/>
      </c>
      <c r="H111" s="25" t="n"/>
      <c r="I111" s="25" t="n"/>
      <c r="J111" s="25">
        <f>IF(COUNTA(H111:I111)=0,"",IF(OR(H111="",I111=""),"AIR-ID or supplier missing",IF(COUNTIFS($H$15:$H$264,H111,$I$15:$I$264,I111)&gt;1,"Duplicate row (counted once)",IF(COUNTIF('System map'!$A$4:$A$203,H111)=0,"AIR-ID not on System map",IF(COUNTIF($L$15:$L$64,I111)=0,"Supplier not listed in Table 2b","OK — verify source")))))</f>
        <v/>
      </c>
    </row>
    <row r="112">
      <c r="A112" s="27">
        <f>IF(Components!A101="","",Components!A101)</f>
        <v/>
      </c>
      <c r="B112" s="27">
        <f>IF(OR(A112="",Components!B101=""),"",Components!B101)</f>
        <v/>
      </c>
      <c r="C112" s="27">
        <f>IF(OR(A112="",Components!C101=""),"",Components!C101)</f>
        <v/>
      </c>
      <c r="D112" s="27">
        <f>IF(A112="","",COUNTIFS(Relationships!$B$4:$B$1003,"AIR",Relationships!$D$4:$D$1003,"references",Relationships!$F$4:$F$1003,A112,Relationships!$M$4:$M$1003,"Confirmed",Relationships!$N$4:$N$1003,"OK — verify source"))</f>
        <v/>
      </c>
      <c r="E112" s="49">
        <f>IF(OR(A112="",NOT(ISNUMBER($D$6))),"",D112/$D$6)</f>
        <v/>
      </c>
      <c r="F112" s="27">
        <f>IF(OR(NOT(ISNUMBER(E112)),NOT(ISNUMBER($D$5))),"",IF(AND(D112&gt;0,E112&gt;=$D$5),"Review: concentration",""))</f>
        <v/>
      </c>
      <c r="H112" s="27" t="n"/>
      <c r="I112" s="27" t="n"/>
      <c r="J112" s="27">
        <f>IF(COUNTA(H112:I112)=0,"",IF(OR(H112="",I112=""),"AIR-ID or supplier missing",IF(COUNTIFS($H$15:$H$264,H112,$I$15:$I$264,I112)&gt;1,"Duplicate row (counted once)",IF(COUNTIF('System map'!$A$4:$A$203,H112)=0,"AIR-ID not on System map",IF(COUNTIF($L$15:$L$64,I112)=0,"Supplier not listed in Table 2b","OK — verify source")))))</f>
        <v/>
      </c>
    </row>
    <row r="113">
      <c r="A113" s="25">
        <f>IF(Components!A102="","",Components!A102)</f>
        <v/>
      </c>
      <c r="B113" s="25">
        <f>IF(OR(A113="",Components!B102=""),"",Components!B102)</f>
        <v/>
      </c>
      <c r="C113" s="25">
        <f>IF(OR(A113="",Components!C102=""),"",Components!C102)</f>
        <v/>
      </c>
      <c r="D113" s="25">
        <f>IF(A113="","",COUNTIFS(Relationships!$B$4:$B$1003,"AIR",Relationships!$D$4:$D$1003,"references",Relationships!$F$4:$F$1003,A113,Relationships!$M$4:$M$1003,"Confirmed",Relationships!$N$4:$N$1003,"OK — verify source"))</f>
        <v/>
      </c>
      <c r="E113" s="48">
        <f>IF(OR(A113="",NOT(ISNUMBER($D$6))),"",D113/$D$6)</f>
        <v/>
      </c>
      <c r="F113" s="25">
        <f>IF(OR(NOT(ISNUMBER(E113)),NOT(ISNUMBER($D$5))),"",IF(AND(D113&gt;0,E113&gt;=$D$5),"Review: concentration",""))</f>
        <v/>
      </c>
      <c r="H113" s="25" t="n"/>
      <c r="I113" s="25" t="n"/>
      <c r="J113" s="25">
        <f>IF(COUNTA(H113:I113)=0,"",IF(OR(H113="",I113=""),"AIR-ID or supplier missing",IF(COUNTIFS($H$15:$H$264,H113,$I$15:$I$264,I113)&gt;1,"Duplicate row (counted once)",IF(COUNTIF('System map'!$A$4:$A$203,H113)=0,"AIR-ID not on System map",IF(COUNTIF($L$15:$L$64,I113)=0,"Supplier not listed in Table 2b","OK — verify source")))))</f>
        <v/>
      </c>
    </row>
    <row r="114">
      <c r="A114" s="27">
        <f>IF(Components!A103="","",Components!A103)</f>
        <v/>
      </c>
      <c r="B114" s="27">
        <f>IF(OR(A114="",Components!B103=""),"",Components!B103)</f>
        <v/>
      </c>
      <c r="C114" s="27">
        <f>IF(OR(A114="",Components!C103=""),"",Components!C103)</f>
        <v/>
      </c>
      <c r="D114" s="27">
        <f>IF(A114="","",COUNTIFS(Relationships!$B$4:$B$1003,"AIR",Relationships!$D$4:$D$1003,"references",Relationships!$F$4:$F$1003,A114,Relationships!$M$4:$M$1003,"Confirmed",Relationships!$N$4:$N$1003,"OK — verify source"))</f>
        <v/>
      </c>
      <c r="E114" s="49">
        <f>IF(OR(A114="",NOT(ISNUMBER($D$6))),"",D114/$D$6)</f>
        <v/>
      </c>
      <c r="F114" s="27">
        <f>IF(OR(NOT(ISNUMBER(E114)),NOT(ISNUMBER($D$5))),"",IF(AND(D114&gt;0,E114&gt;=$D$5),"Review: concentration",""))</f>
        <v/>
      </c>
      <c r="H114" s="27" t="n"/>
      <c r="I114" s="27" t="n"/>
      <c r="J114" s="27">
        <f>IF(COUNTA(H114:I114)=0,"",IF(OR(H114="",I114=""),"AIR-ID or supplier missing",IF(COUNTIFS($H$15:$H$264,H114,$I$15:$I$264,I114)&gt;1,"Duplicate row (counted once)",IF(COUNTIF('System map'!$A$4:$A$203,H114)=0,"AIR-ID not on System map",IF(COUNTIF($L$15:$L$64,I114)=0,"Supplier not listed in Table 2b","OK — verify source")))))</f>
        <v/>
      </c>
    </row>
    <row r="115">
      <c r="A115" s="25">
        <f>IF(Components!A104="","",Components!A104)</f>
        <v/>
      </c>
      <c r="B115" s="25">
        <f>IF(OR(A115="",Components!B104=""),"",Components!B104)</f>
        <v/>
      </c>
      <c r="C115" s="25">
        <f>IF(OR(A115="",Components!C104=""),"",Components!C104)</f>
        <v/>
      </c>
      <c r="D115" s="25">
        <f>IF(A115="","",COUNTIFS(Relationships!$B$4:$B$1003,"AIR",Relationships!$D$4:$D$1003,"references",Relationships!$F$4:$F$1003,A115,Relationships!$M$4:$M$1003,"Confirmed",Relationships!$N$4:$N$1003,"OK — verify source"))</f>
        <v/>
      </c>
      <c r="E115" s="48">
        <f>IF(OR(A115="",NOT(ISNUMBER($D$6))),"",D115/$D$6)</f>
        <v/>
      </c>
      <c r="F115" s="25">
        <f>IF(OR(NOT(ISNUMBER(E115)),NOT(ISNUMBER($D$5))),"",IF(AND(D115&gt;0,E115&gt;=$D$5),"Review: concentration",""))</f>
        <v/>
      </c>
      <c r="H115" s="25" t="n"/>
      <c r="I115" s="25" t="n"/>
      <c r="J115" s="25">
        <f>IF(COUNTA(H115:I115)=0,"",IF(OR(H115="",I115=""),"AIR-ID or supplier missing",IF(COUNTIFS($H$15:$H$264,H115,$I$15:$I$264,I115)&gt;1,"Duplicate row (counted once)",IF(COUNTIF('System map'!$A$4:$A$203,H115)=0,"AIR-ID not on System map",IF(COUNTIF($L$15:$L$64,I115)=0,"Supplier not listed in Table 2b","OK — verify source")))))</f>
        <v/>
      </c>
    </row>
    <row r="116">
      <c r="A116" s="27">
        <f>IF(Components!A105="","",Components!A105)</f>
        <v/>
      </c>
      <c r="B116" s="27">
        <f>IF(OR(A116="",Components!B105=""),"",Components!B105)</f>
        <v/>
      </c>
      <c r="C116" s="27">
        <f>IF(OR(A116="",Components!C105=""),"",Components!C105)</f>
        <v/>
      </c>
      <c r="D116" s="27">
        <f>IF(A116="","",COUNTIFS(Relationships!$B$4:$B$1003,"AIR",Relationships!$D$4:$D$1003,"references",Relationships!$F$4:$F$1003,A116,Relationships!$M$4:$M$1003,"Confirmed",Relationships!$N$4:$N$1003,"OK — verify source"))</f>
        <v/>
      </c>
      <c r="E116" s="49">
        <f>IF(OR(A116="",NOT(ISNUMBER($D$6))),"",D116/$D$6)</f>
        <v/>
      </c>
      <c r="F116" s="27">
        <f>IF(OR(NOT(ISNUMBER(E116)),NOT(ISNUMBER($D$5))),"",IF(AND(D116&gt;0,E116&gt;=$D$5),"Review: concentration",""))</f>
        <v/>
      </c>
      <c r="H116" s="27" t="n"/>
      <c r="I116" s="27" t="n"/>
      <c r="J116" s="27">
        <f>IF(COUNTA(H116:I116)=0,"",IF(OR(H116="",I116=""),"AIR-ID or supplier missing",IF(COUNTIFS($H$15:$H$264,H116,$I$15:$I$264,I116)&gt;1,"Duplicate row (counted once)",IF(COUNTIF('System map'!$A$4:$A$203,H116)=0,"AIR-ID not on System map",IF(COUNTIF($L$15:$L$64,I116)=0,"Supplier not listed in Table 2b","OK — verify source")))))</f>
        <v/>
      </c>
    </row>
    <row r="117">
      <c r="A117" s="25">
        <f>IF(Components!A106="","",Components!A106)</f>
        <v/>
      </c>
      <c r="B117" s="25">
        <f>IF(OR(A117="",Components!B106=""),"",Components!B106)</f>
        <v/>
      </c>
      <c r="C117" s="25">
        <f>IF(OR(A117="",Components!C106=""),"",Components!C106)</f>
        <v/>
      </c>
      <c r="D117" s="25">
        <f>IF(A117="","",COUNTIFS(Relationships!$B$4:$B$1003,"AIR",Relationships!$D$4:$D$1003,"references",Relationships!$F$4:$F$1003,A117,Relationships!$M$4:$M$1003,"Confirmed",Relationships!$N$4:$N$1003,"OK — verify source"))</f>
        <v/>
      </c>
      <c r="E117" s="48">
        <f>IF(OR(A117="",NOT(ISNUMBER($D$6))),"",D117/$D$6)</f>
        <v/>
      </c>
      <c r="F117" s="25">
        <f>IF(OR(NOT(ISNUMBER(E117)),NOT(ISNUMBER($D$5))),"",IF(AND(D117&gt;0,E117&gt;=$D$5),"Review: concentration",""))</f>
        <v/>
      </c>
      <c r="H117" s="25" t="n"/>
      <c r="I117" s="25" t="n"/>
      <c r="J117" s="25">
        <f>IF(COUNTA(H117:I117)=0,"",IF(OR(H117="",I117=""),"AIR-ID or supplier missing",IF(COUNTIFS($H$15:$H$264,H117,$I$15:$I$264,I117)&gt;1,"Duplicate row (counted once)",IF(COUNTIF('System map'!$A$4:$A$203,H117)=0,"AIR-ID not on System map",IF(COUNTIF($L$15:$L$64,I117)=0,"Supplier not listed in Table 2b","OK — verify source")))))</f>
        <v/>
      </c>
    </row>
    <row r="118">
      <c r="A118" s="27">
        <f>IF(Components!A107="","",Components!A107)</f>
        <v/>
      </c>
      <c r="B118" s="27">
        <f>IF(OR(A118="",Components!B107=""),"",Components!B107)</f>
        <v/>
      </c>
      <c r="C118" s="27">
        <f>IF(OR(A118="",Components!C107=""),"",Components!C107)</f>
        <v/>
      </c>
      <c r="D118" s="27">
        <f>IF(A118="","",COUNTIFS(Relationships!$B$4:$B$1003,"AIR",Relationships!$D$4:$D$1003,"references",Relationships!$F$4:$F$1003,A118,Relationships!$M$4:$M$1003,"Confirmed",Relationships!$N$4:$N$1003,"OK — verify source"))</f>
        <v/>
      </c>
      <c r="E118" s="49">
        <f>IF(OR(A118="",NOT(ISNUMBER($D$6))),"",D118/$D$6)</f>
        <v/>
      </c>
      <c r="F118" s="27">
        <f>IF(OR(NOT(ISNUMBER(E118)),NOT(ISNUMBER($D$5))),"",IF(AND(D118&gt;0,E118&gt;=$D$5),"Review: concentration",""))</f>
        <v/>
      </c>
      <c r="H118" s="27" t="n"/>
      <c r="I118" s="27" t="n"/>
      <c r="J118" s="27">
        <f>IF(COUNTA(H118:I118)=0,"",IF(OR(H118="",I118=""),"AIR-ID or supplier missing",IF(COUNTIFS($H$15:$H$264,H118,$I$15:$I$264,I118)&gt;1,"Duplicate row (counted once)",IF(COUNTIF('System map'!$A$4:$A$203,H118)=0,"AIR-ID not on System map",IF(COUNTIF($L$15:$L$64,I118)=0,"Supplier not listed in Table 2b","OK — verify source")))))</f>
        <v/>
      </c>
    </row>
    <row r="119">
      <c r="A119" s="25">
        <f>IF(Components!A108="","",Components!A108)</f>
        <v/>
      </c>
      <c r="B119" s="25">
        <f>IF(OR(A119="",Components!B108=""),"",Components!B108)</f>
        <v/>
      </c>
      <c r="C119" s="25">
        <f>IF(OR(A119="",Components!C108=""),"",Components!C108)</f>
        <v/>
      </c>
      <c r="D119" s="25">
        <f>IF(A119="","",COUNTIFS(Relationships!$B$4:$B$1003,"AIR",Relationships!$D$4:$D$1003,"references",Relationships!$F$4:$F$1003,A119,Relationships!$M$4:$M$1003,"Confirmed",Relationships!$N$4:$N$1003,"OK — verify source"))</f>
        <v/>
      </c>
      <c r="E119" s="48">
        <f>IF(OR(A119="",NOT(ISNUMBER($D$6))),"",D119/$D$6)</f>
        <v/>
      </c>
      <c r="F119" s="25">
        <f>IF(OR(NOT(ISNUMBER(E119)),NOT(ISNUMBER($D$5))),"",IF(AND(D119&gt;0,E119&gt;=$D$5),"Review: concentration",""))</f>
        <v/>
      </c>
      <c r="H119" s="25" t="n"/>
      <c r="I119" s="25" t="n"/>
      <c r="J119" s="25">
        <f>IF(COUNTA(H119:I119)=0,"",IF(OR(H119="",I119=""),"AIR-ID or supplier missing",IF(COUNTIFS($H$15:$H$264,H119,$I$15:$I$264,I119)&gt;1,"Duplicate row (counted once)",IF(COUNTIF('System map'!$A$4:$A$203,H119)=0,"AIR-ID not on System map",IF(COUNTIF($L$15:$L$64,I119)=0,"Supplier not listed in Table 2b","OK — verify source")))))</f>
        <v/>
      </c>
    </row>
    <row r="120">
      <c r="A120" s="27">
        <f>IF(Components!A109="","",Components!A109)</f>
        <v/>
      </c>
      <c r="B120" s="27">
        <f>IF(OR(A120="",Components!B109=""),"",Components!B109)</f>
        <v/>
      </c>
      <c r="C120" s="27">
        <f>IF(OR(A120="",Components!C109=""),"",Components!C109)</f>
        <v/>
      </c>
      <c r="D120" s="27">
        <f>IF(A120="","",COUNTIFS(Relationships!$B$4:$B$1003,"AIR",Relationships!$D$4:$D$1003,"references",Relationships!$F$4:$F$1003,A120,Relationships!$M$4:$M$1003,"Confirmed",Relationships!$N$4:$N$1003,"OK — verify source"))</f>
        <v/>
      </c>
      <c r="E120" s="49">
        <f>IF(OR(A120="",NOT(ISNUMBER($D$6))),"",D120/$D$6)</f>
        <v/>
      </c>
      <c r="F120" s="27">
        <f>IF(OR(NOT(ISNUMBER(E120)),NOT(ISNUMBER($D$5))),"",IF(AND(D120&gt;0,E120&gt;=$D$5),"Review: concentration",""))</f>
        <v/>
      </c>
      <c r="H120" s="27" t="n"/>
      <c r="I120" s="27" t="n"/>
      <c r="J120" s="27">
        <f>IF(COUNTA(H120:I120)=0,"",IF(OR(H120="",I120=""),"AIR-ID or supplier missing",IF(COUNTIFS($H$15:$H$264,H120,$I$15:$I$264,I120)&gt;1,"Duplicate row (counted once)",IF(COUNTIF('System map'!$A$4:$A$203,H120)=0,"AIR-ID not on System map",IF(COUNTIF($L$15:$L$64,I120)=0,"Supplier not listed in Table 2b","OK — verify source")))))</f>
        <v/>
      </c>
    </row>
    <row r="121">
      <c r="A121" s="25">
        <f>IF(Components!A110="","",Components!A110)</f>
        <v/>
      </c>
      <c r="B121" s="25">
        <f>IF(OR(A121="",Components!B110=""),"",Components!B110)</f>
        <v/>
      </c>
      <c r="C121" s="25">
        <f>IF(OR(A121="",Components!C110=""),"",Components!C110)</f>
        <v/>
      </c>
      <c r="D121" s="25">
        <f>IF(A121="","",COUNTIFS(Relationships!$B$4:$B$1003,"AIR",Relationships!$D$4:$D$1003,"references",Relationships!$F$4:$F$1003,A121,Relationships!$M$4:$M$1003,"Confirmed",Relationships!$N$4:$N$1003,"OK — verify source"))</f>
        <v/>
      </c>
      <c r="E121" s="48">
        <f>IF(OR(A121="",NOT(ISNUMBER($D$6))),"",D121/$D$6)</f>
        <v/>
      </c>
      <c r="F121" s="25">
        <f>IF(OR(NOT(ISNUMBER(E121)),NOT(ISNUMBER($D$5))),"",IF(AND(D121&gt;0,E121&gt;=$D$5),"Review: concentration",""))</f>
        <v/>
      </c>
      <c r="H121" s="25" t="n"/>
      <c r="I121" s="25" t="n"/>
      <c r="J121" s="25">
        <f>IF(COUNTA(H121:I121)=0,"",IF(OR(H121="",I121=""),"AIR-ID or supplier missing",IF(COUNTIFS($H$15:$H$264,H121,$I$15:$I$264,I121)&gt;1,"Duplicate row (counted once)",IF(COUNTIF('System map'!$A$4:$A$203,H121)=0,"AIR-ID not on System map",IF(COUNTIF($L$15:$L$64,I121)=0,"Supplier not listed in Table 2b","OK — verify source")))))</f>
        <v/>
      </c>
    </row>
    <row r="122">
      <c r="A122" s="27">
        <f>IF(Components!A111="","",Components!A111)</f>
        <v/>
      </c>
      <c r="B122" s="27">
        <f>IF(OR(A122="",Components!B111=""),"",Components!B111)</f>
        <v/>
      </c>
      <c r="C122" s="27">
        <f>IF(OR(A122="",Components!C111=""),"",Components!C111)</f>
        <v/>
      </c>
      <c r="D122" s="27">
        <f>IF(A122="","",COUNTIFS(Relationships!$B$4:$B$1003,"AIR",Relationships!$D$4:$D$1003,"references",Relationships!$F$4:$F$1003,A122,Relationships!$M$4:$M$1003,"Confirmed",Relationships!$N$4:$N$1003,"OK — verify source"))</f>
        <v/>
      </c>
      <c r="E122" s="49">
        <f>IF(OR(A122="",NOT(ISNUMBER($D$6))),"",D122/$D$6)</f>
        <v/>
      </c>
      <c r="F122" s="27">
        <f>IF(OR(NOT(ISNUMBER(E122)),NOT(ISNUMBER($D$5))),"",IF(AND(D122&gt;0,E122&gt;=$D$5),"Review: concentration",""))</f>
        <v/>
      </c>
      <c r="H122" s="27" t="n"/>
      <c r="I122" s="27" t="n"/>
      <c r="J122" s="27">
        <f>IF(COUNTA(H122:I122)=0,"",IF(OR(H122="",I122=""),"AIR-ID or supplier missing",IF(COUNTIFS($H$15:$H$264,H122,$I$15:$I$264,I122)&gt;1,"Duplicate row (counted once)",IF(COUNTIF('System map'!$A$4:$A$203,H122)=0,"AIR-ID not on System map",IF(COUNTIF($L$15:$L$64,I122)=0,"Supplier not listed in Table 2b","OK — verify source")))))</f>
        <v/>
      </c>
    </row>
    <row r="123">
      <c r="A123" s="25">
        <f>IF(Components!A112="","",Components!A112)</f>
        <v/>
      </c>
      <c r="B123" s="25">
        <f>IF(OR(A123="",Components!B112=""),"",Components!B112)</f>
        <v/>
      </c>
      <c r="C123" s="25">
        <f>IF(OR(A123="",Components!C112=""),"",Components!C112)</f>
        <v/>
      </c>
      <c r="D123" s="25">
        <f>IF(A123="","",COUNTIFS(Relationships!$B$4:$B$1003,"AIR",Relationships!$D$4:$D$1003,"references",Relationships!$F$4:$F$1003,A123,Relationships!$M$4:$M$1003,"Confirmed",Relationships!$N$4:$N$1003,"OK — verify source"))</f>
        <v/>
      </c>
      <c r="E123" s="48">
        <f>IF(OR(A123="",NOT(ISNUMBER($D$6))),"",D123/$D$6)</f>
        <v/>
      </c>
      <c r="F123" s="25">
        <f>IF(OR(NOT(ISNUMBER(E123)),NOT(ISNUMBER($D$5))),"",IF(AND(D123&gt;0,E123&gt;=$D$5),"Review: concentration",""))</f>
        <v/>
      </c>
      <c r="H123" s="25" t="n"/>
      <c r="I123" s="25" t="n"/>
      <c r="J123" s="25">
        <f>IF(COUNTA(H123:I123)=0,"",IF(OR(H123="",I123=""),"AIR-ID or supplier missing",IF(COUNTIFS($H$15:$H$264,H123,$I$15:$I$264,I123)&gt;1,"Duplicate row (counted once)",IF(COUNTIF('System map'!$A$4:$A$203,H123)=0,"AIR-ID not on System map",IF(COUNTIF($L$15:$L$64,I123)=0,"Supplier not listed in Table 2b","OK — verify source")))))</f>
        <v/>
      </c>
    </row>
    <row r="124">
      <c r="A124" s="27">
        <f>IF(Components!A113="","",Components!A113)</f>
        <v/>
      </c>
      <c r="B124" s="27">
        <f>IF(OR(A124="",Components!B113=""),"",Components!B113)</f>
        <v/>
      </c>
      <c r="C124" s="27">
        <f>IF(OR(A124="",Components!C113=""),"",Components!C113)</f>
        <v/>
      </c>
      <c r="D124" s="27">
        <f>IF(A124="","",COUNTIFS(Relationships!$B$4:$B$1003,"AIR",Relationships!$D$4:$D$1003,"references",Relationships!$F$4:$F$1003,A124,Relationships!$M$4:$M$1003,"Confirmed",Relationships!$N$4:$N$1003,"OK — verify source"))</f>
        <v/>
      </c>
      <c r="E124" s="49">
        <f>IF(OR(A124="",NOT(ISNUMBER($D$6))),"",D124/$D$6)</f>
        <v/>
      </c>
      <c r="F124" s="27">
        <f>IF(OR(NOT(ISNUMBER(E124)),NOT(ISNUMBER($D$5))),"",IF(AND(D124&gt;0,E124&gt;=$D$5),"Review: concentration",""))</f>
        <v/>
      </c>
      <c r="H124" s="27" t="n"/>
      <c r="I124" s="27" t="n"/>
      <c r="J124" s="27">
        <f>IF(COUNTA(H124:I124)=0,"",IF(OR(H124="",I124=""),"AIR-ID or supplier missing",IF(COUNTIFS($H$15:$H$264,H124,$I$15:$I$264,I124)&gt;1,"Duplicate row (counted once)",IF(COUNTIF('System map'!$A$4:$A$203,H124)=0,"AIR-ID not on System map",IF(COUNTIF($L$15:$L$64,I124)=0,"Supplier not listed in Table 2b","OK — verify source")))))</f>
        <v/>
      </c>
    </row>
    <row r="125">
      <c r="A125" s="25">
        <f>IF(Components!A114="","",Components!A114)</f>
        <v/>
      </c>
      <c r="B125" s="25">
        <f>IF(OR(A125="",Components!B114=""),"",Components!B114)</f>
        <v/>
      </c>
      <c r="C125" s="25">
        <f>IF(OR(A125="",Components!C114=""),"",Components!C114)</f>
        <v/>
      </c>
      <c r="D125" s="25">
        <f>IF(A125="","",COUNTIFS(Relationships!$B$4:$B$1003,"AIR",Relationships!$D$4:$D$1003,"references",Relationships!$F$4:$F$1003,A125,Relationships!$M$4:$M$1003,"Confirmed",Relationships!$N$4:$N$1003,"OK — verify source"))</f>
        <v/>
      </c>
      <c r="E125" s="48">
        <f>IF(OR(A125="",NOT(ISNUMBER($D$6))),"",D125/$D$6)</f>
        <v/>
      </c>
      <c r="F125" s="25">
        <f>IF(OR(NOT(ISNUMBER(E125)),NOT(ISNUMBER($D$5))),"",IF(AND(D125&gt;0,E125&gt;=$D$5),"Review: concentration",""))</f>
        <v/>
      </c>
      <c r="H125" s="25" t="n"/>
      <c r="I125" s="25" t="n"/>
      <c r="J125" s="25">
        <f>IF(COUNTA(H125:I125)=0,"",IF(OR(H125="",I125=""),"AIR-ID or supplier missing",IF(COUNTIFS($H$15:$H$264,H125,$I$15:$I$264,I125)&gt;1,"Duplicate row (counted once)",IF(COUNTIF('System map'!$A$4:$A$203,H125)=0,"AIR-ID not on System map",IF(COUNTIF($L$15:$L$64,I125)=0,"Supplier not listed in Table 2b","OK — verify source")))))</f>
        <v/>
      </c>
    </row>
    <row r="126">
      <c r="A126" s="27">
        <f>IF(Components!A115="","",Components!A115)</f>
        <v/>
      </c>
      <c r="B126" s="27">
        <f>IF(OR(A126="",Components!B115=""),"",Components!B115)</f>
        <v/>
      </c>
      <c r="C126" s="27">
        <f>IF(OR(A126="",Components!C115=""),"",Components!C115)</f>
        <v/>
      </c>
      <c r="D126" s="27">
        <f>IF(A126="","",COUNTIFS(Relationships!$B$4:$B$1003,"AIR",Relationships!$D$4:$D$1003,"references",Relationships!$F$4:$F$1003,A126,Relationships!$M$4:$M$1003,"Confirmed",Relationships!$N$4:$N$1003,"OK — verify source"))</f>
        <v/>
      </c>
      <c r="E126" s="49">
        <f>IF(OR(A126="",NOT(ISNUMBER($D$6))),"",D126/$D$6)</f>
        <v/>
      </c>
      <c r="F126" s="27">
        <f>IF(OR(NOT(ISNUMBER(E126)),NOT(ISNUMBER($D$5))),"",IF(AND(D126&gt;0,E126&gt;=$D$5),"Review: concentration",""))</f>
        <v/>
      </c>
      <c r="H126" s="27" t="n"/>
      <c r="I126" s="27" t="n"/>
      <c r="J126" s="27">
        <f>IF(COUNTA(H126:I126)=0,"",IF(OR(H126="",I126=""),"AIR-ID or supplier missing",IF(COUNTIFS($H$15:$H$264,H126,$I$15:$I$264,I126)&gt;1,"Duplicate row (counted once)",IF(COUNTIF('System map'!$A$4:$A$203,H126)=0,"AIR-ID not on System map",IF(COUNTIF($L$15:$L$64,I126)=0,"Supplier not listed in Table 2b","OK — verify source")))))</f>
        <v/>
      </c>
    </row>
    <row r="127">
      <c r="A127" s="25">
        <f>IF(Components!A116="","",Components!A116)</f>
        <v/>
      </c>
      <c r="B127" s="25">
        <f>IF(OR(A127="",Components!B116=""),"",Components!B116)</f>
        <v/>
      </c>
      <c r="C127" s="25">
        <f>IF(OR(A127="",Components!C116=""),"",Components!C116)</f>
        <v/>
      </c>
      <c r="D127" s="25">
        <f>IF(A127="","",COUNTIFS(Relationships!$B$4:$B$1003,"AIR",Relationships!$D$4:$D$1003,"references",Relationships!$F$4:$F$1003,A127,Relationships!$M$4:$M$1003,"Confirmed",Relationships!$N$4:$N$1003,"OK — verify source"))</f>
        <v/>
      </c>
      <c r="E127" s="48">
        <f>IF(OR(A127="",NOT(ISNUMBER($D$6))),"",D127/$D$6)</f>
        <v/>
      </c>
      <c r="F127" s="25">
        <f>IF(OR(NOT(ISNUMBER(E127)),NOT(ISNUMBER($D$5))),"",IF(AND(D127&gt;0,E127&gt;=$D$5),"Review: concentration",""))</f>
        <v/>
      </c>
      <c r="H127" s="25" t="n"/>
      <c r="I127" s="25" t="n"/>
      <c r="J127" s="25">
        <f>IF(COUNTA(H127:I127)=0,"",IF(OR(H127="",I127=""),"AIR-ID or supplier missing",IF(COUNTIFS($H$15:$H$264,H127,$I$15:$I$264,I127)&gt;1,"Duplicate row (counted once)",IF(COUNTIF('System map'!$A$4:$A$203,H127)=0,"AIR-ID not on System map",IF(COUNTIF($L$15:$L$64,I127)=0,"Supplier not listed in Table 2b","OK — verify source")))))</f>
        <v/>
      </c>
    </row>
    <row r="128">
      <c r="A128" s="27">
        <f>IF(Components!A117="","",Components!A117)</f>
        <v/>
      </c>
      <c r="B128" s="27">
        <f>IF(OR(A128="",Components!B117=""),"",Components!B117)</f>
        <v/>
      </c>
      <c r="C128" s="27">
        <f>IF(OR(A128="",Components!C117=""),"",Components!C117)</f>
        <v/>
      </c>
      <c r="D128" s="27">
        <f>IF(A128="","",COUNTIFS(Relationships!$B$4:$B$1003,"AIR",Relationships!$D$4:$D$1003,"references",Relationships!$F$4:$F$1003,A128,Relationships!$M$4:$M$1003,"Confirmed",Relationships!$N$4:$N$1003,"OK — verify source"))</f>
        <v/>
      </c>
      <c r="E128" s="49">
        <f>IF(OR(A128="",NOT(ISNUMBER($D$6))),"",D128/$D$6)</f>
        <v/>
      </c>
      <c r="F128" s="27">
        <f>IF(OR(NOT(ISNUMBER(E128)),NOT(ISNUMBER($D$5))),"",IF(AND(D128&gt;0,E128&gt;=$D$5),"Review: concentration",""))</f>
        <v/>
      </c>
      <c r="H128" s="27" t="n"/>
      <c r="I128" s="27" t="n"/>
      <c r="J128" s="27">
        <f>IF(COUNTA(H128:I128)=0,"",IF(OR(H128="",I128=""),"AIR-ID or supplier missing",IF(COUNTIFS($H$15:$H$264,H128,$I$15:$I$264,I128)&gt;1,"Duplicate row (counted once)",IF(COUNTIF('System map'!$A$4:$A$203,H128)=0,"AIR-ID not on System map",IF(COUNTIF($L$15:$L$64,I128)=0,"Supplier not listed in Table 2b","OK — verify source")))))</f>
        <v/>
      </c>
    </row>
    <row r="129">
      <c r="A129" s="25">
        <f>IF(Components!A118="","",Components!A118)</f>
        <v/>
      </c>
      <c r="B129" s="25">
        <f>IF(OR(A129="",Components!B118=""),"",Components!B118)</f>
        <v/>
      </c>
      <c r="C129" s="25">
        <f>IF(OR(A129="",Components!C118=""),"",Components!C118)</f>
        <v/>
      </c>
      <c r="D129" s="25">
        <f>IF(A129="","",COUNTIFS(Relationships!$B$4:$B$1003,"AIR",Relationships!$D$4:$D$1003,"references",Relationships!$F$4:$F$1003,A129,Relationships!$M$4:$M$1003,"Confirmed",Relationships!$N$4:$N$1003,"OK — verify source"))</f>
        <v/>
      </c>
      <c r="E129" s="48">
        <f>IF(OR(A129="",NOT(ISNUMBER($D$6))),"",D129/$D$6)</f>
        <v/>
      </c>
      <c r="F129" s="25">
        <f>IF(OR(NOT(ISNUMBER(E129)),NOT(ISNUMBER($D$5))),"",IF(AND(D129&gt;0,E129&gt;=$D$5),"Review: concentration",""))</f>
        <v/>
      </c>
      <c r="H129" s="25" t="n"/>
      <c r="I129" s="25" t="n"/>
      <c r="J129" s="25">
        <f>IF(COUNTA(H129:I129)=0,"",IF(OR(H129="",I129=""),"AIR-ID or supplier missing",IF(COUNTIFS($H$15:$H$264,H129,$I$15:$I$264,I129)&gt;1,"Duplicate row (counted once)",IF(COUNTIF('System map'!$A$4:$A$203,H129)=0,"AIR-ID not on System map",IF(COUNTIF($L$15:$L$64,I129)=0,"Supplier not listed in Table 2b","OK — verify source")))))</f>
        <v/>
      </c>
    </row>
    <row r="130">
      <c r="A130" s="27">
        <f>IF(Components!A119="","",Components!A119)</f>
        <v/>
      </c>
      <c r="B130" s="27">
        <f>IF(OR(A130="",Components!B119=""),"",Components!B119)</f>
        <v/>
      </c>
      <c r="C130" s="27">
        <f>IF(OR(A130="",Components!C119=""),"",Components!C119)</f>
        <v/>
      </c>
      <c r="D130" s="27">
        <f>IF(A130="","",COUNTIFS(Relationships!$B$4:$B$1003,"AIR",Relationships!$D$4:$D$1003,"references",Relationships!$F$4:$F$1003,A130,Relationships!$M$4:$M$1003,"Confirmed",Relationships!$N$4:$N$1003,"OK — verify source"))</f>
        <v/>
      </c>
      <c r="E130" s="49">
        <f>IF(OR(A130="",NOT(ISNUMBER($D$6))),"",D130/$D$6)</f>
        <v/>
      </c>
      <c r="F130" s="27">
        <f>IF(OR(NOT(ISNUMBER(E130)),NOT(ISNUMBER($D$5))),"",IF(AND(D130&gt;0,E130&gt;=$D$5),"Review: concentration",""))</f>
        <v/>
      </c>
      <c r="H130" s="27" t="n"/>
      <c r="I130" s="27" t="n"/>
      <c r="J130" s="27">
        <f>IF(COUNTA(H130:I130)=0,"",IF(OR(H130="",I130=""),"AIR-ID or supplier missing",IF(COUNTIFS($H$15:$H$264,H130,$I$15:$I$264,I130)&gt;1,"Duplicate row (counted once)",IF(COUNTIF('System map'!$A$4:$A$203,H130)=0,"AIR-ID not on System map",IF(COUNTIF($L$15:$L$64,I130)=0,"Supplier not listed in Table 2b","OK — verify source")))))</f>
        <v/>
      </c>
    </row>
    <row r="131">
      <c r="A131" s="25">
        <f>IF(Components!A120="","",Components!A120)</f>
        <v/>
      </c>
      <c r="B131" s="25">
        <f>IF(OR(A131="",Components!B120=""),"",Components!B120)</f>
        <v/>
      </c>
      <c r="C131" s="25">
        <f>IF(OR(A131="",Components!C120=""),"",Components!C120)</f>
        <v/>
      </c>
      <c r="D131" s="25">
        <f>IF(A131="","",COUNTIFS(Relationships!$B$4:$B$1003,"AIR",Relationships!$D$4:$D$1003,"references",Relationships!$F$4:$F$1003,A131,Relationships!$M$4:$M$1003,"Confirmed",Relationships!$N$4:$N$1003,"OK — verify source"))</f>
        <v/>
      </c>
      <c r="E131" s="48">
        <f>IF(OR(A131="",NOT(ISNUMBER($D$6))),"",D131/$D$6)</f>
        <v/>
      </c>
      <c r="F131" s="25">
        <f>IF(OR(NOT(ISNUMBER(E131)),NOT(ISNUMBER($D$5))),"",IF(AND(D131&gt;0,E131&gt;=$D$5),"Review: concentration",""))</f>
        <v/>
      </c>
      <c r="H131" s="25" t="n"/>
      <c r="I131" s="25" t="n"/>
      <c r="J131" s="25">
        <f>IF(COUNTA(H131:I131)=0,"",IF(OR(H131="",I131=""),"AIR-ID or supplier missing",IF(COUNTIFS($H$15:$H$264,H131,$I$15:$I$264,I131)&gt;1,"Duplicate row (counted once)",IF(COUNTIF('System map'!$A$4:$A$203,H131)=0,"AIR-ID not on System map",IF(COUNTIF($L$15:$L$64,I131)=0,"Supplier not listed in Table 2b","OK — verify source")))))</f>
        <v/>
      </c>
    </row>
    <row r="132">
      <c r="A132" s="27">
        <f>IF(Components!A121="","",Components!A121)</f>
        <v/>
      </c>
      <c r="B132" s="27">
        <f>IF(OR(A132="",Components!B121=""),"",Components!B121)</f>
        <v/>
      </c>
      <c r="C132" s="27">
        <f>IF(OR(A132="",Components!C121=""),"",Components!C121)</f>
        <v/>
      </c>
      <c r="D132" s="27">
        <f>IF(A132="","",COUNTIFS(Relationships!$B$4:$B$1003,"AIR",Relationships!$D$4:$D$1003,"references",Relationships!$F$4:$F$1003,A132,Relationships!$M$4:$M$1003,"Confirmed",Relationships!$N$4:$N$1003,"OK — verify source"))</f>
        <v/>
      </c>
      <c r="E132" s="49">
        <f>IF(OR(A132="",NOT(ISNUMBER($D$6))),"",D132/$D$6)</f>
        <v/>
      </c>
      <c r="F132" s="27">
        <f>IF(OR(NOT(ISNUMBER(E132)),NOT(ISNUMBER($D$5))),"",IF(AND(D132&gt;0,E132&gt;=$D$5),"Review: concentration",""))</f>
        <v/>
      </c>
      <c r="H132" s="27" t="n"/>
      <c r="I132" s="27" t="n"/>
      <c r="J132" s="27">
        <f>IF(COUNTA(H132:I132)=0,"",IF(OR(H132="",I132=""),"AIR-ID or supplier missing",IF(COUNTIFS($H$15:$H$264,H132,$I$15:$I$264,I132)&gt;1,"Duplicate row (counted once)",IF(COUNTIF('System map'!$A$4:$A$203,H132)=0,"AIR-ID not on System map",IF(COUNTIF($L$15:$L$64,I132)=0,"Supplier not listed in Table 2b","OK — verify source")))))</f>
        <v/>
      </c>
    </row>
    <row r="133">
      <c r="A133" s="25">
        <f>IF(Components!A122="","",Components!A122)</f>
        <v/>
      </c>
      <c r="B133" s="25">
        <f>IF(OR(A133="",Components!B122=""),"",Components!B122)</f>
        <v/>
      </c>
      <c r="C133" s="25">
        <f>IF(OR(A133="",Components!C122=""),"",Components!C122)</f>
        <v/>
      </c>
      <c r="D133" s="25">
        <f>IF(A133="","",COUNTIFS(Relationships!$B$4:$B$1003,"AIR",Relationships!$D$4:$D$1003,"references",Relationships!$F$4:$F$1003,A133,Relationships!$M$4:$M$1003,"Confirmed",Relationships!$N$4:$N$1003,"OK — verify source"))</f>
        <v/>
      </c>
      <c r="E133" s="48">
        <f>IF(OR(A133="",NOT(ISNUMBER($D$6))),"",D133/$D$6)</f>
        <v/>
      </c>
      <c r="F133" s="25">
        <f>IF(OR(NOT(ISNUMBER(E133)),NOT(ISNUMBER($D$5))),"",IF(AND(D133&gt;0,E133&gt;=$D$5),"Review: concentration",""))</f>
        <v/>
      </c>
      <c r="H133" s="25" t="n"/>
      <c r="I133" s="25" t="n"/>
      <c r="J133" s="25">
        <f>IF(COUNTA(H133:I133)=0,"",IF(OR(H133="",I133=""),"AIR-ID or supplier missing",IF(COUNTIFS($H$15:$H$264,H133,$I$15:$I$264,I133)&gt;1,"Duplicate row (counted once)",IF(COUNTIF('System map'!$A$4:$A$203,H133)=0,"AIR-ID not on System map",IF(COUNTIF($L$15:$L$64,I133)=0,"Supplier not listed in Table 2b","OK — verify source")))))</f>
        <v/>
      </c>
    </row>
    <row r="134">
      <c r="A134" s="27">
        <f>IF(Components!A123="","",Components!A123)</f>
        <v/>
      </c>
      <c r="B134" s="27">
        <f>IF(OR(A134="",Components!B123=""),"",Components!B123)</f>
        <v/>
      </c>
      <c r="C134" s="27">
        <f>IF(OR(A134="",Components!C123=""),"",Components!C123)</f>
        <v/>
      </c>
      <c r="D134" s="27">
        <f>IF(A134="","",COUNTIFS(Relationships!$B$4:$B$1003,"AIR",Relationships!$D$4:$D$1003,"references",Relationships!$F$4:$F$1003,A134,Relationships!$M$4:$M$1003,"Confirmed",Relationships!$N$4:$N$1003,"OK — verify source"))</f>
        <v/>
      </c>
      <c r="E134" s="49">
        <f>IF(OR(A134="",NOT(ISNUMBER($D$6))),"",D134/$D$6)</f>
        <v/>
      </c>
      <c r="F134" s="27">
        <f>IF(OR(NOT(ISNUMBER(E134)),NOT(ISNUMBER($D$5))),"",IF(AND(D134&gt;0,E134&gt;=$D$5),"Review: concentration",""))</f>
        <v/>
      </c>
      <c r="H134" s="27" t="n"/>
      <c r="I134" s="27" t="n"/>
      <c r="J134" s="27">
        <f>IF(COUNTA(H134:I134)=0,"",IF(OR(H134="",I134=""),"AIR-ID or supplier missing",IF(COUNTIFS($H$15:$H$264,H134,$I$15:$I$264,I134)&gt;1,"Duplicate row (counted once)",IF(COUNTIF('System map'!$A$4:$A$203,H134)=0,"AIR-ID not on System map",IF(COUNTIF($L$15:$L$64,I134)=0,"Supplier not listed in Table 2b","OK — verify source")))))</f>
        <v/>
      </c>
    </row>
    <row r="135">
      <c r="A135" s="25">
        <f>IF(Components!A124="","",Components!A124)</f>
        <v/>
      </c>
      <c r="B135" s="25">
        <f>IF(OR(A135="",Components!B124=""),"",Components!B124)</f>
        <v/>
      </c>
      <c r="C135" s="25">
        <f>IF(OR(A135="",Components!C124=""),"",Components!C124)</f>
        <v/>
      </c>
      <c r="D135" s="25">
        <f>IF(A135="","",COUNTIFS(Relationships!$B$4:$B$1003,"AIR",Relationships!$D$4:$D$1003,"references",Relationships!$F$4:$F$1003,A135,Relationships!$M$4:$M$1003,"Confirmed",Relationships!$N$4:$N$1003,"OK — verify source"))</f>
        <v/>
      </c>
      <c r="E135" s="48">
        <f>IF(OR(A135="",NOT(ISNUMBER($D$6))),"",D135/$D$6)</f>
        <v/>
      </c>
      <c r="F135" s="25">
        <f>IF(OR(NOT(ISNUMBER(E135)),NOT(ISNUMBER($D$5))),"",IF(AND(D135&gt;0,E135&gt;=$D$5),"Review: concentration",""))</f>
        <v/>
      </c>
      <c r="H135" s="25" t="n"/>
      <c r="I135" s="25" t="n"/>
      <c r="J135" s="25">
        <f>IF(COUNTA(H135:I135)=0,"",IF(OR(H135="",I135=""),"AIR-ID or supplier missing",IF(COUNTIFS($H$15:$H$264,H135,$I$15:$I$264,I135)&gt;1,"Duplicate row (counted once)",IF(COUNTIF('System map'!$A$4:$A$203,H135)=0,"AIR-ID not on System map",IF(COUNTIF($L$15:$L$64,I135)=0,"Supplier not listed in Table 2b","OK — verify source")))))</f>
        <v/>
      </c>
    </row>
    <row r="136">
      <c r="A136" s="27">
        <f>IF(Components!A125="","",Components!A125)</f>
        <v/>
      </c>
      <c r="B136" s="27">
        <f>IF(OR(A136="",Components!B125=""),"",Components!B125)</f>
        <v/>
      </c>
      <c r="C136" s="27">
        <f>IF(OR(A136="",Components!C125=""),"",Components!C125)</f>
        <v/>
      </c>
      <c r="D136" s="27">
        <f>IF(A136="","",COUNTIFS(Relationships!$B$4:$B$1003,"AIR",Relationships!$D$4:$D$1003,"references",Relationships!$F$4:$F$1003,A136,Relationships!$M$4:$M$1003,"Confirmed",Relationships!$N$4:$N$1003,"OK — verify source"))</f>
        <v/>
      </c>
      <c r="E136" s="49">
        <f>IF(OR(A136="",NOT(ISNUMBER($D$6))),"",D136/$D$6)</f>
        <v/>
      </c>
      <c r="F136" s="27">
        <f>IF(OR(NOT(ISNUMBER(E136)),NOT(ISNUMBER($D$5))),"",IF(AND(D136&gt;0,E136&gt;=$D$5),"Review: concentration",""))</f>
        <v/>
      </c>
      <c r="H136" s="27" t="n"/>
      <c r="I136" s="27" t="n"/>
      <c r="J136" s="27">
        <f>IF(COUNTA(H136:I136)=0,"",IF(OR(H136="",I136=""),"AIR-ID or supplier missing",IF(COUNTIFS($H$15:$H$264,H136,$I$15:$I$264,I136)&gt;1,"Duplicate row (counted once)",IF(COUNTIF('System map'!$A$4:$A$203,H136)=0,"AIR-ID not on System map",IF(COUNTIF($L$15:$L$64,I136)=0,"Supplier not listed in Table 2b","OK — verify source")))))</f>
        <v/>
      </c>
    </row>
    <row r="137">
      <c r="A137" s="25">
        <f>IF(Components!A126="","",Components!A126)</f>
        <v/>
      </c>
      <c r="B137" s="25">
        <f>IF(OR(A137="",Components!B126=""),"",Components!B126)</f>
        <v/>
      </c>
      <c r="C137" s="25">
        <f>IF(OR(A137="",Components!C126=""),"",Components!C126)</f>
        <v/>
      </c>
      <c r="D137" s="25">
        <f>IF(A137="","",COUNTIFS(Relationships!$B$4:$B$1003,"AIR",Relationships!$D$4:$D$1003,"references",Relationships!$F$4:$F$1003,A137,Relationships!$M$4:$M$1003,"Confirmed",Relationships!$N$4:$N$1003,"OK — verify source"))</f>
        <v/>
      </c>
      <c r="E137" s="48">
        <f>IF(OR(A137="",NOT(ISNUMBER($D$6))),"",D137/$D$6)</f>
        <v/>
      </c>
      <c r="F137" s="25">
        <f>IF(OR(NOT(ISNUMBER(E137)),NOT(ISNUMBER($D$5))),"",IF(AND(D137&gt;0,E137&gt;=$D$5),"Review: concentration",""))</f>
        <v/>
      </c>
      <c r="H137" s="25" t="n"/>
      <c r="I137" s="25" t="n"/>
      <c r="J137" s="25">
        <f>IF(COUNTA(H137:I137)=0,"",IF(OR(H137="",I137=""),"AIR-ID or supplier missing",IF(COUNTIFS($H$15:$H$264,H137,$I$15:$I$264,I137)&gt;1,"Duplicate row (counted once)",IF(COUNTIF('System map'!$A$4:$A$203,H137)=0,"AIR-ID not on System map",IF(COUNTIF($L$15:$L$64,I137)=0,"Supplier not listed in Table 2b","OK — verify source")))))</f>
        <v/>
      </c>
    </row>
    <row r="138">
      <c r="A138" s="27">
        <f>IF(Components!A127="","",Components!A127)</f>
        <v/>
      </c>
      <c r="B138" s="27">
        <f>IF(OR(A138="",Components!B127=""),"",Components!B127)</f>
        <v/>
      </c>
      <c r="C138" s="27">
        <f>IF(OR(A138="",Components!C127=""),"",Components!C127)</f>
        <v/>
      </c>
      <c r="D138" s="27">
        <f>IF(A138="","",COUNTIFS(Relationships!$B$4:$B$1003,"AIR",Relationships!$D$4:$D$1003,"references",Relationships!$F$4:$F$1003,A138,Relationships!$M$4:$M$1003,"Confirmed",Relationships!$N$4:$N$1003,"OK — verify source"))</f>
        <v/>
      </c>
      <c r="E138" s="49">
        <f>IF(OR(A138="",NOT(ISNUMBER($D$6))),"",D138/$D$6)</f>
        <v/>
      </c>
      <c r="F138" s="27">
        <f>IF(OR(NOT(ISNUMBER(E138)),NOT(ISNUMBER($D$5))),"",IF(AND(D138&gt;0,E138&gt;=$D$5),"Review: concentration",""))</f>
        <v/>
      </c>
      <c r="H138" s="27" t="n"/>
      <c r="I138" s="27" t="n"/>
      <c r="J138" s="27">
        <f>IF(COUNTA(H138:I138)=0,"",IF(OR(H138="",I138=""),"AIR-ID or supplier missing",IF(COUNTIFS($H$15:$H$264,H138,$I$15:$I$264,I138)&gt;1,"Duplicate row (counted once)",IF(COUNTIF('System map'!$A$4:$A$203,H138)=0,"AIR-ID not on System map",IF(COUNTIF($L$15:$L$64,I138)=0,"Supplier not listed in Table 2b","OK — verify source")))))</f>
        <v/>
      </c>
    </row>
    <row r="139">
      <c r="A139" s="25">
        <f>IF(Components!A128="","",Components!A128)</f>
        <v/>
      </c>
      <c r="B139" s="25">
        <f>IF(OR(A139="",Components!B128=""),"",Components!B128)</f>
        <v/>
      </c>
      <c r="C139" s="25">
        <f>IF(OR(A139="",Components!C128=""),"",Components!C128)</f>
        <v/>
      </c>
      <c r="D139" s="25">
        <f>IF(A139="","",COUNTIFS(Relationships!$B$4:$B$1003,"AIR",Relationships!$D$4:$D$1003,"references",Relationships!$F$4:$F$1003,A139,Relationships!$M$4:$M$1003,"Confirmed",Relationships!$N$4:$N$1003,"OK — verify source"))</f>
        <v/>
      </c>
      <c r="E139" s="48">
        <f>IF(OR(A139="",NOT(ISNUMBER($D$6))),"",D139/$D$6)</f>
        <v/>
      </c>
      <c r="F139" s="25">
        <f>IF(OR(NOT(ISNUMBER(E139)),NOT(ISNUMBER($D$5))),"",IF(AND(D139&gt;0,E139&gt;=$D$5),"Review: concentration",""))</f>
        <v/>
      </c>
      <c r="H139" s="25" t="n"/>
      <c r="I139" s="25" t="n"/>
      <c r="J139" s="25">
        <f>IF(COUNTA(H139:I139)=0,"",IF(OR(H139="",I139=""),"AIR-ID or supplier missing",IF(COUNTIFS($H$15:$H$264,H139,$I$15:$I$264,I139)&gt;1,"Duplicate row (counted once)",IF(COUNTIF('System map'!$A$4:$A$203,H139)=0,"AIR-ID not on System map",IF(COUNTIF($L$15:$L$64,I139)=0,"Supplier not listed in Table 2b","OK — verify source")))))</f>
        <v/>
      </c>
    </row>
    <row r="140">
      <c r="A140" s="27">
        <f>IF(Components!A129="","",Components!A129)</f>
        <v/>
      </c>
      <c r="B140" s="27">
        <f>IF(OR(A140="",Components!B129=""),"",Components!B129)</f>
        <v/>
      </c>
      <c r="C140" s="27">
        <f>IF(OR(A140="",Components!C129=""),"",Components!C129)</f>
        <v/>
      </c>
      <c r="D140" s="27">
        <f>IF(A140="","",COUNTIFS(Relationships!$B$4:$B$1003,"AIR",Relationships!$D$4:$D$1003,"references",Relationships!$F$4:$F$1003,A140,Relationships!$M$4:$M$1003,"Confirmed",Relationships!$N$4:$N$1003,"OK — verify source"))</f>
        <v/>
      </c>
      <c r="E140" s="49">
        <f>IF(OR(A140="",NOT(ISNUMBER($D$6))),"",D140/$D$6)</f>
        <v/>
      </c>
      <c r="F140" s="27">
        <f>IF(OR(NOT(ISNUMBER(E140)),NOT(ISNUMBER($D$5))),"",IF(AND(D140&gt;0,E140&gt;=$D$5),"Review: concentration",""))</f>
        <v/>
      </c>
      <c r="H140" s="27" t="n"/>
      <c r="I140" s="27" t="n"/>
      <c r="J140" s="27">
        <f>IF(COUNTA(H140:I140)=0,"",IF(OR(H140="",I140=""),"AIR-ID or supplier missing",IF(COUNTIFS($H$15:$H$264,H140,$I$15:$I$264,I140)&gt;1,"Duplicate row (counted once)",IF(COUNTIF('System map'!$A$4:$A$203,H140)=0,"AIR-ID not on System map",IF(COUNTIF($L$15:$L$64,I140)=0,"Supplier not listed in Table 2b","OK — verify source")))))</f>
        <v/>
      </c>
    </row>
    <row r="141">
      <c r="A141" s="25">
        <f>IF(Components!A130="","",Components!A130)</f>
        <v/>
      </c>
      <c r="B141" s="25">
        <f>IF(OR(A141="",Components!B130=""),"",Components!B130)</f>
        <v/>
      </c>
      <c r="C141" s="25">
        <f>IF(OR(A141="",Components!C130=""),"",Components!C130)</f>
        <v/>
      </c>
      <c r="D141" s="25">
        <f>IF(A141="","",COUNTIFS(Relationships!$B$4:$B$1003,"AIR",Relationships!$D$4:$D$1003,"references",Relationships!$F$4:$F$1003,A141,Relationships!$M$4:$M$1003,"Confirmed",Relationships!$N$4:$N$1003,"OK — verify source"))</f>
        <v/>
      </c>
      <c r="E141" s="48">
        <f>IF(OR(A141="",NOT(ISNUMBER($D$6))),"",D141/$D$6)</f>
        <v/>
      </c>
      <c r="F141" s="25">
        <f>IF(OR(NOT(ISNUMBER(E141)),NOT(ISNUMBER($D$5))),"",IF(AND(D141&gt;0,E141&gt;=$D$5),"Review: concentration",""))</f>
        <v/>
      </c>
      <c r="H141" s="25" t="n"/>
      <c r="I141" s="25" t="n"/>
      <c r="J141" s="25">
        <f>IF(COUNTA(H141:I141)=0,"",IF(OR(H141="",I141=""),"AIR-ID or supplier missing",IF(COUNTIFS($H$15:$H$264,H141,$I$15:$I$264,I141)&gt;1,"Duplicate row (counted once)",IF(COUNTIF('System map'!$A$4:$A$203,H141)=0,"AIR-ID not on System map",IF(COUNTIF($L$15:$L$64,I141)=0,"Supplier not listed in Table 2b","OK — verify source")))))</f>
        <v/>
      </c>
    </row>
    <row r="142">
      <c r="A142" s="27">
        <f>IF(Components!A131="","",Components!A131)</f>
        <v/>
      </c>
      <c r="B142" s="27">
        <f>IF(OR(A142="",Components!B131=""),"",Components!B131)</f>
        <v/>
      </c>
      <c r="C142" s="27">
        <f>IF(OR(A142="",Components!C131=""),"",Components!C131)</f>
        <v/>
      </c>
      <c r="D142" s="27">
        <f>IF(A142="","",COUNTIFS(Relationships!$B$4:$B$1003,"AIR",Relationships!$D$4:$D$1003,"references",Relationships!$F$4:$F$1003,A142,Relationships!$M$4:$M$1003,"Confirmed",Relationships!$N$4:$N$1003,"OK — verify source"))</f>
        <v/>
      </c>
      <c r="E142" s="49">
        <f>IF(OR(A142="",NOT(ISNUMBER($D$6))),"",D142/$D$6)</f>
        <v/>
      </c>
      <c r="F142" s="27">
        <f>IF(OR(NOT(ISNUMBER(E142)),NOT(ISNUMBER($D$5))),"",IF(AND(D142&gt;0,E142&gt;=$D$5),"Review: concentration",""))</f>
        <v/>
      </c>
      <c r="H142" s="27" t="n"/>
      <c r="I142" s="27" t="n"/>
      <c r="J142" s="27">
        <f>IF(COUNTA(H142:I142)=0,"",IF(OR(H142="",I142=""),"AIR-ID or supplier missing",IF(COUNTIFS($H$15:$H$264,H142,$I$15:$I$264,I142)&gt;1,"Duplicate row (counted once)",IF(COUNTIF('System map'!$A$4:$A$203,H142)=0,"AIR-ID not on System map",IF(COUNTIF($L$15:$L$64,I142)=0,"Supplier not listed in Table 2b","OK — verify source")))))</f>
        <v/>
      </c>
    </row>
    <row r="143">
      <c r="A143" s="25">
        <f>IF(Components!A132="","",Components!A132)</f>
        <v/>
      </c>
      <c r="B143" s="25">
        <f>IF(OR(A143="",Components!B132=""),"",Components!B132)</f>
        <v/>
      </c>
      <c r="C143" s="25">
        <f>IF(OR(A143="",Components!C132=""),"",Components!C132)</f>
        <v/>
      </c>
      <c r="D143" s="25">
        <f>IF(A143="","",COUNTIFS(Relationships!$B$4:$B$1003,"AIR",Relationships!$D$4:$D$1003,"references",Relationships!$F$4:$F$1003,A143,Relationships!$M$4:$M$1003,"Confirmed",Relationships!$N$4:$N$1003,"OK — verify source"))</f>
        <v/>
      </c>
      <c r="E143" s="48">
        <f>IF(OR(A143="",NOT(ISNUMBER($D$6))),"",D143/$D$6)</f>
        <v/>
      </c>
      <c r="F143" s="25">
        <f>IF(OR(NOT(ISNUMBER(E143)),NOT(ISNUMBER($D$5))),"",IF(AND(D143&gt;0,E143&gt;=$D$5),"Review: concentration",""))</f>
        <v/>
      </c>
      <c r="H143" s="25" t="n"/>
      <c r="I143" s="25" t="n"/>
      <c r="J143" s="25">
        <f>IF(COUNTA(H143:I143)=0,"",IF(OR(H143="",I143=""),"AIR-ID or supplier missing",IF(COUNTIFS($H$15:$H$264,H143,$I$15:$I$264,I143)&gt;1,"Duplicate row (counted once)",IF(COUNTIF('System map'!$A$4:$A$203,H143)=0,"AIR-ID not on System map",IF(COUNTIF($L$15:$L$64,I143)=0,"Supplier not listed in Table 2b","OK — verify source")))))</f>
        <v/>
      </c>
    </row>
    <row r="144">
      <c r="A144" s="27">
        <f>IF(Components!A133="","",Components!A133)</f>
        <v/>
      </c>
      <c r="B144" s="27">
        <f>IF(OR(A144="",Components!B133=""),"",Components!B133)</f>
        <v/>
      </c>
      <c r="C144" s="27">
        <f>IF(OR(A144="",Components!C133=""),"",Components!C133)</f>
        <v/>
      </c>
      <c r="D144" s="27">
        <f>IF(A144="","",COUNTIFS(Relationships!$B$4:$B$1003,"AIR",Relationships!$D$4:$D$1003,"references",Relationships!$F$4:$F$1003,A144,Relationships!$M$4:$M$1003,"Confirmed",Relationships!$N$4:$N$1003,"OK — verify source"))</f>
        <v/>
      </c>
      <c r="E144" s="49">
        <f>IF(OR(A144="",NOT(ISNUMBER($D$6))),"",D144/$D$6)</f>
        <v/>
      </c>
      <c r="F144" s="27">
        <f>IF(OR(NOT(ISNUMBER(E144)),NOT(ISNUMBER($D$5))),"",IF(AND(D144&gt;0,E144&gt;=$D$5),"Review: concentration",""))</f>
        <v/>
      </c>
      <c r="H144" s="27" t="n"/>
      <c r="I144" s="27" t="n"/>
      <c r="J144" s="27">
        <f>IF(COUNTA(H144:I144)=0,"",IF(OR(H144="",I144=""),"AIR-ID or supplier missing",IF(COUNTIFS($H$15:$H$264,H144,$I$15:$I$264,I144)&gt;1,"Duplicate row (counted once)",IF(COUNTIF('System map'!$A$4:$A$203,H144)=0,"AIR-ID not on System map",IF(COUNTIF($L$15:$L$64,I144)=0,"Supplier not listed in Table 2b","OK — verify source")))))</f>
        <v/>
      </c>
    </row>
    <row r="145">
      <c r="A145" s="25">
        <f>IF(Components!A134="","",Components!A134)</f>
        <v/>
      </c>
      <c r="B145" s="25">
        <f>IF(OR(A145="",Components!B134=""),"",Components!B134)</f>
        <v/>
      </c>
      <c r="C145" s="25">
        <f>IF(OR(A145="",Components!C134=""),"",Components!C134)</f>
        <v/>
      </c>
      <c r="D145" s="25">
        <f>IF(A145="","",COUNTIFS(Relationships!$B$4:$B$1003,"AIR",Relationships!$D$4:$D$1003,"references",Relationships!$F$4:$F$1003,A145,Relationships!$M$4:$M$1003,"Confirmed",Relationships!$N$4:$N$1003,"OK — verify source"))</f>
        <v/>
      </c>
      <c r="E145" s="48">
        <f>IF(OR(A145="",NOT(ISNUMBER($D$6))),"",D145/$D$6)</f>
        <v/>
      </c>
      <c r="F145" s="25">
        <f>IF(OR(NOT(ISNUMBER(E145)),NOT(ISNUMBER($D$5))),"",IF(AND(D145&gt;0,E145&gt;=$D$5),"Review: concentration",""))</f>
        <v/>
      </c>
      <c r="H145" s="25" t="n"/>
      <c r="I145" s="25" t="n"/>
      <c r="J145" s="25">
        <f>IF(COUNTA(H145:I145)=0,"",IF(OR(H145="",I145=""),"AIR-ID or supplier missing",IF(COUNTIFS($H$15:$H$264,H145,$I$15:$I$264,I145)&gt;1,"Duplicate row (counted once)",IF(COUNTIF('System map'!$A$4:$A$203,H145)=0,"AIR-ID not on System map",IF(COUNTIF($L$15:$L$64,I145)=0,"Supplier not listed in Table 2b","OK — verify source")))))</f>
        <v/>
      </c>
    </row>
    <row r="146">
      <c r="A146" s="27">
        <f>IF(Components!A135="","",Components!A135)</f>
        <v/>
      </c>
      <c r="B146" s="27">
        <f>IF(OR(A146="",Components!B135=""),"",Components!B135)</f>
        <v/>
      </c>
      <c r="C146" s="27">
        <f>IF(OR(A146="",Components!C135=""),"",Components!C135)</f>
        <v/>
      </c>
      <c r="D146" s="27">
        <f>IF(A146="","",COUNTIFS(Relationships!$B$4:$B$1003,"AIR",Relationships!$D$4:$D$1003,"references",Relationships!$F$4:$F$1003,A146,Relationships!$M$4:$M$1003,"Confirmed",Relationships!$N$4:$N$1003,"OK — verify source"))</f>
        <v/>
      </c>
      <c r="E146" s="49">
        <f>IF(OR(A146="",NOT(ISNUMBER($D$6))),"",D146/$D$6)</f>
        <v/>
      </c>
      <c r="F146" s="27">
        <f>IF(OR(NOT(ISNUMBER(E146)),NOT(ISNUMBER($D$5))),"",IF(AND(D146&gt;0,E146&gt;=$D$5),"Review: concentration",""))</f>
        <v/>
      </c>
      <c r="H146" s="27" t="n"/>
      <c r="I146" s="27" t="n"/>
      <c r="J146" s="27">
        <f>IF(COUNTA(H146:I146)=0,"",IF(OR(H146="",I146=""),"AIR-ID or supplier missing",IF(COUNTIFS($H$15:$H$264,H146,$I$15:$I$264,I146)&gt;1,"Duplicate row (counted once)",IF(COUNTIF('System map'!$A$4:$A$203,H146)=0,"AIR-ID not on System map",IF(COUNTIF($L$15:$L$64,I146)=0,"Supplier not listed in Table 2b","OK — verify source")))))</f>
        <v/>
      </c>
    </row>
    <row r="147">
      <c r="A147" s="25">
        <f>IF(Components!A136="","",Components!A136)</f>
        <v/>
      </c>
      <c r="B147" s="25">
        <f>IF(OR(A147="",Components!B136=""),"",Components!B136)</f>
        <v/>
      </c>
      <c r="C147" s="25">
        <f>IF(OR(A147="",Components!C136=""),"",Components!C136)</f>
        <v/>
      </c>
      <c r="D147" s="25">
        <f>IF(A147="","",COUNTIFS(Relationships!$B$4:$B$1003,"AIR",Relationships!$D$4:$D$1003,"references",Relationships!$F$4:$F$1003,A147,Relationships!$M$4:$M$1003,"Confirmed",Relationships!$N$4:$N$1003,"OK — verify source"))</f>
        <v/>
      </c>
      <c r="E147" s="48">
        <f>IF(OR(A147="",NOT(ISNUMBER($D$6))),"",D147/$D$6)</f>
        <v/>
      </c>
      <c r="F147" s="25">
        <f>IF(OR(NOT(ISNUMBER(E147)),NOT(ISNUMBER($D$5))),"",IF(AND(D147&gt;0,E147&gt;=$D$5),"Review: concentration",""))</f>
        <v/>
      </c>
      <c r="H147" s="25" t="n"/>
      <c r="I147" s="25" t="n"/>
      <c r="J147" s="25">
        <f>IF(COUNTA(H147:I147)=0,"",IF(OR(H147="",I147=""),"AIR-ID or supplier missing",IF(COUNTIFS($H$15:$H$264,H147,$I$15:$I$264,I147)&gt;1,"Duplicate row (counted once)",IF(COUNTIF('System map'!$A$4:$A$203,H147)=0,"AIR-ID not on System map",IF(COUNTIF($L$15:$L$64,I147)=0,"Supplier not listed in Table 2b","OK — verify source")))))</f>
        <v/>
      </c>
    </row>
    <row r="148">
      <c r="A148" s="27">
        <f>IF(Components!A137="","",Components!A137)</f>
        <v/>
      </c>
      <c r="B148" s="27">
        <f>IF(OR(A148="",Components!B137=""),"",Components!B137)</f>
        <v/>
      </c>
      <c r="C148" s="27">
        <f>IF(OR(A148="",Components!C137=""),"",Components!C137)</f>
        <v/>
      </c>
      <c r="D148" s="27">
        <f>IF(A148="","",COUNTIFS(Relationships!$B$4:$B$1003,"AIR",Relationships!$D$4:$D$1003,"references",Relationships!$F$4:$F$1003,A148,Relationships!$M$4:$M$1003,"Confirmed",Relationships!$N$4:$N$1003,"OK — verify source"))</f>
        <v/>
      </c>
      <c r="E148" s="49">
        <f>IF(OR(A148="",NOT(ISNUMBER($D$6))),"",D148/$D$6)</f>
        <v/>
      </c>
      <c r="F148" s="27">
        <f>IF(OR(NOT(ISNUMBER(E148)),NOT(ISNUMBER($D$5))),"",IF(AND(D148&gt;0,E148&gt;=$D$5),"Review: concentration",""))</f>
        <v/>
      </c>
      <c r="H148" s="27" t="n"/>
      <c r="I148" s="27" t="n"/>
      <c r="J148" s="27">
        <f>IF(COUNTA(H148:I148)=0,"",IF(OR(H148="",I148=""),"AIR-ID or supplier missing",IF(COUNTIFS($H$15:$H$264,H148,$I$15:$I$264,I148)&gt;1,"Duplicate row (counted once)",IF(COUNTIF('System map'!$A$4:$A$203,H148)=0,"AIR-ID not on System map",IF(COUNTIF($L$15:$L$64,I148)=0,"Supplier not listed in Table 2b","OK — verify source")))))</f>
        <v/>
      </c>
    </row>
    <row r="149">
      <c r="A149" s="25">
        <f>IF(Components!A138="","",Components!A138)</f>
        <v/>
      </c>
      <c r="B149" s="25">
        <f>IF(OR(A149="",Components!B138=""),"",Components!B138)</f>
        <v/>
      </c>
      <c r="C149" s="25">
        <f>IF(OR(A149="",Components!C138=""),"",Components!C138)</f>
        <v/>
      </c>
      <c r="D149" s="25">
        <f>IF(A149="","",COUNTIFS(Relationships!$B$4:$B$1003,"AIR",Relationships!$D$4:$D$1003,"references",Relationships!$F$4:$F$1003,A149,Relationships!$M$4:$M$1003,"Confirmed",Relationships!$N$4:$N$1003,"OK — verify source"))</f>
        <v/>
      </c>
      <c r="E149" s="48">
        <f>IF(OR(A149="",NOT(ISNUMBER($D$6))),"",D149/$D$6)</f>
        <v/>
      </c>
      <c r="F149" s="25">
        <f>IF(OR(NOT(ISNUMBER(E149)),NOT(ISNUMBER($D$5))),"",IF(AND(D149&gt;0,E149&gt;=$D$5),"Review: concentration",""))</f>
        <v/>
      </c>
      <c r="H149" s="25" t="n"/>
      <c r="I149" s="25" t="n"/>
      <c r="J149" s="25">
        <f>IF(COUNTA(H149:I149)=0,"",IF(OR(H149="",I149=""),"AIR-ID or supplier missing",IF(COUNTIFS($H$15:$H$264,H149,$I$15:$I$264,I149)&gt;1,"Duplicate row (counted once)",IF(COUNTIF('System map'!$A$4:$A$203,H149)=0,"AIR-ID not on System map",IF(COUNTIF($L$15:$L$64,I149)=0,"Supplier not listed in Table 2b","OK — verify source")))))</f>
        <v/>
      </c>
    </row>
    <row r="150">
      <c r="A150" s="27">
        <f>IF(Components!A139="","",Components!A139)</f>
        <v/>
      </c>
      <c r="B150" s="27">
        <f>IF(OR(A150="",Components!B139=""),"",Components!B139)</f>
        <v/>
      </c>
      <c r="C150" s="27">
        <f>IF(OR(A150="",Components!C139=""),"",Components!C139)</f>
        <v/>
      </c>
      <c r="D150" s="27">
        <f>IF(A150="","",COUNTIFS(Relationships!$B$4:$B$1003,"AIR",Relationships!$D$4:$D$1003,"references",Relationships!$F$4:$F$1003,A150,Relationships!$M$4:$M$1003,"Confirmed",Relationships!$N$4:$N$1003,"OK — verify source"))</f>
        <v/>
      </c>
      <c r="E150" s="49">
        <f>IF(OR(A150="",NOT(ISNUMBER($D$6))),"",D150/$D$6)</f>
        <v/>
      </c>
      <c r="F150" s="27">
        <f>IF(OR(NOT(ISNUMBER(E150)),NOT(ISNUMBER($D$5))),"",IF(AND(D150&gt;0,E150&gt;=$D$5),"Review: concentration",""))</f>
        <v/>
      </c>
      <c r="H150" s="27" t="n"/>
      <c r="I150" s="27" t="n"/>
      <c r="J150" s="27">
        <f>IF(COUNTA(H150:I150)=0,"",IF(OR(H150="",I150=""),"AIR-ID or supplier missing",IF(COUNTIFS($H$15:$H$264,H150,$I$15:$I$264,I150)&gt;1,"Duplicate row (counted once)",IF(COUNTIF('System map'!$A$4:$A$203,H150)=0,"AIR-ID not on System map",IF(COUNTIF($L$15:$L$64,I150)=0,"Supplier not listed in Table 2b","OK — verify source")))))</f>
        <v/>
      </c>
    </row>
    <row r="151">
      <c r="A151" s="25">
        <f>IF(Components!A140="","",Components!A140)</f>
        <v/>
      </c>
      <c r="B151" s="25">
        <f>IF(OR(A151="",Components!B140=""),"",Components!B140)</f>
        <v/>
      </c>
      <c r="C151" s="25">
        <f>IF(OR(A151="",Components!C140=""),"",Components!C140)</f>
        <v/>
      </c>
      <c r="D151" s="25">
        <f>IF(A151="","",COUNTIFS(Relationships!$B$4:$B$1003,"AIR",Relationships!$D$4:$D$1003,"references",Relationships!$F$4:$F$1003,A151,Relationships!$M$4:$M$1003,"Confirmed",Relationships!$N$4:$N$1003,"OK — verify source"))</f>
        <v/>
      </c>
      <c r="E151" s="48">
        <f>IF(OR(A151="",NOT(ISNUMBER($D$6))),"",D151/$D$6)</f>
        <v/>
      </c>
      <c r="F151" s="25">
        <f>IF(OR(NOT(ISNUMBER(E151)),NOT(ISNUMBER($D$5))),"",IF(AND(D151&gt;0,E151&gt;=$D$5),"Review: concentration",""))</f>
        <v/>
      </c>
      <c r="H151" s="25" t="n"/>
      <c r="I151" s="25" t="n"/>
      <c r="J151" s="25">
        <f>IF(COUNTA(H151:I151)=0,"",IF(OR(H151="",I151=""),"AIR-ID or supplier missing",IF(COUNTIFS($H$15:$H$264,H151,$I$15:$I$264,I151)&gt;1,"Duplicate row (counted once)",IF(COUNTIF('System map'!$A$4:$A$203,H151)=0,"AIR-ID not on System map",IF(COUNTIF($L$15:$L$64,I151)=0,"Supplier not listed in Table 2b","OK — verify source")))))</f>
        <v/>
      </c>
    </row>
    <row r="152">
      <c r="A152" s="27">
        <f>IF(Components!A141="","",Components!A141)</f>
        <v/>
      </c>
      <c r="B152" s="27">
        <f>IF(OR(A152="",Components!B141=""),"",Components!B141)</f>
        <v/>
      </c>
      <c r="C152" s="27">
        <f>IF(OR(A152="",Components!C141=""),"",Components!C141)</f>
        <v/>
      </c>
      <c r="D152" s="27">
        <f>IF(A152="","",COUNTIFS(Relationships!$B$4:$B$1003,"AIR",Relationships!$D$4:$D$1003,"references",Relationships!$F$4:$F$1003,A152,Relationships!$M$4:$M$1003,"Confirmed",Relationships!$N$4:$N$1003,"OK — verify source"))</f>
        <v/>
      </c>
      <c r="E152" s="49">
        <f>IF(OR(A152="",NOT(ISNUMBER($D$6))),"",D152/$D$6)</f>
        <v/>
      </c>
      <c r="F152" s="27">
        <f>IF(OR(NOT(ISNUMBER(E152)),NOT(ISNUMBER($D$5))),"",IF(AND(D152&gt;0,E152&gt;=$D$5),"Review: concentration",""))</f>
        <v/>
      </c>
      <c r="H152" s="27" t="n"/>
      <c r="I152" s="27" t="n"/>
      <c r="J152" s="27">
        <f>IF(COUNTA(H152:I152)=0,"",IF(OR(H152="",I152=""),"AIR-ID or supplier missing",IF(COUNTIFS($H$15:$H$264,H152,$I$15:$I$264,I152)&gt;1,"Duplicate row (counted once)",IF(COUNTIF('System map'!$A$4:$A$203,H152)=0,"AIR-ID not on System map",IF(COUNTIF($L$15:$L$64,I152)=0,"Supplier not listed in Table 2b","OK — verify source")))))</f>
        <v/>
      </c>
    </row>
    <row r="153">
      <c r="A153" s="25">
        <f>IF(Components!A142="","",Components!A142)</f>
        <v/>
      </c>
      <c r="B153" s="25">
        <f>IF(OR(A153="",Components!B142=""),"",Components!B142)</f>
        <v/>
      </c>
      <c r="C153" s="25">
        <f>IF(OR(A153="",Components!C142=""),"",Components!C142)</f>
        <v/>
      </c>
      <c r="D153" s="25">
        <f>IF(A153="","",COUNTIFS(Relationships!$B$4:$B$1003,"AIR",Relationships!$D$4:$D$1003,"references",Relationships!$F$4:$F$1003,A153,Relationships!$M$4:$M$1003,"Confirmed",Relationships!$N$4:$N$1003,"OK — verify source"))</f>
        <v/>
      </c>
      <c r="E153" s="48">
        <f>IF(OR(A153="",NOT(ISNUMBER($D$6))),"",D153/$D$6)</f>
        <v/>
      </c>
      <c r="F153" s="25">
        <f>IF(OR(NOT(ISNUMBER(E153)),NOT(ISNUMBER($D$5))),"",IF(AND(D153&gt;0,E153&gt;=$D$5),"Review: concentration",""))</f>
        <v/>
      </c>
      <c r="H153" s="25" t="n"/>
      <c r="I153" s="25" t="n"/>
      <c r="J153" s="25">
        <f>IF(COUNTA(H153:I153)=0,"",IF(OR(H153="",I153=""),"AIR-ID or supplier missing",IF(COUNTIFS($H$15:$H$264,H153,$I$15:$I$264,I153)&gt;1,"Duplicate row (counted once)",IF(COUNTIF('System map'!$A$4:$A$203,H153)=0,"AIR-ID not on System map",IF(COUNTIF($L$15:$L$64,I153)=0,"Supplier not listed in Table 2b","OK — verify source")))))</f>
        <v/>
      </c>
    </row>
    <row r="154">
      <c r="A154" s="27">
        <f>IF(Components!A143="","",Components!A143)</f>
        <v/>
      </c>
      <c r="B154" s="27">
        <f>IF(OR(A154="",Components!B143=""),"",Components!B143)</f>
        <v/>
      </c>
      <c r="C154" s="27">
        <f>IF(OR(A154="",Components!C143=""),"",Components!C143)</f>
        <v/>
      </c>
      <c r="D154" s="27">
        <f>IF(A154="","",COUNTIFS(Relationships!$B$4:$B$1003,"AIR",Relationships!$D$4:$D$1003,"references",Relationships!$F$4:$F$1003,A154,Relationships!$M$4:$M$1003,"Confirmed",Relationships!$N$4:$N$1003,"OK — verify source"))</f>
        <v/>
      </c>
      <c r="E154" s="49">
        <f>IF(OR(A154="",NOT(ISNUMBER($D$6))),"",D154/$D$6)</f>
        <v/>
      </c>
      <c r="F154" s="27">
        <f>IF(OR(NOT(ISNUMBER(E154)),NOT(ISNUMBER($D$5))),"",IF(AND(D154&gt;0,E154&gt;=$D$5),"Review: concentration",""))</f>
        <v/>
      </c>
      <c r="H154" s="27" t="n"/>
      <c r="I154" s="27" t="n"/>
      <c r="J154" s="27">
        <f>IF(COUNTA(H154:I154)=0,"",IF(OR(H154="",I154=""),"AIR-ID or supplier missing",IF(COUNTIFS($H$15:$H$264,H154,$I$15:$I$264,I154)&gt;1,"Duplicate row (counted once)",IF(COUNTIF('System map'!$A$4:$A$203,H154)=0,"AIR-ID not on System map",IF(COUNTIF($L$15:$L$64,I154)=0,"Supplier not listed in Table 2b","OK — verify source")))))</f>
        <v/>
      </c>
    </row>
    <row r="155">
      <c r="A155" s="25">
        <f>IF(Components!A144="","",Components!A144)</f>
        <v/>
      </c>
      <c r="B155" s="25">
        <f>IF(OR(A155="",Components!B144=""),"",Components!B144)</f>
        <v/>
      </c>
      <c r="C155" s="25">
        <f>IF(OR(A155="",Components!C144=""),"",Components!C144)</f>
        <v/>
      </c>
      <c r="D155" s="25">
        <f>IF(A155="","",COUNTIFS(Relationships!$B$4:$B$1003,"AIR",Relationships!$D$4:$D$1003,"references",Relationships!$F$4:$F$1003,A155,Relationships!$M$4:$M$1003,"Confirmed",Relationships!$N$4:$N$1003,"OK — verify source"))</f>
        <v/>
      </c>
      <c r="E155" s="48">
        <f>IF(OR(A155="",NOT(ISNUMBER($D$6))),"",D155/$D$6)</f>
        <v/>
      </c>
      <c r="F155" s="25">
        <f>IF(OR(NOT(ISNUMBER(E155)),NOT(ISNUMBER($D$5))),"",IF(AND(D155&gt;0,E155&gt;=$D$5),"Review: concentration",""))</f>
        <v/>
      </c>
      <c r="H155" s="25" t="n"/>
      <c r="I155" s="25" t="n"/>
      <c r="J155" s="25">
        <f>IF(COUNTA(H155:I155)=0,"",IF(OR(H155="",I155=""),"AIR-ID or supplier missing",IF(COUNTIFS($H$15:$H$264,H155,$I$15:$I$264,I155)&gt;1,"Duplicate row (counted once)",IF(COUNTIF('System map'!$A$4:$A$203,H155)=0,"AIR-ID not on System map",IF(COUNTIF($L$15:$L$64,I155)=0,"Supplier not listed in Table 2b","OK — verify source")))))</f>
        <v/>
      </c>
    </row>
    <row r="156">
      <c r="A156" s="27">
        <f>IF(Components!A145="","",Components!A145)</f>
        <v/>
      </c>
      <c r="B156" s="27">
        <f>IF(OR(A156="",Components!B145=""),"",Components!B145)</f>
        <v/>
      </c>
      <c r="C156" s="27">
        <f>IF(OR(A156="",Components!C145=""),"",Components!C145)</f>
        <v/>
      </c>
      <c r="D156" s="27">
        <f>IF(A156="","",COUNTIFS(Relationships!$B$4:$B$1003,"AIR",Relationships!$D$4:$D$1003,"references",Relationships!$F$4:$F$1003,A156,Relationships!$M$4:$M$1003,"Confirmed",Relationships!$N$4:$N$1003,"OK — verify source"))</f>
        <v/>
      </c>
      <c r="E156" s="49">
        <f>IF(OR(A156="",NOT(ISNUMBER($D$6))),"",D156/$D$6)</f>
        <v/>
      </c>
      <c r="F156" s="27">
        <f>IF(OR(NOT(ISNUMBER(E156)),NOT(ISNUMBER($D$5))),"",IF(AND(D156&gt;0,E156&gt;=$D$5),"Review: concentration",""))</f>
        <v/>
      </c>
      <c r="H156" s="27" t="n"/>
      <c r="I156" s="27" t="n"/>
      <c r="J156" s="27">
        <f>IF(COUNTA(H156:I156)=0,"",IF(OR(H156="",I156=""),"AIR-ID or supplier missing",IF(COUNTIFS($H$15:$H$264,H156,$I$15:$I$264,I156)&gt;1,"Duplicate row (counted once)",IF(COUNTIF('System map'!$A$4:$A$203,H156)=0,"AIR-ID not on System map",IF(COUNTIF($L$15:$L$64,I156)=0,"Supplier not listed in Table 2b","OK — verify source")))))</f>
        <v/>
      </c>
    </row>
    <row r="157">
      <c r="A157" s="25">
        <f>IF(Components!A146="","",Components!A146)</f>
        <v/>
      </c>
      <c r="B157" s="25">
        <f>IF(OR(A157="",Components!B146=""),"",Components!B146)</f>
        <v/>
      </c>
      <c r="C157" s="25">
        <f>IF(OR(A157="",Components!C146=""),"",Components!C146)</f>
        <v/>
      </c>
      <c r="D157" s="25">
        <f>IF(A157="","",COUNTIFS(Relationships!$B$4:$B$1003,"AIR",Relationships!$D$4:$D$1003,"references",Relationships!$F$4:$F$1003,A157,Relationships!$M$4:$M$1003,"Confirmed",Relationships!$N$4:$N$1003,"OK — verify source"))</f>
        <v/>
      </c>
      <c r="E157" s="48">
        <f>IF(OR(A157="",NOT(ISNUMBER($D$6))),"",D157/$D$6)</f>
        <v/>
      </c>
      <c r="F157" s="25">
        <f>IF(OR(NOT(ISNUMBER(E157)),NOT(ISNUMBER($D$5))),"",IF(AND(D157&gt;0,E157&gt;=$D$5),"Review: concentration",""))</f>
        <v/>
      </c>
      <c r="H157" s="25" t="n"/>
      <c r="I157" s="25" t="n"/>
      <c r="J157" s="25">
        <f>IF(COUNTA(H157:I157)=0,"",IF(OR(H157="",I157=""),"AIR-ID or supplier missing",IF(COUNTIFS($H$15:$H$264,H157,$I$15:$I$264,I157)&gt;1,"Duplicate row (counted once)",IF(COUNTIF('System map'!$A$4:$A$203,H157)=0,"AIR-ID not on System map",IF(COUNTIF($L$15:$L$64,I157)=0,"Supplier not listed in Table 2b","OK — verify source")))))</f>
        <v/>
      </c>
    </row>
    <row r="158">
      <c r="A158" s="27">
        <f>IF(Components!A147="","",Components!A147)</f>
        <v/>
      </c>
      <c r="B158" s="27">
        <f>IF(OR(A158="",Components!B147=""),"",Components!B147)</f>
        <v/>
      </c>
      <c r="C158" s="27">
        <f>IF(OR(A158="",Components!C147=""),"",Components!C147)</f>
        <v/>
      </c>
      <c r="D158" s="27">
        <f>IF(A158="","",COUNTIFS(Relationships!$B$4:$B$1003,"AIR",Relationships!$D$4:$D$1003,"references",Relationships!$F$4:$F$1003,A158,Relationships!$M$4:$M$1003,"Confirmed",Relationships!$N$4:$N$1003,"OK — verify source"))</f>
        <v/>
      </c>
      <c r="E158" s="49">
        <f>IF(OR(A158="",NOT(ISNUMBER($D$6))),"",D158/$D$6)</f>
        <v/>
      </c>
      <c r="F158" s="27">
        <f>IF(OR(NOT(ISNUMBER(E158)),NOT(ISNUMBER($D$5))),"",IF(AND(D158&gt;0,E158&gt;=$D$5),"Review: concentration",""))</f>
        <v/>
      </c>
      <c r="H158" s="27" t="n"/>
      <c r="I158" s="27" t="n"/>
      <c r="J158" s="27">
        <f>IF(COUNTA(H158:I158)=0,"",IF(OR(H158="",I158=""),"AIR-ID or supplier missing",IF(COUNTIFS($H$15:$H$264,H158,$I$15:$I$264,I158)&gt;1,"Duplicate row (counted once)",IF(COUNTIF('System map'!$A$4:$A$203,H158)=0,"AIR-ID not on System map",IF(COUNTIF($L$15:$L$64,I158)=0,"Supplier not listed in Table 2b","OK — verify source")))))</f>
        <v/>
      </c>
    </row>
    <row r="159">
      <c r="A159" s="25">
        <f>IF(Components!A148="","",Components!A148)</f>
        <v/>
      </c>
      <c r="B159" s="25">
        <f>IF(OR(A159="",Components!B148=""),"",Components!B148)</f>
        <v/>
      </c>
      <c r="C159" s="25">
        <f>IF(OR(A159="",Components!C148=""),"",Components!C148)</f>
        <v/>
      </c>
      <c r="D159" s="25">
        <f>IF(A159="","",COUNTIFS(Relationships!$B$4:$B$1003,"AIR",Relationships!$D$4:$D$1003,"references",Relationships!$F$4:$F$1003,A159,Relationships!$M$4:$M$1003,"Confirmed",Relationships!$N$4:$N$1003,"OK — verify source"))</f>
        <v/>
      </c>
      <c r="E159" s="48">
        <f>IF(OR(A159="",NOT(ISNUMBER($D$6))),"",D159/$D$6)</f>
        <v/>
      </c>
      <c r="F159" s="25">
        <f>IF(OR(NOT(ISNUMBER(E159)),NOT(ISNUMBER($D$5))),"",IF(AND(D159&gt;0,E159&gt;=$D$5),"Review: concentration",""))</f>
        <v/>
      </c>
      <c r="H159" s="25" t="n"/>
      <c r="I159" s="25" t="n"/>
      <c r="J159" s="25">
        <f>IF(COUNTA(H159:I159)=0,"",IF(OR(H159="",I159=""),"AIR-ID or supplier missing",IF(COUNTIFS($H$15:$H$264,H159,$I$15:$I$264,I159)&gt;1,"Duplicate row (counted once)",IF(COUNTIF('System map'!$A$4:$A$203,H159)=0,"AIR-ID not on System map",IF(COUNTIF($L$15:$L$64,I159)=0,"Supplier not listed in Table 2b","OK — verify source")))))</f>
        <v/>
      </c>
    </row>
    <row r="160">
      <c r="A160" s="27">
        <f>IF(Components!A149="","",Components!A149)</f>
        <v/>
      </c>
      <c r="B160" s="27">
        <f>IF(OR(A160="",Components!B149=""),"",Components!B149)</f>
        <v/>
      </c>
      <c r="C160" s="27">
        <f>IF(OR(A160="",Components!C149=""),"",Components!C149)</f>
        <v/>
      </c>
      <c r="D160" s="27">
        <f>IF(A160="","",COUNTIFS(Relationships!$B$4:$B$1003,"AIR",Relationships!$D$4:$D$1003,"references",Relationships!$F$4:$F$1003,A160,Relationships!$M$4:$M$1003,"Confirmed",Relationships!$N$4:$N$1003,"OK — verify source"))</f>
        <v/>
      </c>
      <c r="E160" s="49">
        <f>IF(OR(A160="",NOT(ISNUMBER($D$6))),"",D160/$D$6)</f>
        <v/>
      </c>
      <c r="F160" s="27">
        <f>IF(OR(NOT(ISNUMBER(E160)),NOT(ISNUMBER($D$5))),"",IF(AND(D160&gt;0,E160&gt;=$D$5),"Review: concentration",""))</f>
        <v/>
      </c>
      <c r="H160" s="27" t="n"/>
      <c r="I160" s="27" t="n"/>
      <c r="J160" s="27">
        <f>IF(COUNTA(H160:I160)=0,"",IF(OR(H160="",I160=""),"AIR-ID or supplier missing",IF(COUNTIFS($H$15:$H$264,H160,$I$15:$I$264,I160)&gt;1,"Duplicate row (counted once)",IF(COUNTIF('System map'!$A$4:$A$203,H160)=0,"AIR-ID not on System map",IF(COUNTIF($L$15:$L$64,I160)=0,"Supplier not listed in Table 2b","OK — verify source")))))</f>
        <v/>
      </c>
    </row>
    <row r="161">
      <c r="A161" s="25">
        <f>IF(Components!A150="","",Components!A150)</f>
        <v/>
      </c>
      <c r="B161" s="25">
        <f>IF(OR(A161="",Components!B150=""),"",Components!B150)</f>
        <v/>
      </c>
      <c r="C161" s="25">
        <f>IF(OR(A161="",Components!C150=""),"",Components!C150)</f>
        <v/>
      </c>
      <c r="D161" s="25">
        <f>IF(A161="","",COUNTIFS(Relationships!$B$4:$B$1003,"AIR",Relationships!$D$4:$D$1003,"references",Relationships!$F$4:$F$1003,A161,Relationships!$M$4:$M$1003,"Confirmed",Relationships!$N$4:$N$1003,"OK — verify source"))</f>
        <v/>
      </c>
      <c r="E161" s="48">
        <f>IF(OR(A161="",NOT(ISNUMBER($D$6))),"",D161/$D$6)</f>
        <v/>
      </c>
      <c r="F161" s="25">
        <f>IF(OR(NOT(ISNUMBER(E161)),NOT(ISNUMBER($D$5))),"",IF(AND(D161&gt;0,E161&gt;=$D$5),"Review: concentration",""))</f>
        <v/>
      </c>
      <c r="H161" s="25" t="n"/>
      <c r="I161" s="25" t="n"/>
      <c r="J161" s="25">
        <f>IF(COUNTA(H161:I161)=0,"",IF(OR(H161="",I161=""),"AIR-ID or supplier missing",IF(COUNTIFS($H$15:$H$264,H161,$I$15:$I$264,I161)&gt;1,"Duplicate row (counted once)",IF(COUNTIF('System map'!$A$4:$A$203,H161)=0,"AIR-ID not on System map",IF(COUNTIF($L$15:$L$64,I161)=0,"Supplier not listed in Table 2b","OK — verify source")))))</f>
        <v/>
      </c>
    </row>
    <row r="162">
      <c r="A162" s="27">
        <f>IF(Components!A151="","",Components!A151)</f>
        <v/>
      </c>
      <c r="B162" s="27">
        <f>IF(OR(A162="",Components!B151=""),"",Components!B151)</f>
        <v/>
      </c>
      <c r="C162" s="27">
        <f>IF(OR(A162="",Components!C151=""),"",Components!C151)</f>
        <v/>
      </c>
      <c r="D162" s="27">
        <f>IF(A162="","",COUNTIFS(Relationships!$B$4:$B$1003,"AIR",Relationships!$D$4:$D$1003,"references",Relationships!$F$4:$F$1003,A162,Relationships!$M$4:$M$1003,"Confirmed",Relationships!$N$4:$N$1003,"OK — verify source"))</f>
        <v/>
      </c>
      <c r="E162" s="49">
        <f>IF(OR(A162="",NOT(ISNUMBER($D$6))),"",D162/$D$6)</f>
        <v/>
      </c>
      <c r="F162" s="27">
        <f>IF(OR(NOT(ISNUMBER(E162)),NOT(ISNUMBER($D$5))),"",IF(AND(D162&gt;0,E162&gt;=$D$5),"Review: concentration",""))</f>
        <v/>
      </c>
      <c r="H162" s="27" t="n"/>
      <c r="I162" s="27" t="n"/>
      <c r="J162" s="27">
        <f>IF(COUNTA(H162:I162)=0,"",IF(OR(H162="",I162=""),"AIR-ID or supplier missing",IF(COUNTIFS($H$15:$H$264,H162,$I$15:$I$264,I162)&gt;1,"Duplicate row (counted once)",IF(COUNTIF('System map'!$A$4:$A$203,H162)=0,"AIR-ID not on System map",IF(COUNTIF($L$15:$L$64,I162)=0,"Supplier not listed in Table 2b","OK — verify source")))))</f>
        <v/>
      </c>
    </row>
    <row r="163">
      <c r="A163" s="25">
        <f>IF(Components!A152="","",Components!A152)</f>
        <v/>
      </c>
      <c r="B163" s="25">
        <f>IF(OR(A163="",Components!B152=""),"",Components!B152)</f>
        <v/>
      </c>
      <c r="C163" s="25">
        <f>IF(OR(A163="",Components!C152=""),"",Components!C152)</f>
        <v/>
      </c>
      <c r="D163" s="25">
        <f>IF(A163="","",COUNTIFS(Relationships!$B$4:$B$1003,"AIR",Relationships!$D$4:$D$1003,"references",Relationships!$F$4:$F$1003,A163,Relationships!$M$4:$M$1003,"Confirmed",Relationships!$N$4:$N$1003,"OK — verify source"))</f>
        <v/>
      </c>
      <c r="E163" s="48">
        <f>IF(OR(A163="",NOT(ISNUMBER($D$6))),"",D163/$D$6)</f>
        <v/>
      </c>
      <c r="F163" s="25">
        <f>IF(OR(NOT(ISNUMBER(E163)),NOT(ISNUMBER($D$5))),"",IF(AND(D163&gt;0,E163&gt;=$D$5),"Review: concentration",""))</f>
        <v/>
      </c>
      <c r="H163" s="25" t="n"/>
      <c r="I163" s="25" t="n"/>
      <c r="J163" s="25">
        <f>IF(COUNTA(H163:I163)=0,"",IF(OR(H163="",I163=""),"AIR-ID or supplier missing",IF(COUNTIFS($H$15:$H$264,H163,$I$15:$I$264,I163)&gt;1,"Duplicate row (counted once)",IF(COUNTIF('System map'!$A$4:$A$203,H163)=0,"AIR-ID not on System map",IF(COUNTIF($L$15:$L$64,I163)=0,"Supplier not listed in Table 2b","OK — verify source")))))</f>
        <v/>
      </c>
    </row>
    <row r="164">
      <c r="A164" s="27">
        <f>IF(Components!A153="","",Components!A153)</f>
        <v/>
      </c>
      <c r="B164" s="27">
        <f>IF(OR(A164="",Components!B153=""),"",Components!B153)</f>
        <v/>
      </c>
      <c r="C164" s="27">
        <f>IF(OR(A164="",Components!C153=""),"",Components!C153)</f>
        <v/>
      </c>
      <c r="D164" s="27">
        <f>IF(A164="","",COUNTIFS(Relationships!$B$4:$B$1003,"AIR",Relationships!$D$4:$D$1003,"references",Relationships!$F$4:$F$1003,A164,Relationships!$M$4:$M$1003,"Confirmed",Relationships!$N$4:$N$1003,"OK — verify source"))</f>
        <v/>
      </c>
      <c r="E164" s="49">
        <f>IF(OR(A164="",NOT(ISNUMBER($D$6))),"",D164/$D$6)</f>
        <v/>
      </c>
      <c r="F164" s="27">
        <f>IF(OR(NOT(ISNUMBER(E164)),NOT(ISNUMBER($D$5))),"",IF(AND(D164&gt;0,E164&gt;=$D$5),"Review: concentration",""))</f>
        <v/>
      </c>
      <c r="H164" s="27" t="n"/>
      <c r="I164" s="27" t="n"/>
      <c r="J164" s="27">
        <f>IF(COUNTA(H164:I164)=0,"",IF(OR(H164="",I164=""),"AIR-ID or supplier missing",IF(COUNTIFS($H$15:$H$264,H164,$I$15:$I$264,I164)&gt;1,"Duplicate row (counted once)",IF(COUNTIF('System map'!$A$4:$A$203,H164)=0,"AIR-ID not on System map",IF(COUNTIF($L$15:$L$64,I164)=0,"Supplier not listed in Table 2b","OK — verify source")))))</f>
        <v/>
      </c>
    </row>
    <row r="165">
      <c r="A165" s="25">
        <f>IF(Components!A154="","",Components!A154)</f>
        <v/>
      </c>
      <c r="B165" s="25">
        <f>IF(OR(A165="",Components!B154=""),"",Components!B154)</f>
        <v/>
      </c>
      <c r="C165" s="25">
        <f>IF(OR(A165="",Components!C154=""),"",Components!C154)</f>
        <v/>
      </c>
      <c r="D165" s="25">
        <f>IF(A165="","",COUNTIFS(Relationships!$B$4:$B$1003,"AIR",Relationships!$D$4:$D$1003,"references",Relationships!$F$4:$F$1003,A165,Relationships!$M$4:$M$1003,"Confirmed",Relationships!$N$4:$N$1003,"OK — verify source"))</f>
        <v/>
      </c>
      <c r="E165" s="48">
        <f>IF(OR(A165="",NOT(ISNUMBER($D$6))),"",D165/$D$6)</f>
        <v/>
      </c>
      <c r="F165" s="25">
        <f>IF(OR(NOT(ISNUMBER(E165)),NOT(ISNUMBER($D$5))),"",IF(AND(D165&gt;0,E165&gt;=$D$5),"Review: concentration",""))</f>
        <v/>
      </c>
      <c r="H165" s="25" t="n"/>
      <c r="I165" s="25" t="n"/>
      <c r="J165" s="25">
        <f>IF(COUNTA(H165:I165)=0,"",IF(OR(H165="",I165=""),"AIR-ID or supplier missing",IF(COUNTIFS($H$15:$H$264,H165,$I$15:$I$264,I165)&gt;1,"Duplicate row (counted once)",IF(COUNTIF('System map'!$A$4:$A$203,H165)=0,"AIR-ID not on System map",IF(COUNTIF($L$15:$L$64,I165)=0,"Supplier not listed in Table 2b","OK — verify source")))))</f>
        <v/>
      </c>
    </row>
    <row r="166">
      <c r="A166" s="27">
        <f>IF(Components!A155="","",Components!A155)</f>
        <v/>
      </c>
      <c r="B166" s="27">
        <f>IF(OR(A166="",Components!B155=""),"",Components!B155)</f>
        <v/>
      </c>
      <c r="C166" s="27">
        <f>IF(OR(A166="",Components!C155=""),"",Components!C155)</f>
        <v/>
      </c>
      <c r="D166" s="27">
        <f>IF(A166="","",COUNTIFS(Relationships!$B$4:$B$1003,"AIR",Relationships!$D$4:$D$1003,"references",Relationships!$F$4:$F$1003,A166,Relationships!$M$4:$M$1003,"Confirmed",Relationships!$N$4:$N$1003,"OK — verify source"))</f>
        <v/>
      </c>
      <c r="E166" s="49">
        <f>IF(OR(A166="",NOT(ISNUMBER($D$6))),"",D166/$D$6)</f>
        <v/>
      </c>
      <c r="F166" s="27">
        <f>IF(OR(NOT(ISNUMBER(E166)),NOT(ISNUMBER($D$5))),"",IF(AND(D166&gt;0,E166&gt;=$D$5),"Review: concentration",""))</f>
        <v/>
      </c>
      <c r="H166" s="27" t="n"/>
      <c r="I166" s="27" t="n"/>
      <c r="J166" s="27">
        <f>IF(COUNTA(H166:I166)=0,"",IF(OR(H166="",I166=""),"AIR-ID or supplier missing",IF(COUNTIFS($H$15:$H$264,H166,$I$15:$I$264,I166)&gt;1,"Duplicate row (counted once)",IF(COUNTIF('System map'!$A$4:$A$203,H166)=0,"AIR-ID not on System map",IF(COUNTIF($L$15:$L$64,I166)=0,"Supplier not listed in Table 2b","OK — verify source")))))</f>
        <v/>
      </c>
    </row>
    <row r="167">
      <c r="A167" s="25">
        <f>IF(Components!A156="","",Components!A156)</f>
        <v/>
      </c>
      <c r="B167" s="25">
        <f>IF(OR(A167="",Components!B156=""),"",Components!B156)</f>
        <v/>
      </c>
      <c r="C167" s="25">
        <f>IF(OR(A167="",Components!C156=""),"",Components!C156)</f>
        <v/>
      </c>
      <c r="D167" s="25">
        <f>IF(A167="","",COUNTIFS(Relationships!$B$4:$B$1003,"AIR",Relationships!$D$4:$D$1003,"references",Relationships!$F$4:$F$1003,A167,Relationships!$M$4:$M$1003,"Confirmed",Relationships!$N$4:$N$1003,"OK — verify source"))</f>
        <v/>
      </c>
      <c r="E167" s="48">
        <f>IF(OR(A167="",NOT(ISNUMBER($D$6))),"",D167/$D$6)</f>
        <v/>
      </c>
      <c r="F167" s="25">
        <f>IF(OR(NOT(ISNUMBER(E167)),NOT(ISNUMBER($D$5))),"",IF(AND(D167&gt;0,E167&gt;=$D$5),"Review: concentration",""))</f>
        <v/>
      </c>
      <c r="H167" s="25" t="n"/>
      <c r="I167" s="25" t="n"/>
      <c r="J167" s="25">
        <f>IF(COUNTA(H167:I167)=0,"",IF(OR(H167="",I167=""),"AIR-ID or supplier missing",IF(COUNTIFS($H$15:$H$264,H167,$I$15:$I$264,I167)&gt;1,"Duplicate row (counted once)",IF(COUNTIF('System map'!$A$4:$A$203,H167)=0,"AIR-ID not on System map",IF(COUNTIF($L$15:$L$64,I167)=0,"Supplier not listed in Table 2b","OK — verify source")))))</f>
        <v/>
      </c>
    </row>
    <row r="168">
      <c r="A168" s="27">
        <f>IF(Components!A157="","",Components!A157)</f>
        <v/>
      </c>
      <c r="B168" s="27">
        <f>IF(OR(A168="",Components!B157=""),"",Components!B157)</f>
        <v/>
      </c>
      <c r="C168" s="27">
        <f>IF(OR(A168="",Components!C157=""),"",Components!C157)</f>
        <v/>
      </c>
      <c r="D168" s="27">
        <f>IF(A168="","",COUNTIFS(Relationships!$B$4:$B$1003,"AIR",Relationships!$D$4:$D$1003,"references",Relationships!$F$4:$F$1003,A168,Relationships!$M$4:$M$1003,"Confirmed",Relationships!$N$4:$N$1003,"OK — verify source"))</f>
        <v/>
      </c>
      <c r="E168" s="49">
        <f>IF(OR(A168="",NOT(ISNUMBER($D$6))),"",D168/$D$6)</f>
        <v/>
      </c>
      <c r="F168" s="27">
        <f>IF(OR(NOT(ISNUMBER(E168)),NOT(ISNUMBER($D$5))),"",IF(AND(D168&gt;0,E168&gt;=$D$5),"Review: concentration",""))</f>
        <v/>
      </c>
      <c r="H168" s="27" t="n"/>
      <c r="I168" s="27" t="n"/>
      <c r="J168" s="27">
        <f>IF(COUNTA(H168:I168)=0,"",IF(OR(H168="",I168=""),"AIR-ID or supplier missing",IF(COUNTIFS($H$15:$H$264,H168,$I$15:$I$264,I168)&gt;1,"Duplicate row (counted once)",IF(COUNTIF('System map'!$A$4:$A$203,H168)=0,"AIR-ID not on System map",IF(COUNTIF($L$15:$L$64,I168)=0,"Supplier not listed in Table 2b","OK — verify source")))))</f>
        <v/>
      </c>
    </row>
    <row r="169">
      <c r="A169" s="25">
        <f>IF(Components!A158="","",Components!A158)</f>
        <v/>
      </c>
      <c r="B169" s="25">
        <f>IF(OR(A169="",Components!B158=""),"",Components!B158)</f>
        <v/>
      </c>
      <c r="C169" s="25">
        <f>IF(OR(A169="",Components!C158=""),"",Components!C158)</f>
        <v/>
      </c>
      <c r="D169" s="25">
        <f>IF(A169="","",COUNTIFS(Relationships!$B$4:$B$1003,"AIR",Relationships!$D$4:$D$1003,"references",Relationships!$F$4:$F$1003,A169,Relationships!$M$4:$M$1003,"Confirmed",Relationships!$N$4:$N$1003,"OK — verify source"))</f>
        <v/>
      </c>
      <c r="E169" s="48">
        <f>IF(OR(A169="",NOT(ISNUMBER($D$6))),"",D169/$D$6)</f>
        <v/>
      </c>
      <c r="F169" s="25">
        <f>IF(OR(NOT(ISNUMBER(E169)),NOT(ISNUMBER($D$5))),"",IF(AND(D169&gt;0,E169&gt;=$D$5),"Review: concentration",""))</f>
        <v/>
      </c>
      <c r="H169" s="25" t="n"/>
      <c r="I169" s="25" t="n"/>
      <c r="J169" s="25">
        <f>IF(COUNTA(H169:I169)=0,"",IF(OR(H169="",I169=""),"AIR-ID or supplier missing",IF(COUNTIFS($H$15:$H$264,H169,$I$15:$I$264,I169)&gt;1,"Duplicate row (counted once)",IF(COUNTIF('System map'!$A$4:$A$203,H169)=0,"AIR-ID not on System map",IF(COUNTIF($L$15:$L$64,I169)=0,"Supplier not listed in Table 2b","OK — verify source")))))</f>
        <v/>
      </c>
    </row>
    <row r="170">
      <c r="A170" s="27">
        <f>IF(Components!A159="","",Components!A159)</f>
        <v/>
      </c>
      <c r="B170" s="27">
        <f>IF(OR(A170="",Components!B159=""),"",Components!B159)</f>
        <v/>
      </c>
      <c r="C170" s="27">
        <f>IF(OR(A170="",Components!C159=""),"",Components!C159)</f>
        <v/>
      </c>
      <c r="D170" s="27">
        <f>IF(A170="","",COUNTIFS(Relationships!$B$4:$B$1003,"AIR",Relationships!$D$4:$D$1003,"references",Relationships!$F$4:$F$1003,A170,Relationships!$M$4:$M$1003,"Confirmed",Relationships!$N$4:$N$1003,"OK — verify source"))</f>
        <v/>
      </c>
      <c r="E170" s="49">
        <f>IF(OR(A170="",NOT(ISNUMBER($D$6))),"",D170/$D$6)</f>
        <v/>
      </c>
      <c r="F170" s="27">
        <f>IF(OR(NOT(ISNUMBER(E170)),NOT(ISNUMBER($D$5))),"",IF(AND(D170&gt;0,E170&gt;=$D$5),"Review: concentration",""))</f>
        <v/>
      </c>
      <c r="H170" s="27" t="n"/>
      <c r="I170" s="27" t="n"/>
      <c r="J170" s="27">
        <f>IF(COUNTA(H170:I170)=0,"",IF(OR(H170="",I170=""),"AIR-ID or supplier missing",IF(COUNTIFS($H$15:$H$264,H170,$I$15:$I$264,I170)&gt;1,"Duplicate row (counted once)",IF(COUNTIF('System map'!$A$4:$A$203,H170)=0,"AIR-ID not on System map",IF(COUNTIF($L$15:$L$64,I170)=0,"Supplier not listed in Table 2b","OK — verify source")))))</f>
        <v/>
      </c>
    </row>
    <row r="171">
      <c r="A171" s="25">
        <f>IF(Components!A160="","",Components!A160)</f>
        <v/>
      </c>
      <c r="B171" s="25">
        <f>IF(OR(A171="",Components!B160=""),"",Components!B160)</f>
        <v/>
      </c>
      <c r="C171" s="25">
        <f>IF(OR(A171="",Components!C160=""),"",Components!C160)</f>
        <v/>
      </c>
      <c r="D171" s="25">
        <f>IF(A171="","",COUNTIFS(Relationships!$B$4:$B$1003,"AIR",Relationships!$D$4:$D$1003,"references",Relationships!$F$4:$F$1003,A171,Relationships!$M$4:$M$1003,"Confirmed",Relationships!$N$4:$N$1003,"OK — verify source"))</f>
        <v/>
      </c>
      <c r="E171" s="48">
        <f>IF(OR(A171="",NOT(ISNUMBER($D$6))),"",D171/$D$6)</f>
        <v/>
      </c>
      <c r="F171" s="25">
        <f>IF(OR(NOT(ISNUMBER(E171)),NOT(ISNUMBER($D$5))),"",IF(AND(D171&gt;0,E171&gt;=$D$5),"Review: concentration",""))</f>
        <v/>
      </c>
      <c r="H171" s="25" t="n"/>
      <c r="I171" s="25" t="n"/>
      <c r="J171" s="25">
        <f>IF(COUNTA(H171:I171)=0,"",IF(OR(H171="",I171=""),"AIR-ID or supplier missing",IF(COUNTIFS($H$15:$H$264,H171,$I$15:$I$264,I171)&gt;1,"Duplicate row (counted once)",IF(COUNTIF('System map'!$A$4:$A$203,H171)=0,"AIR-ID not on System map",IF(COUNTIF($L$15:$L$64,I171)=0,"Supplier not listed in Table 2b","OK — verify source")))))</f>
        <v/>
      </c>
    </row>
    <row r="172">
      <c r="A172" s="27">
        <f>IF(Components!A161="","",Components!A161)</f>
        <v/>
      </c>
      <c r="B172" s="27">
        <f>IF(OR(A172="",Components!B161=""),"",Components!B161)</f>
        <v/>
      </c>
      <c r="C172" s="27">
        <f>IF(OR(A172="",Components!C161=""),"",Components!C161)</f>
        <v/>
      </c>
      <c r="D172" s="27">
        <f>IF(A172="","",COUNTIFS(Relationships!$B$4:$B$1003,"AIR",Relationships!$D$4:$D$1003,"references",Relationships!$F$4:$F$1003,A172,Relationships!$M$4:$M$1003,"Confirmed",Relationships!$N$4:$N$1003,"OK — verify source"))</f>
        <v/>
      </c>
      <c r="E172" s="49">
        <f>IF(OR(A172="",NOT(ISNUMBER($D$6))),"",D172/$D$6)</f>
        <v/>
      </c>
      <c r="F172" s="27">
        <f>IF(OR(NOT(ISNUMBER(E172)),NOT(ISNUMBER($D$5))),"",IF(AND(D172&gt;0,E172&gt;=$D$5),"Review: concentration",""))</f>
        <v/>
      </c>
      <c r="H172" s="27" t="n"/>
      <c r="I172" s="27" t="n"/>
      <c r="J172" s="27">
        <f>IF(COUNTA(H172:I172)=0,"",IF(OR(H172="",I172=""),"AIR-ID or supplier missing",IF(COUNTIFS($H$15:$H$264,H172,$I$15:$I$264,I172)&gt;1,"Duplicate row (counted once)",IF(COUNTIF('System map'!$A$4:$A$203,H172)=0,"AIR-ID not on System map",IF(COUNTIF($L$15:$L$64,I172)=0,"Supplier not listed in Table 2b","OK — verify source")))))</f>
        <v/>
      </c>
    </row>
    <row r="173">
      <c r="A173" s="25">
        <f>IF(Components!A162="","",Components!A162)</f>
        <v/>
      </c>
      <c r="B173" s="25">
        <f>IF(OR(A173="",Components!B162=""),"",Components!B162)</f>
        <v/>
      </c>
      <c r="C173" s="25">
        <f>IF(OR(A173="",Components!C162=""),"",Components!C162)</f>
        <v/>
      </c>
      <c r="D173" s="25">
        <f>IF(A173="","",COUNTIFS(Relationships!$B$4:$B$1003,"AIR",Relationships!$D$4:$D$1003,"references",Relationships!$F$4:$F$1003,A173,Relationships!$M$4:$M$1003,"Confirmed",Relationships!$N$4:$N$1003,"OK — verify source"))</f>
        <v/>
      </c>
      <c r="E173" s="48">
        <f>IF(OR(A173="",NOT(ISNUMBER($D$6))),"",D173/$D$6)</f>
        <v/>
      </c>
      <c r="F173" s="25">
        <f>IF(OR(NOT(ISNUMBER(E173)),NOT(ISNUMBER($D$5))),"",IF(AND(D173&gt;0,E173&gt;=$D$5),"Review: concentration",""))</f>
        <v/>
      </c>
      <c r="H173" s="25" t="n"/>
      <c r="I173" s="25" t="n"/>
      <c r="J173" s="25">
        <f>IF(COUNTA(H173:I173)=0,"",IF(OR(H173="",I173=""),"AIR-ID or supplier missing",IF(COUNTIFS($H$15:$H$264,H173,$I$15:$I$264,I173)&gt;1,"Duplicate row (counted once)",IF(COUNTIF('System map'!$A$4:$A$203,H173)=0,"AIR-ID not on System map",IF(COUNTIF($L$15:$L$64,I173)=0,"Supplier not listed in Table 2b","OK — verify source")))))</f>
        <v/>
      </c>
    </row>
    <row r="174">
      <c r="A174" s="27">
        <f>IF(Components!A163="","",Components!A163)</f>
        <v/>
      </c>
      <c r="B174" s="27">
        <f>IF(OR(A174="",Components!B163=""),"",Components!B163)</f>
        <v/>
      </c>
      <c r="C174" s="27">
        <f>IF(OR(A174="",Components!C163=""),"",Components!C163)</f>
        <v/>
      </c>
      <c r="D174" s="27">
        <f>IF(A174="","",COUNTIFS(Relationships!$B$4:$B$1003,"AIR",Relationships!$D$4:$D$1003,"references",Relationships!$F$4:$F$1003,A174,Relationships!$M$4:$M$1003,"Confirmed",Relationships!$N$4:$N$1003,"OK — verify source"))</f>
        <v/>
      </c>
      <c r="E174" s="49">
        <f>IF(OR(A174="",NOT(ISNUMBER($D$6))),"",D174/$D$6)</f>
        <v/>
      </c>
      <c r="F174" s="27">
        <f>IF(OR(NOT(ISNUMBER(E174)),NOT(ISNUMBER($D$5))),"",IF(AND(D174&gt;0,E174&gt;=$D$5),"Review: concentration",""))</f>
        <v/>
      </c>
      <c r="H174" s="27" t="n"/>
      <c r="I174" s="27" t="n"/>
      <c r="J174" s="27">
        <f>IF(COUNTA(H174:I174)=0,"",IF(OR(H174="",I174=""),"AIR-ID or supplier missing",IF(COUNTIFS($H$15:$H$264,H174,$I$15:$I$264,I174)&gt;1,"Duplicate row (counted once)",IF(COUNTIF('System map'!$A$4:$A$203,H174)=0,"AIR-ID not on System map",IF(COUNTIF($L$15:$L$64,I174)=0,"Supplier not listed in Table 2b","OK — verify source")))))</f>
        <v/>
      </c>
    </row>
    <row r="175">
      <c r="A175" s="25">
        <f>IF(Components!A164="","",Components!A164)</f>
        <v/>
      </c>
      <c r="B175" s="25">
        <f>IF(OR(A175="",Components!B164=""),"",Components!B164)</f>
        <v/>
      </c>
      <c r="C175" s="25">
        <f>IF(OR(A175="",Components!C164=""),"",Components!C164)</f>
        <v/>
      </c>
      <c r="D175" s="25">
        <f>IF(A175="","",COUNTIFS(Relationships!$B$4:$B$1003,"AIR",Relationships!$D$4:$D$1003,"references",Relationships!$F$4:$F$1003,A175,Relationships!$M$4:$M$1003,"Confirmed",Relationships!$N$4:$N$1003,"OK — verify source"))</f>
        <v/>
      </c>
      <c r="E175" s="48">
        <f>IF(OR(A175="",NOT(ISNUMBER($D$6))),"",D175/$D$6)</f>
        <v/>
      </c>
      <c r="F175" s="25">
        <f>IF(OR(NOT(ISNUMBER(E175)),NOT(ISNUMBER($D$5))),"",IF(AND(D175&gt;0,E175&gt;=$D$5),"Review: concentration",""))</f>
        <v/>
      </c>
      <c r="H175" s="25" t="n"/>
      <c r="I175" s="25" t="n"/>
      <c r="J175" s="25">
        <f>IF(COUNTA(H175:I175)=0,"",IF(OR(H175="",I175=""),"AIR-ID or supplier missing",IF(COUNTIFS($H$15:$H$264,H175,$I$15:$I$264,I175)&gt;1,"Duplicate row (counted once)",IF(COUNTIF('System map'!$A$4:$A$203,H175)=0,"AIR-ID not on System map",IF(COUNTIF($L$15:$L$64,I175)=0,"Supplier not listed in Table 2b","OK — verify source")))))</f>
        <v/>
      </c>
    </row>
    <row r="176">
      <c r="A176" s="27">
        <f>IF(Components!A165="","",Components!A165)</f>
        <v/>
      </c>
      <c r="B176" s="27">
        <f>IF(OR(A176="",Components!B165=""),"",Components!B165)</f>
        <v/>
      </c>
      <c r="C176" s="27">
        <f>IF(OR(A176="",Components!C165=""),"",Components!C165)</f>
        <v/>
      </c>
      <c r="D176" s="27">
        <f>IF(A176="","",COUNTIFS(Relationships!$B$4:$B$1003,"AIR",Relationships!$D$4:$D$1003,"references",Relationships!$F$4:$F$1003,A176,Relationships!$M$4:$M$1003,"Confirmed",Relationships!$N$4:$N$1003,"OK — verify source"))</f>
        <v/>
      </c>
      <c r="E176" s="49">
        <f>IF(OR(A176="",NOT(ISNUMBER($D$6))),"",D176/$D$6)</f>
        <v/>
      </c>
      <c r="F176" s="27">
        <f>IF(OR(NOT(ISNUMBER(E176)),NOT(ISNUMBER($D$5))),"",IF(AND(D176&gt;0,E176&gt;=$D$5),"Review: concentration",""))</f>
        <v/>
      </c>
      <c r="H176" s="27" t="n"/>
      <c r="I176" s="27" t="n"/>
      <c r="J176" s="27">
        <f>IF(COUNTA(H176:I176)=0,"",IF(OR(H176="",I176=""),"AIR-ID or supplier missing",IF(COUNTIFS($H$15:$H$264,H176,$I$15:$I$264,I176)&gt;1,"Duplicate row (counted once)",IF(COUNTIF('System map'!$A$4:$A$203,H176)=0,"AIR-ID not on System map",IF(COUNTIF($L$15:$L$64,I176)=0,"Supplier not listed in Table 2b","OK — verify source")))))</f>
        <v/>
      </c>
    </row>
    <row r="177">
      <c r="A177" s="25">
        <f>IF(Components!A166="","",Components!A166)</f>
        <v/>
      </c>
      <c r="B177" s="25">
        <f>IF(OR(A177="",Components!B166=""),"",Components!B166)</f>
        <v/>
      </c>
      <c r="C177" s="25">
        <f>IF(OR(A177="",Components!C166=""),"",Components!C166)</f>
        <v/>
      </c>
      <c r="D177" s="25">
        <f>IF(A177="","",COUNTIFS(Relationships!$B$4:$B$1003,"AIR",Relationships!$D$4:$D$1003,"references",Relationships!$F$4:$F$1003,A177,Relationships!$M$4:$M$1003,"Confirmed",Relationships!$N$4:$N$1003,"OK — verify source"))</f>
        <v/>
      </c>
      <c r="E177" s="48">
        <f>IF(OR(A177="",NOT(ISNUMBER($D$6))),"",D177/$D$6)</f>
        <v/>
      </c>
      <c r="F177" s="25">
        <f>IF(OR(NOT(ISNUMBER(E177)),NOT(ISNUMBER($D$5))),"",IF(AND(D177&gt;0,E177&gt;=$D$5),"Review: concentration",""))</f>
        <v/>
      </c>
      <c r="H177" s="25" t="n"/>
      <c r="I177" s="25" t="n"/>
      <c r="J177" s="25">
        <f>IF(COUNTA(H177:I177)=0,"",IF(OR(H177="",I177=""),"AIR-ID or supplier missing",IF(COUNTIFS($H$15:$H$264,H177,$I$15:$I$264,I177)&gt;1,"Duplicate row (counted once)",IF(COUNTIF('System map'!$A$4:$A$203,H177)=0,"AIR-ID not on System map",IF(COUNTIF($L$15:$L$64,I177)=0,"Supplier not listed in Table 2b","OK — verify source")))))</f>
        <v/>
      </c>
    </row>
    <row r="178">
      <c r="A178" s="27">
        <f>IF(Components!A167="","",Components!A167)</f>
        <v/>
      </c>
      <c r="B178" s="27">
        <f>IF(OR(A178="",Components!B167=""),"",Components!B167)</f>
        <v/>
      </c>
      <c r="C178" s="27">
        <f>IF(OR(A178="",Components!C167=""),"",Components!C167)</f>
        <v/>
      </c>
      <c r="D178" s="27">
        <f>IF(A178="","",COUNTIFS(Relationships!$B$4:$B$1003,"AIR",Relationships!$D$4:$D$1003,"references",Relationships!$F$4:$F$1003,A178,Relationships!$M$4:$M$1003,"Confirmed",Relationships!$N$4:$N$1003,"OK — verify source"))</f>
        <v/>
      </c>
      <c r="E178" s="49">
        <f>IF(OR(A178="",NOT(ISNUMBER($D$6))),"",D178/$D$6)</f>
        <v/>
      </c>
      <c r="F178" s="27">
        <f>IF(OR(NOT(ISNUMBER(E178)),NOT(ISNUMBER($D$5))),"",IF(AND(D178&gt;0,E178&gt;=$D$5),"Review: concentration",""))</f>
        <v/>
      </c>
      <c r="H178" s="27" t="n"/>
      <c r="I178" s="27" t="n"/>
      <c r="J178" s="27">
        <f>IF(COUNTA(H178:I178)=0,"",IF(OR(H178="",I178=""),"AIR-ID or supplier missing",IF(COUNTIFS($H$15:$H$264,H178,$I$15:$I$264,I178)&gt;1,"Duplicate row (counted once)",IF(COUNTIF('System map'!$A$4:$A$203,H178)=0,"AIR-ID not on System map",IF(COUNTIF($L$15:$L$64,I178)=0,"Supplier not listed in Table 2b","OK — verify source")))))</f>
        <v/>
      </c>
    </row>
    <row r="179">
      <c r="A179" s="25">
        <f>IF(Components!A168="","",Components!A168)</f>
        <v/>
      </c>
      <c r="B179" s="25">
        <f>IF(OR(A179="",Components!B168=""),"",Components!B168)</f>
        <v/>
      </c>
      <c r="C179" s="25">
        <f>IF(OR(A179="",Components!C168=""),"",Components!C168)</f>
        <v/>
      </c>
      <c r="D179" s="25">
        <f>IF(A179="","",COUNTIFS(Relationships!$B$4:$B$1003,"AIR",Relationships!$D$4:$D$1003,"references",Relationships!$F$4:$F$1003,A179,Relationships!$M$4:$M$1003,"Confirmed",Relationships!$N$4:$N$1003,"OK — verify source"))</f>
        <v/>
      </c>
      <c r="E179" s="48">
        <f>IF(OR(A179="",NOT(ISNUMBER($D$6))),"",D179/$D$6)</f>
        <v/>
      </c>
      <c r="F179" s="25">
        <f>IF(OR(NOT(ISNUMBER(E179)),NOT(ISNUMBER($D$5))),"",IF(AND(D179&gt;0,E179&gt;=$D$5),"Review: concentration",""))</f>
        <v/>
      </c>
      <c r="H179" s="25" t="n"/>
      <c r="I179" s="25" t="n"/>
      <c r="J179" s="25">
        <f>IF(COUNTA(H179:I179)=0,"",IF(OR(H179="",I179=""),"AIR-ID or supplier missing",IF(COUNTIFS($H$15:$H$264,H179,$I$15:$I$264,I179)&gt;1,"Duplicate row (counted once)",IF(COUNTIF('System map'!$A$4:$A$203,H179)=0,"AIR-ID not on System map",IF(COUNTIF($L$15:$L$64,I179)=0,"Supplier not listed in Table 2b","OK — verify source")))))</f>
        <v/>
      </c>
    </row>
    <row r="180">
      <c r="A180" s="27">
        <f>IF(Components!A169="","",Components!A169)</f>
        <v/>
      </c>
      <c r="B180" s="27">
        <f>IF(OR(A180="",Components!B169=""),"",Components!B169)</f>
        <v/>
      </c>
      <c r="C180" s="27">
        <f>IF(OR(A180="",Components!C169=""),"",Components!C169)</f>
        <v/>
      </c>
      <c r="D180" s="27">
        <f>IF(A180="","",COUNTIFS(Relationships!$B$4:$B$1003,"AIR",Relationships!$D$4:$D$1003,"references",Relationships!$F$4:$F$1003,A180,Relationships!$M$4:$M$1003,"Confirmed",Relationships!$N$4:$N$1003,"OK — verify source"))</f>
        <v/>
      </c>
      <c r="E180" s="49">
        <f>IF(OR(A180="",NOT(ISNUMBER($D$6))),"",D180/$D$6)</f>
        <v/>
      </c>
      <c r="F180" s="27">
        <f>IF(OR(NOT(ISNUMBER(E180)),NOT(ISNUMBER($D$5))),"",IF(AND(D180&gt;0,E180&gt;=$D$5),"Review: concentration",""))</f>
        <v/>
      </c>
      <c r="H180" s="27" t="n"/>
      <c r="I180" s="27" t="n"/>
      <c r="J180" s="27">
        <f>IF(COUNTA(H180:I180)=0,"",IF(OR(H180="",I180=""),"AIR-ID or supplier missing",IF(COUNTIFS($H$15:$H$264,H180,$I$15:$I$264,I180)&gt;1,"Duplicate row (counted once)",IF(COUNTIF('System map'!$A$4:$A$203,H180)=0,"AIR-ID not on System map",IF(COUNTIF($L$15:$L$64,I180)=0,"Supplier not listed in Table 2b","OK — verify source")))))</f>
        <v/>
      </c>
    </row>
    <row r="181">
      <c r="A181" s="25">
        <f>IF(Components!A170="","",Components!A170)</f>
        <v/>
      </c>
      <c r="B181" s="25">
        <f>IF(OR(A181="",Components!B170=""),"",Components!B170)</f>
        <v/>
      </c>
      <c r="C181" s="25">
        <f>IF(OR(A181="",Components!C170=""),"",Components!C170)</f>
        <v/>
      </c>
      <c r="D181" s="25">
        <f>IF(A181="","",COUNTIFS(Relationships!$B$4:$B$1003,"AIR",Relationships!$D$4:$D$1003,"references",Relationships!$F$4:$F$1003,A181,Relationships!$M$4:$M$1003,"Confirmed",Relationships!$N$4:$N$1003,"OK — verify source"))</f>
        <v/>
      </c>
      <c r="E181" s="48">
        <f>IF(OR(A181="",NOT(ISNUMBER($D$6))),"",D181/$D$6)</f>
        <v/>
      </c>
      <c r="F181" s="25">
        <f>IF(OR(NOT(ISNUMBER(E181)),NOT(ISNUMBER($D$5))),"",IF(AND(D181&gt;0,E181&gt;=$D$5),"Review: concentration",""))</f>
        <v/>
      </c>
      <c r="H181" s="25" t="n"/>
      <c r="I181" s="25" t="n"/>
      <c r="J181" s="25">
        <f>IF(COUNTA(H181:I181)=0,"",IF(OR(H181="",I181=""),"AIR-ID or supplier missing",IF(COUNTIFS($H$15:$H$264,H181,$I$15:$I$264,I181)&gt;1,"Duplicate row (counted once)",IF(COUNTIF('System map'!$A$4:$A$203,H181)=0,"AIR-ID not on System map",IF(COUNTIF($L$15:$L$64,I181)=0,"Supplier not listed in Table 2b","OK — verify source")))))</f>
        <v/>
      </c>
    </row>
    <row r="182">
      <c r="A182" s="27">
        <f>IF(Components!A171="","",Components!A171)</f>
        <v/>
      </c>
      <c r="B182" s="27">
        <f>IF(OR(A182="",Components!B171=""),"",Components!B171)</f>
        <v/>
      </c>
      <c r="C182" s="27">
        <f>IF(OR(A182="",Components!C171=""),"",Components!C171)</f>
        <v/>
      </c>
      <c r="D182" s="27">
        <f>IF(A182="","",COUNTIFS(Relationships!$B$4:$B$1003,"AIR",Relationships!$D$4:$D$1003,"references",Relationships!$F$4:$F$1003,A182,Relationships!$M$4:$M$1003,"Confirmed",Relationships!$N$4:$N$1003,"OK — verify source"))</f>
        <v/>
      </c>
      <c r="E182" s="49">
        <f>IF(OR(A182="",NOT(ISNUMBER($D$6))),"",D182/$D$6)</f>
        <v/>
      </c>
      <c r="F182" s="27">
        <f>IF(OR(NOT(ISNUMBER(E182)),NOT(ISNUMBER($D$5))),"",IF(AND(D182&gt;0,E182&gt;=$D$5),"Review: concentration",""))</f>
        <v/>
      </c>
      <c r="H182" s="27" t="n"/>
      <c r="I182" s="27" t="n"/>
      <c r="J182" s="27">
        <f>IF(COUNTA(H182:I182)=0,"",IF(OR(H182="",I182=""),"AIR-ID or supplier missing",IF(COUNTIFS($H$15:$H$264,H182,$I$15:$I$264,I182)&gt;1,"Duplicate row (counted once)",IF(COUNTIF('System map'!$A$4:$A$203,H182)=0,"AIR-ID not on System map",IF(COUNTIF($L$15:$L$64,I182)=0,"Supplier not listed in Table 2b","OK — verify source")))))</f>
        <v/>
      </c>
    </row>
    <row r="183">
      <c r="A183" s="25">
        <f>IF(Components!A172="","",Components!A172)</f>
        <v/>
      </c>
      <c r="B183" s="25">
        <f>IF(OR(A183="",Components!B172=""),"",Components!B172)</f>
        <v/>
      </c>
      <c r="C183" s="25">
        <f>IF(OR(A183="",Components!C172=""),"",Components!C172)</f>
        <v/>
      </c>
      <c r="D183" s="25">
        <f>IF(A183="","",COUNTIFS(Relationships!$B$4:$B$1003,"AIR",Relationships!$D$4:$D$1003,"references",Relationships!$F$4:$F$1003,A183,Relationships!$M$4:$M$1003,"Confirmed",Relationships!$N$4:$N$1003,"OK — verify source"))</f>
        <v/>
      </c>
      <c r="E183" s="48">
        <f>IF(OR(A183="",NOT(ISNUMBER($D$6))),"",D183/$D$6)</f>
        <v/>
      </c>
      <c r="F183" s="25">
        <f>IF(OR(NOT(ISNUMBER(E183)),NOT(ISNUMBER($D$5))),"",IF(AND(D183&gt;0,E183&gt;=$D$5),"Review: concentration",""))</f>
        <v/>
      </c>
      <c r="H183" s="25" t="n"/>
      <c r="I183" s="25" t="n"/>
      <c r="J183" s="25">
        <f>IF(COUNTA(H183:I183)=0,"",IF(OR(H183="",I183=""),"AIR-ID or supplier missing",IF(COUNTIFS($H$15:$H$264,H183,$I$15:$I$264,I183)&gt;1,"Duplicate row (counted once)",IF(COUNTIF('System map'!$A$4:$A$203,H183)=0,"AIR-ID not on System map",IF(COUNTIF($L$15:$L$64,I183)=0,"Supplier not listed in Table 2b","OK — verify source")))))</f>
        <v/>
      </c>
    </row>
    <row r="184">
      <c r="A184" s="27">
        <f>IF(Components!A173="","",Components!A173)</f>
        <v/>
      </c>
      <c r="B184" s="27">
        <f>IF(OR(A184="",Components!B173=""),"",Components!B173)</f>
        <v/>
      </c>
      <c r="C184" s="27">
        <f>IF(OR(A184="",Components!C173=""),"",Components!C173)</f>
        <v/>
      </c>
      <c r="D184" s="27">
        <f>IF(A184="","",COUNTIFS(Relationships!$B$4:$B$1003,"AIR",Relationships!$D$4:$D$1003,"references",Relationships!$F$4:$F$1003,A184,Relationships!$M$4:$M$1003,"Confirmed",Relationships!$N$4:$N$1003,"OK — verify source"))</f>
        <v/>
      </c>
      <c r="E184" s="49">
        <f>IF(OR(A184="",NOT(ISNUMBER($D$6))),"",D184/$D$6)</f>
        <v/>
      </c>
      <c r="F184" s="27">
        <f>IF(OR(NOT(ISNUMBER(E184)),NOT(ISNUMBER($D$5))),"",IF(AND(D184&gt;0,E184&gt;=$D$5),"Review: concentration",""))</f>
        <v/>
      </c>
      <c r="H184" s="27" t="n"/>
      <c r="I184" s="27" t="n"/>
      <c r="J184" s="27">
        <f>IF(COUNTA(H184:I184)=0,"",IF(OR(H184="",I184=""),"AIR-ID or supplier missing",IF(COUNTIFS($H$15:$H$264,H184,$I$15:$I$264,I184)&gt;1,"Duplicate row (counted once)",IF(COUNTIF('System map'!$A$4:$A$203,H184)=0,"AIR-ID not on System map",IF(COUNTIF($L$15:$L$64,I184)=0,"Supplier not listed in Table 2b","OK — verify source")))))</f>
        <v/>
      </c>
    </row>
    <row r="185">
      <c r="A185" s="25">
        <f>IF(Components!A174="","",Components!A174)</f>
        <v/>
      </c>
      <c r="B185" s="25">
        <f>IF(OR(A185="",Components!B174=""),"",Components!B174)</f>
        <v/>
      </c>
      <c r="C185" s="25">
        <f>IF(OR(A185="",Components!C174=""),"",Components!C174)</f>
        <v/>
      </c>
      <c r="D185" s="25">
        <f>IF(A185="","",COUNTIFS(Relationships!$B$4:$B$1003,"AIR",Relationships!$D$4:$D$1003,"references",Relationships!$F$4:$F$1003,A185,Relationships!$M$4:$M$1003,"Confirmed",Relationships!$N$4:$N$1003,"OK — verify source"))</f>
        <v/>
      </c>
      <c r="E185" s="48">
        <f>IF(OR(A185="",NOT(ISNUMBER($D$6))),"",D185/$D$6)</f>
        <v/>
      </c>
      <c r="F185" s="25">
        <f>IF(OR(NOT(ISNUMBER(E185)),NOT(ISNUMBER($D$5))),"",IF(AND(D185&gt;0,E185&gt;=$D$5),"Review: concentration",""))</f>
        <v/>
      </c>
      <c r="H185" s="25" t="n"/>
      <c r="I185" s="25" t="n"/>
      <c r="J185" s="25">
        <f>IF(COUNTA(H185:I185)=0,"",IF(OR(H185="",I185=""),"AIR-ID or supplier missing",IF(COUNTIFS($H$15:$H$264,H185,$I$15:$I$264,I185)&gt;1,"Duplicate row (counted once)",IF(COUNTIF('System map'!$A$4:$A$203,H185)=0,"AIR-ID not on System map",IF(COUNTIF($L$15:$L$64,I185)=0,"Supplier not listed in Table 2b","OK — verify source")))))</f>
        <v/>
      </c>
    </row>
    <row r="186">
      <c r="A186" s="27">
        <f>IF(Components!A175="","",Components!A175)</f>
        <v/>
      </c>
      <c r="B186" s="27">
        <f>IF(OR(A186="",Components!B175=""),"",Components!B175)</f>
        <v/>
      </c>
      <c r="C186" s="27">
        <f>IF(OR(A186="",Components!C175=""),"",Components!C175)</f>
        <v/>
      </c>
      <c r="D186" s="27">
        <f>IF(A186="","",COUNTIFS(Relationships!$B$4:$B$1003,"AIR",Relationships!$D$4:$D$1003,"references",Relationships!$F$4:$F$1003,A186,Relationships!$M$4:$M$1003,"Confirmed",Relationships!$N$4:$N$1003,"OK — verify source"))</f>
        <v/>
      </c>
      <c r="E186" s="49">
        <f>IF(OR(A186="",NOT(ISNUMBER($D$6))),"",D186/$D$6)</f>
        <v/>
      </c>
      <c r="F186" s="27">
        <f>IF(OR(NOT(ISNUMBER(E186)),NOT(ISNUMBER($D$5))),"",IF(AND(D186&gt;0,E186&gt;=$D$5),"Review: concentration",""))</f>
        <v/>
      </c>
      <c r="H186" s="27" t="n"/>
      <c r="I186" s="27" t="n"/>
      <c r="J186" s="27">
        <f>IF(COUNTA(H186:I186)=0,"",IF(OR(H186="",I186=""),"AIR-ID or supplier missing",IF(COUNTIFS($H$15:$H$264,H186,$I$15:$I$264,I186)&gt;1,"Duplicate row (counted once)",IF(COUNTIF('System map'!$A$4:$A$203,H186)=0,"AIR-ID not on System map",IF(COUNTIF($L$15:$L$64,I186)=0,"Supplier not listed in Table 2b","OK — verify source")))))</f>
        <v/>
      </c>
    </row>
    <row r="187">
      <c r="A187" s="25">
        <f>IF(Components!A176="","",Components!A176)</f>
        <v/>
      </c>
      <c r="B187" s="25">
        <f>IF(OR(A187="",Components!B176=""),"",Components!B176)</f>
        <v/>
      </c>
      <c r="C187" s="25">
        <f>IF(OR(A187="",Components!C176=""),"",Components!C176)</f>
        <v/>
      </c>
      <c r="D187" s="25">
        <f>IF(A187="","",COUNTIFS(Relationships!$B$4:$B$1003,"AIR",Relationships!$D$4:$D$1003,"references",Relationships!$F$4:$F$1003,A187,Relationships!$M$4:$M$1003,"Confirmed",Relationships!$N$4:$N$1003,"OK — verify source"))</f>
        <v/>
      </c>
      <c r="E187" s="48">
        <f>IF(OR(A187="",NOT(ISNUMBER($D$6))),"",D187/$D$6)</f>
        <v/>
      </c>
      <c r="F187" s="25">
        <f>IF(OR(NOT(ISNUMBER(E187)),NOT(ISNUMBER($D$5))),"",IF(AND(D187&gt;0,E187&gt;=$D$5),"Review: concentration",""))</f>
        <v/>
      </c>
      <c r="H187" s="25" t="n"/>
      <c r="I187" s="25" t="n"/>
      <c r="J187" s="25">
        <f>IF(COUNTA(H187:I187)=0,"",IF(OR(H187="",I187=""),"AIR-ID or supplier missing",IF(COUNTIFS($H$15:$H$264,H187,$I$15:$I$264,I187)&gt;1,"Duplicate row (counted once)",IF(COUNTIF('System map'!$A$4:$A$203,H187)=0,"AIR-ID not on System map",IF(COUNTIF($L$15:$L$64,I187)=0,"Supplier not listed in Table 2b","OK — verify source")))))</f>
        <v/>
      </c>
    </row>
    <row r="188">
      <c r="A188" s="27">
        <f>IF(Components!A177="","",Components!A177)</f>
        <v/>
      </c>
      <c r="B188" s="27">
        <f>IF(OR(A188="",Components!B177=""),"",Components!B177)</f>
        <v/>
      </c>
      <c r="C188" s="27">
        <f>IF(OR(A188="",Components!C177=""),"",Components!C177)</f>
        <v/>
      </c>
      <c r="D188" s="27">
        <f>IF(A188="","",COUNTIFS(Relationships!$B$4:$B$1003,"AIR",Relationships!$D$4:$D$1003,"references",Relationships!$F$4:$F$1003,A188,Relationships!$M$4:$M$1003,"Confirmed",Relationships!$N$4:$N$1003,"OK — verify source"))</f>
        <v/>
      </c>
      <c r="E188" s="49">
        <f>IF(OR(A188="",NOT(ISNUMBER($D$6))),"",D188/$D$6)</f>
        <v/>
      </c>
      <c r="F188" s="27">
        <f>IF(OR(NOT(ISNUMBER(E188)),NOT(ISNUMBER($D$5))),"",IF(AND(D188&gt;0,E188&gt;=$D$5),"Review: concentration",""))</f>
        <v/>
      </c>
      <c r="H188" s="27" t="n"/>
      <c r="I188" s="27" t="n"/>
      <c r="J188" s="27">
        <f>IF(COUNTA(H188:I188)=0,"",IF(OR(H188="",I188=""),"AIR-ID or supplier missing",IF(COUNTIFS($H$15:$H$264,H188,$I$15:$I$264,I188)&gt;1,"Duplicate row (counted once)",IF(COUNTIF('System map'!$A$4:$A$203,H188)=0,"AIR-ID not on System map",IF(COUNTIF($L$15:$L$64,I188)=0,"Supplier not listed in Table 2b","OK — verify source")))))</f>
        <v/>
      </c>
    </row>
    <row r="189">
      <c r="A189" s="25">
        <f>IF(Components!A178="","",Components!A178)</f>
        <v/>
      </c>
      <c r="B189" s="25">
        <f>IF(OR(A189="",Components!B178=""),"",Components!B178)</f>
        <v/>
      </c>
      <c r="C189" s="25">
        <f>IF(OR(A189="",Components!C178=""),"",Components!C178)</f>
        <v/>
      </c>
      <c r="D189" s="25">
        <f>IF(A189="","",COUNTIFS(Relationships!$B$4:$B$1003,"AIR",Relationships!$D$4:$D$1003,"references",Relationships!$F$4:$F$1003,A189,Relationships!$M$4:$M$1003,"Confirmed",Relationships!$N$4:$N$1003,"OK — verify source"))</f>
        <v/>
      </c>
      <c r="E189" s="48">
        <f>IF(OR(A189="",NOT(ISNUMBER($D$6))),"",D189/$D$6)</f>
        <v/>
      </c>
      <c r="F189" s="25">
        <f>IF(OR(NOT(ISNUMBER(E189)),NOT(ISNUMBER($D$5))),"",IF(AND(D189&gt;0,E189&gt;=$D$5),"Review: concentration",""))</f>
        <v/>
      </c>
      <c r="H189" s="25" t="n"/>
      <c r="I189" s="25" t="n"/>
      <c r="J189" s="25">
        <f>IF(COUNTA(H189:I189)=0,"",IF(OR(H189="",I189=""),"AIR-ID or supplier missing",IF(COUNTIFS($H$15:$H$264,H189,$I$15:$I$264,I189)&gt;1,"Duplicate row (counted once)",IF(COUNTIF('System map'!$A$4:$A$203,H189)=0,"AIR-ID not on System map",IF(COUNTIF($L$15:$L$64,I189)=0,"Supplier not listed in Table 2b","OK — verify source")))))</f>
        <v/>
      </c>
    </row>
    <row r="190">
      <c r="A190" s="27">
        <f>IF(Components!A179="","",Components!A179)</f>
        <v/>
      </c>
      <c r="B190" s="27">
        <f>IF(OR(A190="",Components!B179=""),"",Components!B179)</f>
        <v/>
      </c>
      <c r="C190" s="27">
        <f>IF(OR(A190="",Components!C179=""),"",Components!C179)</f>
        <v/>
      </c>
      <c r="D190" s="27">
        <f>IF(A190="","",COUNTIFS(Relationships!$B$4:$B$1003,"AIR",Relationships!$D$4:$D$1003,"references",Relationships!$F$4:$F$1003,A190,Relationships!$M$4:$M$1003,"Confirmed",Relationships!$N$4:$N$1003,"OK — verify source"))</f>
        <v/>
      </c>
      <c r="E190" s="49">
        <f>IF(OR(A190="",NOT(ISNUMBER($D$6))),"",D190/$D$6)</f>
        <v/>
      </c>
      <c r="F190" s="27">
        <f>IF(OR(NOT(ISNUMBER(E190)),NOT(ISNUMBER($D$5))),"",IF(AND(D190&gt;0,E190&gt;=$D$5),"Review: concentration",""))</f>
        <v/>
      </c>
      <c r="H190" s="27" t="n"/>
      <c r="I190" s="27" t="n"/>
      <c r="J190" s="27">
        <f>IF(COUNTA(H190:I190)=0,"",IF(OR(H190="",I190=""),"AIR-ID or supplier missing",IF(COUNTIFS($H$15:$H$264,H190,$I$15:$I$264,I190)&gt;1,"Duplicate row (counted once)",IF(COUNTIF('System map'!$A$4:$A$203,H190)=0,"AIR-ID not on System map",IF(COUNTIF($L$15:$L$64,I190)=0,"Supplier not listed in Table 2b","OK — verify source")))))</f>
        <v/>
      </c>
    </row>
    <row r="191">
      <c r="A191" s="25">
        <f>IF(Components!A180="","",Components!A180)</f>
        <v/>
      </c>
      <c r="B191" s="25">
        <f>IF(OR(A191="",Components!B180=""),"",Components!B180)</f>
        <v/>
      </c>
      <c r="C191" s="25">
        <f>IF(OR(A191="",Components!C180=""),"",Components!C180)</f>
        <v/>
      </c>
      <c r="D191" s="25">
        <f>IF(A191="","",COUNTIFS(Relationships!$B$4:$B$1003,"AIR",Relationships!$D$4:$D$1003,"references",Relationships!$F$4:$F$1003,A191,Relationships!$M$4:$M$1003,"Confirmed",Relationships!$N$4:$N$1003,"OK — verify source"))</f>
        <v/>
      </c>
      <c r="E191" s="48">
        <f>IF(OR(A191="",NOT(ISNUMBER($D$6))),"",D191/$D$6)</f>
        <v/>
      </c>
      <c r="F191" s="25">
        <f>IF(OR(NOT(ISNUMBER(E191)),NOT(ISNUMBER($D$5))),"",IF(AND(D191&gt;0,E191&gt;=$D$5),"Review: concentration",""))</f>
        <v/>
      </c>
      <c r="H191" s="25" t="n"/>
      <c r="I191" s="25" t="n"/>
      <c r="J191" s="25">
        <f>IF(COUNTA(H191:I191)=0,"",IF(OR(H191="",I191=""),"AIR-ID or supplier missing",IF(COUNTIFS($H$15:$H$264,H191,$I$15:$I$264,I191)&gt;1,"Duplicate row (counted once)",IF(COUNTIF('System map'!$A$4:$A$203,H191)=0,"AIR-ID not on System map",IF(COUNTIF($L$15:$L$64,I191)=0,"Supplier not listed in Table 2b","OK — verify source")))))</f>
        <v/>
      </c>
    </row>
    <row r="192">
      <c r="A192" s="27">
        <f>IF(Components!A181="","",Components!A181)</f>
        <v/>
      </c>
      <c r="B192" s="27">
        <f>IF(OR(A192="",Components!B181=""),"",Components!B181)</f>
        <v/>
      </c>
      <c r="C192" s="27">
        <f>IF(OR(A192="",Components!C181=""),"",Components!C181)</f>
        <v/>
      </c>
      <c r="D192" s="27">
        <f>IF(A192="","",COUNTIFS(Relationships!$B$4:$B$1003,"AIR",Relationships!$D$4:$D$1003,"references",Relationships!$F$4:$F$1003,A192,Relationships!$M$4:$M$1003,"Confirmed",Relationships!$N$4:$N$1003,"OK — verify source"))</f>
        <v/>
      </c>
      <c r="E192" s="49">
        <f>IF(OR(A192="",NOT(ISNUMBER($D$6))),"",D192/$D$6)</f>
        <v/>
      </c>
      <c r="F192" s="27">
        <f>IF(OR(NOT(ISNUMBER(E192)),NOT(ISNUMBER($D$5))),"",IF(AND(D192&gt;0,E192&gt;=$D$5),"Review: concentration",""))</f>
        <v/>
      </c>
      <c r="H192" s="27" t="n"/>
      <c r="I192" s="27" t="n"/>
      <c r="J192" s="27">
        <f>IF(COUNTA(H192:I192)=0,"",IF(OR(H192="",I192=""),"AIR-ID or supplier missing",IF(COUNTIFS($H$15:$H$264,H192,$I$15:$I$264,I192)&gt;1,"Duplicate row (counted once)",IF(COUNTIF('System map'!$A$4:$A$203,H192)=0,"AIR-ID not on System map",IF(COUNTIF($L$15:$L$64,I192)=0,"Supplier not listed in Table 2b","OK — verify source")))))</f>
        <v/>
      </c>
    </row>
    <row r="193">
      <c r="A193" s="25">
        <f>IF(Components!A182="","",Components!A182)</f>
        <v/>
      </c>
      <c r="B193" s="25">
        <f>IF(OR(A193="",Components!B182=""),"",Components!B182)</f>
        <v/>
      </c>
      <c r="C193" s="25">
        <f>IF(OR(A193="",Components!C182=""),"",Components!C182)</f>
        <v/>
      </c>
      <c r="D193" s="25">
        <f>IF(A193="","",COUNTIFS(Relationships!$B$4:$B$1003,"AIR",Relationships!$D$4:$D$1003,"references",Relationships!$F$4:$F$1003,A193,Relationships!$M$4:$M$1003,"Confirmed",Relationships!$N$4:$N$1003,"OK — verify source"))</f>
        <v/>
      </c>
      <c r="E193" s="48">
        <f>IF(OR(A193="",NOT(ISNUMBER($D$6))),"",D193/$D$6)</f>
        <v/>
      </c>
      <c r="F193" s="25">
        <f>IF(OR(NOT(ISNUMBER(E193)),NOT(ISNUMBER($D$5))),"",IF(AND(D193&gt;0,E193&gt;=$D$5),"Review: concentration",""))</f>
        <v/>
      </c>
      <c r="H193" s="25" t="n"/>
      <c r="I193" s="25" t="n"/>
      <c r="J193" s="25">
        <f>IF(COUNTA(H193:I193)=0,"",IF(OR(H193="",I193=""),"AIR-ID or supplier missing",IF(COUNTIFS($H$15:$H$264,H193,$I$15:$I$264,I193)&gt;1,"Duplicate row (counted once)",IF(COUNTIF('System map'!$A$4:$A$203,H193)=0,"AIR-ID not on System map",IF(COUNTIF($L$15:$L$64,I193)=0,"Supplier not listed in Table 2b","OK — verify source")))))</f>
        <v/>
      </c>
    </row>
    <row r="194">
      <c r="A194" s="27">
        <f>IF(Components!A183="","",Components!A183)</f>
        <v/>
      </c>
      <c r="B194" s="27">
        <f>IF(OR(A194="",Components!B183=""),"",Components!B183)</f>
        <v/>
      </c>
      <c r="C194" s="27">
        <f>IF(OR(A194="",Components!C183=""),"",Components!C183)</f>
        <v/>
      </c>
      <c r="D194" s="27">
        <f>IF(A194="","",COUNTIFS(Relationships!$B$4:$B$1003,"AIR",Relationships!$D$4:$D$1003,"references",Relationships!$F$4:$F$1003,A194,Relationships!$M$4:$M$1003,"Confirmed",Relationships!$N$4:$N$1003,"OK — verify source"))</f>
        <v/>
      </c>
      <c r="E194" s="49">
        <f>IF(OR(A194="",NOT(ISNUMBER($D$6))),"",D194/$D$6)</f>
        <v/>
      </c>
      <c r="F194" s="27">
        <f>IF(OR(NOT(ISNUMBER(E194)),NOT(ISNUMBER($D$5))),"",IF(AND(D194&gt;0,E194&gt;=$D$5),"Review: concentration",""))</f>
        <v/>
      </c>
      <c r="H194" s="27" t="n"/>
      <c r="I194" s="27" t="n"/>
      <c r="J194" s="27">
        <f>IF(COUNTA(H194:I194)=0,"",IF(OR(H194="",I194=""),"AIR-ID or supplier missing",IF(COUNTIFS($H$15:$H$264,H194,$I$15:$I$264,I194)&gt;1,"Duplicate row (counted once)",IF(COUNTIF('System map'!$A$4:$A$203,H194)=0,"AIR-ID not on System map",IF(COUNTIF($L$15:$L$64,I194)=0,"Supplier not listed in Table 2b","OK — verify source")))))</f>
        <v/>
      </c>
    </row>
    <row r="195">
      <c r="A195" s="25">
        <f>IF(Components!A184="","",Components!A184)</f>
        <v/>
      </c>
      <c r="B195" s="25">
        <f>IF(OR(A195="",Components!B184=""),"",Components!B184)</f>
        <v/>
      </c>
      <c r="C195" s="25">
        <f>IF(OR(A195="",Components!C184=""),"",Components!C184)</f>
        <v/>
      </c>
      <c r="D195" s="25">
        <f>IF(A195="","",COUNTIFS(Relationships!$B$4:$B$1003,"AIR",Relationships!$D$4:$D$1003,"references",Relationships!$F$4:$F$1003,A195,Relationships!$M$4:$M$1003,"Confirmed",Relationships!$N$4:$N$1003,"OK — verify source"))</f>
        <v/>
      </c>
      <c r="E195" s="48">
        <f>IF(OR(A195="",NOT(ISNUMBER($D$6))),"",D195/$D$6)</f>
        <v/>
      </c>
      <c r="F195" s="25">
        <f>IF(OR(NOT(ISNUMBER(E195)),NOT(ISNUMBER($D$5))),"",IF(AND(D195&gt;0,E195&gt;=$D$5),"Review: concentration",""))</f>
        <v/>
      </c>
      <c r="H195" s="25" t="n"/>
      <c r="I195" s="25" t="n"/>
      <c r="J195" s="25">
        <f>IF(COUNTA(H195:I195)=0,"",IF(OR(H195="",I195=""),"AIR-ID or supplier missing",IF(COUNTIFS($H$15:$H$264,H195,$I$15:$I$264,I195)&gt;1,"Duplicate row (counted once)",IF(COUNTIF('System map'!$A$4:$A$203,H195)=0,"AIR-ID not on System map",IF(COUNTIF($L$15:$L$64,I195)=0,"Supplier not listed in Table 2b","OK — verify source")))))</f>
        <v/>
      </c>
    </row>
    <row r="196">
      <c r="A196" s="27">
        <f>IF(Components!A185="","",Components!A185)</f>
        <v/>
      </c>
      <c r="B196" s="27">
        <f>IF(OR(A196="",Components!B185=""),"",Components!B185)</f>
        <v/>
      </c>
      <c r="C196" s="27">
        <f>IF(OR(A196="",Components!C185=""),"",Components!C185)</f>
        <v/>
      </c>
      <c r="D196" s="27">
        <f>IF(A196="","",COUNTIFS(Relationships!$B$4:$B$1003,"AIR",Relationships!$D$4:$D$1003,"references",Relationships!$F$4:$F$1003,A196,Relationships!$M$4:$M$1003,"Confirmed",Relationships!$N$4:$N$1003,"OK — verify source"))</f>
        <v/>
      </c>
      <c r="E196" s="49">
        <f>IF(OR(A196="",NOT(ISNUMBER($D$6))),"",D196/$D$6)</f>
        <v/>
      </c>
      <c r="F196" s="27">
        <f>IF(OR(NOT(ISNUMBER(E196)),NOT(ISNUMBER($D$5))),"",IF(AND(D196&gt;0,E196&gt;=$D$5),"Review: concentration",""))</f>
        <v/>
      </c>
      <c r="H196" s="27" t="n"/>
      <c r="I196" s="27" t="n"/>
      <c r="J196" s="27">
        <f>IF(COUNTA(H196:I196)=0,"",IF(OR(H196="",I196=""),"AIR-ID or supplier missing",IF(COUNTIFS($H$15:$H$264,H196,$I$15:$I$264,I196)&gt;1,"Duplicate row (counted once)",IF(COUNTIF('System map'!$A$4:$A$203,H196)=0,"AIR-ID not on System map",IF(COUNTIF($L$15:$L$64,I196)=0,"Supplier not listed in Table 2b","OK — verify source")))))</f>
        <v/>
      </c>
    </row>
    <row r="197">
      <c r="A197" s="25">
        <f>IF(Components!A186="","",Components!A186)</f>
        <v/>
      </c>
      <c r="B197" s="25">
        <f>IF(OR(A197="",Components!B186=""),"",Components!B186)</f>
        <v/>
      </c>
      <c r="C197" s="25">
        <f>IF(OR(A197="",Components!C186=""),"",Components!C186)</f>
        <v/>
      </c>
      <c r="D197" s="25">
        <f>IF(A197="","",COUNTIFS(Relationships!$B$4:$B$1003,"AIR",Relationships!$D$4:$D$1003,"references",Relationships!$F$4:$F$1003,A197,Relationships!$M$4:$M$1003,"Confirmed",Relationships!$N$4:$N$1003,"OK — verify source"))</f>
        <v/>
      </c>
      <c r="E197" s="48">
        <f>IF(OR(A197="",NOT(ISNUMBER($D$6))),"",D197/$D$6)</f>
        <v/>
      </c>
      <c r="F197" s="25">
        <f>IF(OR(NOT(ISNUMBER(E197)),NOT(ISNUMBER($D$5))),"",IF(AND(D197&gt;0,E197&gt;=$D$5),"Review: concentration",""))</f>
        <v/>
      </c>
      <c r="H197" s="25" t="n"/>
      <c r="I197" s="25" t="n"/>
      <c r="J197" s="25">
        <f>IF(COUNTA(H197:I197)=0,"",IF(OR(H197="",I197=""),"AIR-ID or supplier missing",IF(COUNTIFS($H$15:$H$264,H197,$I$15:$I$264,I197)&gt;1,"Duplicate row (counted once)",IF(COUNTIF('System map'!$A$4:$A$203,H197)=0,"AIR-ID not on System map",IF(COUNTIF($L$15:$L$64,I197)=0,"Supplier not listed in Table 2b","OK — verify source")))))</f>
        <v/>
      </c>
    </row>
    <row r="198">
      <c r="A198" s="27">
        <f>IF(Components!A187="","",Components!A187)</f>
        <v/>
      </c>
      <c r="B198" s="27">
        <f>IF(OR(A198="",Components!B187=""),"",Components!B187)</f>
        <v/>
      </c>
      <c r="C198" s="27">
        <f>IF(OR(A198="",Components!C187=""),"",Components!C187)</f>
        <v/>
      </c>
      <c r="D198" s="27">
        <f>IF(A198="","",COUNTIFS(Relationships!$B$4:$B$1003,"AIR",Relationships!$D$4:$D$1003,"references",Relationships!$F$4:$F$1003,A198,Relationships!$M$4:$M$1003,"Confirmed",Relationships!$N$4:$N$1003,"OK — verify source"))</f>
        <v/>
      </c>
      <c r="E198" s="49">
        <f>IF(OR(A198="",NOT(ISNUMBER($D$6))),"",D198/$D$6)</f>
        <v/>
      </c>
      <c r="F198" s="27">
        <f>IF(OR(NOT(ISNUMBER(E198)),NOT(ISNUMBER($D$5))),"",IF(AND(D198&gt;0,E198&gt;=$D$5),"Review: concentration",""))</f>
        <v/>
      </c>
      <c r="H198" s="27" t="n"/>
      <c r="I198" s="27" t="n"/>
      <c r="J198" s="27">
        <f>IF(COUNTA(H198:I198)=0,"",IF(OR(H198="",I198=""),"AIR-ID or supplier missing",IF(COUNTIFS($H$15:$H$264,H198,$I$15:$I$264,I198)&gt;1,"Duplicate row (counted once)",IF(COUNTIF('System map'!$A$4:$A$203,H198)=0,"AIR-ID not on System map",IF(COUNTIF($L$15:$L$64,I198)=0,"Supplier not listed in Table 2b","OK — verify source")))))</f>
        <v/>
      </c>
    </row>
    <row r="199">
      <c r="A199" s="25">
        <f>IF(Components!A188="","",Components!A188)</f>
        <v/>
      </c>
      <c r="B199" s="25">
        <f>IF(OR(A199="",Components!B188=""),"",Components!B188)</f>
        <v/>
      </c>
      <c r="C199" s="25">
        <f>IF(OR(A199="",Components!C188=""),"",Components!C188)</f>
        <v/>
      </c>
      <c r="D199" s="25">
        <f>IF(A199="","",COUNTIFS(Relationships!$B$4:$B$1003,"AIR",Relationships!$D$4:$D$1003,"references",Relationships!$F$4:$F$1003,A199,Relationships!$M$4:$M$1003,"Confirmed",Relationships!$N$4:$N$1003,"OK — verify source"))</f>
        <v/>
      </c>
      <c r="E199" s="48">
        <f>IF(OR(A199="",NOT(ISNUMBER($D$6))),"",D199/$D$6)</f>
        <v/>
      </c>
      <c r="F199" s="25">
        <f>IF(OR(NOT(ISNUMBER(E199)),NOT(ISNUMBER($D$5))),"",IF(AND(D199&gt;0,E199&gt;=$D$5),"Review: concentration",""))</f>
        <v/>
      </c>
      <c r="H199" s="25" t="n"/>
      <c r="I199" s="25" t="n"/>
      <c r="J199" s="25">
        <f>IF(COUNTA(H199:I199)=0,"",IF(OR(H199="",I199=""),"AIR-ID or supplier missing",IF(COUNTIFS($H$15:$H$264,H199,$I$15:$I$264,I199)&gt;1,"Duplicate row (counted once)",IF(COUNTIF('System map'!$A$4:$A$203,H199)=0,"AIR-ID not on System map",IF(COUNTIF($L$15:$L$64,I199)=0,"Supplier not listed in Table 2b","OK — verify source")))))</f>
        <v/>
      </c>
    </row>
    <row r="200">
      <c r="A200" s="27">
        <f>IF(Components!A189="","",Components!A189)</f>
        <v/>
      </c>
      <c r="B200" s="27">
        <f>IF(OR(A200="",Components!B189=""),"",Components!B189)</f>
        <v/>
      </c>
      <c r="C200" s="27">
        <f>IF(OR(A200="",Components!C189=""),"",Components!C189)</f>
        <v/>
      </c>
      <c r="D200" s="27">
        <f>IF(A200="","",COUNTIFS(Relationships!$B$4:$B$1003,"AIR",Relationships!$D$4:$D$1003,"references",Relationships!$F$4:$F$1003,A200,Relationships!$M$4:$M$1003,"Confirmed",Relationships!$N$4:$N$1003,"OK — verify source"))</f>
        <v/>
      </c>
      <c r="E200" s="49">
        <f>IF(OR(A200="",NOT(ISNUMBER($D$6))),"",D200/$D$6)</f>
        <v/>
      </c>
      <c r="F200" s="27">
        <f>IF(OR(NOT(ISNUMBER(E200)),NOT(ISNUMBER($D$5))),"",IF(AND(D200&gt;0,E200&gt;=$D$5),"Review: concentration",""))</f>
        <v/>
      </c>
      <c r="H200" s="27" t="n"/>
      <c r="I200" s="27" t="n"/>
      <c r="J200" s="27">
        <f>IF(COUNTA(H200:I200)=0,"",IF(OR(H200="",I200=""),"AIR-ID or supplier missing",IF(COUNTIFS($H$15:$H$264,H200,$I$15:$I$264,I200)&gt;1,"Duplicate row (counted once)",IF(COUNTIF('System map'!$A$4:$A$203,H200)=0,"AIR-ID not on System map",IF(COUNTIF($L$15:$L$64,I200)=0,"Supplier not listed in Table 2b","OK — verify source")))))</f>
        <v/>
      </c>
    </row>
    <row r="201">
      <c r="A201" s="25">
        <f>IF(Components!A190="","",Components!A190)</f>
        <v/>
      </c>
      <c r="B201" s="25">
        <f>IF(OR(A201="",Components!B190=""),"",Components!B190)</f>
        <v/>
      </c>
      <c r="C201" s="25">
        <f>IF(OR(A201="",Components!C190=""),"",Components!C190)</f>
        <v/>
      </c>
      <c r="D201" s="25">
        <f>IF(A201="","",COUNTIFS(Relationships!$B$4:$B$1003,"AIR",Relationships!$D$4:$D$1003,"references",Relationships!$F$4:$F$1003,A201,Relationships!$M$4:$M$1003,"Confirmed",Relationships!$N$4:$N$1003,"OK — verify source"))</f>
        <v/>
      </c>
      <c r="E201" s="48">
        <f>IF(OR(A201="",NOT(ISNUMBER($D$6))),"",D201/$D$6)</f>
        <v/>
      </c>
      <c r="F201" s="25">
        <f>IF(OR(NOT(ISNUMBER(E201)),NOT(ISNUMBER($D$5))),"",IF(AND(D201&gt;0,E201&gt;=$D$5),"Review: concentration",""))</f>
        <v/>
      </c>
      <c r="H201" s="25" t="n"/>
      <c r="I201" s="25" t="n"/>
      <c r="J201" s="25">
        <f>IF(COUNTA(H201:I201)=0,"",IF(OR(H201="",I201=""),"AIR-ID or supplier missing",IF(COUNTIFS($H$15:$H$264,H201,$I$15:$I$264,I201)&gt;1,"Duplicate row (counted once)",IF(COUNTIF('System map'!$A$4:$A$203,H201)=0,"AIR-ID not on System map",IF(COUNTIF($L$15:$L$64,I201)=0,"Supplier not listed in Table 2b","OK — verify source")))))</f>
        <v/>
      </c>
    </row>
    <row r="202">
      <c r="A202" s="27">
        <f>IF(Components!A191="","",Components!A191)</f>
        <v/>
      </c>
      <c r="B202" s="27">
        <f>IF(OR(A202="",Components!B191=""),"",Components!B191)</f>
        <v/>
      </c>
      <c r="C202" s="27">
        <f>IF(OR(A202="",Components!C191=""),"",Components!C191)</f>
        <v/>
      </c>
      <c r="D202" s="27">
        <f>IF(A202="","",COUNTIFS(Relationships!$B$4:$B$1003,"AIR",Relationships!$D$4:$D$1003,"references",Relationships!$F$4:$F$1003,A202,Relationships!$M$4:$M$1003,"Confirmed",Relationships!$N$4:$N$1003,"OK — verify source"))</f>
        <v/>
      </c>
      <c r="E202" s="49">
        <f>IF(OR(A202="",NOT(ISNUMBER($D$6))),"",D202/$D$6)</f>
        <v/>
      </c>
      <c r="F202" s="27">
        <f>IF(OR(NOT(ISNUMBER(E202)),NOT(ISNUMBER($D$5))),"",IF(AND(D202&gt;0,E202&gt;=$D$5),"Review: concentration",""))</f>
        <v/>
      </c>
      <c r="H202" s="27" t="n"/>
      <c r="I202" s="27" t="n"/>
      <c r="J202" s="27">
        <f>IF(COUNTA(H202:I202)=0,"",IF(OR(H202="",I202=""),"AIR-ID or supplier missing",IF(COUNTIFS($H$15:$H$264,H202,$I$15:$I$264,I202)&gt;1,"Duplicate row (counted once)",IF(COUNTIF('System map'!$A$4:$A$203,H202)=0,"AIR-ID not on System map",IF(COUNTIF($L$15:$L$64,I202)=0,"Supplier not listed in Table 2b","OK — verify source")))))</f>
        <v/>
      </c>
    </row>
    <row r="203">
      <c r="A203" s="25">
        <f>IF(Components!A192="","",Components!A192)</f>
        <v/>
      </c>
      <c r="B203" s="25">
        <f>IF(OR(A203="",Components!B192=""),"",Components!B192)</f>
        <v/>
      </c>
      <c r="C203" s="25">
        <f>IF(OR(A203="",Components!C192=""),"",Components!C192)</f>
        <v/>
      </c>
      <c r="D203" s="25">
        <f>IF(A203="","",COUNTIFS(Relationships!$B$4:$B$1003,"AIR",Relationships!$D$4:$D$1003,"references",Relationships!$F$4:$F$1003,A203,Relationships!$M$4:$M$1003,"Confirmed",Relationships!$N$4:$N$1003,"OK — verify source"))</f>
        <v/>
      </c>
      <c r="E203" s="48">
        <f>IF(OR(A203="",NOT(ISNUMBER($D$6))),"",D203/$D$6)</f>
        <v/>
      </c>
      <c r="F203" s="25">
        <f>IF(OR(NOT(ISNUMBER(E203)),NOT(ISNUMBER($D$5))),"",IF(AND(D203&gt;0,E203&gt;=$D$5),"Review: concentration",""))</f>
        <v/>
      </c>
      <c r="H203" s="25" t="n"/>
      <c r="I203" s="25" t="n"/>
      <c r="J203" s="25">
        <f>IF(COUNTA(H203:I203)=0,"",IF(OR(H203="",I203=""),"AIR-ID or supplier missing",IF(COUNTIFS($H$15:$H$264,H203,$I$15:$I$264,I203)&gt;1,"Duplicate row (counted once)",IF(COUNTIF('System map'!$A$4:$A$203,H203)=0,"AIR-ID not on System map",IF(COUNTIF($L$15:$L$64,I203)=0,"Supplier not listed in Table 2b","OK — verify source")))))</f>
        <v/>
      </c>
    </row>
    <row r="204">
      <c r="A204" s="27">
        <f>IF(Components!A193="","",Components!A193)</f>
        <v/>
      </c>
      <c r="B204" s="27">
        <f>IF(OR(A204="",Components!B193=""),"",Components!B193)</f>
        <v/>
      </c>
      <c r="C204" s="27">
        <f>IF(OR(A204="",Components!C193=""),"",Components!C193)</f>
        <v/>
      </c>
      <c r="D204" s="27">
        <f>IF(A204="","",COUNTIFS(Relationships!$B$4:$B$1003,"AIR",Relationships!$D$4:$D$1003,"references",Relationships!$F$4:$F$1003,A204,Relationships!$M$4:$M$1003,"Confirmed",Relationships!$N$4:$N$1003,"OK — verify source"))</f>
        <v/>
      </c>
      <c r="E204" s="49">
        <f>IF(OR(A204="",NOT(ISNUMBER($D$6))),"",D204/$D$6)</f>
        <v/>
      </c>
      <c r="F204" s="27">
        <f>IF(OR(NOT(ISNUMBER(E204)),NOT(ISNUMBER($D$5))),"",IF(AND(D204&gt;0,E204&gt;=$D$5),"Review: concentration",""))</f>
        <v/>
      </c>
      <c r="H204" s="27" t="n"/>
      <c r="I204" s="27" t="n"/>
      <c r="J204" s="27">
        <f>IF(COUNTA(H204:I204)=0,"",IF(OR(H204="",I204=""),"AIR-ID or supplier missing",IF(COUNTIFS($H$15:$H$264,H204,$I$15:$I$264,I204)&gt;1,"Duplicate row (counted once)",IF(COUNTIF('System map'!$A$4:$A$203,H204)=0,"AIR-ID not on System map",IF(COUNTIF($L$15:$L$64,I204)=0,"Supplier not listed in Table 2b","OK — verify source")))))</f>
        <v/>
      </c>
    </row>
    <row r="205">
      <c r="A205" s="25">
        <f>IF(Components!A194="","",Components!A194)</f>
        <v/>
      </c>
      <c r="B205" s="25">
        <f>IF(OR(A205="",Components!B194=""),"",Components!B194)</f>
        <v/>
      </c>
      <c r="C205" s="25">
        <f>IF(OR(A205="",Components!C194=""),"",Components!C194)</f>
        <v/>
      </c>
      <c r="D205" s="25">
        <f>IF(A205="","",COUNTIFS(Relationships!$B$4:$B$1003,"AIR",Relationships!$D$4:$D$1003,"references",Relationships!$F$4:$F$1003,A205,Relationships!$M$4:$M$1003,"Confirmed",Relationships!$N$4:$N$1003,"OK — verify source"))</f>
        <v/>
      </c>
      <c r="E205" s="48">
        <f>IF(OR(A205="",NOT(ISNUMBER($D$6))),"",D205/$D$6)</f>
        <v/>
      </c>
      <c r="F205" s="25">
        <f>IF(OR(NOT(ISNUMBER(E205)),NOT(ISNUMBER($D$5))),"",IF(AND(D205&gt;0,E205&gt;=$D$5),"Review: concentration",""))</f>
        <v/>
      </c>
      <c r="H205" s="25" t="n"/>
      <c r="I205" s="25" t="n"/>
      <c r="J205" s="25">
        <f>IF(COUNTA(H205:I205)=0,"",IF(OR(H205="",I205=""),"AIR-ID or supplier missing",IF(COUNTIFS($H$15:$H$264,H205,$I$15:$I$264,I205)&gt;1,"Duplicate row (counted once)",IF(COUNTIF('System map'!$A$4:$A$203,H205)=0,"AIR-ID not on System map",IF(COUNTIF($L$15:$L$64,I205)=0,"Supplier not listed in Table 2b","OK — verify source")))))</f>
        <v/>
      </c>
    </row>
    <row r="206">
      <c r="A206" s="27">
        <f>IF(Components!A195="","",Components!A195)</f>
        <v/>
      </c>
      <c r="B206" s="27">
        <f>IF(OR(A206="",Components!B195=""),"",Components!B195)</f>
        <v/>
      </c>
      <c r="C206" s="27">
        <f>IF(OR(A206="",Components!C195=""),"",Components!C195)</f>
        <v/>
      </c>
      <c r="D206" s="27">
        <f>IF(A206="","",COUNTIFS(Relationships!$B$4:$B$1003,"AIR",Relationships!$D$4:$D$1003,"references",Relationships!$F$4:$F$1003,A206,Relationships!$M$4:$M$1003,"Confirmed",Relationships!$N$4:$N$1003,"OK — verify source"))</f>
        <v/>
      </c>
      <c r="E206" s="49">
        <f>IF(OR(A206="",NOT(ISNUMBER($D$6))),"",D206/$D$6)</f>
        <v/>
      </c>
      <c r="F206" s="27">
        <f>IF(OR(NOT(ISNUMBER(E206)),NOT(ISNUMBER($D$5))),"",IF(AND(D206&gt;0,E206&gt;=$D$5),"Review: concentration",""))</f>
        <v/>
      </c>
      <c r="H206" s="27" t="n"/>
      <c r="I206" s="27" t="n"/>
      <c r="J206" s="27">
        <f>IF(COUNTA(H206:I206)=0,"",IF(OR(H206="",I206=""),"AIR-ID or supplier missing",IF(COUNTIFS($H$15:$H$264,H206,$I$15:$I$264,I206)&gt;1,"Duplicate row (counted once)",IF(COUNTIF('System map'!$A$4:$A$203,H206)=0,"AIR-ID not on System map",IF(COUNTIF($L$15:$L$64,I206)=0,"Supplier not listed in Table 2b","OK — verify source")))))</f>
        <v/>
      </c>
    </row>
    <row r="207">
      <c r="A207" s="25">
        <f>IF(Components!A196="","",Components!A196)</f>
        <v/>
      </c>
      <c r="B207" s="25">
        <f>IF(OR(A207="",Components!B196=""),"",Components!B196)</f>
        <v/>
      </c>
      <c r="C207" s="25">
        <f>IF(OR(A207="",Components!C196=""),"",Components!C196)</f>
        <v/>
      </c>
      <c r="D207" s="25">
        <f>IF(A207="","",COUNTIFS(Relationships!$B$4:$B$1003,"AIR",Relationships!$D$4:$D$1003,"references",Relationships!$F$4:$F$1003,A207,Relationships!$M$4:$M$1003,"Confirmed",Relationships!$N$4:$N$1003,"OK — verify source"))</f>
        <v/>
      </c>
      <c r="E207" s="48">
        <f>IF(OR(A207="",NOT(ISNUMBER($D$6))),"",D207/$D$6)</f>
        <v/>
      </c>
      <c r="F207" s="25">
        <f>IF(OR(NOT(ISNUMBER(E207)),NOT(ISNUMBER($D$5))),"",IF(AND(D207&gt;0,E207&gt;=$D$5),"Review: concentration",""))</f>
        <v/>
      </c>
      <c r="H207" s="25" t="n"/>
      <c r="I207" s="25" t="n"/>
      <c r="J207" s="25">
        <f>IF(COUNTA(H207:I207)=0,"",IF(OR(H207="",I207=""),"AIR-ID or supplier missing",IF(COUNTIFS($H$15:$H$264,H207,$I$15:$I$264,I207)&gt;1,"Duplicate row (counted once)",IF(COUNTIF('System map'!$A$4:$A$203,H207)=0,"AIR-ID not on System map",IF(COUNTIF($L$15:$L$64,I207)=0,"Supplier not listed in Table 2b","OK — verify source")))))</f>
        <v/>
      </c>
    </row>
    <row r="208">
      <c r="A208" s="27">
        <f>IF(Components!A197="","",Components!A197)</f>
        <v/>
      </c>
      <c r="B208" s="27">
        <f>IF(OR(A208="",Components!B197=""),"",Components!B197)</f>
        <v/>
      </c>
      <c r="C208" s="27">
        <f>IF(OR(A208="",Components!C197=""),"",Components!C197)</f>
        <v/>
      </c>
      <c r="D208" s="27">
        <f>IF(A208="","",COUNTIFS(Relationships!$B$4:$B$1003,"AIR",Relationships!$D$4:$D$1003,"references",Relationships!$F$4:$F$1003,A208,Relationships!$M$4:$M$1003,"Confirmed",Relationships!$N$4:$N$1003,"OK — verify source"))</f>
        <v/>
      </c>
      <c r="E208" s="49">
        <f>IF(OR(A208="",NOT(ISNUMBER($D$6))),"",D208/$D$6)</f>
        <v/>
      </c>
      <c r="F208" s="27">
        <f>IF(OR(NOT(ISNUMBER(E208)),NOT(ISNUMBER($D$5))),"",IF(AND(D208&gt;0,E208&gt;=$D$5),"Review: concentration",""))</f>
        <v/>
      </c>
      <c r="H208" s="27" t="n"/>
      <c r="I208" s="27" t="n"/>
      <c r="J208" s="27">
        <f>IF(COUNTA(H208:I208)=0,"",IF(OR(H208="",I208=""),"AIR-ID or supplier missing",IF(COUNTIFS($H$15:$H$264,H208,$I$15:$I$264,I208)&gt;1,"Duplicate row (counted once)",IF(COUNTIF('System map'!$A$4:$A$203,H208)=0,"AIR-ID not on System map",IF(COUNTIF($L$15:$L$64,I208)=0,"Supplier not listed in Table 2b","OK — verify source")))))</f>
        <v/>
      </c>
    </row>
    <row r="209">
      <c r="A209" s="25">
        <f>IF(Components!A198="","",Components!A198)</f>
        <v/>
      </c>
      <c r="B209" s="25">
        <f>IF(OR(A209="",Components!B198=""),"",Components!B198)</f>
        <v/>
      </c>
      <c r="C209" s="25">
        <f>IF(OR(A209="",Components!C198=""),"",Components!C198)</f>
        <v/>
      </c>
      <c r="D209" s="25">
        <f>IF(A209="","",COUNTIFS(Relationships!$B$4:$B$1003,"AIR",Relationships!$D$4:$D$1003,"references",Relationships!$F$4:$F$1003,A209,Relationships!$M$4:$M$1003,"Confirmed",Relationships!$N$4:$N$1003,"OK — verify source"))</f>
        <v/>
      </c>
      <c r="E209" s="48">
        <f>IF(OR(A209="",NOT(ISNUMBER($D$6))),"",D209/$D$6)</f>
        <v/>
      </c>
      <c r="F209" s="25">
        <f>IF(OR(NOT(ISNUMBER(E209)),NOT(ISNUMBER($D$5))),"",IF(AND(D209&gt;0,E209&gt;=$D$5),"Review: concentration",""))</f>
        <v/>
      </c>
      <c r="H209" s="25" t="n"/>
      <c r="I209" s="25" t="n"/>
      <c r="J209" s="25">
        <f>IF(COUNTA(H209:I209)=0,"",IF(OR(H209="",I209=""),"AIR-ID or supplier missing",IF(COUNTIFS($H$15:$H$264,H209,$I$15:$I$264,I209)&gt;1,"Duplicate row (counted once)",IF(COUNTIF('System map'!$A$4:$A$203,H209)=0,"AIR-ID not on System map",IF(COUNTIF($L$15:$L$64,I209)=0,"Supplier not listed in Table 2b","OK — verify source")))))</f>
        <v/>
      </c>
    </row>
    <row r="210">
      <c r="A210" s="27">
        <f>IF(Components!A199="","",Components!A199)</f>
        <v/>
      </c>
      <c r="B210" s="27">
        <f>IF(OR(A210="",Components!B199=""),"",Components!B199)</f>
        <v/>
      </c>
      <c r="C210" s="27">
        <f>IF(OR(A210="",Components!C199=""),"",Components!C199)</f>
        <v/>
      </c>
      <c r="D210" s="27">
        <f>IF(A210="","",COUNTIFS(Relationships!$B$4:$B$1003,"AIR",Relationships!$D$4:$D$1003,"references",Relationships!$F$4:$F$1003,A210,Relationships!$M$4:$M$1003,"Confirmed",Relationships!$N$4:$N$1003,"OK — verify source"))</f>
        <v/>
      </c>
      <c r="E210" s="49">
        <f>IF(OR(A210="",NOT(ISNUMBER($D$6))),"",D210/$D$6)</f>
        <v/>
      </c>
      <c r="F210" s="27">
        <f>IF(OR(NOT(ISNUMBER(E210)),NOT(ISNUMBER($D$5))),"",IF(AND(D210&gt;0,E210&gt;=$D$5),"Review: concentration",""))</f>
        <v/>
      </c>
      <c r="H210" s="27" t="n"/>
      <c r="I210" s="27" t="n"/>
      <c r="J210" s="27">
        <f>IF(COUNTA(H210:I210)=0,"",IF(OR(H210="",I210=""),"AIR-ID or supplier missing",IF(COUNTIFS($H$15:$H$264,H210,$I$15:$I$264,I210)&gt;1,"Duplicate row (counted once)",IF(COUNTIF('System map'!$A$4:$A$203,H210)=0,"AIR-ID not on System map",IF(COUNTIF($L$15:$L$64,I210)=0,"Supplier not listed in Table 2b","OK — verify source")))))</f>
        <v/>
      </c>
    </row>
    <row r="211">
      <c r="A211" s="25">
        <f>IF(Components!A200="","",Components!A200)</f>
        <v/>
      </c>
      <c r="B211" s="25">
        <f>IF(OR(A211="",Components!B200=""),"",Components!B200)</f>
        <v/>
      </c>
      <c r="C211" s="25">
        <f>IF(OR(A211="",Components!C200=""),"",Components!C200)</f>
        <v/>
      </c>
      <c r="D211" s="25">
        <f>IF(A211="","",COUNTIFS(Relationships!$B$4:$B$1003,"AIR",Relationships!$D$4:$D$1003,"references",Relationships!$F$4:$F$1003,A211,Relationships!$M$4:$M$1003,"Confirmed",Relationships!$N$4:$N$1003,"OK — verify source"))</f>
        <v/>
      </c>
      <c r="E211" s="48">
        <f>IF(OR(A211="",NOT(ISNUMBER($D$6))),"",D211/$D$6)</f>
        <v/>
      </c>
      <c r="F211" s="25">
        <f>IF(OR(NOT(ISNUMBER(E211)),NOT(ISNUMBER($D$5))),"",IF(AND(D211&gt;0,E211&gt;=$D$5),"Review: concentration",""))</f>
        <v/>
      </c>
      <c r="H211" s="25" t="n"/>
      <c r="I211" s="25" t="n"/>
      <c r="J211" s="25">
        <f>IF(COUNTA(H211:I211)=0,"",IF(OR(H211="",I211=""),"AIR-ID or supplier missing",IF(COUNTIFS($H$15:$H$264,H211,$I$15:$I$264,I211)&gt;1,"Duplicate row (counted once)",IF(COUNTIF('System map'!$A$4:$A$203,H211)=0,"AIR-ID not on System map",IF(COUNTIF($L$15:$L$64,I211)=0,"Supplier not listed in Table 2b","OK — verify source")))))</f>
        <v/>
      </c>
    </row>
    <row r="212">
      <c r="A212" s="27">
        <f>IF(Components!A201="","",Components!A201)</f>
        <v/>
      </c>
      <c r="B212" s="27">
        <f>IF(OR(A212="",Components!B201=""),"",Components!B201)</f>
        <v/>
      </c>
      <c r="C212" s="27">
        <f>IF(OR(A212="",Components!C201=""),"",Components!C201)</f>
        <v/>
      </c>
      <c r="D212" s="27">
        <f>IF(A212="","",COUNTIFS(Relationships!$B$4:$B$1003,"AIR",Relationships!$D$4:$D$1003,"references",Relationships!$F$4:$F$1003,A212,Relationships!$M$4:$M$1003,"Confirmed",Relationships!$N$4:$N$1003,"OK — verify source"))</f>
        <v/>
      </c>
      <c r="E212" s="49">
        <f>IF(OR(A212="",NOT(ISNUMBER($D$6))),"",D212/$D$6)</f>
        <v/>
      </c>
      <c r="F212" s="27">
        <f>IF(OR(NOT(ISNUMBER(E212)),NOT(ISNUMBER($D$5))),"",IF(AND(D212&gt;0,E212&gt;=$D$5),"Review: concentration",""))</f>
        <v/>
      </c>
      <c r="H212" s="27" t="n"/>
      <c r="I212" s="27" t="n"/>
      <c r="J212" s="27">
        <f>IF(COUNTA(H212:I212)=0,"",IF(OR(H212="",I212=""),"AIR-ID or supplier missing",IF(COUNTIFS($H$15:$H$264,H212,$I$15:$I$264,I212)&gt;1,"Duplicate row (counted once)",IF(COUNTIF('System map'!$A$4:$A$203,H212)=0,"AIR-ID not on System map",IF(COUNTIF($L$15:$L$64,I212)=0,"Supplier not listed in Table 2b","OK — verify source")))))</f>
        <v/>
      </c>
    </row>
    <row r="213">
      <c r="A213" s="25">
        <f>IF(Components!A202="","",Components!A202)</f>
        <v/>
      </c>
      <c r="B213" s="25">
        <f>IF(OR(A213="",Components!B202=""),"",Components!B202)</f>
        <v/>
      </c>
      <c r="C213" s="25">
        <f>IF(OR(A213="",Components!C202=""),"",Components!C202)</f>
        <v/>
      </c>
      <c r="D213" s="25">
        <f>IF(A213="","",COUNTIFS(Relationships!$B$4:$B$1003,"AIR",Relationships!$D$4:$D$1003,"references",Relationships!$F$4:$F$1003,A213,Relationships!$M$4:$M$1003,"Confirmed",Relationships!$N$4:$N$1003,"OK — verify source"))</f>
        <v/>
      </c>
      <c r="E213" s="48">
        <f>IF(OR(A213="",NOT(ISNUMBER($D$6))),"",D213/$D$6)</f>
        <v/>
      </c>
      <c r="F213" s="25">
        <f>IF(OR(NOT(ISNUMBER(E213)),NOT(ISNUMBER($D$5))),"",IF(AND(D213&gt;0,E213&gt;=$D$5),"Review: concentration",""))</f>
        <v/>
      </c>
      <c r="H213" s="25" t="n"/>
      <c r="I213" s="25" t="n"/>
      <c r="J213" s="25">
        <f>IF(COUNTA(H213:I213)=0,"",IF(OR(H213="",I213=""),"AIR-ID or supplier missing",IF(COUNTIFS($H$15:$H$264,H213,$I$15:$I$264,I213)&gt;1,"Duplicate row (counted once)",IF(COUNTIF('System map'!$A$4:$A$203,H213)=0,"AIR-ID not on System map",IF(COUNTIF($L$15:$L$64,I213)=0,"Supplier not listed in Table 2b","OK — verify source")))))</f>
        <v/>
      </c>
    </row>
    <row r="214">
      <c r="A214" s="27">
        <f>IF(Components!A203="","",Components!A203)</f>
        <v/>
      </c>
      <c r="B214" s="27">
        <f>IF(OR(A214="",Components!B203=""),"",Components!B203)</f>
        <v/>
      </c>
      <c r="C214" s="27">
        <f>IF(OR(A214="",Components!C203=""),"",Components!C203)</f>
        <v/>
      </c>
      <c r="D214" s="27">
        <f>IF(A214="","",COUNTIFS(Relationships!$B$4:$B$1003,"AIR",Relationships!$D$4:$D$1003,"references",Relationships!$F$4:$F$1003,A214,Relationships!$M$4:$M$1003,"Confirmed",Relationships!$N$4:$N$1003,"OK — verify source"))</f>
        <v/>
      </c>
      <c r="E214" s="49">
        <f>IF(OR(A214="",NOT(ISNUMBER($D$6))),"",D214/$D$6)</f>
        <v/>
      </c>
      <c r="F214" s="27">
        <f>IF(OR(NOT(ISNUMBER(E214)),NOT(ISNUMBER($D$5))),"",IF(AND(D214&gt;0,E214&gt;=$D$5),"Review: concentration",""))</f>
        <v/>
      </c>
      <c r="H214" s="27" t="n"/>
      <c r="I214" s="27" t="n"/>
      <c r="J214" s="27">
        <f>IF(COUNTA(H214:I214)=0,"",IF(OR(H214="",I214=""),"AIR-ID or supplier missing",IF(COUNTIFS($H$15:$H$264,H214,$I$15:$I$264,I214)&gt;1,"Duplicate row (counted once)",IF(COUNTIF('System map'!$A$4:$A$203,H214)=0,"AIR-ID not on System map",IF(COUNTIF($L$15:$L$64,I214)=0,"Supplier not listed in Table 2b","OK — verify source")))))</f>
        <v/>
      </c>
    </row>
    <row r="215">
      <c r="A215" s="25">
        <f>IF(Components!A204="","",Components!A204)</f>
        <v/>
      </c>
      <c r="B215" s="25">
        <f>IF(OR(A215="",Components!B204=""),"",Components!B204)</f>
        <v/>
      </c>
      <c r="C215" s="25">
        <f>IF(OR(A215="",Components!C204=""),"",Components!C204)</f>
        <v/>
      </c>
      <c r="D215" s="25">
        <f>IF(A215="","",COUNTIFS(Relationships!$B$4:$B$1003,"AIR",Relationships!$D$4:$D$1003,"references",Relationships!$F$4:$F$1003,A215,Relationships!$M$4:$M$1003,"Confirmed",Relationships!$N$4:$N$1003,"OK — verify source"))</f>
        <v/>
      </c>
      <c r="E215" s="48">
        <f>IF(OR(A215="",NOT(ISNUMBER($D$6))),"",D215/$D$6)</f>
        <v/>
      </c>
      <c r="F215" s="25">
        <f>IF(OR(NOT(ISNUMBER(E215)),NOT(ISNUMBER($D$5))),"",IF(AND(D215&gt;0,E215&gt;=$D$5),"Review: concentration",""))</f>
        <v/>
      </c>
      <c r="H215" s="25" t="n"/>
      <c r="I215" s="25" t="n"/>
      <c r="J215" s="25">
        <f>IF(COUNTA(H215:I215)=0,"",IF(OR(H215="",I215=""),"AIR-ID or supplier missing",IF(COUNTIFS($H$15:$H$264,H215,$I$15:$I$264,I215)&gt;1,"Duplicate row (counted once)",IF(COUNTIF('System map'!$A$4:$A$203,H215)=0,"AIR-ID not on System map",IF(COUNTIF($L$15:$L$64,I215)=0,"Supplier not listed in Table 2b","OK — verify source")))))</f>
        <v/>
      </c>
    </row>
    <row r="216">
      <c r="A216" s="27">
        <f>IF(Components!A205="","",Components!A205)</f>
        <v/>
      </c>
      <c r="B216" s="27">
        <f>IF(OR(A216="",Components!B205=""),"",Components!B205)</f>
        <v/>
      </c>
      <c r="C216" s="27">
        <f>IF(OR(A216="",Components!C205=""),"",Components!C205)</f>
        <v/>
      </c>
      <c r="D216" s="27">
        <f>IF(A216="","",COUNTIFS(Relationships!$B$4:$B$1003,"AIR",Relationships!$D$4:$D$1003,"references",Relationships!$F$4:$F$1003,A216,Relationships!$M$4:$M$1003,"Confirmed",Relationships!$N$4:$N$1003,"OK — verify source"))</f>
        <v/>
      </c>
      <c r="E216" s="49">
        <f>IF(OR(A216="",NOT(ISNUMBER($D$6))),"",D216/$D$6)</f>
        <v/>
      </c>
      <c r="F216" s="27">
        <f>IF(OR(NOT(ISNUMBER(E216)),NOT(ISNUMBER($D$5))),"",IF(AND(D216&gt;0,E216&gt;=$D$5),"Review: concentration",""))</f>
        <v/>
      </c>
      <c r="H216" s="27" t="n"/>
      <c r="I216" s="27" t="n"/>
      <c r="J216" s="27">
        <f>IF(COUNTA(H216:I216)=0,"",IF(OR(H216="",I216=""),"AIR-ID or supplier missing",IF(COUNTIFS($H$15:$H$264,H216,$I$15:$I$264,I216)&gt;1,"Duplicate row (counted once)",IF(COUNTIF('System map'!$A$4:$A$203,H216)=0,"AIR-ID not on System map",IF(COUNTIF($L$15:$L$64,I216)=0,"Supplier not listed in Table 2b","OK — verify source")))))</f>
        <v/>
      </c>
    </row>
    <row r="217">
      <c r="A217" s="25">
        <f>IF(Components!A206="","",Components!A206)</f>
        <v/>
      </c>
      <c r="B217" s="25">
        <f>IF(OR(A217="",Components!B206=""),"",Components!B206)</f>
        <v/>
      </c>
      <c r="C217" s="25">
        <f>IF(OR(A217="",Components!C206=""),"",Components!C206)</f>
        <v/>
      </c>
      <c r="D217" s="25">
        <f>IF(A217="","",COUNTIFS(Relationships!$B$4:$B$1003,"AIR",Relationships!$D$4:$D$1003,"references",Relationships!$F$4:$F$1003,A217,Relationships!$M$4:$M$1003,"Confirmed",Relationships!$N$4:$N$1003,"OK — verify source"))</f>
        <v/>
      </c>
      <c r="E217" s="48">
        <f>IF(OR(A217="",NOT(ISNUMBER($D$6))),"",D217/$D$6)</f>
        <v/>
      </c>
      <c r="F217" s="25">
        <f>IF(OR(NOT(ISNUMBER(E217)),NOT(ISNUMBER($D$5))),"",IF(AND(D217&gt;0,E217&gt;=$D$5),"Review: concentration",""))</f>
        <v/>
      </c>
      <c r="H217" s="25" t="n"/>
      <c r="I217" s="25" t="n"/>
      <c r="J217" s="25">
        <f>IF(COUNTA(H217:I217)=0,"",IF(OR(H217="",I217=""),"AIR-ID or supplier missing",IF(COUNTIFS($H$15:$H$264,H217,$I$15:$I$264,I217)&gt;1,"Duplicate row (counted once)",IF(COUNTIF('System map'!$A$4:$A$203,H217)=0,"AIR-ID not on System map",IF(COUNTIF($L$15:$L$64,I217)=0,"Supplier not listed in Table 2b","OK — verify source")))))</f>
        <v/>
      </c>
    </row>
    <row r="218">
      <c r="A218" s="27">
        <f>IF(Components!A207="","",Components!A207)</f>
        <v/>
      </c>
      <c r="B218" s="27">
        <f>IF(OR(A218="",Components!B207=""),"",Components!B207)</f>
        <v/>
      </c>
      <c r="C218" s="27">
        <f>IF(OR(A218="",Components!C207=""),"",Components!C207)</f>
        <v/>
      </c>
      <c r="D218" s="27">
        <f>IF(A218="","",COUNTIFS(Relationships!$B$4:$B$1003,"AIR",Relationships!$D$4:$D$1003,"references",Relationships!$F$4:$F$1003,A218,Relationships!$M$4:$M$1003,"Confirmed",Relationships!$N$4:$N$1003,"OK — verify source"))</f>
        <v/>
      </c>
      <c r="E218" s="49">
        <f>IF(OR(A218="",NOT(ISNUMBER($D$6))),"",D218/$D$6)</f>
        <v/>
      </c>
      <c r="F218" s="27">
        <f>IF(OR(NOT(ISNUMBER(E218)),NOT(ISNUMBER($D$5))),"",IF(AND(D218&gt;0,E218&gt;=$D$5),"Review: concentration",""))</f>
        <v/>
      </c>
      <c r="H218" s="27" t="n"/>
      <c r="I218" s="27" t="n"/>
      <c r="J218" s="27">
        <f>IF(COUNTA(H218:I218)=0,"",IF(OR(H218="",I218=""),"AIR-ID or supplier missing",IF(COUNTIFS($H$15:$H$264,H218,$I$15:$I$264,I218)&gt;1,"Duplicate row (counted once)",IF(COUNTIF('System map'!$A$4:$A$203,H218)=0,"AIR-ID not on System map",IF(COUNTIF($L$15:$L$64,I218)=0,"Supplier not listed in Table 2b","OK — verify source")))))</f>
        <v/>
      </c>
    </row>
    <row r="219">
      <c r="A219" s="25">
        <f>IF(Components!A208="","",Components!A208)</f>
        <v/>
      </c>
      <c r="B219" s="25">
        <f>IF(OR(A219="",Components!B208=""),"",Components!B208)</f>
        <v/>
      </c>
      <c r="C219" s="25">
        <f>IF(OR(A219="",Components!C208=""),"",Components!C208)</f>
        <v/>
      </c>
      <c r="D219" s="25">
        <f>IF(A219="","",COUNTIFS(Relationships!$B$4:$B$1003,"AIR",Relationships!$D$4:$D$1003,"references",Relationships!$F$4:$F$1003,A219,Relationships!$M$4:$M$1003,"Confirmed",Relationships!$N$4:$N$1003,"OK — verify source"))</f>
        <v/>
      </c>
      <c r="E219" s="48">
        <f>IF(OR(A219="",NOT(ISNUMBER($D$6))),"",D219/$D$6)</f>
        <v/>
      </c>
      <c r="F219" s="25">
        <f>IF(OR(NOT(ISNUMBER(E219)),NOT(ISNUMBER($D$5))),"",IF(AND(D219&gt;0,E219&gt;=$D$5),"Review: concentration",""))</f>
        <v/>
      </c>
      <c r="H219" s="25" t="n"/>
      <c r="I219" s="25" t="n"/>
      <c r="J219" s="25">
        <f>IF(COUNTA(H219:I219)=0,"",IF(OR(H219="",I219=""),"AIR-ID or supplier missing",IF(COUNTIFS($H$15:$H$264,H219,$I$15:$I$264,I219)&gt;1,"Duplicate row (counted once)",IF(COUNTIF('System map'!$A$4:$A$203,H219)=0,"AIR-ID not on System map",IF(COUNTIF($L$15:$L$64,I219)=0,"Supplier not listed in Table 2b","OK — verify source")))))</f>
        <v/>
      </c>
    </row>
    <row r="220">
      <c r="A220" s="27">
        <f>IF(Components!A209="","",Components!A209)</f>
        <v/>
      </c>
      <c r="B220" s="27">
        <f>IF(OR(A220="",Components!B209=""),"",Components!B209)</f>
        <v/>
      </c>
      <c r="C220" s="27">
        <f>IF(OR(A220="",Components!C209=""),"",Components!C209)</f>
        <v/>
      </c>
      <c r="D220" s="27">
        <f>IF(A220="","",COUNTIFS(Relationships!$B$4:$B$1003,"AIR",Relationships!$D$4:$D$1003,"references",Relationships!$F$4:$F$1003,A220,Relationships!$M$4:$M$1003,"Confirmed",Relationships!$N$4:$N$1003,"OK — verify source"))</f>
        <v/>
      </c>
      <c r="E220" s="49">
        <f>IF(OR(A220="",NOT(ISNUMBER($D$6))),"",D220/$D$6)</f>
        <v/>
      </c>
      <c r="F220" s="27">
        <f>IF(OR(NOT(ISNUMBER(E220)),NOT(ISNUMBER($D$5))),"",IF(AND(D220&gt;0,E220&gt;=$D$5),"Review: concentration",""))</f>
        <v/>
      </c>
      <c r="H220" s="27" t="n"/>
      <c r="I220" s="27" t="n"/>
      <c r="J220" s="27">
        <f>IF(COUNTA(H220:I220)=0,"",IF(OR(H220="",I220=""),"AIR-ID or supplier missing",IF(COUNTIFS($H$15:$H$264,H220,$I$15:$I$264,I220)&gt;1,"Duplicate row (counted once)",IF(COUNTIF('System map'!$A$4:$A$203,H220)=0,"AIR-ID not on System map",IF(COUNTIF($L$15:$L$64,I220)=0,"Supplier not listed in Table 2b","OK — verify source")))))</f>
        <v/>
      </c>
    </row>
    <row r="221">
      <c r="A221" s="25">
        <f>IF(Components!A210="","",Components!A210)</f>
        <v/>
      </c>
      <c r="B221" s="25">
        <f>IF(OR(A221="",Components!B210=""),"",Components!B210)</f>
        <v/>
      </c>
      <c r="C221" s="25">
        <f>IF(OR(A221="",Components!C210=""),"",Components!C210)</f>
        <v/>
      </c>
      <c r="D221" s="25">
        <f>IF(A221="","",COUNTIFS(Relationships!$B$4:$B$1003,"AIR",Relationships!$D$4:$D$1003,"references",Relationships!$F$4:$F$1003,A221,Relationships!$M$4:$M$1003,"Confirmed",Relationships!$N$4:$N$1003,"OK — verify source"))</f>
        <v/>
      </c>
      <c r="E221" s="48">
        <f>IF(OR(A221="",NOT(ISNUMBER($D$6))),"",D221/$D$6)</f>
        <v/>
      </c>
      <c r="F221" s="25">
        <f>IF(OR(NOT(ISNUMBER(E221)),NOT(ISNUMBER($D$5))),"",IF(AND(D221&gt;0,E221&gt;=$D$5),"Review: concentration",""))</f>
        <v/>
      </c>
      <c r="H221" s="25" t="n"/>
      <c r="I221" s="25" t="n"/>
      <c r="J221" s="25">
        <f>IF(COUNTA(H221:I221)=0,"",IF(OR(H221="",I221=""),"AIR-ID or supplier missing",IF(COUNTIFS($H$15:$H$264,H221,$I$15:$I$264,I221)&gt;1,"Duplicate row (counted once)",IF(COUNTIF('System map'!$A$4:$A$203,H221)=0,"AIR-ID not on System map",IF(COUNTIF($L$15:$L$64,I221)=0,"Supplier not listed in Table 2b","OK — verify source")))))</f>
        <v/>
      </c>
    </row>
    <row r="222">
      <c r="A222" s="27">
        <f>IF(Components!A211="","",Components!A211)</f>
        <v/>
      </c>
      <c r="B222" s="27">
        <f>IF(OR(A222="",Components!B211=""),"",Components!B211)</f>
        <v/>
      </c>
      <c r="C222" s="27">
        <f>IF(OR(A222="",Components!C211=""),"",Components!C211)</f>
        <v/>
      </c>
      <c r="D222" s="27">
        <f>IF(A222="","",COUNTIFS(Relationships!$B$4:$B$1003,"AIR",Relationships!$D$4:$D$1003,"references",Relationships!$F$4:$F$1003,A222,Relationships!$M$4:$M$1003,"Confirmed",Relationships!$N$4:$N$1003,"OK — verify source"))</f>
        <v/>
      </c>
      <c r="E222" s="49">
        <f>IF(OR(A222="",NOT(ISNUMBER($D$6))),"",D222/$D$6)</f>
        <v/>
      </c>
      <c r="F222" s="27">
        <f>IF(OR(NOT(ISNUMBER(E222)),NOT(ISNUMBER($D$5))),"",IF(AND(D222&gt;0,E222&gt;=$D$5),"Review: concentration",""))</f>
        <v/>
      </c>
      <c r="H222" s="27" t="n"/>
      <c r="I222" s="27" t="n"/>
      <c r="J222" s="27">
        <f>IF(COUNTA(H222:I222)=0,"",IF(OR(H222="",I222=""),"AIR-ID or supplier missing",IF(COUNTIFS($H$15:$H$264,H222,$I$15:$I$264,I222)&gt;1,"Duplicate row (counted once)",IF(COUNTIF('System map'!$A$4:$A$203,H222)=0,"AIR-ID not on System map",IF(COUNTIF($L$15:$L$64,I222)=0,"Supplier not listed in Table 2b","OK — verify source")))))</f>
        <v/>
      </c>
    </row>
    <row r="223">
      <c r="A223" s="25">
        <f>IF(Components!A212="","",Components!A212)</f>
        <v/>
      </c>
      <c r="B223" s="25">
        <f>IF(OR(A223="",Components!B212=""),"",Components!B212)</f>
        <v/>
      </c>
      <c r="C223" s="25">
        <f>IF(OR(A223="",Components!C212=""),"",Components!C212)</f>
        <v/>
      </c>
      <c r="D223" s="25">
        <f>IF(A223="","",COUNTIFS(Relationships!$B$4:$B$1003,"AIR",Relationships!$D$4:$D$1003,"references",Relationships!$F$4:$F$1003,A223,Relationships!$M$4:$M$1003,"Confirmed",Relationships!$N$4:$N$1003,"OK — verify source"))</f>
        <v/>
      </c>
      <c r="E223" s="48">
        <f>IF(OR(A223="",NOT(ISNUMBER($D$6))),"",D223/$D$6)</f>
        <v/>
      </c>
      <c r="F223" s="25">
        <f>IF(OR(NOT(ISNUMBER(E223)),NOT(ISNUMBER($D$5))),"",IF(AND(D223&gt;0,E223&gt;=$D$5),"Review: concentration",""))</f>
        <v/>
      </c>
      <c r="H223" s="25" t="n"/>
      <c r="I223" s="25" t="n"/>
      <c r="J223" s="25">
        <f>IF(COUNTA(H223:I223)=0,"",IF(OR(H223="",I223=""),"AIR-ID or supplier missing",IF(COUNTIFS($H$15:$H$264,H223,$I$15:$I$264,I223)&gt;1,"Duplicate row (counted once)",IF(COUNTIF('System map'!$A$4:$A$203,H223)=0,"AIR-ID not on System map",IF(COUNTIF($L$15:$L$64,I223)=0,"Supplier not listed in Table 2b","OK — verify source")))))</f>
        <v/>
      </c>
    </row>
    <row r="224">
      <c r="A224" s="27">
        <f>IF(Components!A213="","",Components!A213)</f>
        <v/>
      </c>
      <c r="B224" s="27">
        <f>IF(OR(A224="",Components!B213=""),"",Components!B213)</f>
        <v/>
      </c>
      <c r="C224" s="27">
        <f>IF(OR(A224="",Components!C213=""),"",Components!C213)</f>
        <v/>
      </c>
      <c r="D224" s="27">
        <f>IF(A224="","",COUNTIFS(Relationships!$B$4:$B$1003,"AIR",Relationships!$D$4:$D$1003,"references",Relationships!$F$4:$F$1003,A224,Relationships!$M$4:$M$1003,"Confirmed",Relationships!$N$4:$N$1003,"OK — verify source"))</f>
        <v/>
      </c>
      <c r="E224" s="49">
        <f>IF(OR(A224="",NOT(ISNUMBER($D$6))),"",D224/$D$6)</f>
        <v/>
      </c>
      <c r="F224" s="27">
        <f>IF(OR(NOT(ISNUMBER(E224)),NOT(ISNUMBER($D$5))),"",IF(AND(D224&gt;0,E224&gt;=$D$5),"Review: concentration",""))</f>
        <v/>
      </c>
      <c r="H224" s="27" t="n"/>
      <c r="I224" s="27" t="n"/>
      <c r="J224" s="27">
        <f>IF(COUNTA(H224:I224)=0,"",IF(OR(H224="",I224=""),"AIR-ID or supplier missing",IF(COUNTIFS($H$15:$H$264,H224,$I$15:$I$264,I224)&gt;1,"Duplicate row (counted once)",IF(COUNTIF('System map'!$A$4:$A$203,H224)=0,"AIR-ID not on System map",IF(COUNTIF($L$15:$L$64,I224)=0,"Supplier not listed in Table 2b","OK — verify source")))))</f>
        <v/>
      </c>
    </row>
    <row r="225">
      <c r="A225" s="25">
        <f>IF(Components!A214="","",Components!A214)</f>
        <v/>
      </c>
      <c r="B225" s="25">
        <f>IF(OR(A225="",Components!B214=""),"",Components!B214)</f>
        <v/>
      </c>
      <c r="C225" s="25">
        <f>IF(OR(A225="",Components!C214=""),"",Components!C214)</f>
        <v/>
      </c>
      <c r="D225" s="25">
        <f>IF(A225="","",COUNTIFS(Relationships!$B$4:$B$1003,"AIR",Relationships!$D$4:$D$1003,"references",Relationships!$F$4:$F$1003,A225,Relationships!$M$4:$M$1003,"Confirmed",Relationships!$N$4:$N$1003,"OK — verify source"))</f>
        <v/>
      </c>
      <c r="E225" s="48">
        <f>IF(OR(A225="",NOT(ISNUMBER($D$6))),"",D225/$D$6)</f>
        <v/>
      </c>
      <c r="F225" s="25">
        <f>IF(OR(NOT(ISNUMBER(E225)),NOT(ISNUMBER($D$5))),"",IF(AND(D225&gt;0,E225&gt;=$D$5),"Review: concentration",""))</f>
        <v/>
      </c>
      <c r="H225" s="25" t="n"/>
      <c r="I225" s="25" t="n"/>
      <c r="J225" s="25">
        <f>IF(COUNTA(H225:I225)=0,"",IF(OR(H225="",I225=""),"AIR-ID or supplier missing",IF(COUNTIFS($H$15:$H$264,H225,$I$15:$I$264,I225)&gt;1,"Duplicate row (counted once)",IF(COUNTIF('System map'!$A$4:$A$203,H225)=0,"AIR-ID not on System map",IF(COUNTIF($L$15:$L$64,I225)=0,"Supplier not listed in Table 2b","OK — verify source")))))</f>
        <v/>
      </c>
    </row>
    <row r="226">
      <c r="A226" s="27">
        <f>IF(Components!A215="","",Components!A215)</f>
        <v/>
      </c>
      <c r="B226" s="27">
        <f>IF(OR(A226="",Components!B215=""),"",Components!B215)</f>
        <v/>
      </c>
      <c r="C226" s="27">
        <f>IF(OR(A226="",Components!C215=""),"",Components!C215)</f>
        <v/>
      </c>
      <c r="D226" s="27">
        <f>IF(A226="","",COUNTIFS(Relationships!$B$4:$B$1003,"AIR",Relationships!$D$4:$D$1003,"references",Relationships!$F$4:$F$1003,A226,Relationships!$M$4:$M$1003,"Confirmed",Relationships!$N$4:$N$1003,"OK — verify source"))</f>
        <v/>
      </c>
      <c r="E226" s="49">
        <f>IF(OR(A226="",NOT(ISNUMBER($D$6))),"",D226/$D$6)</f>
        <v/>
      </c>
      <c r="F226" s="27">
        <f>IF(OR(NOT(ISNUMBER(E226)),NOT(ISNUMBER($D$5))),"",IF(AND(D226&gt;0,E226&gt;=$D$5),"Review: concentration",""))</f>
        <v/>
      </c>
      <c r="H226" s="27" t="n"/>
      <c r="I226" s="27" t="n"/>
      <c r="J226" s="27">
        <f>IF(COUNTA(H226:I226)=0,"",IF(OR(H226="",I226=""),"AIR-ID or supplier missing",IF(COUNTIFS($H$15:$H$264,H226,$I$15:$I$264,I226)&gt;1,"Duplicate row (counted once)",IF(COUNTIF('System map'!$A$4:$A$203,H226)=0,"AIR-ID not on System map",IF(COUNTIF($L$15:$L$64,I226)=0,"Supplier not listed in Table 2b","OK — verify source")))))</f>
        <v/>
      </c>
    </row>
    <row r="227">
      <c r="A227" s="25">
        <f>IF(Components!A216="","",Components!A216)</f>
        <v/>
      </c>
      <c r="B227" s="25">
        <f>IF(OR(A227="",Components!B216=""),"",Components!B216)</f>
        <v/>
      </c>
      <c r="C227" s="25">
        <f>IF(OR(A227="",Components!C216=""),"",Components!C216)</f>
        <v/>
      </c>
      <c r="D227" s="25">
        <f>IF(A227="","",COUNTIFS(Relationships!$B$4:$B$1003,"AIR",Relationships!$D$4:$D$1003,"references",Relationships!$F$4:$F$1003,A227,Relationships!$M$4:$M$1003,"Confirmed",Relationships!$N$4:$N$1003,"OK — verify source"))</f>
        <v/>
      </c>
      <c r="E227" s="48">
        <f>IF(OR(A227="",NOT(ISNUMBER($D$6))),"",D227/$D$6)</f>
        <v/>
      </c>
      <c r="F227" s="25">
        <f>IF(OR(NOT(ISNUMBER(E227)),NOT(ISNUMBER($D$5))),"",IF(AND(D227&gt;0,E227&gt;=$D$5),"Review: concentration",""))</f>
        <v/>
      </c>
      <c r="H227" s="25" t="n"/>
      <c r="I227" s="25" t="n"/>
      <c r="J227" s="25">
        <f>IF(COUNTA(H227:I227)=0,"",IF(OR(H227="",I227=""),"AIR-ID or supplier missing",IF(COUNTIFS($H$15:$H$264,H227,$I$15:$I$264,I227)&gt;1,"Duplicate row (counted once)",IF(COUNTIF('System map'!$A$4:$A$203,H227)=0,"AIR-ID not on System map",IF(COUNTIF($L$15:$L$64,I227)=0,"Supplier not listed in Table 2b","OK — verify source")))))</f>
        <v/>
      </c>
    </row>
    <row r="228">
      <c r="A228" s="27">
        <f>IF(Components!A217="","",Components!A217)</f>
        <v/>
      </c>
      <c r="B228" s="27">
        <f>IF(OR(A228="",Components!B217=""),"",Components!B217)</f>
        <v/>
      </c>
      <c r="C228" s="27">
        <f>IF(OR(A228="",Components!C217=""),"",Components!C217)</f>
        <v/>
      </c>
      <c r="D228" s="27">
        <f>IF(A228="","",COUNTIFS(Relationships!$B$4:$B$1003,"AIR",Relationships!$D$4:$D$1003,"references",Relationships!$F$4:$F$1003,A228,Relationships!$M$4:$M$1003,"Confirmed",Relationships!$N$4:$N$1003,"OK — verify source"))</f>
        <v/>
      </c>
      <c r="E228" s="49">
        <f>IF(OR(A228="",NOT(ISNUMBER($D$6))),"",D228/$D$6)</f>
        <v/>
      </c>
      <c r="F228" s="27">
        <f>IF(OR(NOT(ISNUMBER(E228)),NOT(ISNUMBER($D$5))),"",IF(AND(D228&gt;0,E228&gt;=$D$5),"Review: concentration",""))</f>
        <v/>
      </c>
      <c r="H228" s="27" t="n"/>
      <c r="I228" s="27" t="n"/>
      <c r="J228" s="27">
        <f>IF(COUNTA(H228:I228)=0,"",IF(OR(H228="",I228=""),"AIR-ID or supplier missing",IF(COUNTIFS($H$15:$H$264,H228,$I$15:$I$264,I228)&gt;1,"Duplicate row (counted once)",IF(COUNTIF('System map'!$A$4:$A$203,H228)=0,"AIR-ID not on System map",IF(COUNTIF($L$15:$L$64,I228)=0,"Supplier not listed in Table 2b","OK — verify source")))))</f>
        <v/>
      </c>
    </row>
    <row r="229">
      <c r="A229" s="25">
        <f>IF(Components!A218="","",Components!A218)</f>
        <v/>
      </c>
      <c r="B229" s="25">
        <f>IF(OR(A229="",Components!B218=""),"",Components!B218)</f>
        <v/>
      </c>
      <c r="C229" s="25">
        <f>IF(OR(A229="",Components!C218=""),"",Components!C218)</f>
        <v/>
      </c>
      <c r="D229" s="25">
        <f>IF(A229="","",COUNTIFS(Relationships!$B$4:$B$1003,"AIR",Relationships!$D$4:$D$1003,"references",Relationships!$F$4:$F$1003,A229,Relationships!$M$4:$M$1003,"Confirmed",Relationships!$N$4:$N$1003,"OK — verify source"))</f>
        <v/>
      </c>
      <c r="E229" s="48">
        <f>IF(OR(A229="",NOT(ISNUMBER($D$6))),"",D229/$D$6)</f>
        <v/>
      </c>
      <c r="F229" s="25">
        <f>IF(OR(NOT(ISNUMBER(E229)),NOT(ISNUMBER($D$5))),"",IF(AND(D229&gt;0,E229&gt;=$D$5),"Review: concentration",""))</f>
        <v/>
      </c>
      <c r="H229" s="25" t="n"/>
      <c r="I229" s="25" t="n"/>
      <c r="J229" s="25">
        <f>IF(COUNTA(H229:I229)=0,"",IF(OR(H229="",I229=""),"AIR-ID or supplier missing",IF(COUNTIFS($H$15:$H$264,H229,$I$15:$I$264,I229)&gt;1,"Duplicate row (counted once)",IF(COUNTIF('System map'!$A$4:$A$203,H229)=0,"AIR-ID not on System map",IF(COUNTIF($L$15:$L$64,I229)=0,"Supplier not listed in Table 2b","OK — verify source")))))</f>
        <v/>
      </c>
    </row>
    <row r="230">
      <c r="A230" s="27">
        <f>IF(Components!A219="","",Components!A219)</f>
        <v/>
      </c>
      <c r="B230" s="27">
        <f>IF(OR(A230="",Components!B219=""),"",Components!B219)</f>
        <v/>
      </c>
      <c r="C230" s="27">
        <f>IF(OR(A230="",Components!C219=""),"",Components!C219)</f>
        <v/>
      </c>
      <c r="D230" s="27">
        <f>IF(A230="","",COUNTIFS(Relationships!$B$4:$B$1003,"AIR",Relationships!$D$4:$D$1003,"references",Relationships!$F$4:$F$1003,A230,Relationships!$M$4:$M$1003,"Confirmed",Relationships!$N$4:$N$1003,"OK — verify source"))</f>
        <v/>
      </c>
      <c r="E230" s="49">
        <f>IF(OR(A230="",NOT(ISNUMBER($D$6))),"",D230/$D$6)</f>
        <v/>
      </c>
      <c r="F230" s="27">
        <f>IF(OR(NOT(ISNUMBER(E230)),NOT(ISNUMBER($D$5))),"",IF(AND(D230&gt;0,E230&gt;=$D$5),"Review: concentration",""))</f>
        <v/>
      </c>
      <c r="H230" s="27" t="n"/>
      <c r="I230" s="27" t="n"/>
      <c r="J230" s="27">
        <f>IF(COUNTA(H230:I230)=0,"",IF(OR(H230="",I230=""),"AIR-ID or supplier missing",IF(COUNTIFS($H$15:$H$264,H230,$I$15:$I$264,I230)&gt;1,"Duplicate row (counted once)",IF(COUNTIF('System map'!$A$4:$A$203,H230)=0,"AIR-ID not on System map",IF(COUNTIF($L$15:$L$64,I230)=0,"Supplier not listed in Table 2b","OK — verify source")))))</f>
        <v/>
      </c>
    </row>
    <row r="231">
      <c r="A231" s="25">
        <f>IF(Components!A220="","",Components!A220)</f>
        <v/>
      </c>
      <c r="B231" s="25">
        <f>IF(OR(A231="",Components!B220=""),"",Components!B220)</f>
        <v/>
      </c>
      <c r="C231" s="25">
        <f>IF(OR(A231="",Components!C220=""),"",Components!C220)</f>
        <v/>
      </c>
      <c r="D231" s="25">
        <f>IF(A231="","",COUNTIFS(Relationships!$B$4:$B$1003,"AIR",Relationships!$D$4:$D$1003,"references",Relationships!$F$4:$F$1003,A231,Relationships!$M$4:$M$1003,"Confirmed",Relationships!$N$4:$N$1003,"OK — verify source"))</f>
        <v/>
      </c>
      <c r="E231" s="48">
        <f>IF(OR(A231="",NOT(ISNUMBER($D$6))),"",D231/$D$6)</f>
        <v/>
      </c>
      <c r="F231" s="25">
        <f>IF(OR(NOT(ISNUMBER(E231)),NOT(ISNUMBER($D$5))),"",IF(AND(D231&gt;0,E231&gt;=$D$5),"Review: concentration",""))</f>
        <v/>
      </c>
      <c r="H231" s="25" t="n"/>
      <c r="I231" s="25" t="n"/>
      <c r="J231" s="25">
        <f>IF(COUNTA(H231:I231)=0,"",IF(OR(H231="",I231=""),"AIR-ID or supplier missing",IF(COUNTIFS($H$15:$H$264,H231,$I$15:$I$264,I231)&gt;1,"Duplicate row (counted once)",IF(COUNTIF('System map'!$A$4:$A$203,H231)=0,"AIR-ID not on System map",IF(COUNTIF($L$15:$L$64,I231)=0,"Supplier not listed in Table 2b","OK — verify source")))))</f>
        <v/>
      </c>
    </row>
    <row r="232">
      <c r="A232" s="27">
        <f>IF(Components!A221="","",Components!A221)</f>
        <v/>
      </c>
      <c r="B232" s="27">
        <f>IF(OR(A232="",Components!B221=""),"",Components!B221)</f>
        <v/>
      </c>
      <c r="C232" s="27">
        <f>IF(OR(A232="",Components!C221=""),"",Components!C221)</f>
        <v/>
      </c>
      <c r="D232" s="27">
        <f>IF(A232="","",COUNTIFS(Relationships!$B$4:$B$1003,"AIR",Relationships!$D$4:$D$1003,"references",Relationships!$F$4:$F$1003,A232,Relationships!$M$4:$M$1003,"Confirmed",Relationships!$N$4:$N$1003,"OK — verify source"))</f>
        <v/>
      </c>
      <c r="E232" s="49">
        <f>IF(OR(A232="",NOT(ISNUMBER($D$6))),"",D232/$D$6)</f>
        <v/>
      </c>
      <c r="F232" s="27">
        <f>IF(OR(NOT(ISNUMBER(E232)),NOT(ISNUMBER($D$5))),"",IF(AND(D232&gt;0,E232&gt;=$D$5),"Review: concentration",""))</f>
        <v/>
      </c>
      <c r="H232" s="27" t="n"/>
      <c r="I232" s="27" t="n"/>
      <c r="J232" s="27">
        <f>IF(COUNTA(H232:I232)=0,"",IF(OR(H232="",I232=""),"AIR-ID or supplier missing",IF(COUNTIFS($H$15:$H$264,H232,$I$15:$I$264,I232)&gt;1,"Duplicate row (counted once)",IF(COUNTIF('System map'!$A$4:$A$203,H232)=0,"AIR-ID not on System map",IF(COUNTIF($L$15:$L$64,I232)=0,"Supplier not listed in Table 2b","OK — verify source")))))</f>
        <v/>
      </c>
    </row>
    <row r="233">
      <c r="A233" s="25">
        <f>IF(Components!A222="","",Components!A222)</f>
        <v/>
      </c>
      <c r="B233" s="25">
        <f>IF(OR(A233="",Components!B222=""),"",Components!B222)</f>
        <v/>
      </c>
      <c r="C233" s="25">
        <f>IF(OR(A233="",Components!C222=""),"",Components!C222)</f>
        <v/>
      </c>
      <c r="D233" s="25">
        <f>IF(A233="","",COUNTIFS(Relationships!$B$4:$B$1003,"AIR",Relationships!$D$4:$D$1003,"references",Relationships!$F$4:$F$1003,A233,Relationships!$M$4:$M$1003,"Confirmed",Relationships!$N$4:$N$1003,"OK — verify source"))</f>
        <v/>
      </c>
      <c r="E233" s="48">
        <f>IF(OR(A233="",NOT(ISNUMBER($D$6))),"",D233/$D$6)</f>
        <v/>
      </c>
      <c r="F233" s="25">
        <f>IF(OR(NOT(ISNUMBER(E233)),NOT(ISNUMBER($D$5))),"",IF(AND(D233&gt;0,E233&gt;=$D$5),"Review: concentration",""))</f>
        <v/>
      </c>
      <c r="H233" s="25" t="n"/>
      <c r="I233" s="25" t="n"/>
      <c r="J233" s="25">
        <f>IF(COUNTA(H233:I233)=0,"",IF(OR(H233="",I233=""),"AIR-ID or supplier missing",IF(COUNTIFS($H$15:$H$264,H233,$I$15:$I$264,I233)&gt;1,"Duplicate row (counted once)",IF(COUNTIF('System map'!$A$4:$A$203,H233)=0,"AIR-ID not on System map",IF(COUNTIF($L$15:$L$64,I233)=0,"Supplier not listed in Table 2b","OK — verify source")))))</f>
        <v/>
      </c>
    </row>
    <row r="234">
      <c r="A234" s="27">
        <f>IF(Components!A223="","",Components!A223)</f>
        <v/>
      </c>
      <c r="B234" s="27">
        <f>IF(OR(A234="",Components!B223=""),"",Components!B223)</f>
        <v/>
      </c>
      <c r="C234" s="27">
        <f>IF(OR(A234="",Components!C223=""),"",Components!C223)</f>
        <v/>
      </c>
      <c r="D234" s="27">
        <f>IF(A234="","",COUNTIFS(Relationships!$B$4:$B$1003,"AIR",Relationships!$D$4:$D$1003,"references",Relationships!$F$4:$F$1003,A234,Relationships!$M$4:$M$1003,"Confirmed",Relationships!$N$4:$N$1003,"OK — verify source"))</f>
        <v/>
      </c>
      <c r="E234" s="49">
        <f>IF(OR(A234="",NOT(ISNUMBER($D$6))),"",D234/$D$6)</f>
        <v/>
      </c>
      <c r="F234" s="27">
        <f>IF(OR(NOT(ISNUMBER(E234)),NOT(ISNUMBER($D$5))),"",IF(AND(D234&gt;0,E234&gt;=$D$5),"Review: concentration",""))</f>
        <v/>
      </c>
      <c r="H234" s="27" t="n"/>
      <c r="I234" s="27" t="n"/>
      <c r="J234" s="27">
        <f>IF(COUNTA(H234:I234)=0,"",IF(OR(H234="",I234=""),"AIR-ID or supplier missing",IF(COUNTIFS($H$15:$H$264,H234,$I$15:$I$264,I234)&gt;1,"Duplicate row (counted once)",IF(COUNTIF('System map'!$A$4:$A$203,H234)=0,"AIR-ID not on System map",IF(COUNTIF($L$15:$L$64,I234)=0,"Supplier not listed in Table 2b","OK — verify source")))))</f>
        <v/>
      </c>
    </row>
    <row r="235">
      <c r="A235" s="25">
        <f>IF(Components!A224="","",Components!A224)</f>
        <v/>
      </c>
      <c r="B235" s="25">
        <f>IF(OR(A235="",Components!B224=""),"",Components!B224)</f>
        <v/>
      </c>
      <c r="C235" s="25">
        <f>IF(OR(A235="",Components!C224=""),"",Components!C224)</f>
        <v/>
      </c>
      <c r="D235" s="25">
        <f>IF(A235="","",COUNTIFS(Relationships!$B$4:$B$1003,"AIR",Relationships!$D$4:$D$1003,"references",Relationships!$F$4:$F$1003,A235,Relationships!$M$4:$M$1003,"Confirmed",Relationships!$N$4:$N$1003,"OK — verify source"))</f>
        <v/>
      </c>
      <c r="E235" s="48">
        <f>IF(OR(A235="",NOT(ISNUMBER($D$6))),"",D235/$D$6)</f>
        <v/>
      </c>
      <c r="F235" s="25">
        <f>IF(OR(NOT(ISNUMBER(E235)),NOT(ISNUMBER($D$5))),"",IF(AND(D235&gt;0,E235&gt;=$D$5),"Review: concentration",""))</f>
        <v/>
      </c>
      <c r="H235" s="25" t="n"/>
      <c r="I235" s="25" t="n"/>
      <c r="J235" s="25">
        <f>IF(COUNTA(H235:I235)=0,"",IF(OR(H235="",I235=""),"AIR-ID or supplier missing",IF(COUNTIFS($H$15:$H$264,H235,$I$15:$I$264,I235)&gt;1,"Duplicate row (counted once)",IF(COUNTIF('System map'!$A$4:$A$203,H235)=0,"AIR-ID not on System map",IF(COUNTIF($L$15:$L$64,I235)=0,"Supplier not listed in Table 2b","OK — verify source")))))</f>
        <v/>
      </c>
    </row>
    <row r="236">
      <c r="A236" s="27">
        <f>IF(Components!A225="","",Components!A225)</f>
        <v/>
      </c>
      <c r="B236" s="27">
        <f>IF(OR(A236="",Components!B225=""),"",Components!B225)</f>
        <v/>
      </c>
      <c r="C236" s="27">
        <f>IF(OR(A236="",Components!C225=""),"",Components!C225)</f>
        <v/>
      </c>
      <c r="D236" s="27">
        <f>IF(A236="","",COUNTIFS(Relationships!$B$4:$B$1003,"AIR",Relationships!$D$4:$D$1003,"references",Relationships!$F$4:$F$1003,A236,Relationships!$M$4:$M$1003,"Confirmed",Relationships!$N$4:$N$1003,"OK — verify source"))</f>
        <v/>
      </c>
      <c r="E236" s="49">
        <f>IF(OR(A236="",NOT(ISNUMBER($D$6))),"",D236/$D$6)</f>
        <v/>
      </c>
      <c r="F236" s="27">
        <f>IF(OR(NOT(ISNUMBER(E236)),NOT(ISNUMBER($D$5))),"",IF(AND(D236&gt;0,E236&gt;=$D$5),"Review: concentration",""))</f>
        <v/>
      </c>
      <c r="H236" s="27" t="n"/>
      <c r="I236" s="27" t="n"/>
      <c r="J236" s="27">
        <f>IF(COUNTA(H236:I236)=0,"",IF(OR(H236="",I236=""),"AIR-ID or supplier missing",IF(COUNTIFS($H$15:$H$264,H236,$I$15:$I$264,I236)&gt;1,"Duplicate row (counted once)",IF(COUNTIF('System map'!$A$4:$A$203,H236)=0,"AIR-ID not on System map",IF(COUNTIF($L$15:$L$64,I236)=0,"Supplier not listed in Table 2b","OK — verify source")))))</f>
        <v/>
      </c>
    </row>
    <row r="237">
      <c r="A237" s="25">
        <f>IF(Components!A226="","",Components!A226)</f>
        <v/>
      </c>
      <c r="B237" s="25">
        <f>IF(OR(A237="",Components!B226=""),"",Components!B226)</f>
        <v/>
      </c>
      <c r="C237" s="25">
        <f>IF(OR(A237="",Components!C226=""),"",Components!C226)</f>
        <v/>
      </c>
      <c r="D237" s="25">
        <f>IF(A237="","",COUNTIFS(Relationships!$B$4:$B$1003,"AIR",Relationships!$D$4:$D$1003,"references",Relationships!$F$4:$F$1003,A237,Relationships!$M$4:$M$1003,"Confirmed",Relationships!$N$4:$N$1003,"OK — verify source"))</f>
        <v/>
      </c>
      <c r="E237" s="48">
        <f>IF(OR(A237="",NOT(ISNUMBER($D$6))),"",D237/$D$6)</f>
        <v/>
      </c>
      <c r="F237" s="25">
        <f>IF(OR(NOT(ISNUMBER(E237)),NOT(ISNUMBER($D$5))),"",IF(AND(D237&gt;0,E237&gt;=$D$5),"Review: concentration",""))</f>
        <v/>
      </c>
      <c r="H237" s="25" t="n"/>
      <c r="I237" s="25" t="n"/>
      <c r="J237" s="25">
        <f>IF(COUNTA(H237:I237)=0,"",IF(OR(H237="",I237=""),"AIR-ID or supplier missing",IF(COUNTIFS($H$15:$H$264,H237,$I$15:$I$264,I237)&gt;1,"Duplicate row (counted once)",IF(COUNTIF('System map'!$A$4:$A$203,H237)=0,"AIR-ID not on System map",IF(COUNTIF($L$15:$L$64,I237)=0,"Supplier not listed in Table 2b","OK — verify source")))))</f>
        <v/>
      </c>
    </row>
    <row r="238">
      <c r="A238" s="27">
        <f>IF(Components!A227="","",Components!A227)</f>
        <v/>
      </c>
      <c r="B238" s="27">
        <f>IF(OR(A238="",Components!B227=""),"",Components!B227)</f>
        <v/>
      </c>
      <c r="C238" s="27">
        <f>IF(OR(A238="",Components!C227=""),"",Components!C227)</f>
        <v/>
      </c>
      <c r="D238" s="27">
        <f>IF(A238="","",COUNTIFS(Relationships!$B$4:$B$1003,"AIR",Relationships!$D$4:$D$1003,"references",Relationships!$F$4:$F$1003,A238,Relationships!$M$4:$M$1003,"Confirmed",Relationships!$N$4:$N$1003,"OK — verify source"))</f>
        <v/>
      </c>
      <c r="E238" s="49">
        <f>IF(OR(A238="",NOT(ISNUMBER($D$6))),"",D238/$D$6)</f>
        <v/>
      </c>
      <c r="F238" s="27">
        <f>IF(OR(NOT(ISNUMBER(E238)),NOT(ISNUMBER($D$5))),"",IF(AND(D238&gt;0,E238&gt;=$D$5),"Review: concentration",""))</f>
        <v/>
      </c>
      <c r="H238" s="27" t="n"/>
      <c r="I238" s="27" t="n"/>
      <c r="J238" s="27">
        <f>IF(COUNTA(H238:I238)=0,"",IF(OR(H238="",I238=""),"AIR-ID or supplier missing",IF(COUNTIFS($H$15:$H$264,H238,$I$15:$I$264,I238)&gt;1,"Duplicate row (counted once)",IF(COUNTIF('System map'!$A$4:$A$203,H238)=0,"AIR-ID not on System map",IF(COUNTIF($L$15:$L$64,I238)=0,"Supplier not listed in Table 2b","OK — verify source")))))</f>
        <v/>
      </c>
    </row>
    <row r="239">
      <c r="A239" s="25">
        <f>IF(Components!A228="","",Components!A228)</f>
        <v/>
      </c>
      <c r="B239" s="25">
        <f>IF(OR(A239="",Components!B228=""),"",Components!B228)</f>
        <v/>
      </c>
      <c r="C239" s="25">
        <f>IF(OR(A239="",Components!C228=""),"",Components!C228)</f>
        <v/>
      </c>
      <c r="D239" s="25">
        <f>IF(A239="","",COUNTIFS(Relationships!$B$4:$B$1003,"AIR",Relationships!$D$4:$D$1003,"references",Relationships!$F$4:$F$1003,A239,Relationships!$M$4:$M$1003,"Confirmed",Relationships!$N$4:$N$1003,"OK — verify source"))</f>
        <v/>
      </c>
      <c r="E239" s="48">
        <f>IF(OR(A239="",NOT(ISNUMBER($D$6))),"",D239/$D$6)</f>
        <v/>
      </c>
      <c r="F239" s="25">
        <f>IF(OR(NOT(ISNUMBER(E239)),NOT(ISNUMBER($D$5))),"",IF(AND(D239&gt;0,E239&gt;=$D$5),"Review: concentration",""))</f>
        <v/>
      </c>
      <c r="H239" s="25" t="n"/>
      <c r="I239" s="25" t="n"/>
      <c r="J239" s="25">
        <f>IF(COUNTA(H239:I239)=0,"",IF(OR(H239="",I239=""),"AIR-ID or supplier missing",IF(COUNTIFS($H$15:$H$264,H239,$I$15:$I$264,I239)&gt;1,"Duplicate row (counted once)",IF(COUNTIF('System map'!$A$4:$A$203,H239)=0,"AIR-ID not on System map",IF(COUNTIF($L$15:$L$64,I239)=0,"Supplier not listed in Table 2b","OK — verify source")))))</f>
        <v/>
      </c>
    </row>
    <row r="240">
      <c r="A240" s="27">
        <f>IF(Components!A229="","",Components!A229)</f>
        <v/>
      </c>
      <c r="B240" s="27">
        <f>IF(OR(A240="",Components!B229=""),"",Components!B229)</f>
        <v/>
      </c>
      <c r="C240" s="27">
        <f>IF(OR(A240="",Components!C229=""),"",Components!C229)</f>
        <v/>
      </c>
      <c r="D240" s="27">
        <f>IF(A240="","",COUNTIFS(Relationships!$B$4:$B$1003,"AIR",Relationships!$D$4:$D$1003,"references",Relationships!$F$4:$F$1003,A240,Relationships!$M$4:$M$1003,"Confirmed",Relationships!$N$4:$N$1003,"OK — verify source"))</f>
        <v/>
      </c>
      <c r="E240" s="49">
        <f>IF(OR(A240="",NOT(ISNUMBER($D$6))),"",D240/$D$6)</f>
        <v/>
      </c>
      <c r="F240" s="27">
        <f>IF(OR(NOT(ISNUMBER(E240)),NOT(ISNUMBER($D$5))),"",IF(AND(D240&gt;0,E240&gt;=$D$5),"Review: concentration",""))</f>
        <v/>
      </c>
      <c r="H240" s="27" t="n"/>
      <c r="I240" s="27" t="n"/>
      <c r="J240" s="27">
        <f>IF(COUNTA(H240:I240)=0,"",IF(OR(H240="",I240=""),"AIR-ID or supplier missing",IF(COUNTIFS($H$15:$H$264,H240,$I$15:$I$264,I240)&gt;1,"Duplicate row (counted once)",IF(COUNTIF('System map'!$A$4:$A$203,H240)=0,"AIR-ID not on System map",IF(COUNTIF($L$15:$L$64,I240)=0,"Supplier not listed in Table 2b","OK — verify source")))))</f>
        <v/>
      </c>
    </row>
    <row r="241">
      <c r="A241" s="25">
        <f>IF(Components!A230="","",Components!A230)</f>
        <v/>
      </c>
      <c r="B241" s="25">
        <f>IF(OR(A241="",Components!B230=""),"",Components!B230)</f>
        <v/>
      </c>
      <c r="C241" s="25">
        <f>IF(OR(A241="",Components!C230=""),"",Components!C230)</f>
        <v/>
      </c>
      <c r="D241" s="25">
        <f>IF(A241="","",COUNTIFS(Relationships!$B$4:$B$1003,"AIR",Relationships!$D$4:$D$1003,"references",Relationships!$F$4:$F$1003,A241,Relationships!$M$4:$M$1003,"Confirmed",Relationships!$N$4:$N$1003,"OK — verify source"))</f>
        <v/>
      </c>
      <c r="E241" s="48">
        <f>IF(OR(A241="",NOT(ISNUMBER($D$6))),"",D241/$D$6)</f>
        <v/>
      </c>
      <c r="F241" s="25">
        <f>IF(OR(NOT(ISNUMBER(E241)),NOT(ISNUMBER($D$5))),"",IF(AND(D241&gt;0,E241&gt;=$D$5),"Review: concentration",""))</f>
        <v/>
      </c>
      <c r="H241" s="25" t="n"/>
      <c r="I241" s="25" t="n"/>
      <c r="J241" s="25">
        <f>IF(COUNTA(H241:I241)=0,"",IF(OR(H241="",I241=""),"AIR-ID or supplier missing",IF(COUNTIFS($H$15:$H$264,H241,$I$15:$I$264,I241)&gt;1,"Duplicate row (counted once)",IF(COUNTIF('System map'!$A$4:$A$203,H241)=0,"AIR-ID not on System map",IF(COUNTIF($L$15:$L$64,I241)=0,"Supplier not listed in Table 2b","OK — verify source")))))</f>
        <v/>
      </c>
    </row>
    <row r="242">
      <c r="A242" s="27">
        <f>IF(Components!A231="","",Components!A231)</f>
        <v/>
      </c>
      <c r="B242" s="27">
        <f>IF(OR(A242="",Components!B231=""),"",Components!B231)</f>
        <v/>
      </c>
      <c r="C242" s="27">
        <f>IF(OR(A242="",Components!C231=""),"",Components!C231)</f>
        <v/>
      </c>
      <c r="D242" s="27">
        <f>IF(A242="","",COUNTIFS(Relationships!$B$4:$B$1003,"AIR",Relationships!$D$4:$D$1003,"references",Relationships!$F$4:$F$1003,A242,Relationships!$M$4:$M$1003,"Confirmed",Relationships!$N$4:$N$1003,"OK — verify source"))</f>
        <v/>
      </c>
      <c r="E242" s="49">
        <f>IF(OR(A242="",NOT(ISNUMBER($D$6))),"",D242/$D$6)</f>
        <v/>
      </c>
      <c r="F242" s="27">
        <f>IF(OR(NOT(ISNUMBER(E242)),NOT(ISNUMBER($D$5))),"",IF(AND(D242&gt;0,E242&gt;=$D$5),"Review: concentration",""))</f>
        <v/>
      </c>
      <c r="H242" s="27" t="n"/>
      <c r="I242" s="27" t="n"/>
      <c r="J242" s="27">
        <f>IF(COUNTA(H242:I242)=0,"",IF(OR(H242="",I242=""),"AIR-ID or supplier missing",IF(COUNTIFS($H$15:$H$264,H242,$I$15:$I$264,I242)&gt;1,"Duplicate row (counted once)",IF(COUNTIF('System map'!$A$4:$A$203,H242)=0,"AIR-ID not on System map",IF(COUNTIF($L$15:$L$64,I242)=0,"Supplier not listed in Table 2b","OK — verify source")))))</f>
        <v/>
      </c>
    </row>
    <row r="243">
      <c r="A243" s="25">
        <f>IF(Components!A232="","",Components!A232)</f>
        <v/>
      </c>
      <c r="B243" s="25">
        <f>IF(OR(A243="",Components!B232=""),"",Components!B232)</f>
        <v/>
      </c>
      <c r="C243" s="25">
        <f>IF(OR(A243="",Components!C232=""),"",Components!C232)</f>
        <v/>
      </c>
      <c r="D243" s="25">
        <f>IF(A243="","",COUNTIFS(Relationships!$B$4:$B$1003,"AIR",Relationships!$D$4:$D$1003,"references",Relationships!$F$4:$F$1003,A243,Relationships!$M$4:$M$1003,"Confirmed",Relationships!$N$4:$N$1003,"OK — verify source"))</f>
        <v/>
      </c>
      <c r="E243" s="48">
        <f>IF(OR(A243="",NOT(ISNUMBER($D$6))),"",D243/$D$6)</f>
        <v/>
      </c>
      <c r="F243" s="25">
        <f>IF(OR(NOT(ISNUMBER(E243)),NOT(ISNUMBER($D$5))),"",IF(AND(D243&gt;0,E243&gt;=$D$5),"Review: concentration",""))</f>
        <v/>
      </c>
      <c r="H243" s="25" t="n"/>
      <c r="I243" s="25" t="n"/>
      <c r="J243" s="25">
        <f>IF(COUNTA(H243:I243)=0,"",IF(OR(H243="",I243=""),"AIR-ID or supplier missing",IF(COUNTIFS($H$15:$H$264,H243,$I$15:$I$264,I243)&gt;1,"Duplicate row (counted once)",IF(COUNTIF('System map'!$A$4:$A$203,H243)=0,"AIR-ID not on System map",IF(COUNTIF($L$15:$L$64,I243)=0,"Supplier not listed in Table 2b","OK — verify source")))))</f>
        <v/>
      </c>
    </row>
    <row r="244">
      <c r="A244" s="27">
        <f>IF(Components!A233="","",Components!A233)</f>
        <v/>
      </c>
      <c r="B244" s="27">
        <f>IF(OR(A244="",Components!B233=""),"",Components!B233)</f>
        <v/>
      </c>
      <c r="C244" s="27">
        <f>IF(OR(A244="",Components!C233=""),"",Components!C233)</f>
        <v/>
      </c>
      <c r="D244" s="27">
        <f>IF(A244="","",COUNTIFS(Relationships!$B$4:$B$1003,"AIR",Relationships!$D$4:$D$1003,"references",Relationships!$F$4:$F$1003,A244,Relationships!$M$4:$M$1003,"Confirmed",Relationships!$N$4:$N$1003,"OK — verify source"))</f>
        <v/>
      </c>
      <c r="E244" s="49">
        <f>IF(OR(A244="",NOT(ISNUMBER($D$6))),"",D244/$D$6)</f>
        <v/>
      </c>
      <c r="F244" s="27">
        <f>IF(OR(NOT(ISNUMBER(E244)),NOT(ISNUMBER($D$5))),"",IF(AND(D244&gt;0,E244&gt;=$D$5),"Review: concentration",""))</f>
        <v/>
      </c>
      <c r="H244" s="27" t="n"/>
      <c r="I244" s="27" t="n"/>
      <c r="J244" s="27">
        <f>IF(COUNTA(H244:I244)=0,"",IF(OR(H244="",I244=""),"AIR-ID or supplier missing",IF(COUNTIFS($H$15:$H$264,H244,$I$15:$I$264,I244)&gt;1,"Duplicate row (counted once)",IF(COUNTIF('System map'!$A$4:$A$203,H244)=0,"AIR-ID not on System map",IF(COUNTIF($L$15:$L$64,I244)=0,"Supplier not listed in Table 2b","OK — verify source")))))</f>
        <v/>
      </c>
    </row>
    <row r="245">
      <c r="A245" s="25">
        <f>IF(Components!A234="","",Components!A234)</f>
        <v/>
      </c>
      <c r="B245" s="25">
        <f>IF(OR(A245="",Components!B234=""),"",Components!B234)</f>
        <v/>
      </c>
      <c r="C245" s="25">
        <f>IF(OR(A245="",Components!C234=""),"",Components!C234)</f>
        <v/>
      </c>
      <c r="D245" s="25">
        <f>IF(A245="","",COUNTIFS(Relationships!$B$4:$B$1003,"AIR",Relationships!$D$4:$D$1003,"references",Relationships!$F$4:$F$1003,A245,Relationships!$M$4:$M$1003,"Confirmed",Relationships!$N$4:$N$1003,"OK — verify source"))</f>
        <v/>
      </c>
      <c r="E245" s="48">
        <f>IF(OR(A245="",NOT(ISNUMBER($D$6))),"",D245/$D$6)</f>
        <v/>
      </c>
      <c r="F245" s="25">
        <f>IF(OR(NOT(ISNUMBER(E245)),NOT(ISNUMBER($D$5))),"",IF(AND(D245&gt;0,E245&gt;=$D$5),"Review: concentration",""))</f>
        <v/>
      </c>
      <c r="H245" s="25" t="n"/>
      <c r="I245" s="25" t="n"/>
      <c r="J245" s="25">
        <f>IF(COUNTA(H245:I245)=0,"",IF(OR(H245="",I245=""),"AIR-ID or supplier missing",IF(COUNTIFS($H$15:$H$264,H245,$I$15:$I$264,I245)&gt;1,"Duplicate row (counted once)",IF(COUNTIF('System map'!$A$4:$A$203,H245)=0,"AIR-ID not on System map",IF(COUNTIF($L$15:$L$64,I245)=0,"Supplier not listed in Table 2b","OK — verify source")))))</f>
        <v/>
      </c>
    </row>
    <row r="246">
      <c r="A246" s="27">
        <f>IF(Components!A235="","",Components!A235)</f>
        <v/>
      </c>
      <c r="B246" s="27">
        <f>IF(OR(A246="",Components!B235=""),"",Components!B235)</f>
        <v/>
      </c>
      <c r="C246" s="27">
        <f>IF(OR(A246="",Components!C235=""),"",Components!C235)</f>
        <v/>
      </c>
      <c r="D246" s="27">
        <f>IF(A246="","",COUNTIFS(Relationships!$B$4:$B$1003,"AIR",Relationships!$D$4:$D$1003,"references",Relationships!$F$4:$F$1003,A246,Relationships!$M$4:$M$1003,"Confirmed",Relationships!$N$4:$N$1003,"OK — verify source"))</f>
        <v/>
      </c>
      <c r="E246" s="49">
        <f>IF(OR(A246="",NOT(ISNUMBER($D$6))),"",D246/$D$6)</f>
        <v/>
      </c>
      <c r="F246" s="27">
        <f>IF(OR(NOT(ISNUMBER(E246)),NOT(ISNUMBER($D$5))),"",IF(AND(D246&gt;0,E246&gt;=$D$5),"Review: concentration",""))</f>
        <v/>
      </c>
      <c r="H246" s="27" t="n"/>
      <c r="I246" s="27" t="n"/>
      <c r="J246" s="27">
        <f>IF(COUNTA(H246:I246)=0,"",IF(OR(H246="",I246=""),"AIR-ID or supplier missing",IF(COUNTIFS($H$15:$H$264,H246,$I$15:$I$264,I246)&gt;1,"Duplicate row (counted once)",IF(COUNTIF('System map'!$A$4:$A$203,H246)=0,"AIR-ID not on System map",IF(COUNTIF($L$15:$L$64,I246)=0,"Supplier not listed in Table 2b","OK — verify source")))))</f>
        <v/>
      </c>
    </row>
    <row r="247">
      <c r="A247" s="25">
        <f>IF(Components!A236="","",Components!A236)</f>
        <v/>
      </c>
      <c r="B247" s="25">
        <f>IF(OR(A247="",Components!B236=""),"",Components!B236)</f>
        <v/>
      </c>
      <c r="C247" s="25">
        <f>IF(OR(A247="",Components!C236=""),"",Components!C236)</f>
        <v/>
      </c>
      <c r="D247" s="25">
        <f>IF(A247="","",COUNTIFS(Relationships!$B$4:$B$1003,"AIR",Relationships!$D$4:$D$1003,"references",Relationships!$F$4:$F$1003,A247,Relationships!$M$4:$M$1003,"Confirmed",Relationships!$N$4:$N$1003,"OK — verify source"))</f>
        <v/>
      </c>
      <c r="E247" s="48">
        <f>IF(OR(A247="",NOT(ISNUMBER($D$6))),"",D247/$D$6)</f>
        <v/>
      </c>
      <c r="F247" s="25">
        <f>IF(OR(NOT(ISNUMBER(E247)),NOT(ISNUMBER($D$5))),"",IF(AND(D247&gt;0,E247&gt;=$D$5),"Review: concentration",""))</f>
        <v/>
      </c>
      <c r="H247" s="25" t="n"/>
      <c r="I247" s="25" t="n"/>
      <c r="J247" s="25">
        <f>IF(COUNTA(H247:I247)=0,"",IF(OR(H247="",I247=""),"AIR-ID or supplier missing",IF(COUNTIFS($H$15:$H$264,H247,$I$15:$I$264,I247)&gt;1,"Duplicate row (counted once)",IF(COUNTIF('System map'!$A$4:$A$203,H247)=0,"AIR-ID not on System map",IF(COUNTIF($L$15:$L$64,I247)=0,"Supplier not listed in Table 2b","OK — verify source")))))</f>
        <v/>
      </c>
    </row>
    <row r="248">
      <c r="A248" s="27">
        <f>IF(Components!A237="","",Components!A237)</f>
        <v/>
      </c>
      <c r="B248" s="27">
        <f>IF(OR(A248="",Components!B237=""),"",Components!B237)</f>
        <v/>
      </c>
      <c r="C248" s="27">
        <f>IF(OR(A248="",Components!C237=""),"",Components!C237)</f>
        <v/>
      </c>
      <c r="D248" s="27">
        <f>IF(A248="","",COUNTIFS(Relationships!$B$4:$B$1003,"AIR",Relationships!$D$4:$D$1003,"references",Relationships!$F$4:$F$1003,A248,Relationships!$M$4:$M$1003,"Confirmed",Relationships!$N$4:$N$1003,"OK — verify source"))</f>
        <v/>
      </c>
      <c r="E248" s="49">
        <f>IF(OR(A248="",NOT(ISNUMBER($D$6))),"",D248/$D$6)</f>
        <v/>
      </c>
      <c r="F248" s="27">
        <f>IF(OR(NOT(ISNUMBER(E248)),NOT(ISNUMBER($D$5))),"",IF(AND(D248&gt;0,E248&gt;=$D$5),"Review: concentration",""))</f>
        <v/>
      </c>
      <c r="H248" s="27" t="n"/>
      <c r="I248" s="27" t="n"/>
      <c r="J248" s="27">
        <f>IF(COUNTA(H248:I248)=0,"",IF(OR(H248="",I248=""),"AIR-ID or supplier missing",IF(COUNTIFS($H$15:$H$264,H248,$I$15:$I$264,I248)&gt;1,"Duplicate row (counted once)",IF(COUNTIF('System map'!$A$4:$A$203,H248)=0,"AIR-ID not on System map",IF(COUNTIF($L$15:$L$64,I248)=0,"Supplier not listed in Table 2b","OK — verify source")))))</f>
        <v/>
      </c>
    </row>
    <row r="249">
      <c r="A249" s="25">
        <f>IF(Components!A238="","",Components!A238)</f>
        <v/>
      </c>
      <c r="B249" s="25">
        <f>IF(OR(A249="",Components!B238=""),"",Components!B238)</f>
        <v/>
      </c>
      <c r="C249" s="25">
        <f>IF(OR(A249="",Components!C238=""),"",Components!C238)</f>
        <v/>
      </c>
      <c r="D249" s="25">
        <f>IF(A249="","",COUNTIFS(Relationships!$B$4:$B$1003,"AIR",Relationships!$D$4:$D$1003,"references",Relationships!$F$4:$F$1003,A249,Relationships!$M$4:$M$1003,"Confirmed",Relationships!$N$4:$N$1003,"OK — verify source"))</f>
        <v/>
      </c>
      <c r="E249" s="48">
        <f>IF(OR(A249="",NOT(ISNUMBER($D$6))),"",D249/$D$6)</f>
        <v/>
      </c>
      <c r="F249" s="25">
        <f>IF(OR(NOT(ISNUMBER(E249)),NOT(ISNUMBER($D$5))),"",IF(AND(D249&gt;0,E249&gt;=$D$5),"Review: concentration",""))</f>
        <v/>
      </c>
      <c r="H249" s="25" t="n"/>
      <c r="I249" s="25" t="n"/>
      <c r="J249" s="25">
        <f>IF(COUNTA(H249:I249)=0,"",IF(OR(H249="",I249=""),"AIR-ID or supplier missing",IF(COUNTIFS($H$15:$H$264,H249,$I$15:$I$264,I249)&gt;1,"Duplicate row (counted once)",IF(COUNTIF('System map'!$A$4:$A$203,H249)=0,"AIR-ID not on System map",IF(COUNTIF($L$15:$L$64,I249)=0,"Supplier not listed in Table 2b","OK — verify source")))))</f>
        <v/>
      </c>
    </row>
    <row r="250">
      <c r="A250" s="27">
        <f>IF(Components!A239="","",Components!A239)</f>
        <v/>
      </c>
      <c r="B250" s="27">
        <f>IF(OR(A250="",Components!B239=""),"",Components!B239)</f>
        <v/>
      </c>
      <c r="C250" s="27">
        <f>IF(OR(A250="",Components!C239=""),"",Components!C239)</f>
        <v/>
      </c>
      <c r="D250" s="27">
        <f>IF(A250="","",COUNTIFS(Relationships!$B$4:$B$1003,"AIR",Relationships!$D$4:$D$1003,"references",Relationships!$F$4:$F$1003,A250,Relationships!$M$4:$M$1003,"Confirmed",Relationships!$N$4:$N$1003,"OK — verify source"))</f>
        <v/>
      </c>
      <c r="E250" s="49">
        <f>IF(OR(A250="",NOT(ISNUMBER($D$6))),"",D250/$D$6)</f>
        <v/>
      </c>
      <c r="F250" s="27">
        <f>IF(OR(NOT(ISNUMBER(E250)),NOT(ISNUMBER($D$5))),"",IF(AND(D250&gt;0,E250&gt;=$D$5),"Review: concentration",""))</f>
        <v/>
      </c>
      <c r="H250" s="27" t="n"/>
      <c r="I250" s="27" t="n"/>
      <c r="J250" s="27">
        <f>IF(COUNTA(H250:I250)=0,"",IF(OR(H250="",I250=""),"AIR-ID or supplier missing",IF(COUNTIFS($H$15:$H$264,H250,$I$15:$I$264,I250)&gt;1,"Duplicate row (counted once)",IF(COUNTIF('System map'!$A$4:$A$203,H250)=0,"AIR-ID not on System map",IF(COUNTIF($L$15:$L$64,I250)=0,"Supplier not listed in Table 2b","OK — verify source")))))</f>
        <v/>
      </c>
    </row>
    <row r="251">
      <c r="A251" s="25">
        <f>IF(Components!A240="","",Components!A240)</f>
        <v/>
      </c>
      <c r="B251" s="25">
        <f>IF(OR(A251="",Components!B240=""),"",Components!B240)</f>
        <v/>
      </c>
      <c r="C251" s="25">
        <f>IF(OR(A251="",Components!C240=""),"",Components!C240)</f>
        <v/>
      </c>
      <c r="D251" s="25">
        <f>IF(A251="","",COUNTIFS(Relationships!$B$4:$B$1003,"AIR",Relationships!$D$4:$D$1003,"references",Relationships!$F$4:$F$1003,A251,Relationships!$M$4:$M$1003,"Confirmed",Relationships!$N$4:$N$1003,"OK — verify source"))</f>
        <v/>
      </c>
      <c r="E251" s="48">
        <f>IF(OR(A251="",NOT(ISNUMBER($D$6))),"",D251/$D$6)</f>
        <v/>
      </c>
      <c r="F251" s="25">
        <f>IF(OR(NOT(ISNUMBER(E251)),NOT(ISNUMBER($D$5))),"",IF(AND(D251&gt;0,E251&gt;=$D$5),"Review: concentration",""))</f>
        <v/>
      </c>
      <c r="H251" s="25" t="n"/>
      <c r="I251" s="25" t="n"/>
      <c r="J251" s="25">
        <f>IF(COUNTA(H251:I251)=0,"",IF(OR(H251="",I251=""),"AIR-ID or supplier missing",IF(COUNTIFS($H$15:$H$264,H251,$I$15:$I$264,I251)&gt;1,"Duplicate row (counted once)",IF(COUNTIF('System map'!$A$4:$A$203,H251)=0,"AIR-ID not on System map",IF(COUNTIF($L$15:$L$64,I251)=0,"Supplier not listed in Table 2b","OK — verify source")))))</f>
        <v/>
      </c>
    </row>
    <row r="252">
      <c r="A252" s="27">
        <f>IF(Components!A241="","",Components!A241)</f>
        <v/>
      </c>
      <c r="B252" s="27">
        <f>IF(OR(A252="",Components!B241=""),"",Components!B241)</f>
        <v/>
      </c>
      <c r="C252" s="27">
        <f>IF(OR(A252="",Components!C241=""),"",Components!C241)</f>
        <v/>
      </c>
      <c r="D252" s="27">
        <f>IF(A252="","",COUNTIFS(Relationships!$B$4:$B$1003,"AIR",Relationships!$D$4:$D$1003,"references",Relationships!$F$4:$F$1003,A252,Relationships!$M$4:$M$1003,"Confirmed",Relationships!$N$4:$N$1003,"OK — verify source"))</f>
        <v/>
      </c>
      <c r="E252" s="49">
        <f>IF(OR(A252="",NOT(ISNUMBER($D$6))),"",D252/$D$6)</f>
        <v/>
      </c>
      <c r="F252" s="27">
        <f>IF(OR(NOT(ISNUMBER(E252)),NOT(ISNUMBER($D$5))),"",IF(AND(D252&gt;0,E252&gt;=$D$5),"Review: concentration",""))</f>
        <v/>
      </c>
      <c r="H252" s="27" t="n"/>
      <c r="I252" s="27" t="n"/>
      <c r="J252" s="27">
        <f>IF(COUNTA(H252:I252)=0,"",IF(OR(H252="",I252=""),"AIR-ID or supplier missing",IF(COUNTIFS($H$15:$H$264,H252,$I$15:$I$264,I252)&gt;1,"Duplicate row (counted once)",IF(COUNTIF('System map'!$A$4:$A$203,H252)=0,"AIR-ID not on System map",IF(COUNTIF($L$15:$L$64,I252)=0,"Supplier not listed in Table 2b","OK — verify source")))))</f>
        <v/>
      </c>
    </row>
    <row r="253">
      <c r="A253" s="25">
        <f>IF(Components!A242="","",Components!A242)</f>
        <v/>
      </c>
      <c r="B253" s="25">
        <f>IF(OR(A253="",Components!B242=""),"",Components!B242)</f>
        <v/>
      </c>
      <c r="C253" s="25">
        <f>IF(OR(A253="",Components!C242=""),"",Components!C242)</f>
        <v/>
      </c>
      <c r="D253" s="25">
        <f>IF(A253="","",COUNTIFS(Relationships!$B$4:$B$1003,"AIR",Relationships!$D$4:$D$1003,"references",Relationships!$F$4:$F$1003,A253,Relationships!$M$4:$M$1003,"Confirmed",Relationships!$N$4:$N$1003,"OK — verify source"))</f>
        <v/>
      </c>
      <c r="E253" s="48">
        <f>IF(OR(A253="",NOT(ISNUMBER($D$6))),"",D253/$D$6)</f>
        <v/>
      </c>
      <c r="F253" s="25">
        <f>IF(OR(NOT(ISNUMBER(E253)),NOT(ISNUMBER($D$5))),"",IF(AND(D253&gt;0,E253&gt;=$D$5),"Review: concentration",""))</f>
        <v/>
      </c>
      <c r="H253" s="25" t="n"/>
      <c r="I253" s="25" t="n"/>
      <c r="J253" s="25">
        <f>IF(COUNTA(H253:I253)=0,"",IF(OR(H253="",I253=""),"AIR-ID or supplier missing",IF(COUNTIFS($H$15:$H$264,H253,$I$15:$I$264,I253)&gt;1,"Duplicate row (counted once)",IF(COUNTIF('System map'!$A$4:$A$203,H253)=0,"AIR-ID not on System map",IF(COUNTIF($L$15:$L$64,I253)=0,"Supplier not listed in Table 2b","OK — verify source")))))</f>
        <v/>
      </c>
    </row>
    <row r="254">
      <c r="A254" s="27">
        <f>IF(Components!A243="","",Components!A243)</f>
        <v/>
      </c>
      <c r="B254" s="27">
        <f>IF(OR(A254="",Components!B243=""),"",Components!B243)</f>
        <v/>
      </c>
      <c r="C254" s="27">
        <f>IF(OR(A254="",Components!C243=""),"",Components!C243)</f>
        <v/>
      </c>
      <c r="D254" s="27">
        <f>IF(A254="","",COUNTIFS(Relationships!$B$4:$B$1003,"AIR",Relationships!$D$4:$D$1003,"references",Relationships!$F$4:$F$1003,A254,Relationships!$M$4:$M$1003,"Confirmed",Relationships!$N$4:$N$1003,"OK — verify source"))</f>
        <v/>
      </c>
      <c r="E254" s="49">
        <f>IF(OR(A254="",NOT(ISNUMBER($D$6))),"",D254/$D$6)</f>
        <v/>
      </c>
      <c r="F254" s="27">
        <f>IF(OR(NOT(ISNUMBER(E254)),NOT(ISNUMBER($D$5))),"",IF(AND(D254&gt;0,E254&gt;=$D$5),"Review: concentration",""))</f>
        <v/>
      </c>
      <c r="H254" s="27" t="n"/>
      <c r="I254" s="27" t="n"/>
      <c r="J254" s="27">
        <f>IF(COUNTA(H254:I254)=0,"",IF(OR(H254="",I254=""),"AIR-ID or supplier missing",IF(COUNTIFS($H$15:$H$264,H254,$I$15:$I$264,I254)&gt;1,"Duplicate row (counted once)",IF(COUNTIF('System map'!$A$4:$A$203,H254)=0,"AIR-ID not on System map",IF(COUNTIF($L$15:$L$64,I254)=0,"Supplier not listed in Table 2b","OK — verify source")))))</f>
        <v/>
      </c>
    </row>
    <row r="255">
      <c r="A255" s="25">
        <f>IF(Components!A244="","",Components!A244)</f>
        <v/>
      </c>
      <c r="B255" s="25">
        <f>IF(OR(A255="",Components!B244=""),"",Components!B244)</f>
        <v/>
      </c>
      <c r="C255" s="25">
        <f>IF(OR(A255="",Components!C244=""),"",Components!C244)</f>
        <v/>
      </c>
      <c r="D255" s="25">
        <f>IF(A255="","",COUNTIFS(Relationships!$B$4:$B$1003,"AIR",Relationships!$D$4:$D$1003,"references",Relationships!$F$4:$F$1003,A255,Relationships!$M$4:$M$1003,"Confirmed",Relationships!$N$4:$N$1003,"OK — verify source"))</f>
        <v/>
      </c>
      <c r="E255" s="48">
        <f>IF(OR(A255="",NOT(ISNUMBER($D$6))),"",D255/$D$6)</f>
        <v/>
      </c>
      <c r="F255" s="25">
        <f>IF(OR(NOT(ISNUMBER(E255)),NOT(ISNUMBER($D$5))),"",IF(AND(D255&gt;0,E255&gt;=$D$5),"Review: concentration",""))</f>
        <v/>
      </c>
      <c r="H255" s="25" t="n"/>
      <c r="I255" s="25" t="n"/>
      <c r="J255" s="25">
        <f>IF(COUNTA(H255:I255)=0,"",IF(OR(H255="",I255=""),"AIR-ID or supplier missing",IF(COUNTIFS($H$15:$H$264,H255,$I$15:$I$264,I255)&gt;1,"Duplicate row (counted once)",IF(COUNTIF('System map'!$A$4:$A$203,H255)=0,"AIR-ID not on System map",IF(COUNTIF($L$15:$L$64,I255)=0,"Supplier not listed in Table 2b","OK — verify source")))))</f>
        <v/>
      </c>
    </row>
    <row r="256">
      <c r="A256" s="27">
        <f>IF(Components!A245="","",Components!A245)</f>
        <v/>
      </c>
      <c r="B256" s="27">
        <f>IF(OR(A256="",Components!B245=""),"",Components!B245)</f>
        <v/>
      </c>
      <c r="C256" s="27">
        <f>IF(OR(A256="",Components!C245=""),"",Components!C245)</f>
        <v/>
      </c>
      <c r="D256" s="27">
        <f>IF(A256="","",COUNTIFS(Relationships!$B$4:$B$1003,"AIR",Relationships!$D$4:$D$1003,"references",Relationships!$F$4:$F$1003,A256,Relationships!$M$4:$M$1003,"Confirmed",Relationships!$N$4:$N$1003,"OK — verify source"))</f>
        <v/>
      </c>
      <c r="E256" s="49">
        <f>IF(OR(A256="",NOT(ISNUMBER($D$6))),"",D256/$D$6)</f>
        <v/>
      </c>
      <c r="F256" s="27">
        <f>IF(OR(NOT(ISNUMBER(E256)),NOT(ISNUMBER($D$5))),"",IF(AND(D256&gt;0,E256&gt;=$D$5),"Review: concentration",""))</f>
        <v/>
      </c>
      <c r="H256" s="27" t="n"/>
      <c r="I256" s="27" t="n"/>
      <c r="J256" s="27">
        <f>IF(COUNTA(H256:I256)=0,"",IF(OR(H256="",I256=""),"AIR-ID or supplier missing",IF(COUNTIFS($H$15:$H$264,H256,$I$15:$I$264,I256)&gt;1,"Duplicate row (counted once)",IF(COUNTIF('System map'!$A$4:$A$203,H256)=0,"AIR-ID not on System map",IF(COUNTIF($L$15:$L$64,I256)=0,"Supplier not listed in Table 2b","OK — verify source")))))</f>
        <v/>
      </c>
    </row>
    <row r="257">
      <c r="A257" s="25">
        <f>IF(Components!A246="","",Components!A246)</f>
        <v/>
      </c>
      <c r="B257" s="25">
        <f>IF(OR(A257="",Components!B246=""),"",Components!B246)</f>
        <v/>
      </c>
      <c r="C257" s="25">
        <f>IF(OR(A257="",Components!C246=""),"",Components!C246)</f>
        <v/>
      </c>
      <c r="D257" s="25">
        <f>IF(A257="","",COUNTIFS(Relationships!$B$4:$B$1003,"AIR",Relationships!$D$4:$D$1003,"references",Relationships!$F$4:$F$1003,A257,Relationships!$M$4:$M$1003,"Confirmed",Relationships!$N$4:$N$1003,"OK — verify source"))</f>
        <v/>
      </c>
      <c r="E257" s="48">
        <f>IF(OR(A257="",NOT(ISNUMBER($D$6))),"",D257/$D$6)</f>
        <v/>
      </c>
      <c r="F257" s="25">
        <f>IF(OR(NOT(ISNUMBER(E257)),NOT(ISNUMBER($D$5))),"",IF(AND(D257&gt;0,E257&gt;=$D$5),"Review: concentration",""))</f>
        <v/>
      </c>
      <c r="H257" s="25" t="n"/>
      <c r="I257" s="25" t="n"/>
      <c r="J257" s="25">
        <f>IF(COUNTA(H257:I257)=0,"",IF(OR(H257="",I257=""),"AIR-ID or supplier missing",IF(COUNTIFS($H$15:$H$264,H257,$I$15:$I$264,I257)&gt;1,"Duplicate row (counted once)",IF(COUNTIF('System map'!$A$4:$A$203,H257)=0,"AIR-ID not on System map",IF(COUNTIF($L$15:$L$64,I257)=0,"Supplier not listed in Table 2b","OK — verify source")))))</f>
        <v/>
      </c>
    </row>
    <row r="258">
      <c r="A258" s="27">
        <f>IF(Components!A247="","",Components!A247)</f>
        <v/>
      </c>
      <c r="B258" s="27">
        <f>IF(OR(A258="",Components!B247=""),"",Components!B247)</f>
        <v/>
      </c>
      <c r="C258" s="27">
        <f>IF(OR(A258="",Components!C247=""),"",Components!C247)</f>
        <v/>
      </c>
      <c r="D258" s="27">
        <f>IF(A258="","",COUNTIFS(Relationships!$B$4:$B$1003,"AIR",Relationships!$D$4:$D$1003,"references",Relationships!$F$4:$F$1003,A258,Relationships!$M$4:$M$1003,"Confirmed",Relationships!$N$4:$N$1003,"OK — verify source"))</f>
        <v/>
      </c>
      <c r="E258" s="49">
        <f>IF(OR(A258="",NOT(ISNUMBER($D$6))),"",D258/$D$6)</f>
        <v/>
      </c>
      <c r="F258" s="27">
        <f>IF(OR(NOT(ISNUMBER(E258)),NOT(ISNUMBER($D$5))),"",IF(AND(D258&gt;0,E258&gt;=$D$5),"Review: concentration",""))</f>
        <v/>
      </c>
      <c r="H258" s="27" t="n"/>
      <c r="I258" s="27" t="n"/>
      <c r="J258" s="27">
        <f>IF(COUNTA(H258:I258)=0,"",IF(OR(H258="",I258=""),"AIR-ID or supplier missing",IF(COUNTIFS($H$15:$H$264,H258,$I$15:$I$264,I258)&gt;1,"Duplicate row (counted once)",IF(COUNTIF('System map'!$A$4:$A$203,H258)=0,"AIR-ID not on System map",IF(COUNTIF($L$15:$L$64,I258)=0,"Supplier not listed in Table 2b","OK — verify source")))))</f>
        <v/>
      </c>
    </row>
    <row r="259">
      <c r="A259" s="25">
        <f>IF(Components!A248="","",Components!A248)</f>
        <v/>
      </c>
      <c r="B259" s="25">
        <f>IF(OR(A259="",Components!B248=""),"",Components!B248)</f>
        <v/>
      </c>
      <c r="C259" s="25">
        <f>IF(OR(A259="",Components!C248=""),"",Components!C248)</f>
        <v/>
      </c>
      <c r="D259" s="25">
        <f>IF(A259="","",COUNTIFS(Relationships!$B$4:$B$1003,"AIR",Relationships!$D$4:$D$1003,"references",Relationships!$F$4:$F$1003,A259,Relationships!$M$4:$M$1003,"Confirmed",Relationships!$N$4:$N$1003,"OK — verify source"))</f>
        <v/>
      </c>
      <c r="E259" s="48">
        <f>IF(OR(A259="",NOT(ISNUMBER($D$6))),"",D259/$D$6)</f>
        <v/>
      </c>
      <c r="F259" s="25">
        <f>IF(OR(NOT(ISNUMBER(E259)),NOT(ISNUMBER($D$5))),"",IF(AND(D259&gt;0,E259&gt;=$D$5),"Review: concentration",""))</f>
        <v/>
      </c>
      <c r="H259" s="25" t="n"/>
      <c r="I259" s="25" t="n"/>
      <c r="J259" s="25">
        <f>IF(COUNTA(H259:I259)=0,"",IF(OR(H259="",I259=""),"AIR-ID or supplier missing",IF(COUNTIFS($H$15:$H$264,H259,$I$15:$I$264,I259)&gt;1,"Duplicate row (counted once)",IF(COUNTIF('System map'!$A$4:$A$203,H259)=0,"AIR-ID not on System map",IF(COUNTIF($L$15:$L$64,I259)=0,"Supplier not listed in Table 2b","OK — verify source")))))</f>
        <v/>
      </c>
    </row>
    <row r="260">
      <c r="A260" s="27">
        <f>IF(Components!A249="","",Components!A249)</f>
        <v/>
      </c>
      <c r="B260" s="27">
        <f>IF(OR(A260="",Components!B249=""),"",Components!B249)</f>
        <v/>
      </c>
      <c r="C260" s="27">
        <f>IF(OR(A260="",Components!C249=""),"",Components!C249)</f>
        <v/>
      </c>
      <c r="D260" s="27">
        <f>IF(A260="","",COUNTIFS(Relationships!$B$4:$B$1003,"AIR",Relationships!$D$4:$D$1003,"references",Relationships!$F$4:$F$1003,A260,Relationships!$M$4:$M$1003,"Confirmed",Relationships!$N$4:$N$1003,"OK — verify source"))</f>
        <v/>
      </c>
      <c r="E260" s="49">
        <f>IF(OR(A260="",NOT(ISNUMBER($D$6))),"",D260/$D$6)</f>
        <v/>
      </c>
      <c r="F260" s="27">
        <f>IF(OR(NOT(ISNUMBER(E260)),NOT(ISNUMBER($D$5))),"",IF(AND(D260&gt;0,E260&gt;=$D$5),"Review: concentration",""))</f>
        <v/>
      </c>
      <c r="H260" s="27" t="n"/>
      <c r="I260" s="27" t="n"/>
      <c r="J260" s="27">
        <f>IF(COUNTA(H260:I260)=0,"",IF(OR(H260="",I260=""),"AIR-ID or supplier missing",IF(COUNTIFS($H$15:$H$264,H260,$I$15:$I$264,I260)&gt;1,"Duplicate row (counted once)",IF(COUNTIF('System map'!$A$4:$A$203,H260)=0,"AIR-ID not on System map",IF(COUNTIF($L$15:$L$64,I260)=0,"Supplier not listed in Table 2b","OK — verify source")))))</f>
        <v/>
      </c>
    </row>
    <row r="261">
      <c r="A261" s="25">
        <f>IF(Components!A250="","",Components!A250)</f>
        <v/>
      </c>
      <c r="B261" s="25">
        <f>IF(OR(A261="",Components!B250=""),"",Components!B250)</f>
        <v/>
      </c>
      <c r="C261" s="25">
        <f>IF(OR(A261="",Components!C250=""),"",Components!C250)</f>
        <v/>
      </c>
      <c r="D261" s="25">
        <f>IF(A261="","",COUNTIFS(Relationships!$B$4:$B$1003,"AIR",Relationships!$D$4:$D$1003,"references",Relationships!$F$4:$F$1003,A261,Relationships!$M$4:$M$1003,"Confirmed",Relationships!$N$4:$N$1003,"OK — verify source"))</f>
        <v/>
      </c>
      <c r="E261" s="48">
        <f>IF(OR(A261="",NOT(ISNUMBER($D$6))),"",D261/$D$6)</f>
        <v/>
      </c>
      <c r="F261" s="25">
        <f>IF(OR(NOT(ISNUMBER(E261)),NOT(ISNUMBER($D$5))),"",IF(AND(D261&gt;0,E261&gt;=$D$5),"Review: concentration",""))</f>
        <v/>
      </c>
      <c r="H261" s="25" t="n"/>
      <c r="I261" s="25" t="n"/>
      <c r="J261" s="25">
        <f>IF(COUNTA(H261:I261)=0,"",IF(OR(H261="",I261=""),"AIR-ID or supplier missing",IF(COUNTIFS($H$15:$H$264,H261,$I$15:$I$264,I261)&gt;1,"Duplicate row (counted once)",IF(COUNTIF('System map'!$A$4:$A$203,H261)=0,"AIR-ID not on System map",IF(COUNTIF($L$15:$L$64,I261)=0,"Supplier not listed in Table 2b","OK — verify source")))))</f>
        <v/>
      </c>
    </row>
    <row r="262">
      <c r="A262" s="27">
        <f>IF(Components!A251="","",Components!A251)</f>
        <v/>
      </c>
      <c r="B262" s="27">
        <f>IF(OR(A262="",Components!B251=""),"",Components!B251)</f>
        <v/>
      </c>
      <c r="C262" s="27">
        <f>IF(OR(A262="",Components!C251=""),"",Components!C251)</f>
        <v/>
      </c>
      <c r="D262" s="27">
        <f>IF(A262="","",COUNTIFS(Relationships!$B$4:$B$1003,"AIR",Relationships!$D$4:$D$1003,"references",Relationships!$F$4:$F$1003,A262,Relationships!$M$4:$M$1003,"Confirmed",Relationships!$N$4:$N$1003,"OK — verify source"))</f>
        <v/>
      </c>
      <c r="E262" s="49">
        <f>IF(OR(A262="",NOT(ISNUMBER($D$6))),"",D262/$D$6)</f>
        <v/>
      </c>
      <c r="F262" s="27">
        <f>IF(OR(NOT(ISNUMBER(E262)),NOT(ISNUMBER($D$5))),"",IF(AND(D262&gt;0,E262&gt;=$D$5),"Review: concentration",""))</f>
        <v/>
      </c>
      <c r="H262" s="27" t="n"/>
      <c r="I262" s="27" t="n"/>
      <c r="J262" s="27">
        <f>IF(COUNTA(H262:I262)=0,"",IF(OR(H262="",I262=""),"AIR-ID or supplier missing",IF(COUNTIFS($H$15:$H$264,H262,$I$15:$I$264,I262)&gt;1,"Duplicate row (counted once)",IF(COUNTIF('System map'!$A$4:$A$203,H262)=0,"AIR-ID not on System map",IF(COUNTIF($L$15:$L$64,I262)=0,"Supplier not listed in Table 2b","OK — verify source")))))</f>
        <v/>
      </c>
    </row>
    <row r="263">
      <c r="A263" s="25">
        <f>IF(Components!A252="","",Components!A252)</f>
        <v/>
      </c>
      <c r="B263" s="25">
        <f>IF(OR(A263="",Components!B252=""),"",Components!B252)</f>
        <v/>
      </c>
      <c r="C263" s="25">
        <f>IF(OR(A263="",Components!C252=""),"",Components!C252)</f>
        <v/>
      </c>
      <c r="D263" s="25">
        <f>IF(A263="","",COUNTIFS(Relationships!$B$4:$B$1003,"AIR",Relationships!$D$4:$D$1003,"references",Relationships!$F$4:$F$1003,A263,Relationships!$M$4:$M$1003,"Confirmed",Relationships!$N$4:$N$1003,"OK — verify source"))</f>
        <v/>
      </c>
      <c r="E263" s="48">
        <f>IF(OR(A263="",NOT(ISNUMBER($D$6))),"",D263/$D$6)</f>
        <v/>
      </c>
      <c r="F263" s="25">
        <f>IF(OR(NOT(ISNUMBER(E263)),NOT(ISNUMBER($D$5))),"",IF(AND(D263&gt;0,E263&gt;=$D$5),"Review: concentration",""))</f>
        <v/>
      </c>
      <c r="H263" s="25" t="n"/>
      <c r="I263" s="25" t="n"/>
      <c r="J263" s="25">
        <f>IF(COUNTA(H263:I263)=0,"",IF(OR(H263="",I263=""),"AIR-ID or supplier missing",IF(COUNTIFS($H$15:$H$264,H263,$I$15:$I$264,I263)&gt;1,"Duplicate row (counted once)",IF(COUNTIF('System map'!$A$4:$A$203,H263)=0,"AIR-ID not on System map",IF(COUNTIF($L$15:$L$64,I263)=0,"Supplier not listed in Table 2b","OK — verify source")))))</f>
        <v/>
      </c>
    </row>
    <row r="264">
      <c r="A264" s="27">
        <f>IF(Components!A253="","",Components!A253)</f>
        <v/>
      </c>
      <c r="B264" s="27">
        <f>IF(OR(A264="",Components!B253=""),"",Components!B253)</f>
        <v/>
      </c>
      <c r="C264" s="27">
        <f>IF(OR(A264="",Components!C253=""),"",Components!C253)</f>
        <v/>
      </c>
      <c r="D264" s="27">
        <f>IF(A264="","",COUNTIFS(Relationships!$B$4:$B$1003,"AIR",Relationships!$D$4:$D$1003,"references",Relationships!$F$4:$F$1003,A264,Relationships!$M$4:$M$1003,"Confirmed",Relationships!$N$4:$N$1003,"OK — verify source"))</f>
        <v/>
      </c>
      <c r="E264" s="49">
        <f>IF(OR(A264="",NOT(ISNUMBER($D$6))),"",D264/$D$6)</f>
        <v/>
      </c>
      <c r="F264" s="27">
        <f>IF(OR(NOT(ISNUMBER(E264)),NOT(ISNUMBER($D$5))),"",IF(AND(D264&gt;0,E264&gt;=$D$5),"Review: concentration",""))</f>
        <v/>
      </c>
      <c r="H264" s="27" t="n"/>
      <c r="I264" s="27" t="n"/>
      <c r="J264" s="27">
        <f>IF(COUNTA(H264:I264)=0,"",IF(OR(H264="",I264=""),"AIR-ID or supplier missing",IF(COUNTIFS($H$15:$H$264,H264,$I$15:$I$264,I264)&gt;1,"Duplicate row (counted once)",IF(COUNTIF('System map'!$A$4:$A$203,H264)=0,"AIR-ID not on System map",IF(COUNTIF($L$15:$L$64,I264)=0,"Supplier not listed in Table 2b","OK — verify source")))))</f>
        <v/>
      </c>
    </row>
  </sheetData>
  <mergeCells count="28">
    <mergeCell ref="E5:F5"/>
    <mergeCell ref="H10:O10"/>
    <mergeCell ref="H4:O4"/>
    <mergeCell ref="E8:F8"/>
    <mergeCell ref="H9:O9"/>
    <mergeCell ref="A2:O2"/>
    <mergeCell ref="A5:C5"/>
    <mergeCell ref="E10:F10"/>
    <mergeCell ref="A8:C8"/>
    <mergeCell ref="H13:J13"/>
    <mergeCell ref="H6:O6"/>
    <mergeCell ref="A4:F4"/>
    <mergeCell ref="E9:F9"/>
    <mergeCell ref="A10:C10"/>
    <mergeCell ref="E6:F6"/>
    <mergeCell ref="L13:O13"/>
    <mergeCell ref="A13:F13"/>
    <mergeCell ref="H11:O11"/>
    <mergeCell ref="H7:O7"/>
    <mergeCell ref="E11:F11"/>
    <mergeCell ref="A9:C9"/>
    <mergeCell ref="A11:C11"/>
    <mergeCell ref="E7:F7"/>
    <mergeCell ref="A6:C6"/>
    <mergeCell ref="A1:O1"/>
    <mergeCell ref="A7:C7"/>
    <mergeCell ref="H5:O5"/>
    <mergeCell ref="H8:O8"/>
  </mergeCells>
  <dataValidations count="2">
    <dataValidation sqref="D5" showDropDown="0" showInputMessage="1" showErrorMessage="1" allowBlank="1" errorTitle="Threshold" error="Enter a share between 0% and 100%, or leave blank until the Council sets it." promptTitle="Set by the Council" prompt="Leave blank until the Council sets the threshold for concern." type="decimal" operator="between">
      <formula1>0</formula1>
      <formula2>1</formula2>
    </dataValidation>
    <dataValidation sqref="H15:H264" showDropDown="0" showInputMessage="0" showErrorMessage="1" allowBlank="1" errorTitle="AIR-ID" error="Enter an official AIR-ID from AIG-INV-04 (AIR-nnnn)." type="custom">
      <formula1>AND(LEFT(H15,4)="AIR-",LEN(H15)=8)</formula1>
    </dataValidation>
  </dataValidation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min="1" max="1"/>
    <col width="22" customWidth="1" min="2" max="2"/>
    <col width="55" customWidth="1" min="3" max="3"/>
    <col width="36" customWidth="1" min="4" max="4"/>
    <col width="27" customWidth="1" min="5" max="5"/>
    <col width="18" customWidth="1" min="6" max="6"/>
    <col width="21" customWidth="1" min="7" max="7"/>
    <col width="41" customWidth="1" min="8" max="8"/>
    <col width="18" customWidth="1" min="9" max="9"/>
    <col width="48" customWidth="1" min="10" max="10"/>
  </cols>
  <sheetData>
    <row r="1" ht="34" customHeight="1">
      <c r="A1" s="22" t="inlineStr">
        <is>
          <t>UNKNOWN / ACTION LOG</t>
        </is>
      </c>
    </row>
    <row r="2" ht="44" customHeight="1">
      <c r="A2" s="23" t="inlineStr">
        <is>
          <t>Do not invent links to fill a map. Record missing sources, conflicting IDs, unresolved applicability and who will answer.</t>
        </is>
      </c>
    </row>
    <row r="3" ht="36" customHeight="1">
      <c r="A3" s="24" t="inlineStr">
        <is>
          <t>Action ID</t>
        </is>
      </c>
      <c r="B3" s="24" t="inlineStr">
        <is>
          <t>Node / AIR-ID</t>
        </is>
      </c>
      <c r="C3" s="24" t="inlineStr">
        <is>
          <t>Gap / N-A question</t>
        </is>
      </c>
      <c r="D3" s="24" t="inlineStr">
        <is>
          <t>Impact on map</t>
        </is>
      </c>
      <c r="E3" s="24" t="inlineStr">
        <is>
          <t>Action owner</t>
        </is>
      </c>
      <c r="F3" s="24" t="inlineStr">
        <is>
          <t>Due date</t>
        </is>
      </c>
      <c r="G3" s="24" t="inlineStr">
        <is>
          <t>State</t>
        </is>
      </c>
      <c r="H3" s="24" t="inlineStr">
        <is>
          <t>Evidence / resolution ref</t>
        </is>
      </c>
      <c r="I3" s="24" t="inlineStr">
        <is>
          <t>Resolved on</t>
        </is>
      </c>
      <c r="J3" s="24" t="inlineStr">
        <is>
          <t>Notes</t>
        </is>
      </c>
    </row>
    <row r="4">
      <c r="A4" s="25" t="n"/>
      <c r="B4" s="25" t="n"/>
      <c r="C4" s="25" t="n"/>
      <c r="D4" s="25" t="n"/>
      <c r="E4" s="25" t="n"/>
      <c r="F4" s="26" t="n"/>
      <c r="G4" s="25" t="n"/>
      <c r="H4" s="25" t="n"/>
      <c r="I4" s="26" t="n"/>
      <c r="J4" s="25" t="n"/>
    </row>
    <row r="5">
      <c r="A5" s="27" t="n"/>
      <c r="B5" s="27" t="n"/>
      <c r="C5" s="27" t="n"/>
      <c r="D5" s="27" t="n"/>
      <c r="E5" s="27" t="n"/>
      <c r="F5" s="28" t="n"/>
      <c r="G5" s="27" t="n"/>
      <c r="H5" s="27" t="n"/>
      <c r="I5" s="28" t="n"/>
      <c r="J5" s="27" t="n"/>
    </row>
    <row r="6">
      <c r="A6" s="25" t="n"/>
      <c r="B6" s="25" t="n"/>
      <c r="C6" s="25" t="n"/>
      <c r="D6" s="25" t="n"/>
      <c r="E6" s="25" t="n"/>
      <c r="F6" s="26" t="n"/>
      <c r="G6" s="25" t="n"/>
      <c r="H6" s="25" t="n"/>
      <c r="I6" s="26" t="n"/>
      <c r="J6" s="25" t="n"/>
    </row>
    <row r="7">
      <c r="A7" s="27" t="n"/>
      <c r="B7" s="27" t="n"/>
      <c r="C7" s="27" t="n"/>
      <c r="D7" s="27" t="n"/>
      <c r="E7" s="27" t="n"/>
      <c r="F7" s="28" t="n"/>
      <c r="G7" s="27" t="n"/>
      <c r="H7" s="27" t="n"/>
      <c r="I7" s="28" t="n"/>
      <c r="J7" s="27" t="n"/>
    </row>
    <row r="8">
      <c r="A8" s="25" t="n"/>
      <c r="B8" s="25" t="n"/>
      <c r="C8" s="25" t="n"/>
      <c r="D8" s="25" t="n"/>
      <c r="E8" s="25" t="n"/>
      <c r="F8" s="26" t="n"/>
      <c r="G8" s="25" t="n"/>
      <c r="H8" s="25" t="n"/>
      <c r="I8" s="26" t="n"/>
      <c r="J8" s="25" t="n"/>
    </row>
    <row r="9">
      <c r="A9" s="27" t="n"/>
      <c r="B9" s="27" t="n"/>
      <c r="C9" s="27" t="n"/>
      <c r="D9" s="27" t="n"/>
      <c r="E9" s="27" t="n"/>
      <c r="F9" s="28" t="n"/>
      <c r="G9" s="27" t="n"/>
      <c r="H9" s="27" t="n"/>
      <c r="I9" s="28" t="n"/>
      <c r="J9" s="27" t="n"/>
    </row>
    <row r="10">
      <c r="A10" s="25" t="n"/>
      <c r="B10" s="25" t="n"/>
      <c r="C10" s="25" t="n"/>
      <c r="D10" s="25" t="n"/>
      <c r="E10" s="25" t="n"/>
      <c r="F10" s="26" t="n"/>
      <c r="G10" s="25" t="n"/>
      <c r="H10" s="25" t="n"/>
      <c r="I10" s="26" t="n"/>
      <c r="J10" s="25" t="n"/>
    </row>
    <row r="11">
      <c r="A11" s="27" t="n"/>
      <c r="B11" s="27" t="n"/>
      <c r="C11" s="27" t="n"/>
      <c r="D11" s="27" t="n"/>
      <c r="E11" s="27" t="n"/>
      <c r="F11" s="28" t="n"/>
      <c r="G11" s="27" t="n"/>
      <c r="H11" s="27" t="n"/>
      <c r="I11" s="28" t="n"/>
      <c r="J11" s="27" t="n"/>
    </row>
    <row r="12">
      <c r="A12" s="25" t="n"/>
      <c r="B12" s="25" t="n"/>
      <c r="C12" s="25" t="n"/>
      <c r="D12" s="25" t="n"/>
      <c r="E12" s="25" t="n"/>
      <c r="F12" s="26" t="n"/>
      <c r="G12" s="25" t="n"/>
      <c r="H12" s="25" t="n"/>
      <c r="I12" s="26" t="n"/>
      <c r="J12" s="25" t="n"/>
    </row>
    <row r="13">
      <c r="A13" s="27" t="n"/>
      <c r="B13" s="27" t="n"/>
      <c r="C13" s="27" t="n"/>
      <c r="D13" s="27" t="n"/>
      <c r="E13" s="27" t="n"/>
      <c r="F13" s="28" t="n"/>
      <c r="G13" s="27" t="n"/>
      <c r="H13" s="27" t="n"/>
      <c r="I13" s="28" t="n"/>
      <c r="J13" s="27" t="n"/>
    </row>
    <row r="14">
      <c r="A14" s="25" t="n"/>
      <c r="B14" s="25" t="n"/>
      <c r="C14" s="25" t="n"/>
      <c r="D14" s="25" t="n"/>
      <c r="E14" s="25" t="n"/>
      <c r="F14" s="26" t="n"/>
      <c r="G14" s="25" t="n"/>
      <c r="H14" s="25" t="n"/>
      <c r="I14" s="26" t="n"/>
      <c r="J14" s="25" t="n"/>
    </row>
    <row r="15">
      <c r="A15" s="27" t="n"/>
      <c r="B15" s="27" t="n"/>
      <c r="C15" s="27" t="n"/>
      <c r="D15" s="27" t="n"/>
      <c r="E15" s="27" t="n"/>
      <c r="F15" s="28" t="n"/>
      <c r="G15" s="27" t="n"/>
      <c r="H15" s="27" t="n"/>
      <c r="I15" s="28" t="n"/>
      <c r="J15" s="27" t="n"/>
    </row>
    <row r="16">
      <c r="A16" s="25" t="n"/>
      <c r="B16" s="25" t="n"/>
      <c r="C16" s="25" t="n"/>
      <c r="D16" s="25" t="n"/>
      <c r="E16" s="25" t="n"/>
      <c r="F16" s="26" t="n"/>
      <c r="G16" s="25" t="n"/>
      <c r="H16" s="25" t="n"/>
      <c r="I16" s="26" t="n"/>
      <c r="J16" s="25" t="n"/>
    </row>
    <row r="17">
      <c r="A17" s="27" t="n"/>
      <c r="B17" s="27" t="n"/>
      <c r="C17" s="27" t="n"/>
      <c r="D17" s="27" t="n"/>
      <c r="E17" s="27" t="n"/>
      <c r="F17" s="28" t="n"/>
      <c r="G17" s="27" t="n"/>
      <c r="H17" s="27" t="n"/>
      <c r="I17" s="28" t="n"/>
      <c r="J17" s="27" t="n"/>
    </row>
    <row r="18">
      <c r="A18" s="25" t="n"/>
      <c r="B18" s="25" t="n"/>
      <c r="C18" s="25" t="n"/>
      <c r="D18" s="25" t="n"/>
      <c r="E18" s="25" t="n"/>
      <c r="F18" s="26" t="n"/>
      <c r="G18" s="25" t="n"/>
      <c r="H18" s="25" t="n"/>
      <c r="I18" s="26" t="n"/>
      <c r="J18" s="25" t="n"/>
    </row>
    <row r="19">
      <c r="A19" s="27" t="n"/>
      <c r="B19" s="27" t="n"/>
      <c r="C19" s="27" t="n"/>
      <c r="D19" s="27" t="n"/>
      <c r="E19" s="27" t="n"/>
      <c r="F19" s="28" t="n"/>
      <c r="G19" s="27" t="n"/>
      <c r="H19" s="27" t="n"/>
      <c r="I19" s="28" t="n"/>
      <c r="J19" s="27" t="n"/>
    </row>
    <row r="20">
      <c r="A20" s="25" t="n"/>
      <c r="B20" s="25" t="n"/>
      <c r="C20" s="25" t="n"/>
      <c r="D20" s="25" t="n"/>
      <c r="E20" s="25" t="n"/>
      <c r="F20" s="26" t="n"/>
      <c r="G20" s="25" t="n"/>
      <c r="H20" s="25" t="n"/>
      <c r="I20" s="26" t="n"/>
      <c r="J20" s="25" t="n"/>
    </row>
    <row r="21">
      <c r="A21" s="27" t="n"/>
      <c r="B21" s="27" t="n"/>
      <c r="C21" s="27" t="n"/>
      <c r="D21" s="27" t="n"/>
      <c r="E21" s="27" t="n"/>
      <c r="F21" s="28" t="n"/>
      <c r="G21" s="27" t="n"/>
      <c r="H21" s="27" t="n"/>
      <c r="I21" s="28" t="n"/>
      <c r="J21" s="27" t="n"/>
    </row>
    <row r="22">
      <c r="A22" s="25" t="n"/>
      <c r="B22" s="25" t="n"/>
      <c r="C22" s="25" t="n"/>
      <c r="D22" s="25" t="n"/>
      <c r="E22" s="25" t="n"/>
      <c r="F22" s="26" t="n"/>
      <c r="G22" s="25" t="n"/>
      <c r="H22" s="25" t="n"/>
      <c r="I22" s="26" t="n"/>
      <c r="J22" s="25" t="n"/>
    </row>
    <row r="23">
      <c r="A23" s="27" t="n"/>
      <c r="B23" s="27" t="n"/>
      <c r="C23" s="27" t="n"/>
      <c r="D23" s="27" t="n"/>
      <c r="E23" s="27" t="n"/>
      <c r="F23" s="28" t="n"/>
      <c r="G23" s="27" t="n"/>
      <c r="H23" s="27" t="n"/>
      <c r="I23" s="28" t="n"/>
      <c r="J23" s="27" t="n"/>
    </row>
    <row r="24">
      <c r="A24" s="25" t="n"/>
      <c r="B24" s="25" t="n"/>
      <c r="C24" s="25" t="n"/>
      <c r="D24" s="25" t="n"/>
      <c r="E24" s="25" t="n"/>
      <c r="F24" s="26" t="n"/>
      <c r="G24" s="25" t="n"/>
      <c r="H24" s="25" t="n"/>
      <c r="I24" s="26" t="n"/>
      <c r="J24" s="25" t="n"/>
    </row>
    <row r="25">
      <c r="A25" s="27" t="n"/>
      <c r="B25" s="27" t="n"/>
      <c r="C25" s="27" t="n"/>
      <c r="D25" s="27" t="n"/>
      <c r="E25" s="27" t="n"/>
      <c r="F25" s="28" t="n"/>
      <c r="G25" s="27" t="n"/>
      <c r="H25" s="27" t="n"/>
      <c r="I25" s="28" t="n"/>
      <c r="J25" s="27" t="n"/>
    </row>
    <row r="26">
      <c r="A26" s="25" t="n"/>
      <c r="B26" s="25" t="n"/>
      <c r="C26" s="25" t="n"/>
      <c r="D26" s="25" t="n"/>
      <c r="E26" s="25" t="n"/>
      <c r="F26" s="26" t="n"/>
      <c r="G26" s="25" t="n"/>
      <c r="H26" s="25" t="n"/>
      <c r="I26" s="26" t="n"/>
      <c r="J26" s="25" t="n"/>
    </row>
    <row r="27">
      <c r="A27" s="27" t="n"/>
      <c r="B27" s="27" t="n"/>
      <c r="C27" s="27" t="n"/>
      <c r="D27" s="27" t="n"/>
      <c r="E27" s="27" t="n"/>
      <c r="F27" s="28" t="n"/>
      <c r="G27" s="27" t="n"/>
      <c r="H27" s="27" t="n"/>
      <c r="I27" s="28" t="n"/>
      <c r="J27" s="27" t="n"/>
    </row>
    <row r="28">
      <c r="A28" s="25" t="n"/>
      <c r="B28" s="25" t="n"/>
      <c r="C28" s="25" t="n"/>
      <c r="D28" s="25" t="n"/>
      <c r="E28" s="25" t="n"/>
      <c r="F28" s="26" t="n"/>
      <c r="G28" s="25" t="n"/>
      <c r="H28" s="25" t="n"/>
      <c r="I28" s="26" t="n"/>
      <c r="J28" s="25" t="n"/>
    </row>
    <row r="29">
      <c r="A29" s="27" t="n"/>
      <c r="B29" s="27" t="n"/>
      <c r="C29" s="27" t="n"/>
      <c r="D29" s="27" t="n"/>
      <c r="E29" s="27" t="n"/>
      <c r="F29" s="28" t="n"/>
      <c r="G29" s="27" t="n"/>
      <c r="H29" s="27" t="n"/>
      <c r="I29" s="28" t="n"/>
      <c r="J29" s="27" t="n"/>
    </row>
    <row r="30">
      <c r="A30" s="25" t="n"/>
      <c r="B30" s="25" t="n"/>
      <c r="C30" s="25" t="n"/>
      <c r="D30" s="25" t="n"/>
      <c r="E30" s="25" t="n"/>
      <c r="F30" s="26" t="n"/>
      <c r="G30" s="25" t="n"/>
      <c r="H30" s="25" t="n"/>
      <c r="I30" s="26" t="n"/>
      <c r="J30" s="25" t="n"/>
    </row>
    <row r="31">
      <c r="A31" s="27" t="n"/>
      <c r="B31" s="27" t="n"/>
      <c r="C31" s="27" t="n"/>
      <c r="D31" s="27" t="n"/>
      <c r="E31" s="27" t="n"/>
      <c r="F31" s="28" t="n"/>
      <c r="G31" s="27" t="n"/>
      <c r="H31" s="27" t="n"/>
      <c r="I31" s="28" t="n"/>
      <c r="J31" s="27" t="n"/>
    </row>
    <row r="32">
      <c r="A32" s="25" t="n"/>
      <c r="B32" s="25" t="n"/>
      <c r="C32" s="25" t="n"/>
      <c r="D32" s="25" t="n"/>
      <c r="E32" s="25" t="n"/>
      <c r="F32" s="26" t="n"/>
      <c r="G32" s="25" t="n"/>
      <c r="H32" s="25" t="n"/>
      <c r="I32" s="26" t="n"/>
      <c r="J32" s="25" t="n"/>
    </row>
    <row r="33">
      <c r="A33" s="27" t="n"/>
      <c r="B33" s="27" t="n"/>
      <c r="C33" s="27" t="n"/>
      <c r="D33" s="27" t="n"/>
      <c r="E33" s="27" t="n"/>
      <c r="F33" s="28" t="n"/>
      <c r="G33" s="27" t="n"/>
      <c r="H33" s="27" t="n"/>
      <c r="I33" s="28" t="n"/>
      <c r="J33" s="27" t="n"/>
    </row>
    <row r="34">
      <c r="A34" s="25" t="n"/>
      <c r="B34" s="25" t="n"/>
      <c r="C34" s="25" t="n"/>
      <c r="D34" s="25" t="n"/>
      <c r="E34" s="25" t="n"/>
      <c r="F34" s="26" t="n"/>
      <c r="G34" s="25" t="n"/>
      <c r="H34" s="25" t="n"/>
      <c r="I34" s="26" t="n"/>
      <c r="J34" s="25" t="n"/>
    </row>
    <row r="35">
      <c r="A35" s="27" t="n"/>
      <c r="B35" s="27" t="n"/>
      <c r="C35" s="27" t="n"/>
      <c r="D35" s="27" t="n"/>
      <c r="E35" s="27" t="n"/>
      <c r="F35" s="28" t="n"/>
      <c r="G35" s="27" t="n"/>
      <c r="H35" s="27" t="n"/>
      <c r="I35" s="28" t="n"/>
      <c r="J35" s="27" t="n"/>
    </row>
    <row r="36">
      <c r="A36" s="25" t="n"/>
      <c r="B36" s="25" t="n"/>
      <c r="C36" s="25" t="n"/>
      <c r="D36" s="25" t="n"/>
      <c r="E36" s="25" t="n"/>
      <c r="F36" s="26" t="n"/>
      <c r="G36" s="25" t="n"/>
      <c r="H36" s="25" t="n"/>
      <c r="I36" s="26" t="n"/>
      <c r="J36" s="25" t="n"/>
    </row>
    <row r="37">
      <c r="A37" s="27" t="n"/>
      <c r="B37" s="27" t="n"/>
      <c r="C37" s="27" t="n"/>
      <c r="D37" s="27" t="n"/>
      <c r="E37" s="27" t="n"/>
      <c r="F37" s="28" t="n"/>
      <c r="G37" s="27" t="n"/>
      <c r="H37" s="27" t="n"/>
      <c r="I37" s="28" t="n"/>
      <c r="J37" s="27" t="n"/>
    </row>
    <row r="38">
      <c r="A38" s="25" t="n"/>
      <c r="B38" s="25" t="n"/>
      <c r="C38" s="25" t="n"/>
      <c r="D38" s="25" t="n"/>
      <c r="E38" s="25" t="n"/>
      <c r="F38" s="26" t="n"/>
      <c r="G38" s="25" t="n"/>
      <c r="H38" s="25" t="n"/>
      <c r="I38" s="26" t="n"/>
      <c r="J38" s="25" t="n"/>
    </row>
    <row r="39">
      <c r="A39" s="27" t="n"/>
      <c r="B39" s="27" t="n"/>
      <c r="C39" s="27" t="n"/>
      <c r="D39" s="27" t="n"/>
      <c r="E39" s="27" t="n"/>
      <c r="F39" s="28" t="n"/>
      <c r="G39" s="27" t="n"/>
      <c r="H39" s="27" t="n"/>
      <c r="I39" s="28" t="n"/>
      <c r="J39" s="27" t="n"/>
    </row>
    <row r="40">
      <c r="A40" s="25" t="n"/>
      <c r="B40" s="25" t="n"/>
      <c r="C40" s="25" t="n"/>
      <c r="D40" s="25" t="n"/>
      <c r="E40" s="25" t="n"/>
      <c r="F40" s="26" t="n"/>
      <c r="G40" s="25" t="n"/>
      <c r="H40" s="25" t="n"/>
      <c r="I40" s="26" t="n"/>
      <c r="J40" s="25" t="n"/>
    </row>
    <row r="41">
      <c r="A41" s="27" t="n"/>
      <c r="B41" s="27" t="n"/>
      <c r="C41" s="27" t="n"/>
      <c r="D41" s="27" t="n"/>
      <c r="E41" s="27" t="n"/>
      <c r="F41" s="28" t="n"/>
      <c r="G41" s="27" t="n"/>
      <c r="H41" s="27" t="n"/>
      <c r="I41" s="28" t="n"/>
      <c r="J41" s="27" t="n"/>
    </row>
    <row r="42">
      <c r="A42" s="25" t="n"/>
      <c r="B42" s="25" t="n"/>
      <c r="C42" s="25" t="n"/>
      <c r="D42" s="25" t="n"/>
      <c r="E42" s="25" t="n"/>
      <c r="F42" s="26" t="n"/>
      <c r="G42" s="25" t="n"/>
      <c r="H42" s="25" t="n"/>
      <c r="I42" s="26" t="n"/>
      <c r="J42" s="25" t="n"/>
    </row>
    <row r="43">
      <c r="A43" s="27" t="n"/>
      <c r="B43" s="27" t="n"/>
      <c r="C43" s="27" t="n"/>
      <c r="D43" s="27" t="n"/>
      <c r="E43" s="27" t="n"/>
      <c r="F43" s="28" t="n"/>
      <c r="G43" s="27" t="n"/>
      <c r="H43" s="27" t="n"/>
      <c r="I43" s="28" t="n"/>
      <c r="J43" s="27" t="n"/>
    </row>
    <row r="44">
      <c r="A44" s="25" t="n"/>
      <c r="B44" s="25" t="n"/>
      <c r="C44" s="25" t="n"/>
      <c r="D44" s="25" t="n"/>
      <c r="E44" s="25" t="n"/>
      <c r="F44" s="26" t="n"/>
      <c r="G44" s="25" t="n"/>
      <c r="H44" s="25" t="n"/>
      <c r="I44" s="26" t="n"/>
      <c r="J44" s="25" t="n"/>
    </row>
    <row r="45">
      <c r="A45" s="27" t="n"/>
      <c r="B45" s="27" t="n"/>
      <c r="C45" s="27" t="n"/>
      <c r="D45" s="27" t="n"/>
      <c r="E45" s="27" t="n"/>
      <c r="F45" s="28" t="n"/>
      <c r="G45" s="27" t="n"/>
      <c r="H45" s="27" t="n"/>
      <c r="I45" s="28" t="n"/>
      <c r="J45" s="27" t="n"/>
    </row>
    <row r="46">
      <c r="A46" s="25" t="n"/>
      <c r="B46" s="25" t="n"/>
      <c r="C46" s="25" t="n"/>
      <c r="D46" s="25" t="n"/>
      <c r="E46" s="25" t="n"/>
      <c r="F46" s="26" t="n"/>
      <c r="G46" s="25" t="n"/>
      <c r="H46" s="25" t="n"/>
      <c r="I46" s="26" t="n"/>
      <c r="J46" s="25" t="n"/>
    </row>
    <row r="47">
      <c r="A47" s="27" t="n"/>
      <c r="B47" s="27" t="n"/>
      <c r="C47" s="27" t="n"/>
      <c r="D47" s="27" t="n"/>
      <c r="E47" s="27" t="n"/>
      <c r="F47" s="28" t="n"/>
      <c r="G47" s="27" t="n"/>
      <c r="H47" s="27" t="n"/>
      <c r="I47" s="28" t="n"/>
      <c r="J47" s="27" t="n"/>
    </row>
    <row r="48">
      <c r="A48" s="25" t="n"/>
      <c r="B48" s="25" t="n"/>
      <c r="C48" s="25" t="n"/>
      <c r="D48" s="25" t="n"/>
      <c r="E48" s="25" t="n"/>
      <c r="F48" s="26" t="n"/>
      <c r="G48" s="25" t="n"/>
      <c r="H48" s="25" t="n"/>
      <c r="I48" s="26" t="n"/>
      <c r="J48" s="25" t="n"/>
    </row>
    <row r="49">
      <c r="A49" s="27" t="n"/>
      <c r="B49" s="27" t="n"/>
      <c r="C49" s="27" t="n"/>
      <c r="D49" s="27" t="n"/>
      <c r="E49" s="27" t="n"/>
      <c r="F49" s="28" t="n"/>
      <c r="G49" s="27" t="n"/>
      <c r="H49" s="27" t="n"/>
      <c r="I49" s="28" t="n"/>
      <c r="J49" s="27" t="n"/>
    </row>
    <row r="50">
      <c r="A50" s="25" t="n"/>
      <c r="B50" s="25" t="n"/>
      <c r="C50" s="25" t="n"/>
      <c r="D50" s="25" t="n"/>
      <c r="E50" s="25" t="n"/>
      <c r="F50" s="26" t="n"/>
      <c r="G50" s="25" t="n"/>
      <c r="H50" s="25" t="n"/>
      <c r="I50" s="26" t="n"/>
      <c r="J50" s="25" t="n"/>
    </row>
    <row r="51">
      <c r="A51" s="27" t="n"/>
      <c r="B51" s="27" t="n"/>
      <c r="C51" s="27" t="n"/>
      <c r="D51" s="27" t="n"/>
      <c r="E51" s="27" t="n"/>
      <c r="F51" s="28" t="n"/>
      <c r="G51" s="27" t="n"/>
      <c r="H51" s="27" t="n"/>
      <c r="I51" s="28" t="n"/>
      <c r="J51" s="27" t="n"/>
    </row>
    <row r="52">
      <c r="A52" s="25" t="n"/>
      <c r="B52" s="25" t="n"/>
      <c r="C52" s="25" t="n"/>
      <c r="D52" s="25" t="n"/>
      <c r="E52" s="25" t="n"/>
      <c r="F52" s="26" t="n"/>
      <c r="G52" s="25" t="n"/>
      <c r="H52" s="25" t="n"/>
      <c r="I52" s="26" t="n"/>
      <c r="J52" s="25" t="n"/>
    </row>
    <row r="53">
      <c r="A53" s="27" t="n"/>
      <c r="B53" s="27" t="n"/>
      <c r="C53" s="27" t="n"/>
      <c r="D53" s="27" t="n"/>
      <c r="E53" s="27" t="n"/>
      <c r="F53" s="28" t="n"/>
      <c r="G53" s="27" t="n"/>
      <c r="H53" s="27" t="n"/>
      <c r="I53" s="28" t="n"/>
      <c r="J53" s="27" t="n"/>
    </row>
    <row r="54">
      <c r="A54" s="25" t="n"/>
      <c r="B54" s="25" t="n"/>
      <c r="C54" s="25" t="n"/>
      <c r="D54" s="25" t="n"/>
      <c r="E54" s="25" t="n"/>
      <c r="F54" s="26" t="n"/>
      <c r="G54" s="25" t="n"/>
      <c r="H54" s="25" t="n"/>
      <c r="I54" s="26" t="n"/>
      <c r="J54" s="25" t="n"/>
    </row>
    <row r="55">
      <c r="A55" s="27" t="n"/>
      <c r="B55" s="27" t="n"/>
      <c r="C55" s="27" t="n"/>
      <c r="D55" s="27" t="n"/>
      <c r="E55" s="27" t="n"/>
      <c r="F55" s="28" t="n"/>
      <c r="G55" s="27" t="n"/>
      <c r="H55" s="27" t="n"/>
      <c r="I55" s="28" t="n"/>
      <c r="J55" s="27" t="n"/>
    </row>
    <row r="56">
      <c r="A56" s="25" t="n"/>
      <c r="B56" s="25" t="n"/>
      <c r="C56" s="25" t="n"/>
      <c r="D56" s="25" t="n"/>
      <c r="E56" s="25" t="n"/>
      <c r="F56" s="26" t="n"/>
      <c r="G56" s="25" t="n"/>
      <c r="H56" s="25" t="n"/>
      <c r="I56" s="26" t="n"/>
      <c r="J56" s="25" t="n"/>
    </row>
    <row r="57">
      <c r="A57" s="27" t="n"/>
      <c r="B57" s="27" t="n"/>
      <c r="C57" s="27" t="n"/>
      <c r="D57" s="27" t="n"/>
      <c r="E57" s="27" t="n"/>
      <c r="F57" s="28" t="n"/>
      <c r="G57" s="27" t="n"/>
      <c r="H57" s="27" t="n"/>
      <c r="I57" s="28" t="n"/>
      <c r="J57" s="27" t="n"/>
    </row>
    <row r="58">
      <c r="A58" s="25" t="n"/>
      <c r="B58" s="25" t="n"/>
      <c r="C58" s="25" t="n"/>
      <c r="D58" s="25" t="n"/>
      <c r="E58" s="25" t="n"/>
      <c r="F58" s="26" t="n"/>
      <c r="G58" s="25" t="n"/>
      <c r="H58" s="25" t="n"/>
      <c r="I58" s="26" t="n"/>
      <c r="J58" s="25" t="n"/>
    </row>
    <row r="59">
      <c r="A59" s="27" t="n"/>
      <c r="B59" s="27" t="n"/>
      <c r="C59" s="27" t="n"/>
      <c r="D59" s="27" t="n"/>
      <c r="E59" s="27" t="n"/>
      <c r="F59" s="28" t="n"/>
      <c r="G59" s="27" t="n"/>
      <c r="H59" s="27" t="n"/>
      <c r="I59" s="28" t="n"/>
      <c r="J59" s="27" t="n"/>
    </row>
    <row r="60">
      <c r="A60" s="25" t="n"/>
      <c r="B60" s="25" t="n"/>
      <c r="C60" s="25" t="n"/>
      <c r="D60" s="25" t="n"/>
      <c r="E60" s="25" t="n"/>
      <c r="F60" s="26" t="n"/>
      <c r="G60" s="25" t="n"/>
      <c r="H60" s="25" t="n"/>
      <c r="I60" s="26" t="n"/>
      <c r="J60" s="25" t="n"/>
    </row>
    <row r="61">
      <c r="A61" s="27" t="n"/>
      <c r="B61" s="27" t="n"/>
      <c r="C61" s="27" t="n"/>
      <c r="D61" s="27" t="n"/>
      <c r="E61" s="27" t="n"/>
      <c r="F61" s="28" t="n"/>
      <c r="G61" s="27" t="n"/>
      <c r="H61" s="27" t="n"/>
      <c r="I61" s="28" t="n"/>
      <c r="J61" s="27" t="n"/>
    </row>
    <row r="62">
      <c r="A62" s="25" t="n"/>
      <c r="B62" s="25" t="n"/>
      <c r="C62" s="25" t="n"/>
      <c r="D62" s="25" t="n"/>
      <c r="E62" s="25" t="n"/>
      <c r="F62" s="26" t="n"/>
      <c r="G62" s="25" t="n"/>
      <c r="H62" s="25" t="n"/>
      <c r="I62" s="26" t="n"/>
      <c r="J62" s="25" t="n"/>
    </row>
    <row r="63">
      <c r="A63" s="27" t="n"/>
      <c r="B63" s="27" t="n"/>
      <c r="C63" s="27" t="n"/>
      <c r="D63" s="27" t="n"/>
      <c r="E63" s="27" t="n"/>
      <c r="F63" s="28" t="n"/>
      <c r="G63" s="27" t="n"/>
      <c r="H63" s="27" t="n"/>
      <c r="I63" s="28" t="n"/>
      <c r="J63" s="27" t="n"/>
    </row>
    <row r="64">
      <c r="A64" s="25" t="n"/>
      <c r="B64" s="25" t="n"/>
      <c r="C64" s="25" t="n"/>
      <c r="D64" s="25" t="n"/>
      <c r="E64" s="25" t="n"/>
      <c r="F64" s="26" t="n"/>
      <c r="G64" s="25" t="n"/>
      <c r="H64" s="25" t="n"/>
      <c r="I64" s="26" t="n"/>
      <c r="J64" s="25" t="n"/>
    </row>
    <row r="65">
      <c r="A65" s="27" t="n"/>
      <c r="B65" s="27" t="n"/>
      <c r="C65" s="27" t="n"/>
      <c r="D65" s="27" t="n"/>
      <c r="E65" s="27" t="n"/>
      <c r="F65" s="28" t="n"/>
      <c r="G65" s="27" t="n"/>
      <c r="H65" s="27" t="n"/>
      <c r="I65" s="28" t="n"/>
      <c r="J65" s="27" t="n"/>
    </row>
    <row r="66">
      <c r="A66" s="25" t="n"/>
      <c r="B66" s="25" t="n"/>
      <c r="C66" s="25" t="n"/>
      <c r="D66" s="25" t="n"/>
      <c r="E66" s="25" t="n"/>
      <c r="F66" s="26" t="n"/>
      <c r="G66" s="25" t="n"/>
      <c r="H66" s="25" t="n"/>
      <c r="I66" s="26" t="n"/>
      <c r="J66" s="25" t="n"/>
    </row>
    <row r="67">
      <c r="A67" s="27" t="n"/>
      <c r="B67" s="27" t="n"/>
      <c r="C67" s="27" t="n"/>
      <c r="D67" s="27" t="n"/>
      <c r="E67" s="27" t="n"/>
      <c r="F67" s="28" t="n"/>
      <c r="G67" s="27" t="n"/>
      <c r="H67" s="27" t="n"/>
      <c r="I67" s="28" t="n"/>
      <c r="J67" s="27" t="n"/>
    </row>
    <row r="68">
      <c r="A68" s="25" t="n"/>
      <c r="B68" s="25" t="n"/>
      <c r="C68" s="25" t="n"/>
      <c r="D68" s="25" t="n"/>
      <c r="E68" s="25" t="n"/>
      <c r="F68" s="26" t="n"/>
      <c r="G68" s="25" t="n"/>
      <c r="H68" s="25" t="n"/>
      <c r="I68" s="26" t="n"/>
      <c r="J68" s="25" t="n"/>
    </row>
    <row r="69">
      <c r="A69" s="27" t="n"/>
      <c r="B69" s="27" t="n"/>
      <c r="C69" s="27" t="n"/>
      <c r="D69" s="27" t="n"/>
      <c r="E69" s="27" t="n"/>
      <c r="F69" s="28" t="n"/>
      <c r="G69" s="27" t="n"/>
      <c r="H69" s="27" t="n"/>
      <c r="I69" s="28" t="n"/>
      <c r="J69" s="27" t="n"/>
    </row>
    <row r="70">
      <c r="A70" s="25" t="n"/>
      <c r="B70" s="25" t="n"/>
      <c r="C70" s="25" t="n"/>
      <c r="D70" s="25" t="n"/>
      <c r="E70" s="25" t="n"/>
      <c r="F70" s="26" t="n"/>
      <c r="G70" s="25" t="n"/>
      <c r="H70" s="25" t="n"/>
      <c r="I70" s="26" t="n"/>
      <c r="J70" s="25" t="n"/>
    </row>
    <row r="71">
      <c r="A71" s="27" t="n"/>
      <c r="B71" s="27" t="n"/>
      <c r="C71" s="27" t="n"/>
      <c r="D71" s="27" t="n"/>
      <c r="E71" s="27" t="n"/>
      <c r="F71" s="28" t="n"/>
      <c r="G71" s="27" t="n"/>
      <c r="H71" s="27" t="n"/>
      <c r="I71" s="28" t="n"/>
      <c r="J71" s="27" t="n"/>
    </row>
    <row r="72">
      <c r="A72" s="25" t="n"/>
      <c r="B72" s="25" t="n"/>
      <c r="C72" s="25" t="n"/>
      <c r="D72" s="25" t="n"/>
      <c r="E72" s="25" t="n"/>
      <c r="F72" s="26" t="n"/>
      <c r="G72" s="25" t="n"/>
      <c r="H72" s="25" t="n"/>
      <c r="I72" s="26" t="n"/>
      <c r="J72" s="25" t="n"/>
    </row>
    <row r="73">
      <c r="A73" s="27" t="n"/>
      <c r="B73" s="27" t="n"/>
      <c r="C73" s="27" t="n"/>
      <c r="D73" s="27" t="n"/>
      <c r="E73" s="27" t="n"/>
      <c r="F73" s="28" t="n"/>
      <c r="G73" s="27" t="n"/>
      <c r="H73" s="27" t="n"/>
      <c r="I73" s="28" t="n"/>
      <c r="J73" s="27" t="n"/>
    </row>
    <row r="74">
      <c r="A74" s="25" t="n"/>
      <c r="B74" s="25" t="n"/>
      <c r="C74" s="25" t="n"/>
      <c r="D74" s="25" t="n"/>
      <c r="E74" s="25" t="n"/>
      <c r="F74" s="26" t="n"/>
      <c r="G74" s="25" t="n"/>
      <c r="H74" s="25" t="n"/>
      <c r="I74" s="26" t="n"/>
      <c r="J74" s="25" t="n"/>
    </row>
    <row r="75">
      <c r="A75" s="27" t="n"/>
      <c r="B75" s="27" t="n"/>
      <c r="C75" s="27" t="n"/>
      <c r="D75" s="27" t="n"/>
      <c r="E75" s="27" t="n"/>
      <c r="F75" s="28" t="n"/>
      <c r="G75" s="27" t="n"/>
      <c r="H75" s="27" t="n"/>
      <c r="I75" s="28" t="n"/>
      <c r="J75" s="27" t="n"/>
    </row>
    <row r="76">
      <c r="A76" s="25" t="n"/>
      <c r="B76" s="25" t="n"/>
      <c r="C76" s="25" t="n"/>
      <c r="D76" s="25" t="n"/>
      <c r="E76" s="25" t="n"/>
      <c r="F76" s="26" t="n"/>
      <c r="G76" s="25" t="n"/>
      <c r="H76" s="25" t="n"/>
      <c r="I76" s="26" t="n"/>
      <c r="J76" s="25" t="n"/>
    </row>
    <row r="77">
      <c r="A77" s="27" t="n"/>
      <c r="B77" s="27" t="n"/>
      <c r="C77" s="27" t="n"/>
      <c r="D77" s="27" t="n"/>
      <c r="E77" s="27" t="n"/>
      <c r="F77" s="28" t="n"/>
      <c r="G77" s="27" t="n"/>
      <c r="H77" s="27" t="n"/>
      <c r="I77" s="28" t="n"/>
      <c r="J77" s="27" t="n"/>
    </row>
    <row r="78">
      <c r="A78" s="25" t="n"/>
      <c r="B78" s="25" t="n"/>
      <c r="C78" s="25" t="n"/>
      <c r="D78" s="25" t="n"/>
      <c r="E78" s="25" t="n"/>
      <c r="F78" s="26" t="n"/>
      <c r="G78" s="25" t="n"/>
      <c r="H78" s="25" t="n"/>
      <c r="I78" s="26" t="n"/>
      <c r="J78" s="25" t="n"/>
    </row>
    <row r="79">
      <c r="A79" s="27" t="n"/>
      <c r="B79" s="27" t="n"/>
      <c r="C79" s="27" t="n"/>
      <c r="D79" s="27" t="n"/>
      <c r="E79" s="27" t="n"/>
      <c r="F79" s="28" t="n"/>
      <c r="G79" s="27" t="n"/>
      <c r="H79" s="27" t="n"/>
      <c r="I79" s="28" t="n"/>
      <c r="J79" s="27" t="n"/>
    </row>
    <row r="80">
      <c r="A80" s="25" t="n"/>
      <c r="B80" s="25" t="n"/>
      <c r="C80" s="25" t="n"/>
      <c r="D80" s="25" t="n"/>
      <c r="E80" s="25" t="n"/>
      <c r="F80" s="26" t="n"/>
      <c r="G80" s="25" t="n"/>
      <c r="H80" s="25" t="n"/>
      <c r="I80" s="26" t="n"/>
      <c r="J80" s="25" t="n"/>
    </row>
    <row r="81">
      <c r="A81" s="27" t="n"/>
      <c r="B81" s="27" t="n"/>
      <c r="C81" s="27" t="n"/>
      <c r="D81" s="27" t="n"/>
      <c r="E81" s="27" t="n"/>
      <c r="F81" s="28" t="n"/>
      <c r="G81" s="27" t="n"/>
      <c r="H81" s="27" t="n"/>
      <c r="I81" s="28" t="n"/>
      <c r="J81" s="27" t="n"/>
    </row>
    <row r="82">
      <c r="A82" s="25" t="n"/>
      <c r="B82" s="25" t="n"/>
      <c r="C82" s="25" t="n"/>
      <c r="D82" s="25" t="n"/>
      <c r="E82" s="25" t="n"/>
      <c r="F82" s="26" t="n"/>
      <c r="G82" s="25" t="n"/>
      <c r="H82" s="25" t="n"/>
      <c r="I82" s="26" t="n"/>
      <c r="J82" s="25" t="n"/>
    </row>
    <row r="83">
      <c r="A83" s="27" t="n"/>
      <c r="B83" s="27" t="n"/>
      <c r="C83" s="27" t="n"/>
      <c r="D83" s="27" t="n"/>
      <c r="E83" s="27" t="n"/>
      <c r="F83" s="28" t="n"/>
      <c r="G83" s="27" t="n"/>
      <c r="H83" s="27" t="n"/>
      <c r="I83" s="28" t="n"/>
      <c r="J83" s="27" t="n"/>
    </row>
    <row r="84">
      <c r="A84" s="25" t="n"/>
      <c r="B84" s="25" t="n"/>
      <c r="C84" s="25" t="n"/>
      <c r="D84" s="25" t="n"/>
      <c r="E84" s="25" t="n"/>
      <c r="F84" s="26" t="n"/>
      <c r="G84" s="25" t="n"/>
      <c r="H84" s="25" t="n"/>
      <c r="I84" s="26" t="n"/>
      <c r="J84" s="25" t="n"/>
    </row>
    <row r="85">
      <c r="A85" s="27" t="n"/>
      <c r="B85" s="27" t="n"/>
      <c r="C85" s="27" t="n"/>
      <c r="D85" s="27" t="n"/>
      <c r="E85" s="27" t="n"/>
      <c r="F85" s="28" t="n"/>
      <c r="G85" s="27" t="n"/>
      <c r="H85" s="27" t="n"/>
      <c r="I85" s="28" t="n"/>
      <c r="J85" s="27" t="n"/>
    </row>
    <row r="86">
      <c r="A86" s="25" t="n"/>
      <c r="B86" s="25" t="n"/>
      <c r="C86" s="25" t="n"/>
      <c r="D86" s="25" t="n"/>
      <c r="E86" s="25" t="n"/>
      <c r="F86" s="26" t="n"/>
      <c r="G86" s="25" t="n"/>
      <c r="H86" s="25" t="n"/>
      <c r="I86" s="26" t="n"/>
      <c r="J86" s="25" t="n"/>
    </row>
    <row r="87">
      <c r="A87" s="27" t="n"/>
      <c r="B87" s="27" t="n"/>
      <c r="C87" s="27" t="n"/>
      <c r="D87" s="27" t="n"/>
      <c r="E87" s="27" t="n"/>
      <c r="F87" s="28" t="n"/>
      <c r="G87" s="27" t="n"/>
      <c r="H87" s="27" t="n"/>
      <c r="I87" s="28" t="n"/>
      <c r="J87" s="27" t="n"/>
    </row>
    <row r="88">
      <c r="A88" s="25" t="n"/>
      <c r="B88" s="25" t="n"/>
      <c r="C88" s="25" t="n"/>
      <c r="D88" s="25" t="n"/>
      <c r="E88" s="25" t="n"/>
      <c r="F88" s="26" t="n"/>
      <c r="G88" s="25" t="n"/>
      <c r="H88" s="25" t="n"/>
      <c r="I88" s="26" t="n"/>
      <c r="J88" s="25" t="n"/>
    </row>
    <row r="89">
      <c r="A89" s="27" t="n"/>
      <c r="B89" s="27" t="n"/>
      <c r="C89" s="27" t="n"/>
      <c r="D89" s="27" t="n"/>
      <c r="E89" s="27" t="n"/>
      <c r="F89" s="28" t="n"/>
      <c r="G89" s="27" t="n"/>
      <c r="H89" s="27" t="n"/>
      <c r="I89" s="28" t="n"/>
      <c r="J89" s="27" t="n"/>
    </row>
    <row r="90">
      <c r="A90" s="25" t="n"/>
      <c r="B90" s="25" t="n"/>
      <c r="C90" s="25" t="n"/>
      <c r="D90" s="25" t="n"/>
      <c r="E90" s="25" t="n"/>
      <c r="F90" s="26" t="n"/>
      <c r="G90" s="25" t="n"/>
      <c r="H90" s="25" t="n"/>
      <c r="I90" s="26" t="n"/>
      <c r="J90" s="25" t="n"/>
    </row>
    <row r="91">
      <c r="A91" s="27" t="n"/>
      <c r="B91" s="27" t="n"/>
      <c r="C91" s="27" t="n"/>
      <c r="D91" s="27" t="n"/>
      <c r="E91" s="27" t="n"/>
      <c r="F91" s="28" t="n"/>
      <c r="G91" s="27" t="n"/>
      <c r="H91" s="27" t="n"/>
      <c r="I91" s="28" t="n"/>
      <c r="J91" s="27" t="n"/>
    </row>
    <row r="92">
      <c r="A92" s="25" t="n"/>
      <c r="B92" s="25" t="n"/>
      <c r="C92" s="25" t="n"/>
      <c r="D92" s="25" t="n"/>
      <c r="E92" s="25" t="n"/>
      <c r="F92" s="26" t="n"/>
      <c r="G92" s="25" t="n"/>
      <c r="H92" s="25" t="n"/>
      <c r="I92" s="26" t="n"/>
      <c r="J92" s="25" t="n"/>
    </row>
    <row r="93">
      <c r="A93" s="27" t="n"/>
      <c r="B93" s="27" t="n"/>
      <c r="C93" s="27" t="n"/>
      <c r="D93" s="27" t="n"/>
      <c r="E93" s="27" t="n"/>
      <c r="F93" s="28" t="n"/>
      <c r="G93" s="27" t="n"/>
      <c r="H93" s="27" t="n"/>
      <c r="I93" s="28" t="n"/>
      <c r="J93" s="27" t="n"/>
    </row>
    <row r="94">
      <c r="A94" s="25" t="n"/>
      <c r="B94" s="25" t="n"/>
      <c r="C94" s="25" t="n"/>
      <c r="D94" s="25" t="n"/>
      <c r="E94" s="25" t="n"/>
      <c r="F94" s="26" t="n"/>
      <c r="G94" s="25" t="n"/>
      <c r="H94" s="25" t="n"/>
      <c r="I94" s="26" t="n"/>
      <c r="J94" s="25" t="n"/>
    </row>
    <row r="95">
      <c r="A95" s="27" t="n"/>
      <c r="B95" s="27" t="n"/>
      <c r="C95" s="27" t="n"/>
      <c r="D95" s="27" t="n"/>
      <c r="E95" s="27" t="n"/>
      <c r="F95" s="28" t="n"/>
      <c r="G95" s="27" t="n"/>
      <c r="H95" s="27" t="n"/>
      <c r="I95" s="28" t="n"/>
      <c r="J95" s="27" t="n"/>
    </row>
    <row r="96">
      <c r="A96" s="25" t="n"/>
      <c r="B96" s="25" t="n"/>
      <c r="C96" s="25" t="n"/>
      <c r="D96" s="25" t="n"/>
      <c r="E96" s="25" t="n"/>
      <c r="F96" s="26" t="n"/>
      <c r="G96" s="25" t="n"/>
      <c r="H96" s="25" t="n"/>
      <c r="I96" s="26" t="n"/>
      <c r="J96" s="25" t="n"/>
    </row>
    <row r="97">
      <c r="A97" s="27" t="n"/>
      <c r="B97" s="27" t="n"/>
      <c r="C97" s="27" t="n"/>
      <c r="D97" s="27" t="n"/>
      <c r="E97" s="27" t="n"/>
      <c r="F97" s="28" t="n"/>
      <c r="G97" s="27" t="n"/>
      <c r="H97" s="27" t="n"/>
      <c r="I97" s="28" t="n"/>
      <c r="J97" s="27" t="n"/>
    </row>
    <row r="98">
      <c r="A98" s="25" t="n"/>
      <c r="B98" s="25" t="n"/>
      <c r="C98" s="25" t="n"/>
      <c r="D98" s="25" t="n"/>
      <c r="E98" s="25" t="n"/>
      <c r="F98" s="26" t="n"/>
      <c r="G98" s="25" t="n"/>
      <c r="H98" s="25" t="n"/>
      <c r="I98" s="26" t="n"/>
      <c r="J98" s="25" t="n"/>
    </row>
    <row r="99">
      <c r="A99" s="27" t="n"/>
      <c r="B99" s="27" t="n"/>
      <c r="C99" s="27" t="n"/>
      <c r="D99" s="27" t="n"/>
      <c r="E99" s="27" t="n"/>
      <c r="F99" s="28" t="n"/>
      <c r="G99" s="27" t="n"/>
      <c r="H99" s="27" t="n"/>
      <c r="I99" s="28" t="n"/>
      <c r="J99" s="27" t="n"/>
    </row>
    <row r="100">
      <c r="A100" s="25" t="n"/>
      <c r="B100" s="25" t="n"/>
      <c r="C100" s="25" t="n"/>
      <c r="D100" s="25" t="n"/>
      <c r="E100" s="25" t="n"/>
      <c r="F100" s="26" t="n"/>
      <c r="G100" s="25" t="n"/>
      <c r="H100" s="25" t="n"/>
      <c r="I100" s="26" t="n"/>
      <c r="J100" s="25" t="n"/>
    </row>
    <row r="101">
      <c r="A101" s="27" t="n"/>
      <c r="B101" s="27" t="n"/>
      <c r="C101" s="27" t="n"/>
      <c r="D101" s="27" t="n"/>
      <c r="E101" s="27" t="n"/>
      <c r="F101" s="28" t="n"/>
      <c r="G101" s="27" t="n"/>
      <c r="H101" s="27" t="n"/>
      <c r="I101" s="28" t="n"/>
      <c r="J101" s="27" t="n"/>
    </row>
    <row r="102">
      <c r="A102" s="25" t="n"/>
      <c r="B102" s="25" t="n"/>
      <c r="C102" s="25" t="n"/>
      <c r="D102" s="25" t="n"/>
      <c r="E102" s="25" t="n"/>
      <c r="F102" s="26" t="n"/>
      <c r="G102" s="25" t="n"/>
      <c r="H102" s="25" t="n"/>
      <c r="I102" s="26" t="n"/>
      <c r="J102" s="25" t="n"/>
    </row>
    <row r="103">
      <c r="A103" s="27" t="n"/>
      <c r="B103" s="27" t="n"/>
      <c r="C103" s="27" t="n"/>
      <c r="D103" s="27" t="n"/>
      <c r="E103" s="27" t="n"/>
      <c r="F103" s="28" t="n"/>
      <c r="G103" s="27" t="n"/>
      <c r="H103" s="27" t="n"/>
      <c r="I103" s="28" t="n"/>
      <c r="J103" s="27" t="n"/>
    </row>
    <row r="104">
      <c r="A104" s="25" t="n"/>
      <c r="B104" s="25" t="n"/>
      <c r="C104" s="25" t="n"/>
      <c r="D104" s="25" t="n"/>
      <c r="E104" s="25" t="n"/>
      <c r="F104" s="26" t="n"/>
      <c r="G104" s="25" t="n"/>
      <c r="H104" s="25" t="n"/>
      <c r="I104" s="26" t="n"/>
      <c r="J104" s="25" t="n"/>
    </row>
    <row r="105">
      <c r="A105" s="27" t="n"/>
      <c r="B105" s="27" t="n"/>
      <c r="C105" s="27" t="n"/>
      <c r="D105" s="27" t="n"/>
      <c r="E105" s="27" t="n"/>
      <c r="F105" s="28" t="n"/>
      <c r="G105" s="27" t="n"/>
      <c r="H105" s="27" t="n"/>
      <c r="I105" s="28" t="n"/>
      <c r="J105" s="27" t="n"/>
    </row>
    <row r="106">
      <c r="A106" s="25" t="n"/>
      <c r="B106" s="25" t="n"/>
      <c r="C106" s="25" t="n"/>
      <c r="D106" s="25" t="n"/>
      <c r="E106" s="25" t="n"/>
      <c r="F106" s="26" t="n"/>
      <c r="G106" s="25" t="n"/>
      <c r="H106" s="25" t="n"/>
      <c r="I106" s="26" t="n"/>
      <c r="J106" s="25" t="n"/>
    </row>
    <row r="107">
      <c r="A107" s="27" t="n"/>
      <c r="B107" s="27" t="n"/>
      <c r="C107" s="27" t="n"/>
      <c r="D107" s="27" t="n"/>
      <c r="E107" s="27" t="n"/>
      <c r="F107" s="28" t="n"/>
      <c r="G107" s="27" t="n"/>
      <c r="H107" s="27" t="n"/>
      <c r="I107" s="28" t="n"/>
      <c r="J107" s="27" t="n"/>
    </row>
    <row r="108">
      <c r="A108" s="25" t="n"/>
      <c r="B108" s="25" t="n"/>
      <c r="C108" s="25" t="n"/>
      <c r="D108" s="25" t="n"/>
      <c r="E108" s="25" t="n"/>
      <c r="F108" s="26" t="n"/>
      <c r="G108" s="25" t="n"/>
      <c r="H108" s="25" t="n"/>
      <c r="I108" s="26" t="n"/>
      <c r="J108" s="25" t="n"/>
    </row>
    <row r="109">
      <c r="A109" s="27" t="n"/>
      <c r="B109" s="27" t="n"/>
      <c r="C109" s="27" t="n"/>
      <c r="D109" s="27" t="n"/>
      <c r="E109" s="27" t="n"/>
      <c r="F109" s="28" t="n"/>
      <c r="G109" s="27" t="n"/>
      <c r="H109" s="27" t="n"/>
      <c r="I109" s="28" t="n"/>
      <c r="J109" s="27" t="n"/>
    </row>
    <row r="110">
      <c r="A110" s="25" t="n"/>
      <c r="B110" s="25" t="n"/>
      <c r="C110" s="25" t="n"/>
      <c r="D110" s="25" t="n"/>
      <c r="E110" s="25" t="n"/>
      <c r="F110" s="26" t="n"/>
      <c r="G110" s="25" t="n"/>
      <c r="H110" s="25" t="n"/>
      <c r="I110" s="26" t="n"/>
      <c r="J110" s="25" t="n"/>
    </row>
    <row r="111">
      <c r="A111" s="27" t="n"/>
      <c r="B111" s="27" t="n"/>
      <c r="C111" s="27" t="n"/>
      <c r="D111" s="27" t="n"/>
      <c r="E111" s="27" t="n"/>
      <c r="F111" s="28" t="n"/>
      <c r="G111" s="27" t="n"/>
      <c r="H111" s="27" t="n"/>
      <c r="I111" s="28" t="n"/>
      <c r="J111" s="27" t="n"/>
    </row>
    <row r="112">
      <c r="A112" s="25" t="n"/>
      <c r="B112" s="25" t="n"/>
      <c r="C112" s="25" t="n"/>
      <c r="D112" s="25" t="n"/>
      <c r="E112" s="25" t="n"/>
      <c r="F112" s="26" t="n"/>
      <c r="G112" s="25" t="n"/>
      <c r="H112" s="25" t="n"/>
      <c r="I112" s="26" t="n"/>
      <c r="J112" s="25" t="n"/>
    </row>
    <row r="113">
      <c r="A113" s="27" t="n"/>
      <c r="B113" s="27" t="n"/>
      <c r="C113" s="27" t="n"/>
      <c r="D113" s="27" t="n"/>
      <c r="E113" s="27" t="n"/>
      <c r="F113" s="28" t="n"/>
      <c r="G113" s="27" t="n"/>
      <c r="H113" s="27" t="n"/>
      <c r="I113" s="28" t="n"/>
      <c r="J113" s="27" t="n"/>
    </row>
    <row r="114">
      <c r="A114" s="25" t="n"/>
      <c r="B114" s="25" t="n"/>
      <c r="C114" s="25" t="n"/>
      <c r="D114" s="25" t="n"/>
      <c r="E114" s="25" t="n"/>
      <c r="F114" s="26" t="n"/>
      <c r="G114" s="25" t="n"/>
      <c r="H114" s="25" t="n"/>
      <c r="I114" s="26" t="n"/>
      <c r="J114" s="25" t="n"/>
    </row>
    <row r="115">
      <c r="A115" s="27" t="n"/>
      <c r="B115" s="27" t="n"/>
      <c r="C115" s="27" t="n"/>
      <c r="D115" s="27" t="n"/>
      <c r="E115" s="27" t="n"/>
      <c r="F115" s="28" t="n"/>
      <c r="G115" s="27" t="n"/>
      <c r="H115" s="27" t="n"/>
      <c r="I115" s="28" t="n"/>
      <c r="J115" s="27" t="n"/>
    </row>
    <row r="116">
      <c r="A116" s="25" t="n"/>
      <c r="B116" s="25" t="n"/>
      <c r="C116" s="25" t="n"/>
      <c r="D116" s="25" t="n"/>
      <c r="E116" s="25" t="n"/>
      <c r="F116" s="26" t="n"/>
      <c r="G116" s="25" t="n"/>
      <c r="H116" s="25" t="n"/>
      <c r="I116" s="26" t="n"/>
      <c r="J116" s="25" t="n"/>
    </row>
    <row r="117">
      <c r="A117" s="27" t="n"/>
      <c r="B117" s="27" t="n"/>
      <c r="C117" s="27" t="n"/>
      <c r="D117" s="27" t="n"/>
      <c r="E117" s="27" t="n"/>
      <c r="F117" s="28" t="n"/>
      <c r="G117" s="27" t="n"/>
      <c r="H117" s="27" t="n"/>
      <c r="I117" s="28" t="n"/>
      <c r="J117" s="27" t="n"/>
    </row>
    <row r="118">
      <c r="A118" s="25" t="n"/>
      <c r="B118" s="25" t="n"/>
      <c r="C118" s="25" t="n"/>
      <c r="D118" s="25" t="n"/>
      <c r="E118" s="25" t="n"/>
      <c r="F118" s="26" t="n"/>
      <c r="G118" s="25" t="n"/>
      <c r="H118" s="25" t="n"/>
      <c r="I118" s="26" t="n"/>
      <c r="J118" s="25" t="n"/>
    </row>
    <row r="119">
      <c r="A119" s="27" t="n"/>
      <c r="B119" s="27" t="n"/>
      <c r="C119" s="27" t="n"/>
      <c r="D119" s="27" t="n"/>
      <c r="E119" s="27" t="n"/>
      <c r="F119" s="28" t="n"/>
      <c r="G119" s="27" t="n"/>
      <c r="H119" s="27" t="n"/>
      <c r="I119" s="28" t="n"/>
      <c r="J119" s="27" t="n"/>
    </row>
    <row r="120">
      <c r="A120" s="25" t="n"/>
      <c r="B120" s="25" t="n"/>
      <c r="C120" s="25" t="n"/>
      <c r="D120" s="25" t="n"/>
      <c r="E120" s="25" t="n"/>
      <c r="F120" s="26" t="n"/>
      <c r="G120" s="25" t="n"/>
      <c r="H120" s="25" t="n"/>
      <c r="I120" s="26" t="n"/>
      <c r="J120" s="25" t="n"/>
    </row>
    <row r="121">
      <c r="A121" s="27" t="n"/>
      <c r="B121" s="27" t="n"/>
      <c r="C121" s="27" t="n"/>
      <c r="D121" s="27" t="n"/>
      <c r="E121" s="27" t="n"/>
      <c r="F121" s="28" t="n"/>
      <c r="G121" s="27" t="n"/>
      <c r="H121" s="27" t="n"/>
      <c r="I121" s="28" t="n"/>
      <c r="J121" s="27" t="n"/>
    </row>
    <row r="122">
      <c r="A122" s="25" t="n"/>
      <c r="B122" s="25" t="n"/>
      <c r="C122" s="25" t="n"/>
      <c r="D122" s="25" t="n"/>
      <c r="E122" s="25" t="n"/>
      <c r="F122" s="26" t="n"/>
      <c r="G122" s="25" t="n"/>
      <c r="H122" s="25" t="n"/>
      <c r="I122" s="26" t="n"/>
      <c r="J122" s="25" t="n"/>
    </row>
    <row r="123">
      <c r="A123" s="27" t="n"/>
      <c r="B123" s="27" t="n"/>
      <c r="C123" s="27" t="n"/>
      <c r="D123" s="27" t="n"/>
      <c r="E123" s="27" t="n"/>
      <c r="F123" s="28" t="n"/>
      <c r="G123" s="27" t="n"/>
      <c r="H123" s="27" t="n"/>
      <c r="I123" s="28" t="n"/>
      <c r="J123" s="27" t="n"/>
    </row>
    <row r="124">
      <c r="A124" s="25" t="n"/>
      <c r="B124" s="25" t="n"/>
      <c r="C124" s="25" t="n"/>
      <c r="D124" s="25" t="n"/>
      <c r="E124" s="25" t="n"/>
      <c r="F124" s="26" t="n"/>
      <c r="G124" s="25" t="n"/>
      <c r="H124" s="25" t="n"/>
      <c r="I124" s="26" t="n"/>
      <c r="J124" s="25" t="n"/>
    </row>
    <row r="125">
      <c r="A125" s="27" t="n"/>
      <c r="B125" s="27" t="n"/>
      <c r="C125" s="27" t="n"/>
      <c r="D125" s="27" t="n"/>
      <c r="E125" s="27" t="n"/>
      <c r="F125" s="28" t="n"/>
      <c r="G125" s="27" t="n"/>
      <c r="H125" s="27" t="n"/>
      <c r="I125" s="28" t="n"/>
      <c r="J125" s="27" t="n"/>
    </row>
    <row r="126">
      <c r="A126" s="25" t="n"/>
      <c r="B126" s="25" t="n"/>
      <c r="C126" s="25" t="n"/>
      <c r="D126" s="25" t="n"/>
      <c r="E126" s="25" t="n"/>
      <c r="F126" s="26" t="n"/>
      <c r="G126" s="25" t="n"/>
      <c r="H126" s="25" t="n"/>
      <c r="I126" s="26" t="n"/>
      <c r="J126" s="25" t="n"/>
    </row>
    <row r="127">
      <c r="A127" s="27" t="n"/>
      <c r="B127" s="27" t="n"/>
      <c r="C127" s="27" t="n"/>
      <c r="D127" s="27" t="n"/>
      <c r="E127" s="27" t="n"/>
      <c r="F127" s="28" t="n"/>
      <c r="G127" s="27" t="n"/>
      <c r="H127" s="27" t="n"/>
      <c r="I127" s="28" t="n"/>
      <c r="J127" s="27" t="n"/>
    </row>
    <row r="128">
      <c r="A128" s="25" t="n"/>
      <c r="B128" s="25" t="n"/>
      <c r="C128" s="25" t="n"/>
      <c r="D128" s="25" t="n"/>
      <c r="E128" s="25" t="n"/>
      <c r="F128" s="26" t="n"/>
      <c r="G128" s="25" t="n"/>
      <c r="H128" s="25" t="n"/>
      <c r="I128" s="26" t="n"/>
      <c r="J128" s="25" t="n"/>
    </row>
    <row r="129">
      <c r="A129" s="27" t="n"/>
      <c r="B129" s="27" t="n"/>
      <c r="C129" s="27" t="n"/>
      <c r="D129" s="27" t="n"/>
      <c r="E129" s="27" t="n"/>
      <c r="F129" s="28" t="n"/>
      <c r="G129" s="27" t="n"/>
      <c r="H129" s="27" t="n"/>
      <c r="I129" s="28" t="n"/>
      <c r="J129" s="27" t="n"/>
    </row>
    <row r="130">
      <c r="A130" s="25" t="n"/>
      <c r="B130" s="25" t="n"/>
      <c r="C130" s="25" t="n"/>
      <c r="D130" s="25" t="n"/>
      <c r="E130" s="25" t="n"/>
      <c r="F130" s="26" t="n"/>
      <c r="G130" s="25" t="n"/>
      <c r="H130" s="25" t="n"/>
      <c r="I130" s="26" t="n"/>
      <c r="J130" s="25" t="n"/>
    </row>
    <row r="131">
      <c r="A131" s="27" t="n"/>
      <c r="B131" s="27" t="n"/>
      <c r="C131" s="27" t="n"/>
      <c r="D131" s="27" t="n"/>
      <c r="E131" s="27" t="n"/>
      <c r="F131" s="28" t="n"/>
      <c r="G131" s="27" t="n"/>
      <c r="H131" s="27" t="n"/>
      <c r="I131" s="28" t="n"/>
      <c r="J131" s="27" t="n"/>
    </row>
    <row r="132">
      <c r="A132" s="25" t="n"/>
      <c r="B132" s="25" t="n"/>
      <c r="C132" s="25" t="n"/>
      <c r="D132" s="25" t="n"/>
      <c r="E132" s="25" t="n"/>
      <c r="F132" s="26" t="n"/>
      <c r="G132" s="25" t="n"/>
      <c r="H132" s="25" t="n"/>
      <c r="I132" s="26" t="n"/>
      <c r="J132" s="25" t="n"/>
    </row>
    <row r="133">
      <c r="A133" s="27" t="n"/>
      <c r="B133" s="27" t="n"/>
      <c r="C133" s="27" t="n"/>
      <c r="D133" s="27" t="n"/>
      <c r="E133" s="27" t="n"/>
      <c r="F133" s="28" t="n"/>
      <c r="G133" s="27" t="n"/>
      <c r="H133" s="27" t="n"/>
      <c r="I133" s="28" t="n"/>
      <c r="J133" s="27" t="n"/>
    </row>
    <row r="134">
      <c r="A134" s="25" t="n"/>
      <c r="B134" s="25" t="n"/>
      <c r="C134" s="25" t="n"/>
      <c r="D134" s="25" t="n"/>
      <c r="E134" s="25" t="n"/>
      <c r="F134" s="26" t="n"/>
      <c r="G134" s="25" t="n"/>
      <c r="H134" s="25" t="n"/>
      <c r="I134" s="26" t="n"/>
      <c r="J134" s="25" t="n"/>
    </row>
    <row r="135">
      <c r="A135" s="27" t="n"/>
      <c r="B135" s="27" t="n"/>
      <c r="C135" s="27" t="n"/>
      <c r="D135" s="27" t="n"/>
      <c r="E135" s="27" t="n"/>
      <c r="F135" s="28" t="n"/>
      <c r="G135" s="27" t="n"/>
      <c r="H135" s="27" t="n"/>
      <c r="I135" s="28" t="n"/>
      <c r="J135" s="27" t="n"/>
    </row>
    <row r="136">
      <c r="A136" s="25" t="n"/>
      <c r="B136" s="25" t="n"/>
      <c r="C136" s="25" t="n"/>
      <c r="D136" s="25" t="n"/>
      <c r="E136" s="25" t="n"/>
      <c r="F136" s="26" t="n"/>
      <c r="G136" s="25" t="n"/>
      <c r="H136" s="25" t="n"/>
      <c r="I136" s="26" t="n"/>
      <c r="J136" s="25" t="n"/>
    </row>
    <row r="137">
      <c r="A137" s="27" t="n"/>
      <c r="B137" s="27" t="n"/>
      <c r="C137" s="27" t="n"/>
      <c r="D137" s="27" t="n"/>
      <c r="E137" s="27" t="n"/>
      <c r="F137" s="28" t="n"/>
      <c r="G137" s="27" t="n"/>
      <c r="H137" s="27" t="n"/>
      <c r="I137" s="28" t="n"/>
      <c r="J137" s="27" t="n"/>
    </row>
    <row r="138">
      <c r="A138" s="25" t="n"/>
      <c r="B138" s="25" t="n"/>
      <c r="C138" s="25" t="n"/>
      <c r="D138" s="25" t="n"/>
      <c r="E138" s="25" t="n"/>
      <c r="F138" s="26" t="n"/>
      <c r="G138" s="25" t="n"/>
      <c r="H138" s="25" t="n"/>
      <c r="I138" s="26" t="n"/>
      <c r="J138" s="25" t="n"/>
    </row>
    <row r="139">
      <c r="A139" s="27" t="n"/>
      <c r="B139" s="27" t="n"/>
      <c r="C139" s="27" t="n"/>
      <c r="D139" s="27" t="n"/>
      <c r="E139" s="27" t="n"/>
      <c r="F139" s="28" t="n"/>
      <c r="G139" s="27" t="n"/>
      <c r="H139" s="27" t="n"/>
      <c r="I139" s="28" t="n"/>
      <c r="J139" s="27" t="n"/>
    </row>
    <row r="140">
      <c r="A140" s="25" t="n"/>
      <c r="B140" s="25" t="n"/>
      <c r="C140" s="25" t="n"/>
      <c r="D140" s="25" t="n"/>
      <c r="E140" s="25" t="n"/>
      <c r="F140" s="26" t="n"/>
      <c r="G140" s="25" t="n"/>
      <c r="H140" s="25" t="n"/>
      <c r="I140" s="26" t="n"/>
      <c r="J140" s="25" t="n"/>
    </row>
    <row r="141">
      <c r="A141" s="27" t="n"/>
      <c r="B141" s="27" t="n"/>
      <c r="C141" s="27" t="n"/>
      <c r="D141" s="27" t="n"/>
      <c r="E141" s="27" t="n"/>
      <c r="F141" s="28" t="n"/>
      <c r="G141" s="27" t="n"/>
      <c r="H141" s="27" t="n"/>
      <c r="I141" s="28" t="n"/>
      <c r="J141" s="27" t="n"/>
    </row>
    <row r="142">
      <c r="A142" s="25" t="n"/>
      <c r="B142" s="25" t="n"/>
      <c r="C142" s="25" t="n"/>
      <c r="D142" s="25" t="n"/>
      <c r="E142" s="25" t="n"/>
      <c r="F142" s="26" t="n"/>
      <c r="G142" s="25" t="n"/>
      <c r="H142" s="25" t="n"/>
      <c r="I142" s="26" t="n"/>
      <c r="J142" s="25" t="n"/>
    </row>
    <row r="143">
      <c r="A143" s="27" t="n"/>
      <c r="B143" s="27" t="n"/>
      <c r="C143" s="27" t="n"/>
      <c r="D143" s="27" t="n"/>
      <c r="E143" s="27" t="n"/>
      <c r="F143" s="28" t="n"/>
      <c r="G143" s="27" t="n"/>
      <c r="H143" s="27" t="n"/>
      <c r="I143" s="28" t="n"/>
      <c r="J143" s="27" t="n"/>
    </row>
    <row r="144">
      <c r="A144" s="25" t="n"/>
      <c r="B144" s="25" t="n"/>
      <c r="C144" s="25" t="n"/>
      <c r="D144" s="25" t="n"/>
      <c r="E144" s="25" t="n"/>
      <c r="F144" s="26" t="n"/>
      <c r="G144" s="25" t="n"/>
      <c r="H144" s="25" t="n"/>
      <c r="I144" s="26" t="n"/>
      <c r="J144" s="25" t="n"/>
    </row>
    <row r="145">
      <c r="A145" s="27" t="n"/>
      <c r="B145" s="27" t="n"/>
      <c r="C145" s="27" t="n"/>
      <c r="D145" s="27" t="n"/>
      <c r="E145" s="27" t="n"/>
      <c r="F145" s="28" t="n"/>
      <c r="G145" s="27" t="n"/>
      <c r="H145" s="27" t="n"/>
      <c r="I145" s="28" t="n"/>
      <c r="J145" s="27" t="n"/>
    </row>
    <row r="146">
      <c r="A146" s="25" t="n"/>
      <c r="B146" s="25" t="n"/>
      <c r="C146" s="25" t="n"/>
      <c r="D146" s="25" t="n"/>
      <c r="E146" s="25" t="n"/>
      <c r="F146" s="26" t="n"/>
      <c r="G146" s="25" t="n"/>
      <c r="H146" s="25" t="n"/>
      <c r="I146" s="26" t="n"/>
      <c r="J146" s="25" t="n"/>
    </row>
    <row r="147">
      <c r="A147" s="27" t="n"/>
      <c r="B147" s="27" t="n"/>
      <c r="C147" s="27" t="n"/>
      <c r="D147" s="27" t="n"/>
      <c r="E147" s="27" t="n"/>
      <c r="F147" s="28" t="n"/>
      <c r="G147" s="27" t="n"/>
      <c r="H147" s="27" t="n"/>
      <c r="I147" s="28" t="n"/>
      <c r="J147" s="27" t="n"/>
    </row>
    <row r="148">
      <c r="A148" s="25" t="n"/>
      <c r="B148" s="25" t="n"/>
      <c r="C148" s="25" t="n"/>
      <c r="D148" s="25" t="n"/>
      <c r="E148" s="25" t="n"/>
      <c r="F148" s="26" t="n"/>
      <c r="G148" s="25" t="n"/>
      <c r="H148" s="25" t="n"/>
      <c r="I148" s="26" t="n"/>
      <c r="J148" s="25" t="n"/>
    </row>
    <row r="149">
      <c r="A149" s="27" t="n"/>
      <c r="B149" s="27" t="n"/>
      <c r="C149" s="27" t="n"/>
      <c r="D149" s="27" t="n"/>
      <c r="E149" s="27" t="n"/>
      <c r="F149" s="28" t="n"/>
      <c r="G149" s="27" t="n"/>
      <c r="H149" s="27" t="n"/>
      <c r="I149" s="28" t="n"/>
      <c r="J149" s="27" t="n"/>
    </row>
    <row r="150">
      <c r="A150" s="25" t="n"/>
      <c r="B150" s="25" t="n"/>
      <c r="C150" s="25" t="n"/>
      <c r="D150" s="25" t="n"/>
      <c r="E150" s="25" t="n"/>
      <c r="F150" s="26" t="n"/>
      <c r="G150" s="25" t="n"/>
      <c r="H150" s="25" t="n"/>
      <c r="I150" s="26" t="n"/>
      <c r="J150" s="25" t="n"/>
    </row>
    <row r="151">
      <c r="A151" s="27" t="n"/>
      <c r="B151" s="27" t="n"/>
      <c r="C151" s="27" t="n"/>
      <c r="D151" s="27" t="n"/>
      <c r="E151" s="27" t="n"/>
      <c r="F151" s="28" t="n"/>
      <c r="G151" s="27" t="n"/>
      <c r="H151" s="27" t="n"/>
      <c r="I151" s="28" t="n"/>
      <c r="J151" s="27" t="n"/>
    </row>
    <row r="152">
      <c r="A152" s="25" t="n"/>
      <c r="B152" s="25" t="n"/>
      <c r="C152" s="25" t="n"/>
      <c r="D152" s="25" t="n"/>
      <c r="E152" s="25" t="n"/>
      <c r="F152" s="26" t="n"/>
      <c r="G152" s="25" t="n"/>
      <c r="H152" s="25" t="n"/>
      <c r="I152" s="26" t="n"/>
      <c r="J152" s="25" t="n"/>
    </row>
    <row r="153">
      <c r="A153" s="27" t="n"/>
      <c r="B153" s="27" t="n"/>
      <c r="C153" s="27" t="n"/>
      <c r="D153" s="27" t="n"/>
      <c r="E153" s="27" t="n"/>
      <c r="F153" s="28" t="n"/>
      <c r="G153" s="27" t="n"/>
      <c r="H153" s="27" t="n"/>
      <c r="I153" s="28" t="n"/>
      <c r="J153" s="27" t="n"/>
    </row>
    <row r="154">
      <c r="A154" s="25" t="n"/>
      <c r="B154" s="25" t="n"/>
      <c r="C154" s="25" t="n"/>
      <c r="D154" s="25" t="n"/>
      <c r="E154" s="25" t="n"/>
      <c r="F154" s="26" t="n"/>
      <c r="G154" s="25" t="n"/>
      <c r="H154" s="25" t="n"/>
      <c r="I154" s="26" t="n"/>
      <c r="J154" s="25" t="n"/>
    </row>
    <row r="155">
      <c r="A155" s="27" t="n"/>
      <c r="B155" s="27" t="n"/>
      <c r="C155" s="27" t="n"/>
      <c r="D155" s="27" t="n"/>
      <c r="E155" s="27" t="n"/>
      <c r="F155" s="28" t="n"/>
      <c r="G155" s="27" t="n"/>
      <c r="H155" s="27" t="n"/>
      <c r="I155" s="28" t="n"/>
      <c r="J155" s="27" t="n"/>
    </row>
    <row r="156">
      <c r="A156" s="25" t="n"/>
      <c r="B156" s="25" t="n"/>
      <c r="C156" s="25" t="n"/>
      <c r="D156" s="25" t="n"/>
      <c r="E156" s="25" t="n"/>
      <c r="F156" s="26" t="n"/>
      <c r="G156" s="25" t="n"/>
      <c r="H156" s="25" t="n"/>
      <c r="I156" s="26" t="n"/>
      <c r="J156" s="25" t="n"/>
    </row>
    <row r="157">
      <c r="A157" s="27" t="n"/>
      <c r="B157" s="27" t="n"/>
      <c r="C157" s="27" t="n"/>
      <c r="D157" s="27" t="n"/>
      <c r="E157" s="27" t="n"/>
      <c r="F157" s="28" t="n"/>
      <c r="G157" s="27" t="n"/>
      <c r="H157" s="27" t="n"/>
      <c r="I157" s="28" t="n"/>
      <c r="J157" s="27" t="n"/>
    </row>
    <row r="158">
      <c r="A158" s="25" t="n"/>
      <c r="B158" s="25" t="n"/>
      <c r="C158" s="25" t="n"/>
      <c r="D158" s="25" t="n"/>
      <c r="E158" s="25" t="n"/>
      <c r="F158" s="26" t="n"/>
      <c r="G158" s="25" t="n"/>
      <c r="H158" s="25" t="n"/>
      <c r="I158" s="26" t="n"/>
      <c r="J158" s="25" t="n"/>
    </row>
    <row r="159">
      <c r="A159" s="27" t="n"/>
      <c r="B159" s="27" t="n"/>
      <c r="C159" s="27" t="n"/>
      <c r="D159" s="27" t="n"/>
      <c r="E159" s="27" t="n"/>
      <c r="F159" s="28" t="n"/>
      <c r="G159" s="27" t="n"/>
      <c r="H159" s="27" t="n"/>
      <c r="I159" s="28" t="n"/>
      <c r="J159" s="27" t="n"/>
    </row>
    <row r="160">
      <c r="A160" s="25" t="n"/>
      <c r="B160" s="25" t="n"/>
      <c r="C160" s="25" t="n"/>
      <c r="D160" s="25" t="n"/>
      <c r="E160" s="25" t="n"/>
      <c r="F160" s="26" t="n"/>
      <c r="G160" s="25" t="n"/>
      <c r="H160" s="25" t="n"/>
      <c r="I160" s="26" t="n"/>
      <c r="J160" s="25" t="n"/>
    </row>
    <row r="161">
      <c r="A161" s="27" t="n"/>
      <c r="B161" s="27" t="n"/>
      <c r="C161" s="27" t="n"/>
      <c r="D161" s="27" t="n"/>
      <c r="E161" s="27" t="n"/>
      <c r="F161" s="28" t="n"/>
      <c r="G161" s="27" t="n"/>
      <c r="H161" s="27" t="n"/>
      <c r="I161" s="28" t="n"/>
      <c r="J161" s="27" t="n"/>
    </row>
    <row r="162">
      <c r="A162" s="25" t="n"/>
      <c r="B162" s="25" t="n"/>
      <c r="C162" s="25" t="n"/>
      <c r="D162" s="25" t="n"/>
      <c r="E162" s="25" t="n"/>
      <c r="F162" s="26" t="n"/>
      <c r="G162" s="25" t="n"/>
      <c r="H162" s="25" t="n"/>
      <c r="I162" s="26" t="n"/>
      <c r="J162" s="25" t="n"/>
    </row>
    <row r="163">
      <c r="A163" s="27" t="n"/>
      <c r="B163" s="27" t="n"/>
      <c r="C163" s="27" t="n"/>
      <c r="D163" s="27" t="n"/>
      <c r="E163" s="27" t="n"/>
      <c r="F163" s="28" t="n"/>
      <c r="G163" s="27" t="n"/>
      <c r="H163" s="27" t="n"/>
      <c r="I163" s="28" t="n"/>
      <c r="J163" s="27" t="n"/>
    </row>
    <row r="164">
      <c r="A164" s="25" t="n"/>
      <c r="B164" s="25" t="n"/>
      <c r="C164" s="25" t="n"/>
      <c r="D164" s="25" t="n"/>
      <c r="E164" s="25" t="n"/>
      <c r="F164" s="26" t="n"/>
      <c r="G164" s="25" t="n"/>
      <c r="H164" s="25" t="n"/>
      <c r="I164" s="26" t="n"/>
      <c r="J164" s="25" t="n"/>
    </row>
    <row r="165">
      <c r="A165" s="27" t="n"/>
      <c r="B165" s="27" t="n"/>
      <c r="C165" s="27" t="n"/>
      <c r="D165" s="27" t="n"/>
      <c r="E165" s="27" t="n"/>
      <c r="F165" s="28" t="n"/>
      <c r="G165" s="27" t="n"/>
      <c r="H165" s="27" t="n"/>
      <c r="I165" s="28" t="n"/>
      <c r="J165" s="27" t="n"/>
    </row>
    <row r="166">
      <c r="A166" s="25" t="n"/>
      <c r="B166" s="25" t="n"/>
      <c r="C166" s="25" t="n"/>
      <c r="D166" s="25" t="n"/>
      <c r="E166" s="25" t="n"/>
      <c r="F166" s="26" t="n"/>
      <c r="G166" s="25" t="n"/>
      <c r="H166" s="25" t="n"/>
      <c r="I166" s="26" t="n"/>
      <c r="J166" s="25" t="n"/>
    </row>
    <row r="167">
      <c r="A167" s="27" t="n"/>
      <c r="B167" s="27" t="n"/>
      <c r="C167" s="27" t="n"/>
      <c r="D167" s="27" t="n"/>
      <c r="E167" s="27" t="n"/>
      <c r="F167" s="28" t="n"/>
      <c r="G167" s="27" t="n"/>
      <c r="H167" s="27" t="n"/>
      <c r="I167" s="28" t="n"/>
      <c r="J167" s="27" t="n"/>
    </row>
    <row r="168">
      <c r="A168" s="25" t="n"/>
      <c r="B168" s="25" t="n"/>
      <c r="C168" s="25" t="n"/>
      <c r="D168" s="25" t="n"/>
      <c r="E168" s="25" t="n"/>
      <c r="F168" s="26" t="n"/>
      <c r="G168" s="25" t="n"/>
      <c r="H168" s="25" t="n"/>
      <c r="I168" s="26" t="n"/>
      <c r="J168" s="25" t="n"/>
    </row>
    <row r="169">
      <c r="A169" s="27" t="n"/>
      <c r="B169" s="27" t="n"/>
      <c r="C169" s="27" t="n"/>
      <c r="D169" s="27" t="n"/>
      <c r="E169" s="27" t="n"/>
      <c r="F169" s="28" t="n"/>
      <c r="G169" s="27" t="n"/>
      <c r="H169" s="27" t="n"/>
      <c r="I169" s="28" t="n"/>
      <c r="J169" s="27" t="n"/>
    </row>
    <row r="170">
      <c r="A170" s="25" t="n"/>
      <c r="B170" s="25" t="n"/>
      <c r="C170" s="25" t="n"/>
      <c r="D170" s="25" t="n"/>
      <c r="E170" s="25" t="n"/>
      <c r="F170" s="26" t="n"/>
      <c r="G170" s="25" t="n"/>
      <c r="H170" s="25" t="n"/>
      <c r="I170" s="26" t="n"/>
      <c r="J170" s="25" t="n"/>
    </row>
    <row r="171">
      <c r="A171" s="27" t="n"/>
      <c r="B171" s="27" t="n"/>
      <c r="C171" s="27" t="n"/>
      <c r="D171" s="27" t="n"/>
      <c r="E171" s="27" t="n"/>
      <c r="F171" s="28" t="n"/>
      <c r="G171" s="27" t="n"/>
      <c r="H171" s="27" t="n"/>
      <c r="I171" s="28" t="n"/>
      <c r="J171" s="27" t="n"/>
    </row>
    <row r="172">
      <c r="A172" s="25" t="n"/>
      <c r="B172" s="25" t="n"/>
      <c r="C172" s="25" t="n"/>
      <c r="D172" s="25" t="n"/>
      <c r="E172" s="25" t="n"/>
      <c r="F172" s="26" t="n"/>
      <c r="G172" s="25" t="n"/>
      <c r="H172" s="25" t="n"/>
      <c r="I172" s="26" t="n"/>
      <c r="J172" s="25" t="n"/>
    </row>
    <row r="173">
      <c r="A173" s="27" t="n"/>
      <c r="B173" s="27" t="n"/>
      <c r="C173" s="27" t="n"/>
      <c r="D173" s="27" t="n"/>
      <c r="E173" s="27" t="n"/>
      <c r="F173" s="28" t="n"/>
      <c r="G173" s="27" t="n"/>
      <c r="H173" s="27" t="n"/>
      <c r="I173" s="28" t="n"/>
      <c r="J173" s="27" t="n"/>
    </row>
    <row r="174">
      <c r="A174" s="25" t="n"/>
      <c r="B174" s="25" t="n"/>
      <c r="C174" s="25" t="n"/>
      <c r="D174" s="25" t="n"/>
      <c r="E174" s="25" t="n"/>
      <c r="F174" s="26" t="n"/>
      <c r="G174" s="25" t="n"/>
      <c r="H174" s="25" t="n"/>
      <c r="I174" s="26" t="n"/>
      <c r="J174" s="25" t="n"/>
    </row>
    <row r="175">
      <c r="A175" s="27" t="n"/>
      <c r="B175" s="27" t="n"/>
      <c r="C175" s="27" t="n"/>
      <c r="D175" s="27" t="n"/>
      <c r="E175" s="27" t="n"/>
      <c r="F175" s="28" t="n"/>
      <c r="G175" s="27" t="n"/>
      <c r="H175" s="27" t="n"/>
      <c r="I175" s="28" t="n"/>
      <c r="J175" s="27" t="n"/>
    </row>
    <row r="176">
      <c r="A176" s="25" t="n"/>
      <c r="B176" s="25" t="n"/>
      <c r="C176" s="25" t="n"/>
      <c r="D176" s="25" t="n"/>
      <c r="E176" s="25" t="n"/>
      <c r="F176" s="26" t="n"/>
      <c r="G176" s="25" t="n"/>
      <c r="H176" s="25" t="n"/>
      <c r="I176" s="26" t="n"/>
      <c r="J176" s="25" t="n"/>
    </row>
    <row r="177">
      <c r="A177" s="27" t="n"/>
      <c r="B177" s="27" t="n"/>
      <c r="C177" s="27" t="n"/>
      <c r="D177" s="27" t="n"/>
      <c r="E177" s="27" t="n"/>
      <c r="F177" s="28" t="n"/>
      <c r="G177" s="27" t="n"/>
      <c r="H177" s="27" t="n"/>
      <c r="I177" s="28" t="n"/>
      <c r="J177" s="27" t="n"/>
    </row>
    <row r="178">
      <c r="A178" s="25" t="n"/>
      <c r="B178" s="25" t="n"/>
      <c r="C178" s="25" t="n"/>
      <c r="D178" s="25" t="n"/>
      <c r="E178" s="25" t="n"/>
      <c r="F178" s="26" t="n"/>
      <c r="G178" s="25" t="n"/>
      <c r="H178" s="25" t="n"/>
      <c r="I178" s="26" t="n"/>
      <c r="J178" s="25" t="n"/>
    </row>
    <row r="179">
      <c r="A179" s="27" t="n"/>
      <c r="B179" s="27" t="n"/>
      <c r="C179" s="27" t="n"/>
      <c r="D179" s="27" t="n"/>
      <c r="E179" s="27" t="n"/>
      <c r="F179" s="28" t="n"/>
      <c r="G179" s="27" t="n"/>
      <c r="H179" s="27" t="n"/>
      <c r="I179" s="28" t="n"/>
      <c r="J179" s="27" t="n"/>
    </row>
    <row r="180">
      <c r="A180" s="25" t="n"/>
      <c r="B180" s="25" t="n"/>
      <c r="C180" s="25" t="n"/>
      <c r="D180" s="25" t="n"/>
      <c r="E180" s="25" t="n"/>
      <c r="F180" s="26" t="n"/>
      <c r="G180" s="25" t="n"/>
      <c r="H180" s="25" t="n"/>
      <c r="I180" s="26" t="n"/>
      <c r="J180" s="25" t="n"/>
    </row>
    <row r="181">
      <c r="A181" s="27" t="n"/>
      <c r="B181" s="27" t="n"/>
      <c r="C181" s="27" t="n"/>
      <c r="D181" s="27" t="n"/>
      <c r="E181" s="27" t="n"/>
      <c r="F181" s="28" t="n"/>
      <c r="G181" s="27" t="n"/>
      <c r="H181" s="27" t="n"/>
      <c r="I181" s="28" t="n"/>
      <c r="J181" s="27" t="n"/>
    </row>
    <row r="182">
      <c r="A182" s="25" t="n"/>
      <c r="B182" s="25" t="n"/>
      <c r="C182" s="25" t="n"/>
      <c r="D182" s="25" t="n"/>
      <c r="E182" s="25" t="n"/>
      <c r="F182" s="26" t="n"/>
      <c r="G182" s="25" t="n"/>
      <c r="H182" s="25" t="n"/>
      <c r="I182" s="26" t="n"/>
      <c r="J182" s="25" t="n"/>
    </row>
    <row r="183">
      <c r="A183" s="27" t="n"/>
      <c r="B183" s="27" t="n"/>
      <c r="C183" s="27" t="n"/>
      <c r="D183" s="27" t="n"/>
      <c r="E183" s="27" t="n"/>
      <c r="F183" s="28" t="n"/>
      <c r="G183" s="27" t="n"/>
      <c r="H183" s="27" t="n"/>
      <c r="I183" s="28" t="n"/>
      <c r="J183" s="27" t="n"/>
    </row>
    <row r="184">
      <c r="A184" s="25" t="n"/>
      <c r="B184" s="25" t="n"/>
      <c r="C184" s="25" t="n"/>
      <c r="D184" s="25" t="n"/>
      <c r="E184" s="25" t="n"/>
      <c r="F184" s="26" t="n"/>
      <c r="G184" s="25" t="n"/>
      <c r="H184" s="25" t="n"/>
      <c r="I184" s="26" t="n"/>
      <c r="J184" s="25" t="n"/>
    </row>
    <row r="185">
      <c r="A185" s="27" t="n"/>
      <c r="B185" s="27" t="n"/>
      <c r="C185" s="27" t="n"/>
      <c r="D185" s="27" t="n"/>
      <c r="E185" s="27" t="n"/>
      <c r="F185" s="28" t="n"/>
      <c r="G185" s="27" t="n"/>
      <c r="H185" s="27" t="n"/>
      <c r="I185" s="28" t="n"/>
      <c r="J185" s="27" t="n"/>
    </row>
    <row r="186">
      <c r="A186" s="25" t="n"/>
      <c r="B186" s="25" t="n"/>
      <c r="C186" s="25" t="n"/>
      <c r="D186" s="25" t="n"/>
      <c r="E186" s="25" t="n"/>
      <c r="F186" s="26" t="n"/>
      <c r="G186" s="25" t="n"/>
      <c r="H186" s="25" t="n"/>
      <c r="I186" s="26" t="n"/>
      <c r="J186" s="25" t="n"/>
    </row>
    <row r="187">
      <c r="A187" s="27" t="n"/>
      <c r="B187" s="27" t="n"/>
      <c r="C187" s="27" t="n"/>
      <c r="D187" s="27" t="n"/>
      <c r="E187" s="27" t="n"/>
      <c r="F187" s="28" t="n"/>
      <c r="G187" s="27" t="n"/>
      <c r="H187" s="27" t="n"/>
      <c r="I187" s="28" t="n"/>
      <c r="J187" s="27" t="n"/>
    </row>
    <row r="188">
      <c r="A188" s="25" t="n"/>
      <c r="B188" s="25" t="n"/>
      <c r="C188" s="25" t="n"/>
      <c r="D188" s="25" t="n"/>
      <c r="E188" s="25" t="n"/>
      <c r="F188" s="26" t="n"/>
      <c r="G188" s="25" t="n"/>
      <c r="H188" s="25" t="n"/>
      <c r="I188" s="26" t="n"/>
      <c r="J188" s="25" t="n"/>
    </row>
    <row r="189">
      <c r="A189" s="27" t="n"/>
      <c r="B189" s="27" t="n"/>
      <c r="C189" s="27" t="n"/>
      <c r="D189" s="27" t="n"/>
      <c r="E189" s="27" t="n"/>
      <c r="F189" s="28" t="n"/>
      <c r="G189" s="27" t="n"/>
      <c r="H189" s="27" t="n"/>
      <c r="I189" s="28" t="n"/>
      <c r="J189" s="27" t="n"/>
    </row>
    <row r="190">
      <c r="A190" s="25" t="n"/>
      <c r="B190" s="25" t="n"/>
      <c r="C190" s="25" t="n"/>
      <c r="D190" s="25" t="n"/>
      <c r="E190" s="25" t="n"/>
      <c r="F190" s="26" t="n"/>
      <c r="G190" s="25" t="n"/>
      <c r="H190" s="25" t="n"/>
      <c r="I190" s="26" t="n"/>
      <c r="J190" s="25" t="n"/>
    </row>
    <row r="191">
      <c r="A191" s="27" t="n"/>
      <c r="B191" s="27" t="n"/>
      <c r="C191" s="27" t="n"/>
      <c r="D191" s="27" t="n"/>
      <c r="E191" s="27" t="n"/>
      <c r="F191" s="28" t="n"/>
      <c r="G191" s="27" t="n"/>
      <c r="H191" s="27" t="n"/>
      <c r="I191" s="28" t="n"/>
      <c r="J191" s="27" t="n"/>
    </row>
    <row r="192">
      <c r="A192" s="25" t="n"/>
      <c r="B192" s="25" t="n"/>
      <c r="C192" s="25" t="n"/>
      <c r="D192" s="25" t="n"/>
      <c r="E192" s="25" t="n"/>
      <c r="F192" s="26" t="n"/>
      <c r="G192" s="25" t="n"/>
      <c r="H192" s="25" t="n"/>
      <c r="I192" s="26" t="n"/>
      <c r="J192" s="25" t="n"/>
    </row>
    <row r="193">
      <c r="A193" s="27" t="n"/>
      <c r="B193" s="27" t="n"/>
      <c r="C193" s="27" t="n"/>
      <c r="D193" s="27" t="n"/>
      <c r="E193" s="27" t="n"/>
      <c r="F193" s="28" t="n"/>
      <c r="G193" s="27" t="n"/>
      <c r="H193" s="27" t="n"/>
      <c r="I193" s="28" t="n"/>
      <c r="J193" s="27" t="n"/>
    </row>
    <row r="194">
      <c r="A194" s="25" t="n"/>
      <c r="B194" s="25" t="n"/>
      <c r="C194" s="25" t="n"/>
      <c r="D194" s="25" t="n"/>
      <c r="E194" s="25" t="n"/>
      <c r="F194" s="26" t="n"/>
      <c r="G194" s="25" t="n"/>
      <c r="H194" s="25" t="n"/>
      <c r="I194" s="26" t="n"/>
      <c r="J194" s="25" t="n"/>
    </row>
    <row r="195">
      <c r="A195" s="27" t="n"/>
      <c r="B195" s="27" t="n"/>
      <c r="C195" s="27" t="n"/>
      <c r="D195" s="27" t="n"/>
      <c r="E195" s="27" t="n"/>
      <c r="F195" s="28" t="n"/>
      <c r="G195" s="27" t="n"/>
      <c r="H195" s="27" t="n"/>
      <c r="I195" s="28" t="n"/>
      <c r="J195" s="27" t="n"/>
    </row>
    <row r="196">
      <c r="A196" s="25" t="n"/>
      <c r="B196" s="25" t="n"/>
      <c r="C196" s="25" t="n"/>
      <c r="D196" s="25" t="n"/>
      <c r="E196" s="25" t="n"/>
      <c r="F196" s="26" t="n"/>
      <c r="G196" s="25" t="n"/>
      <c r="H196" s="25" t="n"/>
      <c r="I196" s="26" t="n"/>
      <c r="J196" s="25" t="n"/>
    </row>
    <row r="197">
      <c r="A197" s="27" t="n"/>
      <c r="B197" s="27" t="n"/>
      <c r="C197" s="27" t="n"/>
      <c r="D197" s="27" t="n"/>
      <c r="E197" s="27" t="n"/>
      <c r="F197" s="28" t="n"/>
      <c r="G197" s="27" t="n"/>
      <c r="H197" s="27" t="n"/>
      <c r="I197" s="28" t="n"/>
      <c r="J197" s="27" t="n"/>
    </row>
    <row r="198">
      <c r="A198" s="25" t="n"/>
      <c r="B198" s="25" t="n"/>
      <c r="C198" s="25" t="n"/>
      <c r="D198" s="25" t="n"/>
      <c r="E198" s="25" t="n"/>
      <c r="F198" s="26" t="n"/>
      <c r="G198" s="25" t="n"/>
      <c r="H198" s="25" t="n"/>
      <c r="I198" s="26" t="n"/>
      <c r="J198" s="25" t="n"/>
    </row>
    <row r="199">
      <c r="A199" s="27" t="n"/>
      <c r="B199" s="27" t="n"/>
      <c r="C199" s="27" t="n"/>
      <c r="D199" s="27" t="n"/>
      <c r="E199" s="27" t="n"/>
      <c r="F199" s="28" t="n"/>
      <c r="G199" s="27" t="n"/>
      <c r="H199" s="27" t="n"/>
      <c r="I199" s="28" t="n"/>
      <c r="J199" s="27" t="n"/>
    </row>
    <row r="200">
      <c r="A200" s="25" t="n"/>
      <c r="B200" s="25" t="n"/>
      <c r="C200" s="25" t="n"/>
      <c r="D200" s="25" t="n"/>
      <c r="E200" s="25" t="n"/>
      <c r="F200" s="26" t="n"/>
      <c r="G200" s="25" t="n"/>
      <c r="H200" s="25" t="n"/>
      <c r="I200" s="26" t="n"/>
      <c r="J200" s="25" t="n"/>
    </row>
    <row r="201">
      <c r="A201" s="27" t="n"/>
      <c r="B201" s="27" t="n"/>
      <c r="C201" s="27" t="n"/>
      <c r="D201" s="27" t="n"/>
      <c r="E201" s="27" t="n"/>
      <c r="F201" s="28" t="n"/>
      <c r="G201" s="27" t="n"/>
      <c r="H201" s="27" t="n"/>
      <c r="I201" s="28" t="n"/>
      <c r="J201" s="27" t="n"/>
    </row>
    <row r="202">
      <c r="A202" s="25" t="n"/>
      <c r="B202" s="25" t="n"/>
      <c r="C202" s="25" t="n"/>
      <c r="D202" s="25" t="n"/>
      <c r="E202" s="25" t="n"/>
      <c r="F202" s="26" t="n"/>
      <c r="G202" s="25" t="n"/>
      <c r="H202" s="25" t="n"/>
      <c r="I202" s="26" t="n"/>
      <c r="J202" s="25" t="n"/>
    </row>
    <row r="203">
      <c r="A203" s="27" t="n"/>
      <c r="B203" s="27" t="n"/>
      <c r="C203" s="27" t="n"/>
      <c r="D203" s="27" t="n"/>
      <c r="E203" s="27" t="n"/>
      <c r="F203" s="28" t="n"/>
      <c r="G203" s="27" t="n"/>
      <c r="H203" s="27" t="n"/>
      <c r="I203" s="28" t="n"/>
      <c r="J203" s="27" t="n"/>
    </row>
    <row r="204">
      <c r="A204" s="25" t="n"/>
      <c r="B204" s="25" t="n"/>
      <c r="C204" s="25" t="n"/>
      <c r="D204" s="25" t="n"/>
      <c r="E204" s="25" t="n"/>
      <c r="F204" s="26" t="n"/>
      <c r="G204" s="25" t="n"/>
      <c r="H204" s="25" t="n"/>
      <c r="I204" s="26" t="n"/>
      <c r="J204" s="25" t="n"/>
    </row>
    <row r="205">
      <c r="A205" s="27" t="n"/>
      <c r="B205" s="27" t="n"/>
      <c r="C205" s="27" t="n"/>
      <c r="D205" s="27" t="n"/>
      <c r="E205" s="27" t="n"/>
      <c r="F205" s="28" t="n"/>
      <c r="G205" s="27" t="n"/>
      <c r="H205" s="27" t="n"/>
      <c r="I205" s="28" t="n"/>
      <c r="J205" s="27" t="n"/>
    </row>
    <row r="206">
      <c r="A206" s="25" t="n"/>
      <c r="B206" s="25" t="n"/>
      <c r="C206" s="25" t="n"/>
      <c r="D206" s="25" t="n"/>
      <c r="E206" s="25" t="n"/>
      <c r="F206" s="26" t="n"/>
      <c r="G206" s="25" t="n"/>
      <c r="H206" s="25" t="n"/>
      <c r="I206" s="26" t="n"/>
      <c r="J206" s="25" t="n"/>
    </row>
    <row r="207">
      <c r="A207" s="27" t="n"/>
      <c r="B207" s="27" t="n"/>
      <c r="C207" s="27" t="n"/>
      <c r="D207" s="27" t="n"/>
      <c r="E207" s="27" t="n"/>
      <c r="F207" s="28" t="n"/>
      <c r="G207" s="27" t="n"/>
      <c r="H207" s="27" t="n"/>
      <c r="I207" s="28" t="n"/>
      <c r="J207" s="27" t="n"/>
    </row>
    <row r="208">
      <c r="A208" s="25" t="n"/>
      <c r="B208" s="25" t="n"/>
      <c r="C208" s="25" t="n"/>
      <c r="D208" s="25" t="n"/>
      <c r="E208" s="25" t="n"/>
      <c r="F208" s="26" t="n"/>
      <c r="G208" s="25" t="n"/>
      <c r="H208" s="25" t="n"/>
      <c r="I208" s="26" t="n"/>
      <c r="J208" s="25" t="n"/>
    </row>
    <row r="209">
      <c r="A209" s="27" t="n"/>
      <c r="B209" s="27" t="n"/>
      <c r="C209" s="27" t="n"/>
      <c r="D209" s="27" t="n"/>
      <c r="E209" s="27" t="n"/>
      <c r="F209" s="28" t="n"/>
      <c r="G209" s="27" t="n"/>
      <c r="H209" s="27" t="n"/>
      <c r="I209" s="28" t="n"/>
      <c r="J209" s="27" t="n"/>
    </row>
    <row r="210">
      <c r="A210" s="25" t="n"/>
      <c r="B210" s="25" t="n"/>
      <c r="C210" s="25" t="n"/>
      <c r="D210" s="25" t="n"/>
      <c r="E210" s="25" t="n"/>
      <c r="F210" s="26" t="n"/>
      <c r="G210" s="25" t="n"/>
      <c r="H210" s="25" t="n"/>
      <c r="I210" s="26" t="n"/>
      <c r="J210" s="25" t="n"/>
    </row>
    <row r="211">
      <c r="A211" s="27" t="n"/>
      <c r="B211" s="27" t="n"/>
      <c r="C211" s="27" t="n"/>
      <c r="D211" s="27" t="n"/>
      <c r="E211" s="27" t="n"/>
      <c r="F211" s="28" t="n"/>
      <c r="G211" s="27" t="n"/>
      <c r="H211" s="27" t="n"/>
      <c r="I211" s="28" t="n"/>
      <c r="J211" s="27" t="n"/>
    </row>
    <row r="212">
      <c r="A212" s="25" t="n"/>
      <c r="B212" s="25" t="n"/>
      <c r="C212" s="25" t="n"/>
      <c r="D212" s="25" t="n"/>
      <c r="E212" s="25" t="n"/>
      <c r="F212" s="26" t="n"/>
      <c r="G212" s="25" t="n"/>
      <c r="H212" s="25" t="n"/>
      <c r="I212" s="26" t="n"/>
      <c r="J212" s="25" t="n"/>
    </row>
    <row r="213">
      <c r="A213" s="27" t="n"/>
      <c r="B213" s="27" t="n"/>
      <c r="C213" s="27" t="n"/>
      <c r="D213" s="27" t="n"/>
      <c r="E213" s="27" t="n"/>
      <c r="F213" s="28" t="n"/>
      <c r="G213" s="27" t="n"/>
      <c r="H213" s="27" t="n"/>
      <c r="I213" s="28" t="n"/>
      <c r="J213" s="27" t="n"/>
    </row>
    <row r="214">
      <c r="A214" s="25" t="n"/>
      <c r="B214" s="25" t="n"/>
      <c r="C214" s="25" t="n"/>
      <c r="D214" s="25" t="n"/>
      <c r="E214" s="25" t="n"/>
      <c r="F214" s="26" t="n"/>
      <c r="G214" s="25" t="n"/>
      <c r="H214" s="25" t="n"/>
      <c r="I214" s="26" t="n"/>
      <c r="J214" s="25" t="n"/>
    </row>
    <row r="215">
      <c r="A215" s="27" t="n"/>
      <c r="B215" s="27" t="n"/>
      <c r="C215" s="27" t="n"/>
      <c r="D215" s="27" t="n"/>
      <c r="E215" s="27" t="n"/>
      <c r="F215" s="28" t="n"/>
      <c r="G215" s="27" t="n"/>
      <c r="H215" s="27" t="n"/>
      <c r="I215" s="28" t="n"/>
      <c r="J215" s="27" t="n"/>
    </row>
    <row r="216">
      <c r="A216" s="25" t="n"/>
      <c r="B216" s="25" t="n"/>
      <c r="C216" s="25" t="n"/>
      <c r="D216" s="25" t="n"/>
      <c r="E216" s="25" t="n"/>
      <c r="F216" s="26" t="n"/>
      <c r="G216" s="25" t="n"/>
      <c r="H216" s="25" t="n"/>
      <c r="I216" s="26" t="n"/>
      <c r="J216" s="25" t="n"/>
    </row>
    <row r="217">
      <c r="A217" s="27" t="n"/>
      <c r="B217" s="27" t="n"/>
      <c r="C217" s="27" t="n"/>
      <c r="D217" s="27" t="n"/>
      <c r="E217" s="27" t="n"/>
      <c r="F217" s="28" t="n"/>
      <c r="G217" s="27" t="n"/>
      <c r="H217" s="27" t="n"/>
      <c r="I217" s="28" t="n"/>
      <c r="J217" s="27" t="n"/>
    </row>
    <row r="218">
      <c r="A218" s="25" t="n"/>
      <c r="B218" s="25" t="n"/>
      <c r="C218" s="25" t="n"/>
      <c r="D218" s="25" t="n"/>
      <c r="E218" s="25" t="n"/>
      <c r="F218" s="26" t="n"/>
      <c r="G218" s="25" t="n"/>
      <c r="H218" s="25" t="n"/>
      <c r="I218" s="26" t="n"/>
      <c r="J218" s="25" t="n"/>
    </row>
    <row r="219">
      <c r="A219" s="27" t="n"/>
      <c r="B219" s="27" t="n"/>
      <c r="C219" s="27" t="n"/>
      <c r="D219" s="27" t="n"/>
      <c r="E219" s="27" t="n"/>
      <c r="F219" s="28" t="n"/>
      <c r="G219" s="27" t="n"/>
      <c r="H219" s="27" t="n"/>
      <c r="I219" s="28" t="n"/>
      <c r="J219" s="27" t="n"/>
    </row>
    <row r="220">
      <c r="A220" s="25" t="n"/>
      <c r="B220" s="25" t="n"/>
      <c r="C220" s="25" t="n"/>
      <c r="D220" s="25" t="n"/>
      <c r="E220" s="25" t="n"/>
      <c r="F220" s="26" t="n"/>
      <c r="G220" s="25" t="n"/>
      <c r="H220" s="25" t="n"/>
      <c r="I220" s="26" t="n"/>
      <c r="J220" s="25" t="n"/>
    </row>
    <row r="221">
      <c r="A221" s="27" t="n"/>
      <c r="B221" s="27" t="n"/>
      <c r="C221" s="27" t="n"/>
      <c r="D221" s="27" t="n"/>
      <c r="E221" s="27" t="n"/>
      <c r="F221" s="28" t="n"/>
      <c r="G221" s="27" t="n"/>
      <c r="H221" s="27" t="n"/>
      <c r="I221" s="28" t="n"/>
      <c r="J221" s="27" t="n"/>
    </row>
    <row r="222">
      <c r="A222" s="25" t="n"/>
      <c r="B222" s="25" t="n"/>
      <c r="C222" s="25" t="n"/>
      <c r="D222" s="25" t="n"/>
      <c r="E222" s="25" t="n"/>
      <c r="F222" s="26" t="n"/>
      <c r="G222" s="25" t="n"/>
      <c r="H222" s="25" t="n"/>
      <c r="I222" s="26" t="n"/>
      <c r="J222" s="25" t="n"/>
    </row>
    <row r="223">
      <c r="A223" s="27" t="n"/>
      <c r="B223" s="27" t="n"/>
      <c r="C223" s="27" t="n"/>
      <c r="D223" s="27" t="n"/>
      <c r="E223" s="27" t="n"/>
      <c r="F223" s="28" t="n"/>
      <c r="G223" s="27" t="n"/>
      <c r="H223" s="27" t="n"/>
      <c r="I223" s="28" t="n"/>
      <c r="J223" s="27" t="n"/>
    </row>
    <row r="224">
      <c r="A224" s="25" t="n"/>
      <c r="B224" s="25" t="n"/>
      <c r="C224" s="25" t="n"/>
      <c r="D224" s="25" t="n"/>
      <c r="E224" s="25" t="n"/>
      <c r="F224" s="26" t="n"/>
      <c r="G224" s="25" t="n"/>
      <c r="H224" s="25" t="n"/>
      <c r="I224" s="26" t="n"/>
      <c r="J224" s="25" t="n"/>
    </row>
    <row r="225">
      <c r="A225" s="27" t="n"/>
      <c r="B225" s="27" t="n"/>
      <c r="C225" s="27" t="n"/>
      <c r="D225" s="27" t="n"/>
      <c r="E225" s="27" t="n"/>
      <c r="F225" s="28" t="n"/>
      <c r="G225" s="27" t="n"/>
      <c r="H225" s="27" t="n"/>
      <c r="I225" s="28" t="n"/>
      <c r="J225" s="27" t="n"/>
    </row>
    <row r="226">
      <c r="A226" s="25" t="n"/>
      <c r="B226" s="25" t="n"/>
      <c r="C226" s="25" t="n"/>
      <c r="D226" s="25" t="n"/>
      <c r="E226" s="25" t="n"/>
      <c r="F226" s="26" t="n"/>
      <c r="G226" s="25" t="n"/>
      <c r="H226" s="25" t="n"/>
      <c r="I226" s="26" t="n"/>
      <c r="J226" s="25" t="n"/>
    </row>
    <row r="227">
      <c r="A227" s="27" t="n"/>
      <c r="B227" s="27" t="n"/>
      <c r="C227" s="27" t="n"/>
      <c r="D227" s="27" t="n"/>
      <c r="E227" s="27" t="n"/>
      <c r="F227" s="28" t="n"/>
      <c r="G227" s="27" t="n"/>
      <c r="H227" s="27" t="n"/>
      <c r="I227" s="28" t="n"/>
      <c r="J227" s="27" t="n"/>
    </row>
    <row r="228">
      <c r="A228" s="25" t="n"/>
      <c r="B228" s="25" t="n"/>
      <c r="C228" s="25" t="n"/>
      <c r="D228" s="25" t="n"/>
      <c r="E228" s="25" t="n"/>
      <c r="F228" s="26" t="n"/>
      <c r="G228" s="25" t="n"/>
      <c r="H228" s="25" t="n"/>
      <c r="I228" s="26" t="n"/>
      <c r="J228" s="25" t="n"/>
    </row>
    <row r="229">
      <c r="A229" s="27" t="n"/>
      <c r="B229" s="27" t="n"/>
      <c r="C229" s="27" t="n"/>
      <c r="D229" s="27" t="n"/>
      <c r="E229" s="27" t="n"/>
      <c r="F229" s="28" t="n"/>
      <c r="G229" s="27" t="n"/>
      <c r="H229" s="27" t="n"/>
      <c r="I229" s="28" t="n"/>
      <c r="J229" s="27" t="n"/>
    </row>
    <row r="230">
      <c r="A230" s="25" t="n"/>
      <c r="B230" s="25" t="n"/>
      <c r="C230" s="25" t="n"/>
      <c r="D230" s="25" t="n"/>
      <c r="E230" s="25" t="n"/>
      <c r="F230" s="26" t="n"/>
      <c r="G230" s="25" t="n"/>
      <c r="H230" s="25" t="n"/>
      <c r="I230" s="26" t="n"/>
      <c r="J230" s="25" t="n"/>
    </row>
    <row r="231">
      <c r="A231" s="27" t="n"/>
      <c r="B231" s="27" t="n"/>
      <c r="C231" s="27" t="n"/>
      <c r="D231" s="27" t="n"/>
      <c r="E231" s="27" t="n"/>
      <c r="F231" s="28" t="n"/>
      <c r="G231" s="27" t="n"/>
      <c r="H231" s="27" t="n"/>
      <c r="I231" s="28" t="n"/>
      <c r="J231" s="27" t="n"/>
    </row>
    <row r="232">
      <c r="A232" s="25" t="n"/>
      <c r="B232" s="25" t="n"/>
      <c r="C232" s="25" t="n"/>
      <c r="D232" s="25" t="n"/>
      <c r="E232" s="25" t="n"/>
      <c r="F232" s="26" t="n"/>
      <c r="G232" s="25" t="n"/>
      <c r="H232" s="25" t="n"/>
      <c r="I232" s="26" t="n"/>
      <c r="J232" s="25" t="n"/>
    </row>
    <row r="233">
      <c r="A233" s="27" t="n"/>
      <c r="B233" s="27" t="n"/>
      <c r="C233" s="27" t="n"/>
      <c r="D233" s="27" t="n"/>
      <c r="E233" s="27" t="n"/>
      <c r="F233" s="28" t="n"/>
      <c r="G233" s="27" t="n"/>
      <c r="H233" s="27" t="n"/>
      <c r="I233" s="28" t="n"/>
      <c r="J233" s="27" t="n"/>
    </row>
    <row r="234">
      <c r="A234" s="25" t="n"/>
      <c r="B234" s="25" t="n"/>
      <c r="C234" s="25" t="n"/>
      <c r="D234" s="25" t="n"/>
      <c r="E234" s="25" t="n"/>
      <c r="F234" s="26" t="n"/>
      <c r="G234" s="25" t="n"/>
      <c r="H234" s="25" t="n"/>
      <c r="I234" s="26" t="n"/>
      <c r="J234" s="25" t="n"/>
    </row>
    <row r="235">
      <c r="A235" s="27" t="n"/>
      <c r="B235" s="27" t="n"/>
      <c r="C235" s="27" t="n"/>
      <c r="D235" s="27" t="n"/>
      <c r="E235" s="27" t="n"/>
      <c r="F235" s="28" t="n"/>
      <c r="G235" s="27" t="n"/>
      <c r="H235" s="27" t="n"/>
      <c r="I235" s="28" t="n"/>
      <c r="J235" s="27" t="n"/>
    </row>
    <row r="236">
      <c r="A236" s="25" t="n"/>
      <c r="B236" s="25" t="n"/>
      <c r="C236" s="25" t="n"/>
      <c r="D236" s="25" t="n"/>
      <c r="E236" s="25" t="n"/>
      <c r="F236" s="26" t="n"/>
      <c r="G236" s="25" t="n"/>
      <c r="H236" s="25" t="n"/>
      <c r="I236" s="26" t="n"/>
      <c r="J236" s="25" t="n"/>
    </row>
    <row r="237">
      <c r="A237" s="27" t="n"/>
      <c r="B237" s="27" t="n"/>
      <c r="C237" s="27" t="n"/>
      <c r="D237" s="27" t="n"/>
      <c r="E237" s="27" t="n"/>
      <c r="F237" s="28" t="n"/>
      <c r="G237" s="27" t="n"/>
      <c r="H237" s="27" t="n"/>
      <c r="I237" s="28" t="n"/>
      <c r="J237" s="27" t="n"/>
    </row>
    <row r="238">
      <c r="A238" s="25" t="n"/>
      <c r="B238" s="25" t="n"/>
      <c r="C238" s="25" t="n"/>
      <c r="D238" s="25" t="n"/>
      <c r="E238" s="25" t="n"/>
      <c r="F238" s="26" t="n"/>
      <c r="G238" s="25" t="n"/>
      <c r="H238" s="25" t="n"/>
      <c r="I238" s="26" t="n"/>
      <c r="J238" s="25" t="n"/>
    </row>
    <row r="239">
      <c r="A239" s="27" t="n"/>
      <c r="B239" s="27" t="n"/>
      <c r="C239" s="27" t="n"/>
      <c r="D239" s="27" t="n"/>
      <c r="E239" s="27" t="n"/>
      <c r="F239" s="28" t="n"/>
      <c r="G239" s="27" t="n"/>
      <c r="H239" s="27" t="n"/>
      <c r="I239" s="28" t="n"/>
      <c r="J239" s="27" t="n"/>
    </row>
    <row r="240">
      <c r="A240" s="25" t="n"/>
      <c r="B240" s="25" t="n"/>
      <c r="C240" s="25" t="n"/>
      <c r="D240" s="25" t="n"/>
      <c r="E240" s="25" t="n"/>
      <c r="F240" s="26" t="n"/>
      <c r="G240" s="25" t="n"/>
      <c r="H240" s="25" t="n"/>
      <c r="I240" s="26" t="n"/>
      <c r="J240" s="25" t="n"/>
    </row>
    <row r="241">
      <c r="A241" s="27" t="n"/>
      <c r="B241" s="27" t="n"/>
      <c r="C241" s="27" t="n"/>
      <c r="D241" s="27" t="n"/>
      <c r="E241" s="27" t="n"/>
      <c r="F241" s="28" t="n"/>
      <c r="G241" s="27" t="n"/>
      <c r="H241" s="27" t="n"/>
      <c r="I241" s="28" t="n"/>
      <c r="J241" s="27" t="n"/>
    </row>
    <row r="242">
      <c r="A242" s="25" t="n"/>
      <c r="B242" s="25" t="n"/>
      <c r="C242" s="25" t="n"/>
      <c r="D242" s="25" t="n"/>
      <c r="E242" s="25" t="n"/>
      <c r="F242" s="26" t="n"/>
      <c r="G242" s="25" t="n"/>
      <c r="H242" s="25" t="n"/>
      <c r="I242" s="26" t="n"/>
      <c r="J242" s="25" t="n"/>
    </row>
    <row r="243">
      <c r="A243" s="27" t="n"/>
      <c r="B243" s="27" t="n"/>
      <c r="C243" s="27" t="n"/>
      <c r="D243" s="27" t="n"/>
      <c r="E243" s="27" t="n"/>
      <c r="F243" s="28" t="n"/>
      <c r="G243" s="27" t="n"/>
      <c r="H243" s="27" t="n"/>
      <c r="I243" s="28" t="n"/>
      <c r="J243" s="27" t="n"/>
    </row>
    <row r="244">
      <c r="A244" s="25" t="n"/>
      <c r="B244" s="25" t="n"/>
      <c r="C244" s="25" t="n"/>
      <c r="D244" s="25" t="n"/>
      <c r="E244" s="25" t="n"/>
      <c r="F244" s="26" t="n"/>
      <c r="G244" s="25" t="n"/>
      <c r="H244" s="25" t="n"/>
      <c r="I244" s="26" t="n"/>
      <c r="J244" s="25" t="n"/>
    </row>
    <row r="245">
      <c r="A245" s="27" t="n"/>
      <c r="B245" s="27" t="n"/>
      <c r="C245" s="27" t="n"/>
      <c r="D245" s="27" t="n"/>
      <c r="E245" s="27" t="n"/>
      <c r="F245" s="28" t="n"/>
      <c r="G245" s="27" t="n"/>
      <c r="H245" s="27" t="n"/>
      <c r="I245" s="28" t="n"/>
      <c r="J245" s="27" t="n"/>
    </row>
    <row r="246">
      <c r="A246" s="25" t="n"/>
      <c r="B246" s="25" t="n"/>
      <c r="C246" s="25" t="n"/>
      <c r="D246" s="25" t="n"/>
      <c r="E246" s="25" t="n"/>
      <c r="F246" s="26" t="n"/>
      <c r="G246" s="25" t="n"/>
      <c r="H246" s="25" t="n"/>
      <c r="I246" s="26" t="n"/>
      <c r="J246" s="25" t="n"/>
    </row>
    <row r="247">
      <c r="A247" s="27" t="n"/>
      <c r="B247" s="27" t="n"/>
      <c r="C247" s="27" t="n"/>
      <c r="D247" s="27" t="n"/>
      <c r="E247" s="27" t="n"/>
      <c r="F247" s="28" t="n"/>
      <c r="G247" s="27" t="n"/>
      <c r="H247" s="27" t="n"/>
      <c r="I247" s="28" t="n"/>
      <c r="J247" s="27" t="n"/>
    </row>
    <row r="248">
      <c r="A248" s="25" t="n"/>
      <c r="B248" s="25" t="n"/>
      <c r="C248" s="25" t="n"/>
      <c r="D248" s="25" t="n"/>
      <c r="E248" s="25" t="n"/>
      <c r="F248" s="26" t="n"/>
      <c r="G248" s="25" t="n"/>
      <c r="H248" s="25" t="n"/>
      <c r="I248" s="26" t="n"/>
      <c r="J248" s="25" t="n"/>
    </row>
    <row r="249">
      <c r="A249" s="27" t="n"/>
      <c r="B249" s="27" t="n"/>
      <c r="C249" s="27" t="n"/>
      <c r="D249" s="27" t="n"/>
      <c r="E249" s="27" t="n"/>
      <c r="F249" s="28" t="n"/>
      <c r="G249" s="27" t="n"/>
      <c r="H249" s="27" t="n"/>
      <c r="I249" s="28" t="n"/>
      <c r="J249" s="27" t="n"/>
    </row>
    <row r="250">
      <c r="A250" s="25" t="n"/>
      <c r="B250" s="25" t="n"/>
      <c r="C250" s="25" t="n"/>
      <c r="D250" s="25" t="n"/>
      <c r="E250" s="25" t="n"/>
      <c r="F250" s="26" t="n"/>
      <c r="G250" s="25" t="n"/>
      <c r="H250" s="25" t="n"/>
      <c r="I250" s="26" t="n"/>
      <c r="J250" s="25" t="n"/>
    </row>
    <row r="251">
      <c r="A251" s="27" t="n"/>
      <c r="B251" s="27" t="n"/>
      <c r="C251" s="27" t="n"/>
      <c r="D251" s="27" t="n"/>
      <c r="E251" s="27" t="n"/>
      <c r="F251" s="28" t="n"/>
      <c r="G251" s="27" t="n"/>
      <c r="H251" s="27" t="n"/>
      <c r="I251" s="28" t="n"/>
      <c r="J251" s="27" t="n"/>
    </row>
    <row r="252">
      <c r="A252" s="25" t="n"/>
      <c r="B252" s="25" t="n"/>
      <c r="C252" s="25" t="n"/>
      <c r="D252" s="25" t="n"/>
      <c r="E252" s="25" t="n"/>
      <c r="F252" s="26" t="n"/>
      <c r="G252" s="25" t="n"/>
      <c r="H252" s="25" t="n"/>
      <c r="I252" s="26" t="n"/>
      <c r="J252" s="25" t="n"/>
    </row>
    <row r="253">
      <c r="A253" s="27" t="n"/>
      <c r="B253" s="27" t="n"/>
      <c r="C253" s="27" t="n"/>
      <c r="D253" s="27" t="n"/>
      <c r="E253" s="27" t="n"/>
      <c r="F253" s="28" t="n"/>
      <c r="G253" s="27" t="n"/>
      <c r="H253" s="27" t="n"/>
      <c r="I253" s="28" t="n"/>
      <c r="J253" s="27" t="n"/>
    </row>
  </sheetData>
  <mergeCells count="2">
    <mergeCell ref="A1:J1"/>
    <mergeCell ref="A2:J2"/>
  </mergeCells>
  <dataValidations count="1">
    <dataValidation sqref="G4:G253" showDropDown="0" showInputMessage="0" showErrorMessage="1" allowBlank="1" errorTitle="Controlled value" error="Select a listed value." type="list">
      <formula1>"Open,In progress,Resolved,Waived"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18" customWidth="1" min="4" max="4"/>
    <col width="23" customWidth="1" min="5" max="5"/>
    <col width="43" customWidth="1" min="6" max="6"/>
    <col width="43" customWidth="1" min="7" max="7"/>
    <col width="21" customWidth="1" min="8" max="8"/>
    <col width="28" customWidth="1" min="9" max="9"/>
    <col width="30" customWidth="1" min="10" max="10"/>
    <col width="28" customWidth="1" min="11" max="11"/>
    <col width="22" customWidth="1" min="12" max="12"/>
    <col width="43" customWidth="1" min="13" max="13"/>
  </cols>
  <sheetData>
    <row r="1" ht="34" customHeight="1">
      <c r="A1" s="22" t="inlineStr">
        <is>
          <t>MAP CHANGE LOG / REASSESSMENT</t>
        </is>
      </c>
    </row>
    <row r="2" ht="44" customHeight="1">
      <c r="A2" s="23" t="inlineStr">
        <is>
          <t>Log changed relationships and access. ‘Expand access’ and ‘Add link’ always count as access expansion and need a reassessment ref, whatever column H says; ‘Reduce access’ and ‘Remove link’ can close without one. A map update is not permission or a gate decision.</t>
        </is>
      </c>
    </row>
    <row r="3" ht="36" customHeight="1">
      <c r="A3" s="24" t="inlineStr">
        <is>
          <t>Map Change ID</t>
        </is>
      </c>
      <c r="B3" s="24" t="inlineStr">
        <is>
          <t>AIR-ID</t>
        </is>
      </c>
      <c r="C3" s="24" t="inlineStr">
        <is>
          <t>Map Edge ID</t>
        </is>
      </c>
      <c r="D3" s="24" t="inlineStr">
        <is>
          <t>Change date</t>
        </is>
      </c>
      <c r="E3" s="24" t="inlineStr">
        <is>
          <t>Change type</t>
        </is>
      </c>
      <c r="F3" s="24" t="inlineStr">
        <is>
          <t>Previous link / access</t>
        </is>
      </c>
      <c r="G3" s="24" t="inlineStr">
        <is>
          <t>New link / access</t>
        </is>
      </c>
      <c r="H3" s="24" t="inlineStr">
        <is>
          <t>Access expansion?</t>
        </is>
      </c>
      <c r="I3" s="24" t="inlineStr">
        <is>
          <t>Change owner</t>
        </is>
      </c>
      <c r="J3" s="24" t="inlineStr">
        <is>
          <t>Review / reassessment ref</t>
        </is>
      </c>
      <c r="K3" s="24" t="inlineStr">
        <is>
          <t>Gate Event ID (if needed)</t>
        </is>
      </c>
      <c r="L3" s="24" t="inlineStr">
        <is>
          <t>State</t>
        </is>
      </c>
      <c r="M3" s="24" t="inlineStr">
        <is>
          <t>Change check</t>
        </is>
      </c>
    </row>
    <row r="4">
      <c r="A4" s="25" t="n"/>
      <c r="B4" s="25" t="n"/>
      <c r="C4" s="25" t="n"/>
      <c r="D4" s="26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>
        <f>IF(COUNTA(A4:L4)=0,"",IF(OR(A4="",B4="",C4="",D4="",E4="",I4=""),"Change detail missing",IF(COUNTIF($A$4:$A$253,A4)&gt;1,"Duplicate Map Change ID",IF(NOT(ISNUMBER(D4)),"Change date is not a date",IF(COUNTIF('System map'!$A$4:$A$203,B4)&lt;&gt;1,"AIR-ID not reconciled",IF(COUNTIF(Relationships!$A$4:$A$1003,C4)=0,"Map Edge ID not found in Relationships",IF(AND(OR(H4="Yes",H4="Unsure",E4="Expand access",E4="Add link"),J4=""),"Access change needs reassessment ref",IF(AND(L4="Closed",OR(H4="",AND(OR(H4="Yes",H4="Unsure",E4="Expand access",E4="Add link"),J4=""))),"Closure / reassessment evidence missing","OK — verify source"))))))))</f>
        <v/>
      </c>
    </row>
    <row r="5">
      <c r="A5" s="27" t="n"/>
      <c r="B5" s="27" t="n"/>
      <c r="C5" s="27" t="n"/>
      <c r="D5" s="28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>
        <f>IF(COUNTA(A5:L5)=0,"",IF(OR(A5="",B5="",C5="",D5="",E5="",I5=""),"Change detail missing",IF(COUNTIF($A$4:$A$253,A5)&gt;1,"Duplicate Map Change ID",IF(NOT(ISNUMBER(D5)),"Change date is not a date",IF(COUNTIF('System map'!$A$4:$A$203,B5)&lt;&gt;1,"AIR-ID not reconciled",IF(COUNTIF(Relationships!$A$4:$A$1003,C5)=0,"Map Edge ID not found in Relationships",IF(AND(OR(H5="Yes",H5="Unsure",E5="Expand access",E5="Add link"),J5=""),"Access change needs reassessment ref",IF(AND(L5="Closed",OR(H5="",AND(OR(H5="Yes",H5="Unsure",E5="Expand access",E5="Add link"),J5=""))),"Closure / reassessment evidence missing","OK — verify source"))))))))</f>
        <v/>
      </c>
    </row>
    <row r="6">
      <c r="A6" s="25" t="n"/>
      <c r="B6" s="25" t="n"/>
      <c r="C6" s="25" t="n"/>
      <c r="D6" s="26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>
        <f>IF(COUNTA(A6:L6)=0,"",IF(OR(A6="",B6="",C6="",D6="",E6="",I6=""),"Change detail missing",IF(COUNTIF($A$4:$A$253,A6)&gt;1,"Duplicate Map Change ID",IF(NOT(ISNUMBER(D6)),"Change date is not a date",IF(COUNTIF('System map'!$A$4:$A$203,B6)&lt;&gt;1,"AIR-ID not reconciled",IF(COUNTIF(Relationships!$A$4:$A$1003,C6)=0,"Map Edge ID not found in Relationships",IF(AND(OR(H6="Yes",H6="Unsure",E6="Expand access",E6="Add link"),J6=""),"Access change needs reassessment ref",IF(AND(L6="Closed",OR(H6="",AND(OR(H6="Yes",H6="Unsure",E6="Expand access",E6="Add link"),J6=""))),"Closure / reassessment evidence missing","OK — verify source"))))))))</f>
        <v/>
      </c>
    </row>
    <row r="7">
      <c r="A7" s="27" t="n"/>
      <c r="B7" s="27" t="n"/>
      <c r="C7" s="27" t="n"/>
      <c r="D7" s="28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>
        <f>IF(COUNTA(A7:L7)=0,"",IF(OR(A7="",B7="",C7="",D7="",E7="",I7=""),"Change detail missing",IF(COUNTIF($A$4:$A$253,A7)&gt;1,"Duplicate Map Change ID",IF(NOT(ISNUMBER(D7)),"Change date is not a date",IF(COUNTIF('System map'!$A$4:$A$203,B7)&lt;&gt;1,"AIR-ID not reconciled",IF(COUNTIF(Relationships!$A$4:$A$1003,C7)=0,"Map Edge ID not found in Relationships",IF(AND(OR(H7="Yes",H7="Unsure",E7="Expand access",E7="Add link"),J7=""),"Access change needs reassessment ref",IF(AND(L7="Closed",OR(H7="",AND(OR(H7="Yes",H7="Unsure",E7="Expand access",E7="Add link"),J7=""))),"Closure / reassessment evidence missing","OK — verify source"))))))))</f>
        <v/>
      </c>
    </row>
    <row r="8">
      <c r="A8" s="25" t="n"/>
      <c r="B8" s="25" t="n"/>
      <c r="C8" s="25" t="n"/>
      <c r="D8" s="26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>
        <f>IF(COUNTA(A8:L8)=0,"",IF(OR(A8="",B8="",C8="",D8="",E8="",I8=""),"Change detail missing",IF(COUNTIF($A$4:$A$253,A8)&gt;1,"Duplicate Map Change ID",IF(NOT(ISNUMBER(D8)),"Change date is not a date",IF(COUNTIF('System map'!$A$4:$A$203,B8)&lt;&gt;1,"AIR-ID not reconciled",IF(COUNTIF(Relationships!$A$4:$A$1003,C8)=0,"Map Edge ID not found in Relationships",IF(AND(OR(H8="Yes",H8="Unsure",E8="Expand access",E8="Add link"),J8=""),"Access change needs reassessment ref",IF(AND(L8="Closed",OR(H8="",AND(OR(H8="Yes",H8="Unsure",E8="Expand access",E8="Add link"),J8=""))),"Closure / reassessment evidence missing","OK — verify source"))))))))</f>
        <v/>
      </c>
    </row>
    <row r="9">
      <c r="A9" s="27" t="n"/>
      <c r="B9" s="27" t="n"/>
      <c r="C9" s="27" t="n"/>
      <c r="D9" s="28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>
        <f>IF(COUNTA(A9:L9)=0,"",IF(OR(A9="",B9="",C9="",D9="",E9="",I9=""),"Change detail missing",IF(COUNTIF($A$4:$A$253,A9)&gt;1,"Duplicate Map Change ID",IF(NOT(ISNUMBER(D9)),"Change date is not a date",IF(COUNTIF('System map'!$A$4:$A$203,B9)&lt;&gt;1,"AIR-ID not reconciled",IF(COUNTIF(Relationships!$A$4:$A$1003,C9)=0,"Map Edge ID not found in Relationships",IF(AND(OR(H9="Yes",H9="Unsure",E9="Expand access",E9="Add link"),J9=""),"Access change needs reassessment ref",IF(AND(L9="Closed",OR(H9="",AND(OR(H9="Yes",H9="Unsure",E9="Expand access",E9="Add link"),J9=""))),"Closure / reassessment evidence missing","OK — verify source"))))))))</f>
        <v/>
      </c>
    </row>
    <row r="10">
      <c r="A10" s="25" t="n"/>
      <c r="B10" s="25" t="n"/>
      <c r="C10" s="25" t="n"/>
      <c r="D10" s="26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>
        <f>IF(COUNTA(A10:L10)=0,"",IF(OR(A10="",B10="",C10="",D10="",E10="",I10=""),"Change detail missing",IF(COUNTIF($A$4:$A$253,A10)&gt;1,"Duplicate Map Change ID",IF(NOT(ISNUMBER(D10)),"Change date is not a date",IF(COUNTIF('System map'!$A$4:$A$203,B10)&lt;&gt;1,"AIR-ID not reconciled",IF(COUNTIF(Relationships!$A$4:$A$1003,C10)=0,"Map Edge ID not found in Relationships",IF(AND(OR(H10="Yes",H10="Unsure",E10="Expand access",E10="Add link"),J10=""),"Access change needs reassessment ref",IF(AND(L10="Closed",OR(H10="",AND(OR(H10="Yes",H10="Unsure",E10="Expand access",E10="Add link"),J10=""))),"Closure / reassessment evidence missing","OK — verify source"))))))))</f>
        <v/>
      </c>
    </row>
    <row r="11">
      <c r="A11" s="27" t="n"/>
      <c r="B11" s="27" t="n"/>
      <c r="C11" s="27" t="n"/>
      <c r="D11" s="28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>
        <f>IF(COUNTA(A11:L11)=0,"",IF(OR(A11="",B11="",C11="",D11="",E11="",I11=""),"Change detail missing",IF(COUNTIF($A$4:$A$253,A11)&gt;1,"Duplicate Map Change ID",IF(NOT(ISNUMBER(D11)),"Change date is not a date",IF(COUNTIF('System map'!$A$4:$A$203,B11)&lt;&gt;1,"AIR-ID not reconciled",IF(COUNTIF(Relationships!$A$4:$A$1003,C11)=0,"Map Edge ID not found in Relationships",IF(AND(OR(H11="Yes",H11="Unsure",E11="Expand access",E11="Add link"),J11=""),"Access change needs reassessment ref",IF(AND(L11="Closed",OR(H11="",AND(OR(H11="Yes",H11="Unsure",E11="Expand access",E11="Add link"),J11=""))),"Closure / reassessment evidence missing","OK — verify source"))))))))</f>
        <v/>
      </c>
    </row>
    <row r="12">
      <c r="A12" s="25" t="n"/>
      <c r="B12" s="25" t="n"/>
      <c r="C12" s="25" t="n"/>
      <c r="D12" s="26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>
        <f>IF(COUNTA(A12:L12)=0,"",IF(OR(A12="",B12="",C12="",D12="",E12="",I12=""),"Change detail missing",IF(COUNTIF($A$4:$A$253,A12)&gt;1,"Duplicate Map Change ID",IF(NOT(ISNUMBER(D12)),"Change date is not a date",IF(COUNTIF('System map'!$A$4:$A$203,B12)&lt;&gt;1,"AIR-ID not reconciled",IF(COUNTIF(Relationships!$A$4:$A$1003,C12)=0,"Map Edge ID not found in Relationships",IF(AND(OR(H12="Yes",H12="Unsure",E12="Expand access",E12="Add link"),J12=""),"Access change needs reassessment ref",IF(AND(L12="Closed",OR(H12="",AND(OR(H12="Yes",H12="Unsure",E12="Expand access",E12="Add link"),J12=""))),"Closure / reassessment evidence missing","OK — verify source"))))))))</f>
        <v/>
      </c>
    </row>
    <row r="13">
      <c r="A13" s="27" t="n"/>
      <c r="B13" s="27" t="n"/>
      <c r="C13" s="27" t="n"/>
      <c r="D13" s="28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>
        <f>IF(COUNTA(A13:L13)=0,"",IF(OR(A13="",B13="",C13="",D13="",E13="",I13=""),"Change detail missing",IF(COUNTIF($A$4:$A$253,A13)&gt;1,"Duplicate Map Change ID",IF(NOT(ISNUMBER(D13)),"Change date is not a date",IF(COUNTIF('System map'!$A$4:$A$203,B13)&lt;&gt;1,"AIR-ID not reconciled",IF(COUNTIF(Relationships!$A$4:$A$1003,C13)=0,"Map Edge ID not found in Relationships",IF(AND(OR(H13="Yes",H13="Unsure",E13="Expand access",E13="Add link"),J13=""),"Access change needs reassessment ref",IF(AND(L13="Closed",OR(H13="",AND(OR(H13="Yes",H13="Unsure",E13="Expand access",E13="Add link"),J13=""))),"Closure / reassessment evidence missing","OK — verify source"))))))))</f>
        <v/>
      </c>
    </row>
    <row r="14">
      <c r="A14" s="25" t="n"/>
      <c r="B14" s="25" t="n"/>
      <c r="C14" s="25" t="n"/>
      <c r="D14" s="26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>
        <f>IF(COUNTA(A14:L14)=0,"",IF(OR(A14="",B14="",C14="",D14="",E14="",I14=""),"Change detail missing",IF(COUNTIF($A$4:$A$253,A14)&gt;1,"Duplicate Map Change ID",IF(NOT(ISNUMBER(D14)),"Change date is not a date",IF(COUNTIF('System map'!$A$4:$A$203,B14)&lt;&gt;1,"AIR-ID not reconciled",IF(COUNTIF(Relationships!$A$4:$A$1003,C14)=0,"Map Edge ID not found in Relationships",IF(AND(OR(H14="Yes",H14="Unsure",E14="Expand access",E14="Add link"),J14=""),"Access change needs reassessment ref",IF(AND(L14="Closed",OR(H14="",AND(OR(H14="Yes",H14="Unsure",E14="Expand access",E14="Add link"),J14=""))),"Closure / reassessment evidence missing","OK — verify source"))))))))</f>
        <v/>
      </c>
    </row>
    <row r="15">
      <c r="A15" s="27" t="n"/>
      <c r="B15" s="27" t="n"/>
      <c r="C15" s="27" t="n"/>
      <c r="D15" s="28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>
        <f>IF(COUNTA(A15:L15)=0,"",IF(OR(A15="",B15="",C15="",D15="",E15="",I15=""),"Change detail missing",IF(COUNTIF($A$4:$A$253,A15)&gt;1,"Duplicate Map Change ID",IF(NOT(ISNUMBER(D15)),"Change date is not a date",IF(COUNTIF('System map'!$A$4:$A$203,B15)&lt;&gt;1,"AIR-ID not reconciled",IF(COUNTIF(Relationships!$A$4:$A$1003,C15)=0,"Map Edge ID not found in Relationships",IF(AND(OR(H15="Yes",H15="Unsure",E15="Expand access",E15="Add link"),J15=""),"Access change needs reassessment ref",IF(AND(L15="Closed",OR(H15="",AND(OR(H15="Yes",H15="Unsure",E15="Expand access",E15="Add link"),J15=""))),"Closure / reassessment evidence missing","OK — verify source"))))))))</f>
        <v/>
      </c>
    </row>
    <row r="16">
      <c r="A16" s="25" t="n"/>
      <c r="B16" s="25" t="n"/>
      <c r="C16" s="25" t="n"/>
      <c r="D16" s="26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>
        <f>IF(COUNTA(A16:L16)=0,"",IF(OR(A16="",B16="",C16="",D16="",E16="",I16=""),"Change detail missing",IF(COUNTIF($A$4:$A$253,A16)&gt;1,"Duplicate Map Change ID",IF(NOT(ISNUMBER(D16)),"Change date is not a date",IF(COUNTIF('System map'!$A$4:$A$203,B16)&lt;&gt;1,"AIR-ID not reconciled",IF(COUNTIF(Relationships!$A$4:$A$1003,C16)=0,"Map Edge ID not found in Relationships",IF(AND(OR(H16="Yes",H16="Unsure",E16="Expand access",E16="Add link"),J16=""),"Access change needs reassessment ref",IF(AND(L16="Closed",OR(H16="",AND(OR(H16="Yes",H16="Unsure",E16="Expand access",E16="Add link"),J16=""))),"Closure / reassessment evidence missing","OK — verify source"))))))))</f>
        <v/>
      </c>
    </row>
    <row r="17">
      <c r="A17" s="27" t="n"/>
      <c r="B17" s="27" t="n"/>
      <c r="C17" s="27" t="n"/>
      <c r="D17" s="28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>
        <f>IF(COUNTA(A17:L17)=0,"",IF(OR(A17="",B17="",C17="",D17="",E17="",I17=""),"Change detail missing",IF(COUNTIF($A$4:$A$253,A17)&gt;1,"Duplicate Map Change ID",IF(NOT(ISNUMBER(D17)),"Change date is not a date",IF(COUNTIF('System map'!$A$4:$A$203,B17)&lt;&gt;1,"AIR-ID not reconciled",IF(COUNTIF(Relationships!$A$4:$A$1003,C17)=0,"Map Edge ID not found in Relationships",IF(AND(OR(H17="Yes",H17="Unsure",E17="Expand access",E17="Add link"),J17=""),"Access change needs reassessment ref",IF(AND(L17="Closed",OR(H17="",AND(OR(H17="Yes",H17="Unsure",E17="Expand access",E17="Add link"),J17=""))),"Closure / reassessment evidence missing","OK — verify source"))))))))</f>
        <v/>
      </c>
    </row>
    <row r="18">
      <c r="A18" s="25" t="n"/>
      <c r="B18" s="25" t="n"/>
      <c r="C18" s="25" t="n"/>
      <c r="D18" s="26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>
        <f>IF(COUNTA(A18:L18)=0,"",IF(OR(A18="",B18="",C18="",D18="",E18="",I18=""),"Change detail missing",IF(COUNTIF($A$4:$A$253,A18)&gt;1,"Duplicate Map Change ID",IF(NOT(ISNUMBER(D18)),"Change date is not a date",IF(COUNTIF('System map'!$A$4:$A$203,B18)&lt;&gt;1,"AIR-ID not reconciled",IF(COUNTIF(Relationships!$A$4:$A$1003,C18)=0,"Map Edge ID not found in Relationships",IF(AND(OR(H18="Yes",H18="Unsure",E18="Expand access",E18="Add link"),J18=""),"Access change needs reassessment ref",IF(AND(L18="Closed",OR(H18="",AND(OR(H18="Yes",H18="Unsure",E18="Expand access",E18="Add link"),J18=""))),"Closure / reassessment evidence missing","OK — verify source"))))))))</f>
        <v/>
      </c>
    </row>
    <row r="19">
      <c r="A19" s="27" t="n"/>
      <c r="B19" s="27" t="n"/>
      <c r="C19" s="27" t="n"/>
      <c r="D19" s="28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>
        <f>IF(COUNTA(A19:L19)=0,"",IF(OR(A19="",B19="",C19="",D19="",E19="",I19=""),"Change detail missing",IF(COUNTIF($A$4:$A$253,A19)&gt;1,"Duplicate Map Change ID",IF(NOT(ISNUMBER(D19)),"Change date is not a date",IF(COUNTIF('System map'!$A$4:$A$203,B19)&lt;&gt;1,"AIR-ID not reconciled",IF(COUNTIF(Relationships!$A$4:$A$1003,C19)=0,"Map Edge ID not found in Relationships",IF(AND(OR(H19="Yes",H19="Unsure",E19="Expand access",E19="Add link"),J19=""),"Access change needs reassessment ref",IF(AND(L19="Closed",OR(H19="",AND(OR(H19="Yes",H19="Unsure",E19="Expand access",E19="Add link"),J19=""))),"Closure / reassessment evidence missing","OK — verify source"))))))))</f>
        <v/>
      </c>
    </row>
    <row r="20">
      <c r="A20" s="25" t="n"/>
      <c r="B20" s="25" t="n"/>
      <c r="C20" s="25" t="n"/>
      <c r="D20" s="26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>
        <f>IF(COUNTA(A20:L20)=0,"",IF(OR(A20="",B20="",C20="",D20="",E20="",I20=""),"Change detail missing",IF(COUNTIF($A$4:$A$253,A20)&gt;1,"Duplicate Map Change ID",IF(NOT(ISNUMBER(D20)),"Change date is not a date",IF(COUNTIF('System map'!$A$4:$A$203,B20)&lt;&gt;1,"AIR-ID not reconciled",IF(COUNTIF(Relationships!$A$4:$A$1003,C20)=0,"Map Edge ID not found in Relationships",IF(AND(OR(H20="Yes",H20="Unsure",E20="Expand access",E20="Add link"),J20=""),"Access change needs reassessment ref",IF(AND(L20="Closed",OR(H20="",AND(OR(H20="Yes",H20="Unsure",E20="Expand access",E20="Add link"),J20=""))),"Closure / reassessment evidence missing","OK — verify source"))))))))</f>
        <v/>
      </c>
    </row>
    <row r="21">
      <c r="A21" s="27" t="n"/>
      <c r="B21" s="27" t="n"/>
      <c r="C21" s="27" t="n"/>
      <c r="D21" s="28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>
        <f>IF(COUNTA(A21:L21)=0,"",IF(OR(A21="",B21="",C21="",D21="",E21="",I21=""),"Change detail missing",IF(COUNTIF($A$4:$A$253,A21)&gt;1,"Duplicate Map Change ID",IF(NOT(ISNUMBER(D21)),"Change date is not a date",IF(COUNTIF('System map'!$A$4:$A$203,B21)&lt;&gt;1,"AIR-ID not reconciled",IF(COUNTIF(Relationships!$A$4:$A$1003,C21)=0,"Map Edge ID not found in Relationships",IF(AND(OR(H21="Yes",H21="Unsure",E21="Expand access",E21="Add link"),J21=""),"Access change needs reassessment ref",IF(AND(L21="Closed",OR(H21="",AND(OR(H21="Yes",H21="Unsure",E21="Expand access",E21="Add link"),J21=""))),"Closure / reassessment evidence missing","OK — verify source"))))))))</f>
        <v/>
      </c>
    </row>
    <row r="22">
      <c r="A22" s="25" t="n"/>
      <c r="B22" s="25" t="n"/>
      <c r="C22" s="25" t="n"/>
      <c r="D22" s="26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>
        <f>IF(COUNTA(A22:L22)=0,"",IF(OR(A22="",B22="",C22="",D22="",E22="",I22=""),"Change detail missing",IF(COUNTIF($A$4:$A$253,A22)&gt;1,"Duplicate Map Change ID",IF(NOT(ISNUMBER(D22)),"Change date is not a date",IF(COUNTIF('System map'!$A$4:$A$203,B22)&lt;&gt;1,"AIR-ID not reconciled",IF(COUNTIF(Relationships!$A$4:$A$1003,C22)=0,"Map Edge ID not found in Relationships",IF(AND(OR(H22="Yes",H22="Unsure",E22="Expand access",E22="Add link"),J22=""),"Access change needs reassessment ref",IF(AND(L22="Closed",OR(H22="",AND(OR(H22="Yes",H22="Unsure",E22="Expand access",E22="Add link"),J22=""))),"Closure / reassessment evidence missing","OK — verify source"))))))))</f>
        <v/>
      </c>
    </row>
    <row r="23">
      <c r="A23" s="27" t="n"/>
      <c r="B23" s="27" t="n"/>
      <c r="C23" s="27" t="n"/>
      <c r="D23" s="28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>
        <f>IF(COUNTA(A23:L23)=0,"",IF(OR(A23="",B23="",C23="",D23="",E23="",I23=""),"Change detail missing",IF(COUNTIF($A$4:$A$253,A23)&gt;1,"Duplicate Map Change ID",IF(NOT(ISNUMBER(D23)),"Change date is not a date",IF(COUNTIF('System map'!$A$4:$A$203,B23)&lt;&gt;1,"AIR-ID not reconciled",IF(COUNTIF(Relationships!$A$4:$A$1003,C23)=0,"Map Edge ID not found in Relationships",IF(AND(OR(H23="Yes",H23="Unsure",E23="Expand access",E23="Add link"),J23=""),"Access change needs reassessment ref",IF(AND(L23="Closed",OR(H23="",AND(OR(H23="Yes",H23="Unsure",E23="Expand access",E23="Add link"),J23=""))),"Closure / reassessment evidence missing","OK — verify source"))))))))</f>
        <v/>
      </c>
    </row>
    <row r="24">
      <c r="A24" s="25" t="n"/>
      <c r="B24" s="25" t="n"/>
      <c r="C24" s="25" t="n"/>
      <c r="D24" s="26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>
        <f>IF(COUNTA(A24:L24)=0,"",IF(OR(A24="",B24="",C24="",D24="",E24="",I24=""),"Change detail missing",IF(COUNTIF($A$4:$A$253,A24)&gt;1,"Duplicate Map Change ID",IF(NOT(ISNUMBER(D24)),"Change date is not a date",IF(COUNTIF('System map'!$A$4:$A$203,B24)&lt;&gt;1,"AIR-ID not reconciled",IF(COUNTIF(Relationships!$A$4:$A$1003,C24)=0,"Map Edge ID not found in Relationships",IF(AND(OR(H24="Yes",H24="Unsure",E24="Expand access",E24="Add link"),J24=""),"Access change needs reassessment ref",IF(AND(L24="Closed",OR(H24="",AND(OR(H24="Yes",H24="Unsure",E24="Expand access",E24="Add link"),J24=""))),"Closure / reassessment evidence missing","OK — verify source"))))))))</f>
        <v/>
      </c>
    </row>
    <row r="25">
      <c r="A25" s="27" t="n"/>
      <c r="B25" s="27" t="n"/>
      <c r="C25" s="27" t="n"/>
      <c r="D25" s="28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>
        <f>IF(COUNTA(A25:L25)=0,"",IF(OR(A25="",B25="",C25="",D25="",E25="",I25=""),"Change detail missing",IF(COUNTIF($A$4:$A$253,A25)&gt;1,"Duplicate Map Change ID",IF(NOT(ISNUMBER(D25)),"Change date is not a date",IF(COUNTIF('System map'!$A$4:$A$203,B25)&lt;&gt;1,"AIR-ID not reconciled",IF(COUNTIF(Relationships!$A$4:$A$1003,C25)=0,"Map Edge ID not found in Relationships",IF(AND(OR(H25="Yes",H25="Unsure",E25="Expand access",E25="Add link"),J25=""),"Access change needs reassessment ref",IF(AND(L25="Closed",OR(H25="",AND(OR(H25="Yes",H25="Unsure",E25="Expand access",E25="Add link"),J25=""))),"Closure / reassessment evidence missing","OK — verify source"))))))))</f>
        <v/>
      </c>
    </row>
    <row r="26">
      <c r="A26" s="25" t="n"/>
      <c r="B26" s="25" t="n"/>
      <c r="C26" s="25" t="n"/>
      <c r="D26" s="26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>
        <f>IF(COUNTA(A26:L26)=0,"",IF(OR(A26="",B26="",C26="",D26="",E26="",I26=""),"Change detail missing",IF(COUNTIF($A$4:$A$253,A26)&gt;1,"Duplicate Map Change ID",IF(NOT(ISNUMBER(D26)),"Change date is not a date",IF(COUNTIF('System map'!$A$4:$A$203,B26)&lt;&gt;1,"AIR-ID not reconciled",IF(COUNTIF(Relationships!$A$4:$A$1003,C26)=0,"Map Edge ID not found in Relationships",IF(AND(OR(H26="Yes",H26="Unsure",E26="Expand access",E26="Add link"),J26=""),"Access change needs reassessment ref",IF(AND(L26="Closed",OR(H26="",AND(OR(H26="Yes",H26="Unsure",E26="Expand access",E26="Add link"),J26=""))),"Closure / reassessment evidence missing","OK — verify source"))))))))</f>
        <v/>
      </c>
    </row>
    <row r="27">
      <c r="A27" s="27" t="n"/>
      <c r="B27" s="27" t="n"/>
      <c r="C27" s="27" t="n"/>
      <c r="D27" s="28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>
        <f>IF(COUNTA(A27:L27)=0,"",IF(OR(A27="",B27="",C27="",D27="",E27="",I27=""),"Change detail missing",IF(COUNTIF($A$4:$A$253,A27)&gt;1,"Duplicate Map Change ID",IF(NOT(ISNUMBER(D27)),"Change date is not a date",IF(COUNTIF('System map'!$A$4:$A$203,B27)&lt;&gt;1,"AIR-ID not reconciled",IF(COUNTIF(Relationships!$A$4:$A$1003,C27)=0,"Map Edge ID not found in Relationships",IF(AND(OR(H27="Yes",H27="Unsure",E27="Expand access",E27="Add link"),J27=""),"Access change needs reassessment ref",IF(AND(L27="Closed",OR(H27="",AND(OR(H27="Yes",H27="Unsure",E27="Expand access",E27="Add link"),J27=""))),"Closure / reassessment evidence missing","OK — verify source"))))))))</f>
        <v/>
      </c>
    </row>
    <row r="28">
      <c r="A28" s="25" t="n"/>
      <c r="B28" s="25" t="n"/>
      <c r="C28" s="25" t="n"/>
      <c r="D28" s="26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>
        <f>IF(COUNTA(A28:L28)=0,"",IF(OR(A28="",B28="",C28="",D28="",E28="",I28=""),"Change detail missing",IF(COUNTIF($A$4:$A$253,A28)&gt;1,"Duplicate Map Change ID",IF(NOT(ISNUMBER(D28)),"Change date is not a date",IF(COUNTIF('System map'!$A$4:$A$203,B28)&lt;&gt;1,"AIR-ID not reconciled",IF(COUNTIF(Relationships!$A$4:$A$1003,C28)=0,"Map Edge ID not found in Relationships",IF(AND(OR(H28="Yes",H28="Unsure",E28="Expand access",E28="Add link"),J28=""),"Access change needs reassessment ref",IF(AND(L28="Closed",OR(H28="",AND(OR(H28="Yes",H28="Unsure",E28="Expand access",E28="Add link"),J28=""))),"Closure / reassessment evidence missing","OK — verify source"))))))))</f>
        <v/>
      </c>
    </row>
    <row r="29">
      <c r="A29" s="27" t="n"/>
      <c r="B29" s="27" t="n"/>
      <c r="C29" s="27" t="n"/>
      <c r="D29" s="28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>
        <f>IF(COUNTA(A29:L29)=0,"",IF(OR(A29="",B29="",C29="",D29="",E29="",I29=""),"Change detail missing",IF(COUNTIF($A$4:$A$253,A29)&gt;1,"Duplicate Map Change ID",IF(NOT(ISNUMBER(D29)),"Change date is not a date",IF(COUNTIF('System map'!$A$4:$A$203,B29)&lt;&gt;1,"AIR-ID not reconciled",IF(COUNTIF(Relationships!$A$4:$A$1003,C29)=0,"Map Edge ID not found in Relationships",IF(AND(OR(H29="Yes",H29="Unsure",E29="Expand access",E29="Add link"),J29=""),"Access change needs reassessment ref",IF(AND(L29="Closed",OR(H29="",AND(OR(H29="Yes",H29="Unsure",E29="Expand access",E29="Add link"),J29=""))),"Closure / reassessment evidence missing","OK — verify source"))))))))</f>
        <v/>
      </c>
    </row>
    <row r="30">
      <c r="A30" s="25" t="n"/>
      <c r="B30" s="25" t="n"/>
      <c r="C30" s="25" t="n"/>
      <c r="D30" s="26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>
        <f>IF(COUNTA(A30:L30)=0,"",IF(OR(A30="",B30="",C30="",D30="",E30="",I30=""),"Change detail missing",IF(COUNTIF($A$4:$A$253,A30)&gt;1,"Duplicate Map Change ID",IF(NOT(ISNUMBER(D30)),"Change date is not a date",IF(COUNTIF('System map'!$A$4:$A$203,B30)&lt;&gt;1,"AIR-ID not reconciled",IF(COUNTIF(Relationships!$A$4:$A$1003,C30)=0,"Map Edge ID not found in Relationships",IF(AND(OR(H30="Yes",H30="Unsure",E30="Expand access",E30="Add link"),J30=""),"Access change needs reassessment ref",IF(AND(L30="Closed",OR(H30="",AND(OR(H30="Yes",H30="Unsure",E30="Expand access",E30="Add link"),J30=""))),"Closure / reassessment evidence missing","OK — verify source"))))))))</f>
        <v/>
      </c>
    </row>
    <row r="31">
      <c r="A31" s="27" t="n"/>
      <c r="B31" s="27" t="n"/>
      <c r="C31" s="27" t="n"/>
      <c r="D31" s="28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>
        <f>IF(COUNTA(A31:L31)=0,"",IF(OR(A31="",B31="",C31="",D31="",E31="",I31=""),"Change detail missing",IF(COUNTIF($A$4:$A$253,A31)&gt;1,"Duplicate Map Change ID",IF(NOT(ISNUMBER(D31)),"Change date is not a date",IF(COUNTIF('System map'!$A$4:$A$203,B31)&lt;&gt;1,"AIR-ID not reconciled",IF(COUNTIF(Relationships!$A$4:$A$1003,C31)=0,"Map Edge ID not found in Relationships",IF(AND(OR(H31="Yes",H31="Unsure",E31="Expand access",E31="Add link"),J31=""),"Access change needs reassessment ref",IF(AND(L31="Closed",OR(H31="",AND(OR(H31="Yes",H31="Unsure",E31="Expand access",E31="Add link"),J31=""))),"Closure / reassessment evidence missing","OK — verify source"))))))))</f>
        <v/>
      </c>
    </row>
    <row r="32">
      <c r="A32" s="25" t="n"/>
      <c r="B32" s="25" t="n"/>
      <c r="C32" s="25" t="n"/>
      <c r="D32" s="26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>
        <f>IF(COUNTA(A32:L32)=0,"",IF(OR(A32="",B32="",C32="",D32="",E32="",I32=""),"Change detail missing",IF(COUNTIF($A$4:$A$253,A32)&gt;1,"Duplicate Map Change ID",IF(NOT(ISNUMBER(D32)),"Change date is not a date",IF(COUNTIF('System map'!$A$4:$A$203,B32)&lt;&gt;1,"AIR-ID not reconciled",IF(COUNTIF(Relationships!$A$4:$A$1003,C32)=0,"Map Edge ID not found in Relationships",IF(AND(OR(H32="Yes",H32="Unsure",E32="Expand access",E32="Add link"),J32=""),"Access change needs reassessment ref",IF(AND(L32="Closed",OR(H32="",AND(OR(H32="Yes",H32="Unsure",E32="Expand access",E32="Add link"),J32=""))),"Closure / reassessment evidence missing","OK — verify source"))))))))</f>
        <v/>
      </c>
    </row>
    <row r="33">
      <c r="A33" s="27" t="n"/>
      <c r="B33" s="27" t="n"/>
      <c r="C33" s="27" t="n"/>
      <c r="D33" s="28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>
        <f>IF(COUNTA(A33:L33)=0,"",IF(OR(A33="",B33="",C33="",D33="",E33="",I33=""),"Change detail missing",IF(COUNTIF($A$4:$A$253,A33)&gt;1,"Duplicate Map Change ID",IF(NOT(ISNUMBER(D33)),"Change date is not a date",IF(COUNTIF('System map'!$A$4:$A$203,B33)&lt;&gt;1,"AIR-ID not reconciled",IF(COUNTIF(Relationships!$A$4:$A$1003,C33)=0,"Map Edge ID not found in Relationships",IF(AND(OR(H33="Yes",H33="Unsure",E33="Expand access",E33="Add link"),J33=""),"Access change needs reassessment ref",IF(AND(L33="Closed",OR(H33="",AND(OR(H33="Yes",H33="Unsure",E33="Expand access",E33="Add link"),J33=""))),"Closure / reassessment evidence missing","OK — verify source"))))))))</f>
        <v/>
      </c>
    </row>
    <row r="34">
      <c r="A34" s="25" t="n"/>
      <c r="B34" s="25" t="n"/>
      <c r="C34" s="25" t="n"/>
      <c r="D34" s="26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>
        <f>IF(COUNTA(A34:L34)=0,"",IF(OR(A34="",B34="",C34="",D34="",E34="",I34=""),"Change detail missing",IF(COUNTIF($A$4:$A$253,A34)&gt;1,"Duplicate Map Change ID",IF(NOT(ISNUMBER(D34)),"Change date is not a date",IF(COUNTIF('System map'!$A$4:$A$203,B34)&lt;&gt;1,"AIR-ID not reconciled",IF(COUNTIF(Relationships!$A$4:$A$1003,C34)=0,"Map Edge ID not found in Relationships",IF(AND(OR(H34="Yes",H34="Unsure",E34="Expand access",E34="Add link"),J34=""),"Access change needs reassessment ref",IF(AND(L34="Closed",OR(H34="",AND(OR(H34="Yes",H34="Unsure",E34="Expand access",E34="Add link"),J34=""))),"Closure / reassessment evidence missing","OK — verify source"))))))))</f>
        <v/>
      </c>
    </row>
    <row r="35">
      <c r="A35" s="27" t="n"/>
      <c r="B35" s="27" t="n"/>
      <c r="C35" s="27" t="n"/>
      <c r="D35" s="28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>
        <f>IF(COUNTA(A35:L35)=0,"",IF(OR(A35="",B35="",C35="",D35="",E35="",I35=""),"Change detail missing",IF(COUNTIF($A$4:$A$253,A35)&gt;1,"Duplicate Map Change ID",IF(NOT(ISNUMBER(D35)),"Change date is not a date",IF(COUNTIF('System map'!$A$4:$A$203,B35)&lt;&gt;1,"AIR-ID not reconciled",IF(COUNTIF(Relationships!$A$4:$A$1003,C35)=0,"Map Edge ID not found in Relationships",IF(AND(OR(H35="Yes",H35="Unsure",E35="Expand access",E35="Add link"),J35=""),"Access change needs reassessment ref",IF(AND(L35="Closed",OR(H35="",AND(OR(H35="Yes",H35="Unsure",E35="Expand access",E35="Add link"),J35=""))),"Closure / reassessment evidence missing","OK — verify source"))))))))</f>
        <v/>
      </c>
    </row>
    <row r="36">
      <c r="A36" s="25" t="n"/>
      <c r="B36" s="25" t="n"/>
      <c r="C36" s="25" t="n"/>
      <c r="D36" s="26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>
        <f>IF(COUNTA(A36:L36)=0,"",IF(OR(A36="",B36="",C36="",D36="",E36="",I36=""),"Change detail missing",IF(COUNTIF($A$4:$A$253,A36)&gt;1,"Duplicate Map Change ID",IF(NOT(ISNUMBER(D36)),"Change date is not a date",IF(COUNTIF('System map'!$A$4:$A$203,B36)&lt;&gt;1,"AIR-ID not reconciled",IF(COUNTIF(Relationships!$A$4:$A$1003,C36)=0,"Map Edge ID not found in Relationships",IF(AND(OR(H36="Yes",H36="Unsure",E36="Expand access",E36="Add link"),J36=""),"Access change needs reassessment ref",IF(AND(L36="Closed",OR(H36="",AND(OR(H36="Yes",H36="Unsure",E36="Expand access",E36="Add link"),J36=""))),"Closure / reassessment evidence missing","OK — verify source"))))))))</f>
        <v/>
      </c>
    </row>
    <row r="37">
      <c r="A37" s="27" t="n"/>
      <c r="B37" s="27" t="n"/>
      <c r="C37" s="27" t="n"/>
      <c r="D37" s="28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>
        <f>IF(COUNTA(A37:L37)=0,"",IF(OR(A37="",B37="",C37="",D37="",E37="",I37=""),"Change detail missing",IF(COUNTIF($A$4:$A$253,A37)&gt;1,"Duplicate Map Change ID",IF(NOT(ISNUMBER(D37)),"Change date is not a date",IF(COUNTIF('System map'!$A$4:$A$203,B37)&lt;&gt;1,"AIR-ID not reconciled",IF(COUNTIF(Relationships!$A$4:$A$1003,C37)=0,"Map Edge ID not found in Relationships",IF(AND(OR(H37="Yes",H37="Unsure",E37="Expand access",E37="Add link"),J37=""),"Access change needs reassessment ref",IF(AND(L37="Closed",OR(H37="",AND(OR(H37="Yes",H37="Unsure",E37="Expand access",E37="Add link"),J37=""))),"Closure / reassessment evidence missing","OK — verify source"))))))))</f>
        <v/>
      </c>
    </row>
    <row r="38">
      <c r="A38" s="25" t="n"/>
      <c r="B38" s="25" t="n"/>
      <c r="C38" s="25" t="n"/>
      <c r="D38" s="26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>
        <f>IF(COUNTA(A38:L38)=0,"",IF(OR(A38="",B38="",C38="",D38="",E38="",I38=""),"Change detail missing",IF(COUNTIF($A$4:$A$253,A38)&gt;1,"Duplicate Map Change ID",IF(NOT(ISNUMBER(D38)),"Change date is not a date",IF(COUNTIF('System map'!$A$4:$A$203,B38)&lt;&gt;1,"AIR-ID not reconciled",IF(COUNTIF(Relationships!$A$4:$A$1003,C38)=0,"Map Edge ID not found in Relationships",IF(AND(OR(H38="Yes",H38="Unsure",E38="Expand access",E38="Add link"),J38=""),"Access change needs reassessment ref",IF(AND(L38="Closed",OR(H38="",AND(OR(H38="Yes",H38="Unsure",E38="Expand access",E38="Add link"),J38=""))),"Closure / reassessment evidence missing","OK — verify source"))))))))</f>
        <v/>
      </c>
    </row>
    <row r="39">
      <c r="A39" s="27" t="n"/>
      <c r="B39" s="27" t="n"/>
      <c r="C39" s="27" t="n"/>
      <c r="D39" s="28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>
        <f>IF(COUNTA(A39:L39)=0,"",IF(OR(A39="",B39="",C39="",D39="",E39="",I39=""),"Change detail missing",IF(COUNTIF($A$4:$A$253,A39)&gt;1,"Duplicate Map Change ID",IF(NOT(ISNUMBER(D39)),"Change date is not a date",IF(COUNTIF('System map'!$A$4:$A$203,B39)&lt;&gt;1,"AIR-ID not reconciled",IF(COUNTIF(Relationships!$A$4:$A$1003,C39)=0,"Map Edge ID not found in Relationships",IF(AND(OR(H39="Yes",H39="Unsure",E39="Expand access",E39="Add link"),J39=""),"Access change needs reassessment ref",IF(AND(L39="Closed",OR(H39="",AND(OR(H39="Yes",H39="Unsure",E39="Expand access",E39="Add link"),J39=""))),"Closure / reassessment evidence missing","OK — verify source"))))))))</f>
        <v/>
      </c>
    </row>
    <row r="40">
      <c r="A40" s="25" t="n"/>
      <c r="B40" s="25" t="n"/>
      <c r="C40" s="25" t="n"/>
      <c r="D40" s="26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>
        <f>IF(COUNTA(A40:L40)=0,"",IF(OR(A40="",B40="",C40="",D40="",E40="",I40=""),"Change detail missing",IF(COUNTIF($A$4:$A$253,A40)&gt;1,"Duplicate Map Change ID",IF(NOT(ISNUMBER(D40)),"Change date is not a date",IF(COUNTIF('System map'!$A$4:$A$203,B40)&lt;&gt;1,"AIR-ID not reconciled",IF(COUNTIF(Relationships!$A$4:$A$1003,C40)=0,"Map Edge ID not found in Relationships",IF(AND(OR(H40="Yes",H40="Unsure",E40="Expand access",E40="Add link"),J40=""),"Access change needs reassessment ref",IF(AND(L40="Closed",OR(H40="",AND(OR(H40="Yes",H40="Unsure",E40="Expand access",E40="Add link"),J40=""))),"Closure / reassessment evidence missing","OK — verify source"))))))))</f>
        <v/>
      </c>
    </row>
    <row r="41">
      <c r="A41" s="27" t="n"/>
      <c r="B41" s="27" t="n"/>
      <c r="C41" s="27" t="n"/>
      <c r="D41" s="28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>
        <f>IF(COUNTA(A41:L41)=0,"",IF(OR(A41="",B41="",C41="",D41="",E41="",I41=""),"Change detail missing",IF(COUNTIF($A$4:$A$253,A41)&gt;1,"Duplicate Map Change ID",IF(NOT(ISNUMBER(D41)),"Change date is not a date",IF(COUNTIF('System map'!$A$4:$A$203,B41)&lt;&gt;1,"AIR-ID not reconciled",IF(COUNTIF(Relationships!$A$4:$A$1003,C41)=0,"Map Edge ID not found in Relationships",IF(AND(OR(H41="Yes",H41="Unsure",E41="Expand access",E41="Add link"),J41=""),"Access change needs reassessment ref",IF(AND(L41="Closed",OR(H41="",AND(OR(H41="Yes",H41="Unsure",E41="Expand access",E41="Add link"),J41=""))),"Closure / reassessment evidence missing","OK — verify source"))))))))</f>
        <v/>
      </c>
    </row>
    <row r="42">
      <c r="A42" s="25" t="n"/>
      <c r="B42" s="25" t="n"/>
      <c r="C42" s="25" t="n"/>
      <c r="D42" s="26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>
        <f>IF(COUNTA(A42:L42)=0,"",IF(OR(A42="",B42="",C42="",D42="",E42="",I42=""),"Change detail missing",IF(COUNTIF($A$4:$A$253,A42)&gt;1,"Duplicate Map Change ID",IF(NOT(ISNUMBER(D42)),"Change date is not a date",IF(COUNTIF('System map'!$A$4:$A$203,B42)&lt;&gt;1,"AIR-ID not reconciled",IF(COUNTIF(Relationships!$A$4:$A$1003,C42)=0,"Map Edge ID not found in Relationships",IF(AND(OR(H42="Yes",H42="Unsure",E42="Expand access",E42="Add link"),J42=""),"Access change needs reassessment ref",IF(AND(L42="Closed",OR(H42="",AND(OR(H42="Yes",H42="Unsure",E42="Expand access",E42="Add link"),J42=""))),"Closure / reassessment evidence missing","OK — verify source"))))))))</f>
        <v/>
      </c>
    </row>
    <row r="43">
      <c r="A43" s="27" t="n"/>
      <c r="B43" s="27" t="n"/>
      <c r="C43" s="27" t="n"/>
      <c r="D43" s="28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>
        <f>IF(COUNTA(A43:L43)=0,"",IF(OR(A43="",B43="",C43="",D43="",E43="",I43=""),"Change detail missing",IF(COUNTIF($A$4:$A$253,A43)&gt;1,"Duplicate Map Change ID",IF(NOT(ISNUMBER(D43)),"Change date is not a date",IF(COUNTIF('System map'!$A$4:$A$203,B43)&lt;&gt;1,"AIR-ID not reconciled",IF(COUNTIF(Relationships!$A$4:$A$1003,C43)=0,"Map Edge ID not found in Relationships",IF(AND(OR(H43="Yes",H43="Unsure",E43="Expand access",E43="Add link"),J43=""),"Access change needs reassessment ref",IF(AND(L43="Closed",OR(H43="",AND(OR(H43="Yes",H43="Unsure",E43="Expand access",E43="Add link"),J43=""))),"Closure / reassessment evidence missing","OK — verify source"))))))))</f>
        <v/>
      </c>
    </row>
    <row r="44">
      <c r="A44" s="25" t="n"/>
      <c r="B44" s="25" t="n"/>
      <c r="C44" s="25" t="n"/>
      <c r="D44" s="26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>
        <f>IF(COUNTA(A44:L44)=0,"",IF(OR(A44="",B44="",C44="",D44="",E44="",I44=""),"Change detail missing",IF(COUNTIF($A$4:$A$253,A44)&gt;1,"Duplicate Map Change ID",IF(NOT(ISNUMBER(D44)),"Change date is not a date",IF(COUNTIF('System map'!$A$4:$A$203,B44)&lt;&gt;1,"AIR-ID not reconciled",IF(COUNTIF(Relationships!$A$4:$A$1003,C44)=0,"Map Edge ID not found in Relationships",IF(AND(OR(H44="Yes",H44="Unsure",E44="Expand access",E44="Add link"),J44=""),"Access change needs reassessment ref",IF(AND(L44="Closed",OR(H44="",AND(OR(H44="Yes",H44="Unsure",E44="Expand access",E44="Add link"),J44=""))),"Closure / reassessment evidence missing","OK — verify source"))))))))</f>
        <v/>
      </c>
    </row>
    <row r="45">
      <c r="A45" s="27" t="n"/>
      <c r="B45" s="27" t="n"/>
      <c r="C45" s="27" t="n"/>
      <c r="D45" s="28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>
        <f>IF(COUNTA(A45:L45)=0,"",IF(OR(A45="",B45="",C45="",D45="",E45="",I45=""),"Change detail missing",IF(COUNTIF($A$4:$A$253,A45)&gt;1,"Duplicate Map Change ID",IF(NOT(ISNUMBER(D45)),"Change date is not a date",IF(COUNTIF('System map'!$A$4:$A$203,B45)&lt;&gt;1,"AIR-ID not reconciled",IF(COUNTIF(Relationships!$A$4:$A$1003,C45)=0,"Map Edge ID not found in Relationships",IF(AND(OR(H45="Yes",H45="Unsure",E45="Expand access",E45="Add link"),J45=""),"Access change needs reassessment ref",IF(AND(L45="Closed",OR(H45="",AND(OR(H45="Yes",H45="Unsure",E45="Expand access",E45="Add link"),J45=""))),"Closure / reassessment evidence missing","OK — verify source"))))))))</f>
        <v/>
      </c>
    </row>
    <row r="46">
      <c r="A46" s="25" t="n"/>
      <c r="B46" s="25" t="n"/>
      <c r="C46" s="25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>
        <f>IF(COUNTA(A46:L46)=0,"",IF(OR(A46="",B46="",C46="",D46="",E46="",I46=""),"Change detail missing",IF(COUNTIF($A$4:$A$253,A46)&gt;1,"Duplicate Map Change ID",IF(NOT(ISNUMBER(D46)),"Change date is not a date",IF(COUNTIF('System map'!$A$4:$A$203,B46)&lt;&gt;1,"AIR-ID not reconciled",IF(COUNTIF(Relationships!$A$4:$A$1003,C46)=0,"Map Edge ID not found in Relationships",IF(AND(OR(H46="Yes",H46="Unsure",E46="Expand access",E46="Add link"),J46=""),"Access change needs reassessment ref",IF(AND(L46="Closed",OR(H46="",AND(OR(H46="Yes",H46="Unsure",E46="Expand access",E46="Add link"),J46=""))),"Closure / reassessment evidence missing","OK — verify source"))))))))</f>
        <v/>
      </c>
    </row>
    <row r="47">
      <c r="A47" s="27" t="n"/>
      <c r="B47" s="27" t="n"/>
      <c r="C47" s="27" t="n"/>
      <c r="D47" s="28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>
        <f>IF(COUNTA(A47:L47)=0,"",IF(OR(A47="",B47="",C47="",D47="",E47="",I47=""),"Change detail missing",IF(COUNTIF($A$4:$A$253,A47)&gt;1,"Duplicate Map Change ID",IF(NOT(ISNUMBER(D47)),"Change date is not a date",IF(COUNTIF('System map'!$A$4:$A$203,B47)&lt;&gt;1,"AIR-ID not reconciled",IF(COUNTIF(Relationships!$A$4:$A$1003,C47)=0,"Map Edge ID not found in Relationships",IF(AND(OR(H47="Yes",H47="Unsure",E47="Expand access",E47="Add link"),J47=""),"Access change needs reassessment ref",IF(AND(L47="Closed",OR(H47="",AND(OR(H47="Yes",H47="Unsure",E47="Expand access",E47="Add link"),J47=""))),"Closure / reassessment evidence missing","OK — verify source"))))))))</f>
        <v/>
      </c>
    </row>
    <row r="48">
      <c r="A48" s="25" t="n"/>
      <c r="B48" s="25" t="n"/>
      <c r="C48" s="25" t="n"/>
      <c r="D48" s="26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>
        <f>IF(COUNTA(A48:L48)=0,"",IF(OR(A48="",B48="",C48="",D48="",E48="",I48=""),"Change detail missing",IF(COUNTIF($A$4:$A$253,A48)&gt;1,"Duplicate Map Change ID",IF(NOT(ISNUMBER(D48)),"Change date is not a date",IF(COUNTIF('System map'!$A$4:$A$203,B48)&lt;&gt;1,"AIR-ID not reconciled",IF(COUNTIF(Relationships!$A$4:$A$1003,C48)=0,"Map Edge ID not found in Relationships",IF(AND(OR(H48="Yes",H48="Unsure",E48="Expand access",E48="Add link"),J48=""),"Access change needs reassessment ref",IF(AND(L48="Closed",OR(H48="",AND(OR(H48="Yes",H48="Unsure",E48="Expand access",E48="Add link"),J48=""))),"Closure / reassessment evidence missing","OK — verify source"))))))))</f>
        <v/>
      </c>
    </row>
    <row r="49">
      <c r="A49" s="27" t="n"/>
      <c r="B49" s="27" t="n"/>
      <c r="C49" s="27" t="n"/>
      <c r="D49" s="28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>
        <f>IF(COUNTA(A49:L49)=0,"",IF(OR(A49="",B49="",C49="",D49="",E49="",I49=""),"Change detail missing",IF(COUNTIF($A$4:$A$253,A49)&gt;1,"Duplicate Map Change ID",IF(NOT(ISNUMBER(D49)),"Change date is not a date",IF(COUNTIF('System map'!$A$4:$A$203,B49)&lt;&gt;1,"AIR-ID not reconciled",IF(COUNTIF(Relationships!$A$4:$A$1003,C49)=0,"Map Edge ID not found in Relationships",IF(AND(OR(H49="Yes",H49="Unsure",E49="Expand access",E49="Add link"),J49=""),"Access change needs reassessment ref",IF(AND(L49="Closed",OR(H49="",AND(OR(H49="Yes",H49="Unsure",E49="Expand access",E49="Add link"),J49=""))),"Closure / reassessment evidence missing","OK — verify source"))))))))</f>
        <v/>
      </c>
    </row>
    <row r="50">
      <c r="A50" s="25" t="n"/>
      <c r="B50" s="25" t="n"/>
      <c r="C50" s="25" t="n"/>
      <c r="D50" s="26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>
        <f>IF(COUNTA(A50:L50)=0,"",IF(OR(A50="",B50="",C50="",D50="",E50="",I50=""),"Change detail missing",IF(COUNTIF($A$4:$A$253,A50)&gt;1,"Duplicate Map Change ID",IF(NOT(ISNUMBER(D50)),"Change date is not a date",IF(COUNTIF('System map'!$A$4:$A$203,B50)&lt;&gt;1,"AIR-ID not reconciled",IF(COUNTIF(Relationships!$A$4:$A$1003,C50)=0,"Map Edge ID not found in Relationships",IF(AND(OR(H50="Yes",H50="Unsure",E50="Expand access",E50="Add link"),J50=""),"Access change needs reassessment ref",IF(AND(L50="Closed",OR(H50="",AND(OR(H50="Yes",H50="Unsure",E50="Expand access",E50="Add link"),J50=""))),"Closure / reassessment evidence missing","OK — verify source"))))))))</f>
        <v/>
      </c>
    </row>
    <row r="51">
      <c r="A51" s="27" t="n"/>
      <c r="B51" s="27" t="n"/>
      <c r="C51" s="27" t="n"/>
      <c r="D51" s="28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>
        <f>IF(COUNTA(A51:L51)=0,"",IF(OR(A51="",B51="",C51="",D51="",E51="",I51=""),"Change detail missing",IF(COUNTIF($A$4:$A$253,A51)&gt;1,"Duplicate Map Change ID",IF(NOT(ISNUMBER(D51)),"Change date is not a date",IF(COUNTIF('System map'!$A$4:$A$203,B51)&lt;&gt;1,"AIR-ID not reconciled",IF(COUNTIF(Relationships!$A$4:$A$1003,C51)=0,"Map Edge ID not found in Relationships",IF(AND(OR(H51="Yes",H51="Unsure",E51="Expand access",E51="Add link"),J51=""),"Access change needs reassessment ref",IF(AND(L51="Closed",OR(H51="",AND(OR(H51="Yes",H51="Unsure",E51="Expand access",E51="Add link"),J51=""))),"Closure / reassessment evidence missing","OK — verify source"))))))))</f>
        <v/>
      </c>
    </row>
    <row r="52">
      <c r="A52" s="25" t="n"/>
      <c r="B52" s="25" t="n"/>
      <c r="C52" s="25" t="n"/>
      <c r="D52" s="26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>
        <f>IF(COUNTA(A52:L52)=0,"",IF(OR(A52="",B52="",C52="",D52="",E52="",I52=""),"Change detail missing",IF(COUNTIF($A$4:$A$253,A52)&gt;1,"Duplicate Map Change ID",IF(NOT(ISNUMBER(D52)),"Change date is not a date",IF(COUNTIF('System map'!$A$4:$A$203,B52)&lt;&gt;1,"AIR-ID not reconciled",IF(COUNTIF(Relationships!$A$4:$A$1003,C52)=0,"Map Edge ID not found in Relationships",IF(AND(OR(H52="Yes",H52="Unsure",E52="Expand access",E52="Add link"),J52=""),"Access change needs reassessment ref",IF(AND(L52="Closed",OR(H52="",AND(OR(H52="Yes",H52="Unsure",E52="Expand access",E52="Add link"),J52=""))),"Closure / reassessment evidence missing","OK — verify source"))))))))</f>
        <v/>
      </c>
    </row>
    <row r="53">
      <c r="A53" s="27" t="n"/>
      <c r="B53" s="27" t="n"/>
      <c r="C53" s="27" t="n"/>
      <c r="D53" s="28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>
        <f>IF(COUNTA(A53:L53)=0,"",IF(OR(A53="",B53="",C53="",D53="",E53="",I53=""),"Change detail missing",IF(COUNTIF($A$4:$A$253,A53)&gt;1,"Duplicate Map Change ID",IF(NOT(ISNUMBER(D53)),"Change date is not a date",IF(COUNTIF('System map'!$A$4:$A$203,B53)&lt;&gt;1,"AIR-ID not reconciled",IF(COUNTIF(Relationships!$A$4:$A$1003,C53)=0,"Map Edge ID not found in Relationships",IF(AND(OR(H53="Yes",H53="Unsure",E53="Expand access",E53="Add link"),J53=""),"Access change needs reassessment ref",IF(AND(L53="Closed",OR(H53="",AND(OR(H53="Yes",H53="Unsure",E53="Expand access",E53="Add link"),J53=""))),"Closure / reassessment evidence missing","OK — verify source"))))))))</f>
        <v/>
      </c>
    </row>
    <row r="54">
      <c r="A54" s="25" t="n"/>
      <c r="B54" s="25" t="n"/>
      <c r="C54" s="25" t="n"/>
      <c r="D54" s="26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>
        <f>IF(COUNTA(A54:L54)=0,"",IF(OR(A54="",B54="",C54="",D54="",E54="",I54=""),"Change detail missing",IF(COUNTIF($A$4:$A$253,A54)&gt;1,"Duplicate Map Change ID",IF(NOT(ISNUMBER(D54)),"Change date is not a date",IF(COUNTIF('System map'!$A$4:$A$203,B54)&lt;&gt;1,"AIR-ID not reconciled",IF(COUNTIF(Relationships!$A$4:$A$1003,C54)=0,"Map Edge ID not found in Relationships",IF(AND(OR(H54="Yes",H54="Unsure",E54="Expand access",E54="Add link"),J54=""),"Access change needs reassessment ref",IF(AND(L54="Closed",OR(H54="",AND(OR(H54="Yes",H54="Unsure",E54="Expand access",E54="Add link"),J54=""))),"Closure / reassessment evidence missing","OK — verify source"))))))))</f>
        <v/>
      </c>
    </row>
    <row r="55">
      <c r="A55" s="27" t="n"/>
      <c r="B55" s="27" t="n"/>
      <c r="C55" s="27" t="n"/>
      <c r="D55" s="28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>
        <f>IF(COUNTA(A55:L55)=0,"",IF(OR(A55="",B55="",C55="",D55="",E55="",I55=""),"Change detail missing",IF(COUNTIF($A$4:$A$253,A55)&gt;1,"Duplicate Map Change ID",IF(NOT(ISNUMBER(D55)),"Change date is not a date",IF(COUNTIF('System map'!$A$4:$A$203,B55)&lt;&gt;1,"AIR-ID not reconciled",IF(COUNTIF(Relationships!$A$4:$A$1003,C55)=0,"Map Edge ID not found in Relationships",IF(AND(OR(H55="Yes",H55="Unsure",E55="Expand access",E55="Add link"),J55=""),"Access change needs reassessment ref",IF(AND(L55="Closed",OR(H55="",AND(OR(H55="Yes",H55="Unsure",E55="Expand access",E55="Add link"),J55=""))),"Closure / reassessment evidence missing","OK — verify source"))))))))</f>
        <v/>
      </c>
    </row>
    <row r="56">
      <c r="A56" s="25" t="n"/>
      <c r="B56" s="25" t="n"/>
      <c r="C56" s="25" t="n"/>
      <c r="D56" s="26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>
        <f>IF(COUNTA(A56:L56)=0,"",IF(OR(A56="",B56="",C56="",D56="",E56="",I56=""),"Change detail missing",IF(COUNTIF($A$4:$A$253,A56)&gt;1,"Duplicate Map Change ID",IF(NOT(ISNUMBER(D56)),"Change date is not a date",IF(COUNTIF('System map'!$A$4:$A$203,B56)&lt;&gt;1,"AIR-ID not reconciled",IF(COUNTIF(Relationships!$A$4:$A$1003,C56)=0,"Map Edge ID not found in Relationships",IF(AND(OR(H56="Yes",H56="Unsure",E56="Expand access",E56="Add link"),J56=""),"Access change needs reassessment ref",IF(AND(L56="Closed",OR(H56="",AND(OR(H56="Yes",H56="Unsure",E56="Expand access",E56="Add link"),J56=""))),"Closure / reassessment evidence missing","OK — verify source"))))))))</f>
        <v/>
      </c>
    </row>
    <row r="57">
      <c r="A57" s="27" t="n"/>
      <c r="B57" s="27" t="n"/>
      <c r="C57" s="27" t="n"/>
      <c r="D57" s="28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>
        <f>IF(COUNTA(A57:L57)=0,"",IF(OR(A57="",B57="",C57="",D57="",E57="",I57=""),"Change detail missing",IF(COUNTIF($A$4:$A$253,A57)&gt;1,"Duplicate Map Change ID",IF(NOT(ISNUMBER(D57)),"Change date is not a date",IF(COUNTIF('System map'!$A$4:$A$203,B57)&lt;&gt;1,"AIR-ID not reconciled",IF(COUNTIF(Relationships!$A$4:$A$1003,C57)=0,"Map Edge ID not found in Relationships",IF(AND(OR(H57="Yes",H57="Unsure",E57="Expand access",E57="Add link"),J57=""),"Access change needs reassessment ref",IF(AND(L57="Closed",OR(H57="",AND(OR(H57="Yes",H57="Unsure",E57="Expand access",E57="Add link"),J57=""))),"Closure / reassessment evidence missing","OK — verify source"))))))))</f>
        <v/>
      </c>
    </row>
    <row r="58">
      <c r="A58" s="25" t="n"/>
      <c r="B58" s="25" t="n"/>
      <c r="C58" s="25" t="n"/>
      <c r="D58" s="26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>
        <f>IF(COUNTA(A58:L58)=0,"",IF(OR(A58="",B58="",C58="",D58="",E58="",I58=""),"Change detail missing",IF(COUNTIF($A$4:$A$253,A58)&gt;1,"Duplicate Map Change ID",IF(NOT(ISNUMBER(D58)),"Change date is not a date",IF(COUNTIF('System map'!$A$4:$A$203,B58)&lt;&gt;1,"AIR-ID not reconciled",IF(COUNTIF(Relationships!$A$4:$A$1003,C58)=0,"Map Edge ID not found in Relationships",IF(AND(OR(H58="Yes",H58="Unsure",E58="Expand access",E58="Add link"),J58=""),"Access change needs reassessment ref",IF(AND(L58="Closed",OR(H58="",AND(OR(H58="Yes",H58="Unsure",E58="Expand access",E58="Add link"),J58=""))),"Closure / reassessment evidence missing","OK — verify source"))))))))</f>
        <v/>
      </c>
    </row>
    <row r="59">
      <c r="A59" s="27" t="n"/>
      <c r="B59" s="27" t="n"/>
      <c r="C59" s="27" t="n"/>
      <c r="D59" s="28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>
        <f>IF(COUNTA(A59:L59)=0,"",IF(OR(A59="",B59="",C59="",D59="",E59="",I59=""),"Change detail missing",IF(COUNTIF($A$4:$A$253,A59)&gt;1,"Duplicate Map Change ID",IF(NOT(ISNUMBER(D59)),"Change date is not a date",IF(COUNTIF('System map'!$A$4:$A$203,B59)&lt;&gt;1,"AIR-ID not reconciled",IF(COUNTIF(Relationships!$A$4:$A$1003,C59)=0,"Map Edge ID not found in Relationships",IF(AND(OR(H59="Yes",H59="Unsure",E59="Expand access",E59="Add link"),J59=""),"Access change needs reassessment ref",IF(AND(L59="Closed",OR(H59="",AND(OR(H59="Yes",H59="Unsure",E59="Expand access",E59="Add link"),J59=""))),"Closure / reassessment evidence missing","OK — verify source"))))))))</f>
        <v/>
      </c>
    </row>
    <row r="60">
      <c r="A60" s="25" t="n"/>
      <c r="B60" s="25" t="n"/>
      <c r="C60" s="25" t="n"/>
      <c r="D60" s="26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>
        <f>IF(COUNTA(A60:L60)=0,"",IF(OR(A60="",B60="",C60="",D60="",E60="",I60=""),"Change detail missing",IF(COUNTIF($A$4:$A$253,A60)&gt;1,"Duplicate Map Change ID",IF(NOT(ISNUMBER(D60)),"Change date is not a date",IF(COUNTIF('System map'!$A$4:$A$203,B60)&lt;&gt;1,"AIR-ID not reconciled",IF(COUNTIF(Relationships!$A$4:$A$1003,C60)=0,"Map Edge ID not found in Relationships",IF(AND(OR(H60="Yes",H60="Unsure",E60="Expand access",E60="Add link"),J60=""),"Access change needs reassessment ref",IF(AND(L60="Closed",OR(H60="",AND(OR(H60="Yes",H60="Unsure",E60="Expand access",E60="Add link"),J60=""))),"Closure / reassessment evidence missing","OK — verify source"))))))))</f>
        <v/>
      </c>
    </row>
    <row r="61">
      <c r="A61" s="27" t="n"/>
      <c r="B61" s="27" t="n"/>
      <c r="C61" s="27" t="n"/>
      <c r="D61" s="28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>
        <f>IF(COUNTA(A61:L61)=0,"",IF(OR(A61="",B61="",C61="",D61="",E61="",I61=""),"Change detail missing",IF(COUNTIF($A$4:$A$253,A61)&gt;1,"Duplicate Map Change ID",IF(NOT(ISNUMBER(D61)),"Change date is not a date",IF(COUNTIF('System map'!$A$4:$A$203,B61)&lt;&gt;1,"AIR-ID not reconciled",IF(COUNTIF(Relationships!$A$4:$A$1003,C61)=0,"Map Edge ID not found in Relationships",IF(AND(OR(H61="Yes",H61="Unsure",E61="Expand access",E61="Add link"),J61=""),"Access change needs reassessment ref",IF(AND(L61="Closed",OR(H61="",AND(OR(H61="Yes",H61="Unsure",E61="Expand access",E61="Add link"),J61=""))),"Closure / reassessment evidence missing","OK — verify source"))))))))</f>
        <v/>
      </c>
    </row>
    <row r="62">
      <c r="A62" s="25" t="n"/>
      <c r="B62" s="25" t="n"/>
      <c r="C62" s="25" t="n"/>
      <c r="D62" s="26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>
        <f>IF(COUNTA(A62:L62)=0,"",IF(OR(A62="",B62="",C62="",D62="",E62="",I62=""),"Change detail missing",IF(COUNTIF($A$4:$A$253,A62)&gt;1,"Duplicate Map Change ID",IF(NOT(ISNUMBER(D62)),"Change date is not a date",IF(COUNTIF('System map'!$A$4:$A$203,B62)&lt;&gt;1,"AIR-ID not reconciled",IF(COUNTIF(Relationships!$A$4:$A$1003,C62)=0,"Map Edge ID not found in Relationships",IF(AND(OR(H62="Yes",H62="Unsure",E62="Expand access",E62="Add link"),J62=""),"Access change needs reassessment ref",IF(AND(L62="Closed",OR(H62="",AND(OR(H62="Yes",H62="Unsure",E62="Expand access",E62="Add link"),J62=""))),"Closure / reassessment evidence missing","OK — verify source"))))))))</f>
        <v/>
      </c>
    </row>
    <row r="63">
      <c r="A63" s="27" t="n"/>
      <c r="B63" s="27" t="n"/>
      <c r="C63" s="27" t="n"/>
      <c r="D63" s="28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>
        <f>IF(COUNTA(A63:L63)=0,"",IF(OR(A63="",B63="",C63="",D63="",E63="",I63=""),"Change detail missing",IF(COUNTIF($A$4:$A$253,A63)&gt;1,"Duplicate Map Change ID",IF(NOT(ISNUMBER(D63)),"Change date is not a date",IF(COUNTIF('System map'!$A$4:$A$203,B63)&lt;&gt;1,"AIR-ID not reconciled",IF(COUNTIF(Relationships!$A$4:$A$1003,C63)=0,"Map Edge ID not found in Relationships",IF(AND(OR(H63="Yes",H63="Unsure",E63="Expand access",E63="Add link"),J63=""),"Access change needs reassessment ref",IF(AND(L63="Closed",OR(H63="",AND(OR(H63="Yes",H63="Unsure",E63="Expand access",E63="Add link"),J63=""))),"Closure / reassessment evidence missing","OK — verify source"))))))))</f>
        <v/>
      </c>
    </row>
    <row r="64">
      <c r="A64" s="25" t="n"/>
      <c r="B64" s="25" t="n"/>
      <c r="C64" s="25" t="n"/>
      <c r="D64" s="26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>
        <f>IF(COUNTA(A64:L64)=0,"",IF(OR(A64="",B64="",C64="",D64="",E64="",I64=""),"Change detail missing",IF(COUNTIF($A$4:$A$253,A64)&gt;1,"Duplicate Map Change ID",IF(NOT(ISNUMBER(D64)),"Change date is not a date",IF(COUNTIF('System map'!$A$4:$A$203,B64)&lt;&gt;1,"AIR-ID not reconciled",IF(COUNTIF(Relationships!$A$4:$A$1003,C64)=0,"Map Edge ID not found in Relationships",IF(AND(OR(H64="Yes",H64="Unsure",E64="Expand access",E64="Add link"),J64=""),"Access change needs reassessment ref",IF(AND(L64="Closed",OR(H64="",AND(OR(H64="Yes",H64="Unsure",E64="Expand access",E64="Add link"),J64=""))),"Closure / reassessment evidence missing","OK — verify source"))))))))</f>
        <v/>
      </c>
    </row>
    <row r="65">
      <c r="A65" s="27" t="n"/>
      <c r="B65" s="27" t="n"/>
      <c r="C65" s="27" t="n"/>
      <c r="D65" s="28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>
        <f>IF(COUNTA(A65:L65)=0,"",IF(OR(A65="",B65="",C65="",D65="",E65="",I65=""),"Change detail missing",IF(COUNTIF($A$4:$A$253,A65)&gt;1,"Duplicate Map Change ID",IF(NOT(ISNUMBER(D65)),"Change date is not a date",IF(COUNTIF('System map'!$A$4:$A$203,B65)&lt;&gt;1,"AIR-ID not reconciled",IF(COUNTIF(Relationships!$A$4:$A$1003,C65)=0,"Map Edge ID not found in Relationships",IF(AND(OR(H65="Yes",H65="Unsure",E65="Expand access",E65="Add link"),J65=""),"Access change needs reassessment ref",IF(AND(L65="Closed",OR(H65="",AND(OR(H65="Yes",H65="Unsure",E65="Expand access",E65="Add link"),J65=""))),"Closure / reassessment evidence missing","OK — verify source"))))))))</f>
        <v/>
      </c>
    </row>
    <row r="66">
      <c r="A66" s="25" t="n"/>
      <c r="B66" s="25" t="n"/>
      <c r="C66" s="25" t="n"/>
      <c r="D66" s="26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>
        <f>IF(COUNTA(A66:L66)=0,"",IF(OR(A66="",B66="",C66="",D66="",E66="",I66=""),"Change detail missing",IF(COUNTIF($A$4:$A$253,A66)&gt;1,"Duplicate Map Change ID",IF(NOT(ISNUMBER(D66)),"Change date is not a date",IF(COUNTIF('System map'!$A$4:$A$203,B66)&lt;&gt;1,"AIR-ID not reconciled",IF(COUNTIF(Relationships!$A$4:$A$1003,C66)=0,"Map Edge ID not found in Relationships",IF(AND(OR(H66="Yes",H66="Unsure",E66="Expand access",E66="Add link"),J66=""),"Access change needs reassessment ref",IF(AND(L66="Closed",OR(H66="",AND(OR(H66="Yes",H66="Unsure",E66="Expand access",E66="Add link"),J66=""))),"Closure / reassessment evidence missing","OK — verify source"))))))))</f>
        <v/>
      </c>
    </row>
    <row r="67">
      <c r="A67" s="27" t="n"/>
      <c r="B67" s="27" t="n"/>
      <c r="C67" s="27" t="n"/>
      <c r="D67" s="28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>
        <f>IF(COUNTA(A67:L67)=0,"",IF(OR(A67="",B67="",C67="",D67="",E67="",I67=""),"Change detail missing",IF(COUNTIF($A$4:$A$253,A67)&gt;1,"Duplicate Map Change ID",IF(NOT(ISNUMBER(D67)),"Change date is not a date",IF(COUNTIF('System map'!$A$4:$A$203,B67)&lt;&gt;1,"AIR-ID not reconciled",IF(COUNTIF(Relationships!$A$4:$A$1003,C67)=0,"Map Edge ID not found in Relationships",IF(AND(OR(H67="Yes",H67="Unsure",E67="Expand access",E67="Add link"),J67=""),"Access change needs reassessment ref",IF(AND(L67="Closed",OR(H67="",AND(OR(H67="Yes",H67="Unsure",E67="Expand access",E67="Add link"),J67=""))),"Closure / reassessment evidence missing","OK — verify source"))))))))</f>
        <v/>
      </c>
    </row>
    <row r="68">
      <c r="A68" s="25" t="n"/>
      <c r="B68" s="25" t="n"/>
      <c r="C68" s="25" t="n"/>
      <c r="D68" s="26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>
        <f>IF(COUNTA(A68:L68)=0,"",IF(OR(A68="",B68="",C68="",D68="",E68="",I68=""),"Change detail missing",IF(COUNTIF($A$4:$A$253,A68)&gt;1,"Duplicate Map Change ID",IF(NOT(ISNUMBER(D68)),"Change date is not a date",IF(COUNTIF('System map'!$A$4:$A$203,B68)&lt;&gt;1,"AIR-ID not reconciled",IF(COUNTIF(Relationships!$A$4:$A$1003,C68)=0,"Map Edge ID not found in Relationships",IF(AND(OR(H68="Yes",H68="Unsure",E68="Expand access",E68="Add link"),J68=""),"Access change needs reassessment ref",IF(AND(L68="Closed",OR(H68="",AND(OR(H68="Yes",H68="Unsure",E68="Expand access",E68="Add link"),J68=""))),"Closure / reassessment evidence missing","OK — verify source"))))))))</f>
        <v/>
      </c>
    </row>
    <row r="69">
      <c r="A69" s="27" t="n"/>
      <c r="B69" s="27" t="n"/>
      <c r="C69" s="27" t="n"/>
      <c r="D69" s="28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>
        <f>IF(COUNTA(A69:L69)=0,"",IF(OR(A69="",B69="",C69="",D69="",E69="",I69=""),"Change detail missing",IF(COUNTIF($A$4:$A$253,A69)&gt;1,"Duplicate Map Change ID",IF(NOT(ISNUMBER(D69)),"Change date is not a date",IF(COUNTIF('System map'!$A$4:$A$203,B69)&lt;&gt;1,"AIR-ID not reconciled",IF(COUNTIF(Relationships!$A$4:$A$1003,C69)=0,"Map Edge ID not found in Relationships",IF(AND(OR(H69="Yes",H69="Unsure",E69="Expand access",E69="Add link"),J69=""),"Access change needs reassessment ref",IF(AND(L69="Closed",OR(H69="",AND(OR(H69="Yes",H69="Unsure",E69="Expand access",E69="Add link"),J69=""))),"Closure / reassessment evidence missing","OK — verify source"))))))))</f>
        <v/>
      </c>
    </row>
    <row r="70">
      <c r="A70" s="25" t="n"/>
      <c r="B70" s="25" t="n"/>
      <c r="C70" s="25" t="n"/>
      <c r="D70" s="26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>
        <f>IF(COUNTA(A70:L70)=0,"",IF(OR(A70="",B70="",C70="",D70="",E70="",I70=""),"Change detail missing",IF(COUNTIF($A$4:$A$253,A70)&gt;1,"Duplicate Map Change ID",IF(NOT(ISNUMBER(D70)),"Change date is not a date",IF(COUNTIF('System map'!$A$4:$A$203,B70)&lt;&gt;1,"AIR-ID not reconciled",IF(COUNTIF(Relationships!$A$4:$A$1003,C70)=0,"Map Edge ID not found in Relationships",IF(AND(OR(H70="Yes",H70="Unsure",E70="Expand access",E70="Add link"),J70=""),"Access change needs reassessment ref",IF(AND(L70="Closed",OR(H70="",AND(OR(H70="Yes",H70="Unsure",E70="Expand access",E70="Add link"),J70=""))),"Closure / reassessment evidence missing","OK — verify source"))))))))</f>
        <v/>
      </c>
    </row>
    <row r="71">
      <c r="A71" s="27" t="n"/>
      <c r="B71" s="27" t="n"/>
      <c r="C71" s="27" t="n"/>
      <c r="D71" s="28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>
        <f>IF(COUNTA(A71:L71)=0,"",IF(OR(A71="",B71="",C71="",D71="",E71="",I71=""),"Change detail missing",IF(COUNTIF($A$4:$A$253,A71)&gt;1,"Duplicate Map Change ID",IF(NOT(ISNUMBER(D71)),"Change date is not a date",IF(COUNTIF('System map'!$A$4:$A$203,B71)&lt;&gt;1,"AIR-ID not reconciled",IF(COUNTIF(Relationships!$A$4:$A$1003,C71)=0,"Map Edge ID not found in Relationships",IF(AND(OR(H71="Yes",H71="Unsure",E71="Expand access",E71="Add link"),J71=""),"Access change needs reassessment ref",IF(AND(L71="Closed",OR(H71="",AND(OR(H71="Yes",H71="Unsure",E71="Expand access",E71="Add link"),J71=""))),"Closure / reassessment evidence missing","OK — verify source"))))))))</f>
        <v/>
      </c>
    </row>
    <row r="72">
      <c r="A72" s="25" t="n"/>
      <c r="B72" s="25" t="n"/>
      <c r="C72" s="25" t="n"/>
      <c r="D72" s="26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>
        <f>IF(COUNTA(A72:L72)=0,"",IF(OR(A72="",B72="",C72="",D72="",E72="",I72=""),"Change detail missing",IF(COUNTIF($A$4:$A$253,A72)&gt;1,"Duplicate Map Change ID",IF(NOT(ISNUMBER(D72)),"Change date is not a date",IF(COUNTIF('System map'!$A$4:$A$203,B72)&lt;&gt;1,"AIR-ID not reconciled",IF(COUNTIF(Relationships!$A$4:$A$1003,C72)=0,"Map Edge ID not found in Relationships",IF(AND(OR(H72="Yes",H72="Unsure",E72="Expand access",E72="Add link"),J72=""),"Access change needs reassessment ref",IF(AND(L72="Closed",OR(H72="",AND(OR(H72="Yes",H72="Unsure",E72="Expand access",E72="Add link"),J72=""))),"Closure / reassessment evidence missing","OK — verify source"))))))))</f>
        <v/>
      </c>
    </row>
    <row r="73">
      <c r="A73" s="27" t="n"/>
      <c r="B73" s="27" t="n"/>
      <c r="C73" s="27" t="n"/>
      <c r="D73" s="28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>
        <f>IF(COUNTA(A73:L73)=0,"",IF(OR(A73="",B73="",C73="",D73="",E73="",I73=""),"Change detail missing",IF(COUNTIF($A$4:$A$253,A73)&gt;1,"Duplicate Map Change ID",IF(NOT(ISNUMBER(D73)),"Change date is not a date",IF(COUNTIF('System map'!$A$4:$A$203,B73)&lt;&gt;1,"AIR-ID not reconciled",IF(COUNTIF(Relationships!$A$4:$A$1003,C73)=0,"Map Edge ID not found in Relationships",IF(AND(OR(H73="Yes",H73="Unsure",E73="Expand access",E73="Add link"),J73=""),"Access change needs reassessment ref",IF(AND(L73="Closed",OR(H73="",AND(OR(H73="Yes",H73="Unsure",E73="Expand access",E73="Add link"),J73=""))),"Closure / reassessment evidence missing","OK — verify source"))))))))</f>
        <v/>
      </c>
    </row>
    <row r="74">
      <c r="A74" s="25" t="n"/>
      <c r="B74" s="25" t="n"/>
      <c r="C74" s="25" t="n"/>
      <c r="D74" s="26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>
        <f>IF(COUNTA(A74:L74)=0,"",IF(OR(A74="",B74="",C74="",D74="",E74="",I74=""),"Change detail missing",IF(COUNTIF($A$4:$A$253,A74)&gt;1,"Duplicate Map Change ID",IF(NOT(ISNUMBER(D74)),"Change date is not a date",IF(COUNTIF('System map'!$A$4:$A$203,B74)&lt;&gt;1,"AIR-ID not reconciled",IF(COUNTIF(Relationships!$A$4:$A$1003,C74)=0,"Map Edge ID not found in Relationships",IF(AND(OR(H74="Yes",H74="Unsure",E74="Expand access",E74="Add link"),J74=""),"Access change needs reassessment ref",IF(AND(L74="Closed",OR(H74="",AND(OR(H74="Yes",H74="Unsure",E74="Expand access",E74="Add link"),J74=""))),"Closure / reassessment evidence missing","OK — verify source"))))))))</f>
        <v/>
      </c>
    </row>
    <row r="75">
      <c r="A75" s="27" t="n"/>
      <c r="B75" s="27" t="n"/>
      <c r="C75" s="27" t="n"/>
      <c r="D75" s="28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>
        <f>IF(COUNTA(A75:L75)=0,"",IF(OR(A75="",B75="",C75="",D75="",E75="",I75=""),"Change detail missing",IF(COUNTIF($A$4:$A$253,A75)&gt;1,"Duplicate Map Change ID",IF(NOT(ISNUMBER(D75)),"Change date is not a date",IF(COUNTIF('System map'!$A$4:$A$203,B75)&lt;&gt;1,"AIR-ID not reconciled",IF(COUNTIF(Relationships!$A$4:$A$1003,C75)=0,"Map Edge ID not found in Relationships",IF(AND(OR(H75="Yes",H75="Unsure",E75="Expand access",E75="Add link"),J75=""),"Access change needs reassessment ref",IF(AND(L75="Closed",OR(H75="",AND(OR(H75="Yes",H75="Unsure",E75="Expand access",E75="Add link"),J75=""))),"Closure / reassessment evidence missing","OK — verify source"))))))))</f>
        <v/>
      </c>
    </row>
    <row r="76">
      <c r="A76" s="25" t="n"/>
      <c r="B76" s="25" t="n"/>
      <c r="C76" s="25" t="n"/>
      <c r="D76" s="26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>
        <f>IF(COUNTA(A76:L76)=0,"",IF(OR(A76="",B76="",C76="",D76="",E76="",I76=""),"Change detail missing",IF(COUNTIF($A$4:$A$253,A76)&gt;1,"Duplicate Map Change ID",IF(NOT(ISNUMBER(D76)),"Change date is not a date",IF(COUNTIF('System map'!$A$4:$A$203,B76)&lt;&gt;1,"AIR-ID not reconciled",IF(COUNTIF(Relationships!$A$4:$A$1003,C76)=0,"Map Edge ID not found in Relationships",IF(AND(OR(H76="Yes",H76="Unsure",E76="Expand access",E76="Add link"),J76=""),"Access change needs reassessment ref",IF(AND(L76="Closed",OR(H76="",AND(OR(H76="Yes",H76="Unsure",E76="Expand access",E76="Add link"),J76=""))),"Closure / reassessment evidence missing","OK — verify source"))))))))</f>
        <v/>
      </c>
    </row>
    <row r="77">
      <c r="A77" s="27" t="n"/>
      <c r="B77" s="27" t="n"/>
      <c r="C77" s="27" t="n"/>
      <c r="D77" s="28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>
        <f>IF(COUNTA(A77:L77)=0,"",IF(OR(A77="",B77="",C77="",D77="",E77="",I77=""),"Change detail missing",IF(COUNTIF($A$4:$A$253,A77)&gt;1,"Duplicate Map Change ID",IF(NOT(ISNUMBER(D77)),"Change date is not a date",IF(COUNTIF('System map'!$A$4:$A$203,B77)&lt;&gt;1,"AIR-ID not reconciled",IF(COUNTIF(Relationships!$A$4:$A$1003,C77)=0,"Map Edge ID not found in Relationships",IF(AND(OR(H77="Yes",H77="Unsure",E77="Expand access",E77="Add link"),J77=""),"Access change needs reassessment ref",IF(AND(L77="Closed",OR(H77="",AND(OR(H77="Yes",H77="Unsure",E77="Expand access",E77="Add link"),J77=""))),"Closure / reassessment evidence missing","OK — verify source"))))))))</f>
        <v/>
      </c>
    </row>
    <row r="78">
      <c r="A78" s="25" t="n"/>
      <c r="B78" s="25" t="n"/>
      <c r="C78" s="25" t="n"/>
      <c r="D78" s="26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>
        <f>IF(COUNTA(A78:L78)=0,"",IF(OR(A78="",B78="",C78="",D78="",E78="",I78=""),"Change detail missing",IF(COUNTIF($A$4:$A$253,A78)&gt;1,"Duplicate Map Change ID",IF(NOT(ISNUMBER(D78)),"Change date is not a date",IF(COUNTIF('System map'!$A$4:$A$203,B78)&lt;&gt;1,"AIR-ID not reconciled",IF(COUNTIF(Relationships!$A$4:$A$1003,C78)=0,"Map Edge ID not found in Relationships",IF(AND(OR(H78="Yes",H78="Unsure",E78="Expand access",E78="Add link"),J78=""),"Access change needs reassessment ref",IF(AND(L78="Closed",OR(H78="",AND(OR(H78="Yes",H78="Unsure",E78="Expand access",E78="Add link"),J78=""))),"Closure / reassessment evidence missing","OK — verify source"))))))))</f>
        <v/>
      </c>
    </row>
    <row r="79">
      <c r="A79" s="27" t="n"/>
      <c r="B79" s="27" t="n"/>
      <c r="C79" s="27" t="n"/>
      <c r="D79" s="28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>
        <f>IF(COUNTA(A79:L79)=0,"",IF(OR(A79="",B79="",C79="",D79="",E79="",I79=""),"Change detail missing",IF(COUNTIF($A$4:$A$253,A79)&gt;1,"Duplicate Map Change ID",IF(NOT(ISNUMBER(D79)),"Change date is not a date",IF(COUNTIF('System map'!$A$4:$A$203,B79)&lt;&gt;1,"AIR-ID not reconciled",IF(COUNTIF(Relationships!$A$4:$A$1003,C79)=0,"Map Edge ID not found in Relationships",IF(AND(OR(H79="Yes",H79="Unsure",E79="Expand access",E79="Add link"),J79=""),"Access change needs reassessment ref",IF(AND(L79="Closed",OR(H79="",AND(OR(H79="Yes",H79="Unsure",E79="Expand access",E79="Add link"),J79=""))),"Closure / reassessment evidence missing","OK — verify source"))))))))</f>
        <v/>
      </c>
    </row>
    <row r="80">
      <c r="A80" s="25" t="n"/>
      <c r="B80" s="25" t="n"/>
      <c r="C80" s="25" t="n"/>
      <c r="D80" s="26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>
        <f>IF(COUNTA(A80:L80)=0,"",IF(OR(A80="",B80="",C80="",D80="",E80="",I80=""),"Change detail missing",IF(COUNTIF($A$4:$A$253,A80)&gt;1,"Duplicate Map Change ID",IF(NOT(ISNUMBER(D80)),"Change date is not a date",IF(COUNTIF('System map'!$A$4:$A$203,B80)&lt;&gt;1,"AIR-ID not reconciled",IF(COUNTIF(Relationships!$A$4:$A$1003,C80)=0,"Map Edge ID not found in Relationships",IF(AND(OR(H80="Yes",H80="Unsure",E80="Expand access",E80="Add link"),J80=""),"Access change needs reassessment ref",IF(AND(L80="Closed",OR(H80="",AND(OR(H80="Yes",H80="Unsure",E80="Expand access",E80="Add link"),J80=""))),"Closure / reassessment evidence missing","OK — verify source"))))))))</f>
        <v/>
      </c>
    </row>
    <row r="81">
      <c r="A81" s="27" t="n"/>
      <c r="B81" s="27" t="n"/>
      <c r="C81" s="27" t="n"/>
      <c r="D81" s="28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>
        <f>IF(COUNTA(A81:L81)=0,"",IF(OR(A81="",B81="",C81="",D81="",E81="",I81=""),"Change detail missing",IF(COUNTIF($A$4:$A$253,A81)&gt;1,"Duplicate Map Change ID",IF(NOT(ISNUMBER(D81)),"Change date is not a date",IF(COUNTIF('System map'!$A$4:$A$203,B81)&lt;&gt;1,"AIR-ID not reconciled",IF(COUNTIF(Relationships!$A$4:$A$1003,C81)=0,"Map Edge ID not found in Relationships",IF(AND(OR(H81="Yes",H81="Unsure",E81="Expand access",E81="Add link"),J81=""),"Access change needs reassessment ref",IF(AND(L81="Closed",OR(H81="",AND(OR(H81="Yes",H81="Unsure",E81="Expand access",E81="Add link"),J81=""))),"Closure / reassessment evidence missing","OK — verify source"))))))))</f>
        <v/>
      </c>
    </row>
    <row r="82">
      <c r="A82" s="25" t="n"/>
      <c r="B82" s="25" t="n"/>
      <c r="C82" s="25" t="n"/>
      <c r="D82" s="26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>
        <f>IF(COUNTA(A82:L82)=0,"",IF(OR(A82="",B82="",C82="",D82="",E82="",I82=""),"Change detail missing",IF(COUNTIF($A$4:$A$253,A82)&gt;1,"Duplicate Map Change ID",IF(NOT(ISNUMBER(D82)),"Change date is not a date",IF(COUNTIF('System map'!$A$4:$A$203,B82)&lt;&gt;1,"AIR-ID not reconciled",IF(COUNTIF(Relationships!$A$4:$A$1003,C82)=0,"Map Edge ID not found in Relationships",IF(AND(OR(H82="Yes",H82="Unsure",E82="Expand access",E82="Add link"),J82=""),"Access change needs reassessment ref",IF(AND(L82="Closed",OR(H82="",AND(OR(H82="Yes",H82="Unsure",E82="Expand access",E82="Add link"),J82=""))),"Closure / reassessment evidence missing","OK — verify source"))))))))</f>
        <v/>
      </c>
    </row>
    <row r="83">
      <c r="A83" s="27" t="n"/>
      <c r="B83" s="27" t="n"/>
      <c r="C83" s="27" t="n"/>
      <c r="D83" s="28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>
        <f>IF(COUNTA(A83:L83)=0,"",IF(OR(A83="",B83="",C83="",D83="",E83="",I83=""),"Change detail missing",IF(COUNTIF($A$4:$A$253,A83)&gt;1,"Duplicate Map Change ID",IF(NOT(ISNUMBER(D83)),"Change date is not a date",IF(COUNTIF('System map'!$A$4:$A$203,B83)&lt;&gt;1,"AIR-ID not reconciled",IF(COUNTIF(Relationships!$A$4:$A$1003,C83)=0,"Map Edge ID not found in Relationships",IF(AND(OR(H83="Yes",H83="Unsure",E83="Expand access",E83="Add link"),J83=""),"Access change needs reassessment ref",IF(AND(L83="Closed",OR(H83="",AND(OR(H83="Yes",H83="Unsure",E83="Expand access",E83="Add link"),J83=""))),"Closure / reassessment evidence missing","OK — verify source"))))))))</f>
        <v/>
      </c>
    </row>
    <row r="84">
      <c r="A84" s="25" t="n"/>
      <c r="B84" s="25" t="n"/>
      <c r="C84" s="25" t="n"/>
      <c r="D84" s="26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>
        <f>IF(COUNTA(A84:L84)=0,"",IF(OR(A84="",B84="",C84="",D84="",E84="",I84=""),"Change detail missing",IF(COUNTIF($A$4:$A$253,A84)&gt;1,"Duplicate Map Change ID",IF(NOT(ISNUMBER(D84)),"Change date is not a date",IF(COUNTIF('System map'!$A$4:$A$203,B84)&lt;&gt;1,"AIR-ID not reconciled",IF(COUNTIF(Relationships!$A$4:$A$1003,C84)=0,"Map Edge ID not found in Relationships",IF(AND(OR(H84="Yes",H84="Unsure",E84="Expand access",E84="Add link"),J84=""),"Access change needs reassessment ref",IF(AND(L84="Closed",OR(H84="",AND(OR(H84="Yes",H84="Unsure",E84="Expand access",E84="Add link"),J84=""))),"Closure / reassessment evidence missing","OK — verify source"))))))))</f>
        <v/>
      </c>
    </row>
    <row r="85">
      <c r="A85" s="27" t="n"/>
      <c r="B85" s="27" t="n"/>
      <c r="C85" s="27" t="n"/>
      <c r="D85" s="28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>
        <f>IF(COUNTA(A85:L85)=0,"",IF(OR(A85="",B85="",C85="",D85="",E85="",I85=""),"Change detail missing",IF(COUNTIF($A$4:$A$253,A85)&gt;1,"Duplicate Map Change ID",IF(NOT(ISNUMBER(D85)),"Change date is not a date",IF(COUNTIF('System map'!$A$4:$A$203,B85)&lt;&gt;1,"AIR-ID not reconciled",IF(COUNTIF(Relationships!$A$4:$A$1003,C85)=0,"Map Edge ID not found in Relationships",IF(AND(OR(H85="Yes",H85="Unsure",E85="Expand access",E85="Add link"),J85=""),"Access change needs reassessment ref",IF(AND(L85="Closed",OR(H85="",AND(OR(H85="Yes",H85="Unsure",E85="Expand access",E85="Add link"),J85=""))),"Closure / reassessment evidence missing","OK — verify source"))))))))</f>
        <v/>
      </c>
    </row>
    <row r="86">
      <c r="A86" s="25" t="n"/>
      <c r="B86" s="25" t="n"/>
      <c r="C86" s="25" t="n"/>
      <c r="D86" s="26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>
        <f>IF(COUNTA(A86:L86)=0,"",IF(OR(A86="",B86="",C86="",D86="",E86="",I86=""),"Change detail missing",IF(COUNTIF($A$4:$A$253,A86)&gt;1,"Duplicate Map Change ID",IF(NOT(ISNUMBER(D86)),"Change date is not a date",IF(COUNTIF('System map'!$A$4:$A$203,B86)&lt;&gt;1,"AIR-ID not reconciled",IF(COUNTIF(Relationships!$A$4:$A$1003,C86)=0,"Map Edge ID not found in Relationships",IF(AND(OR(H86="Yes",H86="Unsure",E86="Expand access",E86="Add link"),J86=""),"Access change needs reassessment ref",IF(AND(L86="Closed",OR(H86="",AND(OR(H86="Yes",H86="Unsure",E86="Expand access",E86="Add link"),J86=""))),"Closure / reassessment evidence missing","OK — verify source"))))))))</f>
        <v/>
      </c>
    </row>
    <row r="87">
      <c r="A87" s="27" t="n"/>
      <c r="B87" s="27" t="n"/>
      <c r="C87" s="27" t="n"/>
      <c r="D87" s="28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>
        <f>IF(COUNTA(A87:L87)=0,"",IF(OR(A87="",B87="",C87="",D87="",E87="",I87=""),"Change detail missing",IF(COUNTIF($A$4:$A$253,A87)&gt;1,"Duplicate Map Change ID",IF(NOT(ISNUMBER(D87)),"Change date is not a date",IF(COUNTIF('System map'!$A$4:$A$203,B87)&lt;&gt;1,"AIR-ID not reconciled",IF(COUNTIF(Relationships!$A$4:$A$1003,C87)=0,"Map Edge ID not found in Relationships",IF(AND(OR(H87="Yes",H87="Unsure",E87="Expand access",E87="Add link"),J87=""),"Access change needs reassessment ref",IF(AND(L87="Closed",OR(H87="",AND(OR(H87="Yes",H87="Unsure",E87="Expand access",E87="Add link"),J87=""))),"Closure / reassessment evidence missing","OK — verify source"))))))))</f>
        <v/>
      </c>
    </row>
    <row r="88">
      <c r="A88" s="25" t="n"/>
      <c r="B88" s="25" t="n"/>
      <c r="C88" s="25" t="n"/>
      <c r="D88" s="26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>
        <f>IF(COUNTA(A88:L88)=0,"",IF(OR(A88="",B88="",C88="",D88="",E88="",I88=""),"Change detail missing",IF(COUNTIF($A$4:$A$253,A88)&gt;1,"Duplicate Map Change ID",IF(NOT(ISNUMBER(D88)),"Change date is not a date",IF(COUNTIF('System map'!$A$4:$A$203,B88)&lt;&gt;1,"AIR-ID not reconciled",IF(COUNTIF(Relationships!$A$4:$A$1003,C88)=0,"Map Edge ID not found in Relationships",IF(AND(OR(H88="Yes",H88="Unsure",E88="Expand access",E88="Add link"),J88=""),"Access change needs reassessment ref",IF(AND(L88="Closed",OR(H88="",AND(OR(H88="Yes",H88="Unsure",E88="Expand access",E88="Add link"),J88=""))),"Closure / reassessment evidence missing","OK — verify source"))))))))</f>
        <v/>
      </c>
    </row>
    <row r="89">
      <c r="A89" s="27" t="n"/>
      <c r="B89" s="27" t="n"/>
      <c r="C89" s="27" t="n"/>
      <c r="D89" s="28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>
        <f>IF(COUNTA(A89:L89)=0,"",IF(OR(A89="",B89="",C89="",D89="",E89="",I89=""),"Change detail missing",IF(COUNTIF($A$4:$A$253,A89)&gt;1,"Duplicate Map Change ID",IF(NOT(ISNUMBER(D89)),"Change date is not a date",IF(COUNTIF('System map'!$A$4:$A$203,B89)&lt;&gt;1,"AIR-ID not reconciled",IF(COUNTIF(Relationships!$A$4:$A$1003,C89)=0,"Map Edge ID not found in Relationships",IF(AND(OR(H89="Yes",H89="Unsure",E89="Expand access",E89="Add link"),J89=""),"Access change needs reassessment ref",IF(AND(L89="Closed",OR(H89="",AND(OR(H89="Yes",H89="Unsure",E89="Expand access",E89="Add link"),J89=""))),"Closure / reassessment evidence missing","OK — verify source"))))))))</f>
        <v/>
      </c>
    </row>
    <row r="90">
      <c r="A90" s="25" t="n"/>
      <c r="B90" s="25" t="n"/>
      <c r="C90" s="25" t="n"/>
      <c r="D90" s="26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>
        <f>IF(COUNTA(A90:L90)=0,"",IF(OR(A90="",B90="",C90="",D90="",E90="",I90=""),"Change detail missing",IF(COUNTIF($A$4:$A$253,A90)&gt;1,"Duplicate Map Change ID",IF(NOT(ISNUMBER(D90)),"Change date is not a date",IF(COUNTIF('System map'!$A$4:$A$203,B90)&lt;&gt;1,"AIR-ID not reconciled",IF(COUNTIF(Relationships!$A$4:$A$1003,C90)=0,"Map Edge ID not found in Relationships",IF(AND(OR(H90="Yes",H90="Unsure",E90="Expand access",E90="Add link"),J90=""),"Access change needs reassessment ref",IF(AND(L90="Closed",OR(H90="",AND(OR(H90="Yes",H90="Unsure",E90="Expand access",E90="Add link"),J90=""))),"Closure / reassessment evidence missing","OK — verify source"))))))))</f>
        <v/>
      </c>
    </row>
    <row r="91">
      <c r="A91" s="27" t="n"/>
      <c r="B91" s="27" t="n"/>
      <c r="C91" s="27" t="n"/>
      <c r="D91" s="28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>
        <f>IF(COUNTA(A91:L91)=0,"",IF(OR(A91="",B91="",C91="",D91="",E91="",I91=""),"Change detail missing",IF(COUNTIF($A$4:$A$253,A91)&gt;1,"Duplicate Map Change ID",IF(NOT(ISNUMBER(D91)),"Change date is not a date",IF(COUNTIF('System map'!$A$4:$A$203,B91)&lt;&gt;1,"AIR-ID not reconciled",IF(COUNTIF(Relationships!$A$4:$A$1003,C91)=0,"Map Edge ID not found in Relationships",IF(AND(OR(H91="Yes",H91="Unsure",E91="Expand access",E91="Add link"),J91=""),"Access change needs reassessment ref",IF(AND(L91="Closed",OR(H91="",AND(OR(H91="Yes",H91="Unsure",E91="Expand access",E91="Add link"),J91=""))),"Closure / reassessment evidence missing","OK — verify source"))))))))</f>
        <v/>
      </c>
    </row>
    <row r="92">
      <c r="A92" s="25" t="n"/>
      <c r="B92" s="25" t="n"/>
      <c r="C92" s="25" t="n"/>
      <c r="D92" s="26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>
        <f>IF(COUNTA(A92:L92)=0,"",IF(OR(A92="",B92="",C92="",D92="",E92="",I92=""),"Change detail missing",IF(COUNTIF($A$4:$A$253,A92)&gt;1,"Duplicate Map Change ID",IF(NOT(ISNUMBER(D92)),"Change date is not a date",IF(COUNTIF('System map'!$A$4:$A$203,B92)&lt;&gt;1,"AIR-ID not reconciled",IF(COUNTIF(Relationships!$A$4:$A$1003,C92)=0,"Map Edge ID not found in Relationships",IF(AND(OR(H92="Yes",H92="Unsure",E92="Expand access",E92="Add link"),J92=""),"Access change needs reassessment ref",IF(AND(L92="Closed",OR(H92="",AND(OR(H92="Yes",H92="Unsure",E92="Expand access",E92="Add link"),J92=""))),"Closure / reassessment evidence missing","OK — verify source"))))))))</f>
        <v/>
      </c>
    </row>
    <row r="93">
      <c r="A93" s="27" t="n"/>
      <c r="B93" s="27" t="n"/>
      <c r="C93" s="27" t="n"/>
      <c r="D93" s="28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>
        <f>IF(COUNTA(A93:L93)=0,"",IF(OR(A93="",B93="",C93="",D93="",E93="",I93=""),"Change detail missing",IF(COUNTIF($A$4:$A$253,A93)&gt;1,"Duplicate Map Change ID",IF(NOT(ISNUMBER(D93)),"Change date is not a date",IF(COUNTIF('System map'!$A$4:$A$203,B93)&lt;&gt;1,"AIR-ID not reconciled",IF(COUNTIF(Relationships!$A$4:$A$1003,C93)=0,"Map Edge ID not found in Relationships",IF(AND(OR(H93="Yes",H93="Unsure",E93="Expand access",E93="Add link"),J93=""),"Access change needs reassessment ref",IF(AND(L93="Closed",OR(H93="",AND(OR(H93="Yes",H93="Unsure",E93="Expand access",E93="Add link"),J93=""))),"Closure / reassessment evidence missing","OK — verify source"))))))))</f>
        <v/>
      </c>
    </row>
    <row r="94">
      <c r="A94" s="25" t="n"/>
      <c r="B94" s="25" t="n"/>
      <c r="C94" s="25" t="n"/>
      <c r="D94" s="26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>
        <f>IF(COUNTA(A94:L94)=0,"",IF(OR(A94="",B94="",C94="",D94="",E94="",I94=""),"Change detail missing",IF(COUNTIF($A$4:$A$253,A94)&gt;1,"Duplicate Map Change ID",IF(NOT(ISNUMBER(D94)),"Change date is not a date",IF(COUNTIF('System map'!$A$4:$A$203,B94)&lt;&gt;1,"AIR-ID not reconciled",IF(COUNTIF(Relationships!$A$4:$A$1003,C94)=0,"Map Edge ID not found in Relationships",IF(AND(OR(H94="Yes",H94="Unsure",E94="Expand access",E94="Add link"),J94=""),"Access change needs reassessment ref",IF(AND(L94="Closed",OR(H94="",AND(OR(H94="Yes",H94="Unsure",E94="Expand access",E94="Add link"),J94=""))),"Closure / reassessment evidence missing","OK — verify source"))))))))</f>
        <v/>
      </c>
    </row>
    <row r="95">
      <c r="A95" s="27" t="n"/>
      <c r="B95" s="27" t="n"/>
      <c r="C95" s="27" t="n"/>
      <c r="D95" s="28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>
        <f>IF(COUNTA(A95:L95)=0,"",IF(OR(A95="",B95="",C95="",D95="",E95="",I95=""),"Change detail missing",IF(COUNTIF($A$4:$A$253,A95)&gt;1,"Duplicate Map Change ID",IF(NOT(ISNUMBER(D95)),"Change date is not a date",IF(COUNTIF('System map'!$A$4:$A$203,B95)&lt;&gt;1,"AIR-ID not reconciled",IF(COUNTIF(Relationships!$A$4:$A$1003,C95)=0,"Map Edge ID not found in Relationships",IF(AND(OR(H95="Yes",H95="Unsure",E95="Expand access",E95="Add link"),J95=""),"Access change needs reassessment ref",IF(AND(L95="Closed",OR(H95="",AND(OR(H95="Yes",H95="Unsure",E95="Expand access",E95="Add link"),J95=""))),"Closure / reassessment evidence missing","OK — verify source"))))))))</f>
        <v/>
      </c>
    </row>
    <row r="96">
      <c r="A96" s="25" t="n"/>
      <c r="B96" s="25" t="n"/>
      <c r="C96" s="25" t="n"/>
      <c r="D96" s="26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>
        <f>IF(COUNTA(A96:L96)=0,"",IF(OR(A96="",B96="",C96="",D96="",E96="",I96=""),"Change detail missing",IF(COUNTIF($A$4:$A$253,A96)&gt;1,"Duplicate Map Change ID",IF(NOT(ISNUMBER(D96)),"Change date is not a date",IF(COUNTIF('System map'!$A$4:$A$203,B96)&lt;&gt;1,"AIR-ID not reconciled",IF(COUNTIF(Relationships!$A$4:$A$1003,C96)=0,"Map Edge ID not found in Relationships",IF(AND(OR(H96="Yes",H96="Unsure",E96="Expand access",E96="Add link"),J96=""),"Access change needs reassessment ref",IF(AND(L96="Closed",OR(H96="",AND(OR(H96="Yes",H96="Unsure",E96="Expand access",E96="Add link"),J96=""))),"Closure / reassessment evidence missing","OK — verify source"))))))))</f>
        <v/>
      </c>
    </row>
    <row r="97">
      <c r="A97" s="27" t="n"/>
      <c r="B97" s="27" t="n"/>
      <c r="C97" s="27" t="n"/>
      <c r="D97" s="28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>
        <f>IF(COUNTA(A97:L97)=0,"",IF(OR(A97="",B97="",C97="",D97="",E97="",I97=""),"Change detail missing",IF(COUNTIF($A$4:$A$253,A97)&gt;1,"Duplicate Map Change ID",IF(NOT(ISNUMBER(D97)),"Change date is not a date",IF(COUNTIF('System map'!$A$4:$A$203,B97)&lt;&gt;1,"AIR-ID not reconciled",IF(COUNTIF(Relationships!$A$4:$A$1003,C97)=0,"Map Edge ID not found in Relationships",IF(AND(OR(H97="Yes",H97="Unsure",E97="Expand access",E97="Add link"),J97=""),"Access change needs reassessment ref",IF(AND(L97="Closed",OR(H97="",AND(OR(H97="Yes",H97="Unsure",E97="Expand access",E97="Add link"),J97=""))),"Closure / reassessment evidence missing","OK — verify source"))))))))</f>
        <v/>
      </c>
    </row>
    <row r="98">
      <c r="A98" s="25" t="n"/>
      <c r="B98" s="25" t="n"/>
      <c r="C98" s="25" t="n"/>
      <c r="D98" s="26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>
        <f>IF(COUNTA(A98:L98)=0,"",IF(OR(A98="",B98="",C98="",D98="",E98="",I98=""),"Change detail missing",IF(COUNTIF($A$4:$A$253,A98)&gt;1,"Duplicate Map Change ID",IF(NOT(ISNUMBER(D98)),"Change date is not a date",IF(COUNTIF('System map'!$A$4:$A$203,B98)&lt;&gt;1,"AIR-ID not reconciled",IF(COUNTIF(Relationships!$A$4:$A$1003,C98)=0,"Map Edge ID not found in Relationships",IF(AND(OR(H98="Yes",H98="Unsure",E98="Expand access",E98="Add link"),J98=""),"Access change needs reassessment ref",IF(AND(L98="Closed",OR(H98="",AND(OR(H98="Yes",H98="Unsure",E98="Expand access",E98="Add link"),J98=""))),"Closure / reassessment evidence missing","OK — verify source"))))))))</f>
        <v/>
      </c>
    </row>
    <row r="99">
      <c r="A99" s="27" t="n"/>
      <c r="B99" s="27" t="n"/>
      <c r="C99" s="27" t="n"/>
      <c r="D99" s="28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>
        <f>IF(COUNTA(A99:L99)=0,"",IF(OR(A99="",B99="",C99="",D99="",E99="",I99=""),"Change detail missing",IF(COUNTIF($A$4:$A$253,A99)&gt;1,"Duplicate Map Change ID",IF(NOT(ISNUMBER(D99)),"Change date is not a date",IF(COUNTIF('System map'!$A$4:$A$203,B99)&lt;&gt;1,"AIR-ID not reconciled",IF(COUNTIF(Relationships!$A$4:$A$1003,C99)=0,"Map Edge ID not found in Relationships",IF(AND(OR(H99="Yes",H99="Unsure",E99="Expand access",E99="Add link"),J99=""),"Access change needs reassessment ref",IF(AND(L99="Closed",OR(H99="",AND(OR(H99="Yes",H99="Unsure",E99="Expand access",E99="Add link"),J99=""))),"Closure / reassessment evidence missing","OK — verify source"))))))))</f>
        <v/>
      </c>
    </row>
    <row r="100">
      <c r="A100" s="25" t="n"/>
      <c r="B100" s="25" t="n"/>
      <c r="C100" s="25" t="n"/>
      <c r="D100" s="26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>
        <f>IF(COUNTA(A100:L100)=0,"",IF(OR(A100="",B100="",C100="",D100="",E100="",I100=""),"Change detail missing",IF(COUNTIF($A$4:$A$253,A100)&gt;1,"Duplicate Map Change ID",IF(NOT(ISNUMBER(D100)),"Change date is not a date",IF(COUNTIF('System map'!$A$4:$A$203,B100)&lt;&gt;1,"AIR-ID not reconciled",IF(COUNTIF(Relationships!$A$4:$A$1003,C100)=0,"Map Edge ID not found in Relationships",IF(AND(OR(H100="Yes",H100="Unsure",E100="Expand access",E100="Add link"),J100=""),"Access change needs reassessment ref",IF(AND(L100="Closed",OR(H100="",AND(OR(H100="Yes",H100="Unsure",E100="Expand access",E100="Add link"),J100=""))),"Closure / reassessment evidence missing","OK — verify source"))))))))</f>
        <v/>
      </c>
    </row>
    <row r="101">
      <c r="A101" s="27" t="n"/>
      <c r="B101" s="27" t="n"/>
      <c r="C101" s="27" t="n"/>
      <c r="D101" s="28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>
        <f>IF(COUNTA(A101:L101)=0,"",IF(OR(A101="",B101="",C101="",D101="",E101="",I101=""),"Change detail missing",IF(COUNTIF($A$4:$A$253,A101)&gt;1,"Duplicate Map Change ID",IF(NOT(ISNUMBER(D101)),"Change date is not a date",IF(COUNTIF('System map'!$A$4:$A$203,B101)&lt;&gt;1,"AIR-ID not reconciled",IF(COUNTIF(Relationships!$A$4:$A$1003,C101)=0,"Map Edge ID not found in Relationships",IF(AND(OR(H101="Yes",H101="Unsure",E101="Expand access",E101="Add link"),J101=""),"Access change needs reassessment ref",IF(AND(L101="Closed",OR(H101="",AND(OR(H101="Yes",H101="Unsure",E101="Expand access",E101="Add link"),J101=""))),"Closure / reassessment evidence missing","OK — verify source"))))))))</f>
        <v/>
      </c>
    </row>
    <row r="102">
      <c r="A102" s="25" t="n"/>
      <c r="B102" s="25" t="n"/>
      <c r="C102" s="25" t="n"/>
      <c r="D102" s="26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>
        <f>IF(COUNTA(A102:L102)=0,"",IF(OR(A102="",B102="",C102="",D102="",E102="",I102=""),"Change detail missing",IF(COUNTIF($A$4:$A$253,A102)&gt;1,"Duplicate Map Change ID",IF(NOT(ISNUMBER(D102)),"Change date is not a date",IF(COUNTIF('System map'!$A$4:$A$203,B102)&lt;&gt;1,"AIR-ID not reconciled",IF(COUNTIF(Relationships!$A$4:$A$1003,C102)=0,"Map Edge ID not found in Relationships",IF(AND(OR(H102="Yes",H102="Unsure",E102="Expand access",E102="Add link"),J102=""),"Access change needs reassessment ref",IF(AND(L102="Closed",OR(H102="",AND(OR(H102="Yes",H102="Unsure",E102="Expand access",E102="Add link"),J102=""))),"Closure / reassessment evidence missing","OK — verify source"))))))))</f>
        <v/>
      </c>
    </row>
    <row r="103">
      <c r="A103" s="27" t="n"/>
      <c r="B103" s="27" t="n"/>
      <c r="C103" s="27" t="n"/>
      <c r="D103" s="28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>
        <f>IF(COUNTA(A103:L103)=0,"",IF(OR(A103="",B103="",C103="",D103="",E103="",I103=""),"Change detail missing",IF(COUNTIF($A$4:$A$253,A103)&gt;1,"Duplicate Map Change ID",IF(NOT(ISNUMBER(D103)),"Change date is not a date",IF(COUNTIF('System map'!$A$4:$A$203,B103)&lt;&gt;1,"AIR-ID not reconciled",IF(COUNTIF(Relationships!$A$4:$A$1003,C103)=0,"Map Edge ID not found in Relationships",IF(AND(OR(H103="Yes",H103="Unsure",E103="Expand access",E103="Add link"),J103=""),"Access change needs reassessment ref",IF(AND(L103="Closed",OR(H103="",AND(OR(H103="Yes",H103="Unsure",E103="Expand access",E103="Add link"),J103=""))),"Closure / reassessment evidence missing","OK — verify source"))))))))</f>
        <v/>
      </c>
    </row>
    <row r="104">
      <c r="A104" s="25" t="n"/>
      <c r="B104" s="25" t="n"/>
      <c r="C104" s="25" t="n"/>
      <c r="D104" s="26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>
        <f>IF(COUNTA(A104:L104)=0,"",IF(OR(A104="",B104="",C104="",D104="",E104="",I104=""),"Change detail missing",IF(COUNTIF($A$4:$A$253,A104)&gt;1,"Duplicate Map Change ID",IF(NOT(ISNUMBER(D104)),"Change date is not a date",IF(COUNTIF('System map'!$A$4:$A$203,B104)&lt;&gt;1,"AIR-ID not reconciled",IF(COUNTIF(Relationships!$A$4:$A$1003,C104)=0,"Map Edge ID not found in Relationships",IF(AND(OR(H104="Yes",H104="Unsure",E104="Expand access",E104="Add link"),J104=""),"Access change needs reassessment ref",IF(AND(L104="Closed",OR(H104="",AND(OR(H104="Yes",H104="Unsure",E104="Expand access",E104="Add link"),J104=""))),"Closure / reassessment evidence missing","OK — verify source"))))))))</f>
        <v/>
      </c>
    </row>
    <row r="105">
      <c r="A105" s="27" t="n"/>
      <c r="B105" s="27" t="n"/>
      <c r="C105" s="27" t="n"/>
      <c r="D105" s="28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>
        <f>IF(COUNTA(A105:L105)=0,"",IF(OR(A105="",B105="",C105="",D105="",E105="",I105=""),"Change detail missing",IF(COUNTIF($A$4:$A$253,A105)&gt;1,"Duplicate Map Change ID",IF(NOT(ISNUMBER(D105)),"Change date is not a date",IF(COUNTIF('System map'!$A$4:$A$203,B105)&lt;&gt;1,"AIR-ID not reconciled",IF(COUNTIF(Relationships!$A$4:$A$1003,C105)=0,"Map Edge ID not found in Relationships",IF(AND(OR(H105="Yes",H105="Unsure",E105="Expand access",E105="Add link"),J105=""),"Access change needs reassessment ref",IF(AND(L105="Closed",OR(H105="",AND(OR(H105="Yes",H105="Unsure",E105="Expand access",E105="Add link"),J105=""))),"Closure / reassessment evidence missing","OK — verify source"))))))))</f>
        <v/>
      </c>
    </row>
    <row r="106">
      <c r="A106" s="25" t="n"/>
      <c r="B106" s="25" t="n"/>
      <c r="C106" s="25" t="n"/>
      <c r="D106" s="26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>
        <f>IF(COUNTA(A106:L106)=0,"",IF(OR(A106="",B106="",C106="",D106="",E106="",I106=""),"Change detail missing",IF(COUNTIF($A$4:$A$253,A106)&gt;1,"Duplicate Map Change ID",IF(NOT(ISNUMBER(D106)),"Change date is not a date",IF(COUNTIF('System map'!$A$4:$A$203,B106)&lt;&gt;1,"AIR-ID not reconciled",IF(COUNTIF(Relationships!$A$4:$A$1003,C106)=0,"Map Edge ID not found in Relationships",IF(AND(OR(H106="Yes",H106="Unsure",E106="Expand access",E106="Add link"),J106=""),"Access change needs reassessment ref",IF(AND(L106="Closed",OR(H106="",AND(OR(H106="Yes",H106="Unsure",E106="Expand access",E106="Add link"),J106=""))),"Closure / reassessment evidence missing","OK — verify source"))))))))</f>
        <v/>
      </c>
    </row>
    <row r="107">
      <c r="A107" s="27" t="n"/>
      <c r="B107" s="27" t="n"/>
      <c r="C107" s="27" t="n"/>
      <c r="D107" s="28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>
        <f>IF(COUNTA(A107:L107)=0,"",IF(OR(A107="",B107="",C107="",D107="",E107="",I107=""),"Change detail missing",IF(COUNTIF($A$4:$A$253,A107)&gt;1,"Duplicate Map Change ID",IF(NOT(ISNUMBER(D107)),"Change date is not a date",IF(COUNTIF('System map'!$A$4:$A$203,B107)&lt;&gt;1,"AIR-ID not reconciled",IF(COUNTIF(Relationships!$A$4:$A$1003,C107)=0,"Map Edge ID not found in Relationships",IF(AND(OR(H107="Yes",H107="Unsure",E107="Expand access",E107="Add link"),J107=""),"Access change needs reassessment ref",IF(AND(L107="Closed",OR(H107="",AND(OR(H107="Yes",H107="Unsure",E107="Expand access",E107="Add link"),J107=""))),"Closure / reassessment evidence missing","OK — verify source"))))))))</f>
        <v/>
      </c>
    </row>
    <row r="108">
      <c r="A108" s="25" t="n"/>
      <c r="B108" s="25" t="n"/>
      <c r="C108" s="25" t="n"/>
      <c r="D108" s="26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>
        <f>IF(COUNTA(A108:L108)=0,"",IF(OR(A108="",B108="",C108="",D108="",E108="",I108=""),"Change detail missing",IF(COUNTIF($A$4:$A$253,A108)&gt;1,"Duplicate Map Change ID",IF(NOT(ISNUMBER(D108)),"Change date is not a date",IF(COUNTIF('System map'!$A$4:$A$203,B108)&lt;&gt;1,"AIR-ID not reconciled",IF(COUNTIF(Relationships!$A$4:$A$1003,C108)=0,"Map Edge ID not found in Relationships",IF(AND(OR(H108="Yes",H108="Unsure",E108="Expand access",E108="Add link"),J108=""),"Access change needs reassessment ref",IF(AND(L108="Closed",OR(H108="",AND(OR(H108="Yes",H108="Unsure",E108="Expand access",E108="Add link"),J108=""))),"Closure / reassessment evidence missing","OK — verify source"))))))))</f>
        <v/>
      </c>
    </row>
    <row r="109">
      <c r="A109" s="27" t="n"/>
      <c r="B109" s="27" t="n"/>
      <c r="C109" s="27" t="n"/>
      <c r="D109" s="28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>
        <f>IF(COUNTA(A109:L109)=0,"",IF(OR(A109="",B109="",C109="",D109="",E109="",I109=""),"Change detail missing",IF(COUNTIF($A$4:$A$253,A109)&gt;1,"Duplicate Map Change ID",IF(NOT(ISNUMBER(D109)),"Change date is not a date",IF(COUNTIF('System map'!$A$4:$A$203,B109)&lt;&gt;1,"AIR-ID not reconciled",IF(COUNTIF(Relationships!$A$4:$A$1003,C109)=0,"Map Edge ID not found in Relationships",IF(AND(OR(H109="Yes",H109="Unsure",E109="Expand access",E109="Add link"),J109=""),"Access change needs reassessment ref",IF(AND(L109="Closed",OR(H109="",AND(OR(H109="Yes",H109="Unsure",E109="Expand access",E109="Add link"),J109=""))),"Closure / reassessment evidence missing","OK — verify source"))))))))</f>
        <v/>
      </c>
    </row>
    <row r="110">
      <c r="A110" s="25" t="n"/>
      <c r="B110" s="25" t="n"/>
      <c r="C110" s="25" t="n"/>
      <c r="D110" s="26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>
        <f>IF(COUNTA(A110:L110)=0,"",IF(OR(A110="",B110="",C110="",D110="",E110="",I110=""),"Change detail missing",IF(COUNTIF($A$4:$A$253,A110)&gt;1,"Duplicate Map Change ID",IF(NOT(ISNUMBER(D110)),"Change date is not a date",IF(COUNTIF('System map'!$A$4:$A$203,B110)&lt;&gt;1,"AIR-ID not reconciled",IF(COUNTIF(Relationships!$A$4:$A$1003,C110)=0,"Map Edge ID not found in Relationships",IF(AND(OR(H110="Yes",H110="Unsure",E110="Expand access",E110="Add link"),J110=""),"Access change needs reassessment ref",IF(AND(L110="Closed",OR(H110="",AND(OR(H110="Yes",H110="Unsure",E110="Expand access",E110="Add link"),J110=""))),"Closure / reassessment evidence missing","OK — verify source"))))))))</f>
        <v/>
      </c>
    </row>
    <row r="111">
      <c r="A111" s="27" t="n"/>
      <c r="B111" s="27" t="n"/>
      <c r="C111" s="27" t="n"/>
      <c r="D111" s="28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>
        <f>IF(COUNTA(A111:L111)=0,"",IF(OR(A111="",B111="",C111="",D111="",E111="",I111=""),"Change detail missing",IF(COUNTIF($A$4:$A$253,A111)&gt;1,"Duplicate Map Change ID",IF(NOT(ISNUMBER(D111)),"Change date is not a date",IF(COUNTIF('System map'!$A$4:$A$203,B111)&lt;&gt;1,"AIR-ID not reconciled",IF(COUNTIF(Relationships!$A$4:$A$1003,C111)=0,"Map Edge ID not found in Relationships",IF(AND(OR(H111="Yes",H111="Unsure",E111="Expand access",E111="Add link"),J111=""),"Access change needs reassessment ref",IF(AND(L111="Closed",OR(H111="",AND(OR(H111="Yes",H111="Unsure",E111="Expand access",E111="Add link"),J111=""))),"Closure / reassessment evidence missing","OK — verify source"))))))))</f>
        <v/>
      </c>
    </row>
    <row r="112">
      <c r="A112" s="25" t="n"/>
      <c r="B112" s="25" t="n"/>
      <c r="C112" s="25" t="n"/>
      <c r="D112" s="26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>
        <f>IF(COUNTA(A112:L112)=0,"",IF(OR(A112="",B112="",C112="",D112="",E112="",I112=""),"Change detail missing",IF(COUNTIF($A$4:$A$253,A112)&gt;1,"Duplicate Map Change ID",IF(NOT(ISNUMBER(D112)),"Change date is not a date",IF(COUNTIF('System map'!$A$4:$A$203,B112)&lt;&gt;1,"AIR-ID not reconciled",IF(COUNTIF(Relationships!$A$4:$A$1003,C112)=0,"Map Edge ID not found in Relationships",IF(AND(OR(H112="Yes",H112="Unsure",E112="Expand access",E112="Add link"),J112=""),"Access change needs reassessment ref",IF(AND(L112="Closed",OR(H112="",AND(OR(H112="Yes",H112="Unsure",E112="Expand access",E112="Add link"),J112=""))),"Closure / reassessment evidence missing","OK — verify source"))))))))</f>
        <v/>
      </c>
    </row>
    <row r="113">
      <c r="A113" s="27" t="n"/>
      <c r="B113" s="27" t="n"/>
      <c r="C113" s="27" t="n"/>
      <c r="D113" s="28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>
        <f>IF(COUNTA(A113:L113)=0,"",IF(OR(A113="",B113="",C113="",D113="",E113="",I113=""),"Change detail missing",IF(COUNTIF($A$4:$A$253,A113)&gt;1,"Duplicate Map Change ID",IF(NOT(ISNUMBER(D113)),"Change date is not a date",IF(COUNTIF('System map'!$A$4:$A$203,B113)&lt;&gt;1,"AIR-ID not reconciled",IF(COUNTIF(Relationships!$A$4:$A$1003,C113)=0,"Map Edge ID not found in Relationships",IF(AND(OR(H113="Yes",H113="Unsure",E113="Expand access",E113="Add link"),J113=""),"Access change needs reassessment ref",IF(AND(L113="Closed",OR(H113="",AND(OR(H113="Yes",H113="Unsure",E113="Expand access",E113="Add link"),J113=""))),"Closure / reassessment evidence missing","OK — verify source"))))))))</f>
        <v/>
      </c>
    </row>
    <row r="114">
      <c r="A114" s="25" t="n"/>
      <c r="B114" s="25" t="n"/>
      <c r="C114" s="25" t="n"/>
      <c r="D114" s="26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>
        <f>IF(COUNTA(A114:L114)=0,"",IF(OR(A114="",B114="",C114="",D114="",E114="",I114=""),"Change detail missing",IF(COUNTIF($A$4:$A$253,A114)&gt;1,"Duplicate Map Change ID",IF(NOT(ISNUMBER(D114)),"Change date is not a date",IF(COUNTIF('System map'!$A$4:$A$203,B114)&lt;&gt;1,"AIR-ID not reconciled",IF(COUNTIF(Relationships!$A$4:$A$1003,C114)=0,"Map Edge ID not found in Relationships",IF(AND(OR(H114="Yes",H114="Unsure",E114="Expand access",E114="Add link"),J114=""),"Access change needs reassessment ref",IF(AND(L114="Closed",OR(H114="",AND(OR(H114="Yes",H114="Unsure",E114="Expand access",E114="Add link"),J114=""))),"Closure / reassessment evidence missing","OK — verify source"))))))))</f>
        <v/>
      </c>
    </row>
    <row r="115">
      <c r="A115" s="27" t="n"/>
      <c r="B115" s="27" t="n"/>
      <c r="C115" s="27" t="n"/>
      <c r="D115" s="28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>
        <f>IF(COUNTA(A115:L115)=0,"",IF(OR(A115="",B115="",C115="",D115="",E115="",I115=""),"Change detail missing",IF(COUNTIF($A$4:$A$253,A115)&gt;1,"Duplicate Map Change ID",IF(NOT(ISNUMBER(D115)),"Change date is not a date",IF(COUNTIF('System map'!$A$4:$A$203,B115)&lt;&gt;1,"AIR-ID not reconciled",IF(COUNTIF(Relationships!$A$4:$A$1003,C115)=0,"Map Edge ID not found in Relationships",IF(AND(OR(H115="Yes",H115="Unsure",E115="Expand access",E115="Add link"),J115=""),"Access change needs reassessment ref",IF(AND(L115="Closed",OR(H115="",AND(OR(H115="Yes",H115="Unsure",E115="Expand access",E115="Add link"),J115=""))),"Closure / reassessment evidence missing","OK — verify source"))))))))</f>
        <v/>
      </c>
    </row>
    <row r="116">
      <c r="A116" s="25" t="n"/>
      <c r="B116" s="25" t="n"/>
      <c r="C116" s="25" t="n"/>
      <c r="D116" s="26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>
        <f>IF(COUNTA(A116:L116)=0,"",IF(OR(A116="",B116="",C116="",D116="",E116="",I116=""),"Change detail missing",IF(COUNTIF($A$4:$A$253,A116)&gt;1,"Duplicate Map Change ID",IF(NOT(ISNUMBER(D116)),"Change date is not a date",IF(COUNTIF('System map'!$A$4:$A$203,B116)&lt;&gt;1,"AIR-ID not reconciled",IF(COUNTIF(Relationships!$A$4:$A$1003,C116)=0,"Map Edge ID not found in Relationships",IF(AND(OR(H116="Yes",H116="Unsure",E116="Expand access",E116="Add link"),J116=""),"Access change needs reassessment ref",IF(AND(L116="Closed",OR(H116="",AND(OR(H116="Yes",H116="Unsure",E116="Expand access",E116="Add link"),J116=""))),"Closure / reassessment evidence missing","OK — verify source"))))))))</f>
        <v/>
      </c>
    </row>
    <row r="117">
      <c r="A117" s="27" t="n"/>
      <c r="B117" s="27" t="n"/>
      <c r="C117" s="27" t="n"/>
      <c r="D117" s="28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>
        <f>IF(COUNTA(A117:L117)=0,"",IF(OR(A117="",B117="",C117="",D117="",E117="",I117=""),"Change detail missing",IF(COUNTIF($A$4:$A$253,A117)&gt;1,"Duplicate Map Change ID",IF(NOT(ISNUMBER(D117)),"Change date is not a date",IF(COUNTIF('System map'!$A$4:$A$203,B117)&lt;&gt;1,"AIR-ID not reconciled",IF(COUNTIF(Relationships!$A$4:$A$1003,C117)=0,"Map Edge ID not found in Relationships",IF(AND(OR(H117="Yes",H117="Unsure",E117="Expand access",E117="Add link"),J117=""),"Access change needs reassessment ref",IF(AND(L117="Closed",OR(H117="",AND(OR(H117="Yes",H117="Unsure",E117="Expand access",E117="Add link"),J117=""))),"Closure / reassessment evidence missing","OK — verify source"))))))))</f>
        <v/>
      </c>
    </row>
    <row r="118">
      <c r="A118" s="25" t="n"/>
      <c r="B118" s="25" t="n"/>
      <c r="C118" s="25" t="n"/>
      <c r="D118" s="26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>
        <f>IF(COUNTA(A118:L118)=0,"",IF(OR(A118="",B118="",C118="",D118="",E118="",I118=""),"Change detail missing",IF(COUNTIF($A$4:$A$253,A118)&gt;1,"Duplicate Map Change ID",IF(NOT(ISNUMBER(D118)),"Change date is not a date",IF(COUNTIF('System map'!$A$4:$A$203,B118)&lt;&gt;1,"AIR-ID not reconciled",IF(COUNTIF(Relationships!$A$4:$A$1003,C118)=0,"Map Edge ID not found in Relationships",IF(AND(OR(H118="Yes",H118="Unsure",E118="Expand access",E118="Add link"),J118=""),"Access change needs reassessment ref",IF(AND(L118="Closed",OR(H118="",AND(OR(H118="Yes",H118="Unsure",E118="Expand access",E118="Add link"),J118=""))),"Closure / reassessment evidence missing","OK — verify source"))))))))</f>
        <v/>
      </c>
    </row>
    <row r="119">
      <c r="A119" s="27" t="n"/>
      <c r="B119" s="27" t="n"/>
      <c r="C119" s="27" t="n"/>
      <c r="D119" s="28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>
        <f>IF(COUNTA(A119:L119)=0,"",IF(OR(A119="",B119="",C119="",D119="",E119="",I119=""),"Change detail missing",IF(COUNTIF($A$4:$A$253,A119)&gt;1,"Duplicate Map Change ID",IF(NOT(ISNUMBER(D119)),"Change date is not a date",IF(COUNTIF('System map'!$A$4:$A$203,B119)&lt;&gt;1,"AIR-ID not reconciled",IF(COUNTIF(Relationships!$A$4:$A$1003,C119)=0,"Map Edge ID not found in Relationships",IF(AND(OR(H119="Yes",H119="Unsure",E119="Expand access",E119="Add link"),J119=""),"Access change needs reassessment ref",IF(AND(L119="Closed",OR(H119="",AND(OR(H119="Yes",H119="Unsure",E119="Expand access",E119="Add link"),J119=""))),"Closure / reassessment evidence missing","OK — verify source"))))))))</f>
        <v/>
      </c>
    </row>
    <row r="120">
      <c r="A120" s="25" t="n"/>
      <c r="B120" s="25" t="n"/>
      <c r="C120" s="25" t="n"/>
      <c r="D120" s="26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>
        <f>IF(COUNTA(A120:L120)=0,"",IF(OR(A120="",B120="",C120="",D120="",E120="",I120=""),"Change detail missing",IF(COUNTIF($A$4:$A$253,A120)&gt;1,"Duplicate Map Change ID",IF(NOT(ISNUMBER(D120)),"Change date is not a date",IF(COUNTIF('System map'!$A$4:$A$203,B120)&lt;&gt;1,"AIR-ID not reconciled",IF(COUNTIF(Relationships!$A$4:$A$1003,C120)=0,"Map Edge ID not found in Relationships",IF(AND(OR(H120="Yes",H120="Unsure",E120="Expand access",E120="Add link"),J120=""),"Access change needs reassessment ref",IF(AND(L120="Closed",OR(H120="",AND(OR(H120="Yes",H120="Unsure",E120="Expand access",E120="Add link"),J120=""))),"Closure / reassessment evidence missing","OK — verify source"))))))))</f>
        <v/>
      </c>
    </row>
    <row r="121">
      <c r="A121" s="27" t="n"/>
      <c r="B121" s="27" t="n"/>
      <c r="C121" s="27" t="n"/>
      <c r="D121" s="28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>
        <f>IF(COUNTA(A121:L121)=0,"",IF(OR(A121="",B121="",C121="",D121="",E121="",I121=""),"Change detail missing",IF(COUNTIF($A$4:$A$253,A121)&gt;1,"Duplicate Map Change ID",IF(NOT(ISNUMBER(D121)),"Change date is not a date",IF(COUNTIF('System map'!$A$4:$A$203,B121)&lt;&gt;1,"AIR-ID not reconciled",IF(COUNTIF(Relationships!$A$4:$A$1003,C121)=0,"Map Edge ID not found in Relationships",IF(AND(OR(H121="Yes",H121="Unsure",E121="Expand access",E121="Add link"),J121=""),"Access change needs reassessment ref",IF(AND(L121="Closed",OR(H121="",AND(OR(H121="Yes",H121="Unsure",E121="Expand access",E121="Add link"),J121=""))),"Closure / reassessment evidence missing","OK — verify source"))))))))</f>
        <v/>
      </c>
    </row>
    <row r="122">
      <c r="A122" s="25" t="n"/>
      <c r="B122" s="25" t="n"/>
      <c r="C122" s="25" t="n"/>
      <c r="D122" s="26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>
        <f>IF(COUNTA(A122:L122)=0,"",IF(OR(A122="",B122="",C122="",D122="",E122="",I122=""),"Change detail missing",IF(COUNTIF($A$4:$A$253,A122)&gt;1,"Duplicate Map Change ID",IF(NOT(ISNUMBER(D122)),"Change date is not a date",IF(COUNTIF('System map'!$A$4:$A$203,B122)&lt;&gt;1,"AIR-ID not reconciled",IF(COUNTIF(Relationships!$A$4:$A$1003,C122)=0,"Map Edge ID not found in Relationships",IF(AND(OR(H122="Yes",H122="Unsure",E122="Expand access",E122="Add link"),J122=""),"Access change needs reassessment ref",IF(AND(L122="Closed",OR(H122="",AND(OR(H122="Yes",H122="Unsure",E122="Expand access",E122="Add link"),J122=""))),"Closure / reassessment evidence missing","OK — verify source"))))))))</f>
        <v/>
      </c>
    </row>
    <row r="123">
      <c r="A123" s="27" t="n"/>
      <c r="B123" s="27" t="n"/>
      <c r="C123" s="27" t="n"/>
      <c r="D123" s="28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>
        <f>IF(COUNTA(A123:L123)=0,"",IF(OR(A123="",B123="",C123="",D123="",E123="",I123=""),"Change detail missing",IF(COUNTIF($A$4:$A$253,A123)&gt;1,"Duplicate Map Change ID",IF(NOT(ISNUMBER(D123)),"Change date is not a date",IF(COUNTIF('System map'!$A$4:$A$203,B123)&lt;&gt;1,"AIR-ID not reconciled",IF(COUNTIF(Relationships!$A$4:$A$1003,C123)=0,"Map Edge ID not found in Relationships",IF(AND(OR(H123="Yes",H123="Unsure",E123="Expand access",E123="Add link"),J123=""),"Access change needs reassessment ref",IF(AND(L123="Closed",OR(H123="",AND(OR(H123="Yes",H123="Unsure",E123="Expand access",E123="Add link"),J123=""))),"Closure / reassessment evidence missing","OK — verify source"))))))))</f>
        <v/>
      </c>
    </row>
    <row r="124">
      <c r="A124" s="25" t="n"/>
      <c r="B124" s="25" t="n"/>
      <c r="C124" s="25" t="n"/>
      <c r="D124" s="26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>
        <f>IF(COUNTA(A124:L124)=0,"",IF(OR(A124="",B124="",C124="",D124="",E124="",I124=""),"Change detail missing",IF(COUNTIF($A$4:$A$253,A124)&gt;1,"Duplicate Map Change ID",IF(NOT(ISNUMBER(D124)),"Change date is not a date",IF(COUNTIF('System map'!$A$4:$A$203,B124)&lt;&gt;1,"AIR-ID not reconciled",IF(COUNTIF(Relationships!$A$4:$A$1003,C124)=0,"Map Edge ID not found in Relationships",IF(AND(OR(H124="Yes",H124="Unsure",E124="Expand access",E124="Add link"),J124=""),"Access change needs reassessment ref",IF(AND(L124="Closed",OR(H124="",AND(OR(H124="Yes",H124="Unsure",E124="Expand access",E124="Add link"),J124=""))),"Closure / reassessment evidence missing","OK — verify source"))))))))</f>
        <v/>
      </c>
    </row>
    <row r="125">
      <c r="A125" s="27" t="n"/>
      <c r="B125" s="27" t="n"/>
      <c r="C125" s="27" t="n"/>
      <c r="D125" s="28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>
        <f>IF(COUNTA(A125:L125)=0,"",IF(OR(A125="",B125="",C125="",D125="",E125="",I125=""),"Change detail missing",IF(COUNTIF($A$4:$A$253,A125)&gt;1,"Duplicate Map Change ID",IF(NOT(ISNUMBER(D125)),"Change date is not a date",IF(COUNTIF('System map'!$A$4:$A$203,B125)&lt;&gt;1,"AIR-ID not reconciled",IF(COUNTIF(Relationships!$A$4:$A$1003,C125)=0,"Map Edge ID not found in Relationships",IF(AND(OR(H125="Yes",H125="Unsure",E125="Expand access",E125="Add link"),J125=""),"Access change needs reassessment ref",IF(AND(L125="Closed",OR(H125="",AND(OR(H125="Yes",H125="Unsure",E125="Expand access",E125="Add link"),J125=""))),"Closure / reassessment evidence missing","OK — verify source"))))))))</f>
        <v/>
      </c>
    </row>
    <row r="126">
      <c r="A126" s="25" t="n"/>
      <c r="B126" s="25" t="n"/>
      <c r="C126" s="25" t="n"/>
      <c r="D126" s="26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>
        <f>IF(COUNTA(A126:L126)=0,"",IF(OR(A126="",B126="",C126="",D126="",E126="",I126=""),"Change detail missing",IF(COUNTIF($A$4:$A$253,A126)&gt;1,"Duplicate Map Change ID",IF(NOT(ISNUMBER(D126)),"Change date is not a date",IF(COUNTIF('System map'!$A$4:$A$203,B126)&lt;&gt;1,"AIR-ID not reconciled",IF(COUNTIF(Relationships!$A$4:$A$1003,C126)=0,"Map Edge ID not found in Relationships",IF(AND(OR(H126="Yes",H126="Unsure",E126="Expand access",E126="Add link"),J126=""),"Access change needs reassessment ref",IF(AND(L126="Closed",OR(H126="",AND(OR(H126="Yes",H126="Unsure",E126="Expand access",E126="Add link"),J126=""))),"Closure / reassessment evidence missing","OK — verify source"))))))))</f>
        <v/>
      </c>
    </row>
    <row r="127">
      <c r="A127" s="27" t="n"/>
      <c r="B127" s="27" t="n"/>
      <c r="C127" s="27" t="n"/>
      <c r="D127" s="28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>
        <f>IF(COUNTA(A127:L127)=0,"",IF(OR(A127="",B127="",C127="",D127="",E127="",I127=""),"Change detail missing",IF(COUNTIF($A$4:$A$253,A127)&gt;1,"Duplicate Map Change ID",IF(NOT(ISNUMBER(D127)),"Change date is not a date",IF(COUNTIF('System map'!$A$4:$A$203,B127)&lt;&gt;1,"AIR-ID not reconciled",IF(COUNTIF(Relationships!$A$4:$A$1003,C127)=0,"Map Edge ID not found in Relationships",IF(AND(OR(H127="Yes",H127="Unsure",E127="Expand access",E127="Add link"),J127=""),"Access change needs reassessment ref",IF(AND(L127="Closed",OR(H127="",AND(OR(H127="Yes",H127="Unsure",E127="Expand access",E127="Add link"),J127=""))),"Closure / reassessment evidence missing","OK — verify source"))))))))</f>
        <v/>
      </c>
    </row>
    <row r="128">
      <c r="A128" s="25" t="n"/>
      <c r="B128" s="25" t="n"/>
      <c r="C128" s="25" t="n"/>
      <c r="D128" s="26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>
        <f>IF(COUNTA(A128:L128)=0,"",IF(OR(A128="",B128="",C128="",D128="",E128="",I128=""),"Change detail missing",IF(COUNTIF($A$4:$A$253,A128)&gt;1,"Duplicate Map Change ID",IF(NOT(ISNUMBER(D128)),"Change date is not a date",IF(COUNTIF('System map'!$A$4:$A$203,B128)&lt;&gt;1,"AIR-ID not reconciled",IF(COUNTIF(Relationships!$A$4:$A$1003,C128)=0,"Map Edge ID not found in Relationships",IF(AND(OR(H128="Yes",H128="Unsure",E128="Expand access",E128="Add link"),J128=""),"Access change needs reassessment ref",IF(AND(L128="Closed",OR(H128="",AND(OR(H128="Yes",H128="Unsure",E128="Expand access",E128="Add link"),J128=""))),"Closure / reassessment evidence missing","OK — verify source"))))))))</f>
        <v/>
      </c>
    </row>
    <row r="129">
      <c r="A129" s="27" t="n"/>
      <c r="B129" s="27" t="n"/>
      <c r="C129" s="27" t="n"/>
      <c r="D129" s="28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>
        <f>IF(COUNTA(A129:L129)=0,"",IF(OR(A129="",B129="",C129="",D129="",E129="",I129=""),"Change detail missing",IF(COUNTIF($A$4:$A$253,A129)&gt;1,"Duplicate Map Change ID",IF(NOT(ISNUMBER(D129)),"Change date is not a date",IF(COUNTIF('System map'!$A$4:$A$203,B129)&lt;&gt;1,"AIR-ID not reconciled",IF(COUNTIF(Relationships!$A$4:$A$1003,C129)=0,"Map Edge ID not found in Relationships",IF(AND(OR(H129="Yes",H129="Unsure",E129="Expand access",E129="Add link"),J129=""),"Access change needs reassessment ref",IF(AND(L129="Closed",OR(H129="",AND(OR(H129="Yes",H129="Unsure",E129="Expand access",E129="Add link"),J129=""))),"Closure / reassessment evidence missing","OK — verify source"))))))))</f>
        <v/>
      </c>
    </row>
    <row r="130">
      <c r="A130" s="25" t="n"/>
      <c r="B130" s="25" t="n"/>
      <c r="C130" s="25" t="n"/>
      <c r="D130" s="26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>
        <f>IF(COUNTA(A130:L130)=0,"",IF(OR(A130="",B130="",C130="",D130="",E130="",I130=""),"Change detail missing",IF(COUNTIF($A$4:$A$253,A130)&gt;1,"Duplicate Map Change ID",IF(NOT(ISNUMBER(D130)),"Change date is not a date",IF(COUNTIF('System map'!$A$4:$A$203,B130)&lt;&gt;1,"AIR-ID not reconciled",IF(COUNTIF(Relationships!$A$4:$A$1003,C130)=0,"Map Edge ID not found in Relationships",IF(AND(OR(H130="Yes",H130="Unsure",E130="Expand access",E130="Add link"),J130=""),"Access change needs reassessment ref",IF(AND(L130="Closed",OR(H130="",AND(OR(H130="Yes",H130="Unsure",E130="Expand access",E130="Add link"),J130=""))),"Closure / reassessment evidence missing","OK — verify source"))))))))</f>
        <v/>
      </c>
    </row>
    <row r="131">
      <c r="A131" s="27" t="n"/>
      <c r="B131" s="27" t="n"/>
      <c r="C131" s="27" t="n"/>
      <c r="D131" s="28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>
        <f>IF(COUNTA(A131:L131)=0,"",IF(OR(A131="",B131="",C131="",D131="",E131="",I131=""),"Change detail missing",IF(COUNTIF($A$4:$A$253,A131)&gt;1,"Duplicate Map Change ID",IF(NOT(ISNUMBER(D131)),"Change date is not a date",IF(COUNTIF('System map'!$A$4:$A$203,B131)&lt;&gt;1,"AIR-ID not reconciled",IF(COUNTIF(Relationships!$A$4:$A$1003,C131)=0,"Map Edge ID not found in Relationships",IF(AND(OR(H131="Yes",H131="Unsure",E131="Expand access",E131="Add link"),J131=""),"Access change needs reassessment ref",IF(AND(L131="Closed",OR(H131="",AND(OR(H131="Yes",H131="Unsure",E131="Expand access",E131="Add link"),J131=""))),"Closure / reassessment evidence missing","OK — verify source"))))))))</f>
        <v/>
      </c>
    </row>
    <row r="132">
      <c r="A132" s="25" t="n"/>
      <c r="B132" s="25" t="n"/>
      <c r="C132" s="25" t="n"/>
      <c r="D132" s="26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>
        <f>IF(COUNTA(A132:L132)=0,"",IF(OR(A132="",B132="",C132="",D132="",E132="",I132=""),"Change detail missing",IF(COUNTIF($A$4:$A$253,A132)&gt;1,"Duplicate Map Change ID",IF(NOT(ISNUMBER(D132)),"Change date is not a date",IF(COUNTIF('System map'!$A$4:$A$203,B132)&lt;&gt;1,"AIR-ID not reconciled",IF(COUNTIF(Relationships!$A$4:$A$1003,C132)=0,"Map Edge ID not found in Relationships",IF(AND(OR(H132="Yes",H132="Unsure",E132="Expand access",E132="Add link"),J132=""),"Access change needs reassessment ref",IF(AND(L132="Closed",OR(H132="",AND(OR(H132="Yes",H132="Unsure",E132="Expand access",E132="Add link"),J132=""))),"Closure / reassessment evidence missing","OK — verify source"))))))))</f>
        <v/>
      </c>
    </row>
    <row r="133">
      <c r="A133" s="27" t="n"/>
      <c r="B133" s="27" t="n"/>
      <c r="C133" s="27" t="n"/>
      <c r="D133" s="28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>
        <f>IF(COUNTA(A133:L133)=0,"",IF(OR(A133="",B133="",C133="",D133="",E133="",I133=""),"Change detail missing",IF(COUNTIF($A$4:$A$253,A133)&gt;1,"Duplicate Map Change ID",IF(NOT(ISNUMBER(D133)),"Change date is not a date",IF(COUNTIF('System map'!$A$4:$A$203,B133)&lt;&gt;1,"AIR-ID not reconciled",IF(COUNTIF(Relationships!$A$4:$A$1003,C133)=0,"Map Edge ID not found in Relationships",IF(AND(OR(H133="Yes",H133="Unsure",E133="Expand access",E133="Add link"),J133=""),"Access change needs reassessment ref",IF(AND(L133="Closed",OR(H133="",AND(OR(H133="Yes",H133="Unsure",E133="Expand access",E133="Add link"),J133=""))),"Closure / reassessment evidence missing","OK — verify source"))))))))</f>
        <v/>
      </c>
    </row>
    <row r="134">
      <c r="A134" s="25" t="n"/>
      <c r="B134" s="25" t="n"/>
      <c r="C134" s="25" t="n"/>
      <c r="D134" s="26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>
        <f>IF(COUNTA(A134:L134)=0,"",IF(OR(A134="",B134="",C134="",D134="",E134="",I134=""),"Change detail missing",IF(COUNTIF($A$4:$A$253,A134)&gt;1,"Duplicate Map Change ID",IF(NOT(ISNUMBER(D134)),"Change date is not a date",IF(COUNTIF('System map'!$A$4:$A$203,B134)&lt;&gt;1,"AIR-ID not reconciled",IF(COUNTIF(Relationships!$A$4:$A$1003,C134)=0,"Map Edge ID not found in Relationships",IF(AND(OR(H134="Yes",H134="Unsure",E134="Expand access",E134="Add link"),J134=""),"Access change needs reassessment ref",IF(AND(L134="Closed",OR(H134="",AND(OR(H134="Yes",H134="Unsure",E134="Expand access",E134="Add link"),J134=""))),"Closure / reassessment evidence missing","OK — verify source"))))))))</f>
        <v/>
      </c>
    </row>
    <row r="135">
      <c r="A135" s="27" t="n"/>
      <c r="B135" s="27" t="n"/>
      <c r="C135" s="27" t="n"/>
      <c r="D135" s="28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>
        <f>IF(COUNTA(A135:L135)=0,"",IF(OR(A135="",B135="",C135="",D135="",E135="",I135=""),"Change detail missing",IF(COUNTIF($A$4:$A$253,A135)&gt;1,"Duplicate Map Change ID",IF(NOT(ISNUMBER(D135)),"Change date is not a date",IF(COUNTIF('System map'!$A$4:$A$203,B135)&lt;&gt;1,"AIR-ID not reconciled",IF(COUNTIF(Relationships!$A$4:$A$1003,C135)=0,"Map Edge ID not found in Relationships",IF(AND(OR(H135="Yes",H135="Unsure",E135="Expand access",E135="Add link"),J135=""),"Access change needs reassessment ref",IF(AND(L135="Closed",OR(H135="",AND(OR(H135="Yes",H135="Unsure",E135="Expand access",E135="Add link"),J135=""))),"Closure / reassessment evidence missing","OK — verify source"))))))))</f>
        <v/>
      </c>
    </row>
    <row r="136">
      <c r="A136" s="25" t="n"/>
      <c r="B136" s="25" t="n"/>
      <c r="C136" s="25" t="n"/>
      <c r="D136" s="26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>
        <f>IF(COUNTA(A136:L136)=0,"",IF(OR(A136="",B136="",C136="",D136="",E136="",I136=""),"Change detail missing",IF(COUNTIF($A$4:$A$253,A136)&gt;1,"Duplicate Map Change ID",IF(NOT(ISNUMBER(D136)),"Change date is not a date",IF(COUNTIF('System map'!$A$4:$A$203,B136)&lt;&gt;1,"AIR-ID not reconciled",IF(COUNTIF(Relationships!$A$4:$A$1003,C136)=0,"Map Edge ID not found in Relationships",IF(AND(OR(H136="Yes",H136="Unsure",E136="Expand access",E136="Add link"),J136=""),"Access change needs reassessment ref",IF(AND(L136="Closed",OR(H136="",AND(OR(H136="Yes",H136="Unsure",E136="Expand access",E136="Add link"),J136=""))),"Closure / reassessment evidence missing","OK — verify source"))))))))</f>
        <v/>
      </c>
    </row>
    <row r="137">
      <c r="A137" s="27" t="n"/>
      <c r="B137" s="27" t="n"/>
      <c r="C137" s="27" t="n"/>
      <c r="D137" s="28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>
        <f>IF(COUNTA(A137:L137)=0,"",IF(OR(A137="",B137="",C137="",D137="",E137="",I137=""),"Change detail missing",IF(COUNTIF($A$4:$A$253,A137)&gt;1,"Duplicate Map Change ID",IF(NOT(ISNUMBER(D137)),"Change date is not a date",IF(COUNTIF('System map'!$A$4:$A$203,B137)&lt;&gt;1,"AIR-ID not reconciled",IF(COUNTIF(Relationships!$A$4:$A$1003,C137)=0,"Map Edge ID not found in Relationships",IF(AND(OR(H137="Yes",H137="Unsure",E137="Expand access",E137="Add link"),J137=""),"Access change needs reassessment ref",IF(AND(L137="Closed",OR(H137="",AND(OR(H137="Yes",H137="Unsure",E137="Expand access",E137="Add link"),J137=""))),"Closure / reassessment evidence missing","OK — verify source"))))))))</f>
        <v/>
      </c>
    </row>
    <row r="138">
      <c r="A138" s="25" t="n"/>
      <c r="B138" s="25" t="n"/>
      <c r="C138" s="25" t="n"/>
      <c r="D138" s="26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>
        <f>IF(COUNTA(A138:L138)=0,"",IF(OR(A138="",B138="",C138="",D138="",E138="",I138=""),"Change detail missing",IF(COUNTIF($A$4:$A$253,A138)&gt;1,"Duplicate Map Change ID",IF(NOT(ISNUMBER(D138)),"Change date is not a date",IF(COUNTIF('System map'!$A$4:$A$203,B138)&lt;&gt;1,"AIR-ID not reconciled",IF(COUNTIF(Relationships!$A$4:$A$1003,C138)=0,"Map Edge ID not found in Relationships",IF(AND(OR(H138="Yes",H138="Unsure",E138="Expand access",E138="Add link"),J138=""),"Access change needs reassessment ref",IF(AND(L138="Closed",OR(H138="",AND(OR(H138="Yes",H138="Unsure",E138="Expand access",E138="Add link"),J138=""))),"Closure / reassessment evidence missing","OK — verify source"))))))))</f>
        <v/>
      </c>
    </row>
    <row r="139">
      <c r="A139" s="27" t="n"/>
      <c r="B139" s="27" t="n"/>
      <c r="C139" s="27" t="n"/>
      <c r="D139" s="28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>
        <f>IF(COUNTA(A139:L139)=0,"",IF(OR(A139="",B139="",C139="",D139="",E139="",I139=""),"Change detail missing",IF(COUNTIF($A$4:$A$253,A139)&gt;1,"Duplicate Map Change ID",IF(NOT(ISNUMBER(D139)),"Change date is not a date",IF(COUNTIF('System map'!$A$4:$A$203,B139)&lt;&gt;1,"AIR-ID not reconciled",IF(COUNTIF(Relationships!$A$4:$A$1003,C139)=0,"Map Edge ID not found in Relationships",IF(AND(OR(H139="Yes",H139="Unsure",E139="Expand access",E139="Add link"),J139=""),"Access change needs reassessment ref",IF(AND(L139="Closed",OR(H139="",AND(OR(H139="Yes",H139="Unsure",E139="Expand access",E139="Add link"),J139=""))),"Closure / reassessment evidence missing","OK — verify source"))))))))</f>
        <v/>
      </c>
    </row>
    <row r="140">
      <c r="A140" s="25" t="n"/>
      <c r="B140" s="25" t="n"/>
      <c r="C140" s="25" t="n"/>
      <c r="D140" s="26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>
        <f>IF(COUNTA(A140:L140)=0,"",IF(OR(A140="",B140="",C140="",D140="",E140="",I140=""),"Change detail missing",IF(COUNTIF($A$4:$A$253,A140)&gt;1,"Duplicate Map Change ID",IF(NOT(ISNUMBER(D140)),"Change date is not a date",IF(COUNTIF('System map'!$A$4:$A$203,B140)&lt;&gt;1,"AIR-ID not reconciled",IF(COUNTIF(Relationships!$A$4:$A$1003,C140)=0,"Map Edge ID not found in Relationships",IF(AND(OR(H140="Yes",H140="Unsure",E140="Expand access",E140="Add link"),J140=""),"Access change needs reassessment ref",IF(AND(L140="Closed",OR(H140="",AND(OR(H140="Yes",H140="Unsure",E140="Expand access",E140="Add link"),J140=""))),"Closure / reassessment evidence missing","OK — verify source"))))))))</f>
        <v/>
      </c>
    </row>
    <row r="141">
      <c r="A141" s="27" t="n"/>
      <c r="B141" s="27" t="n"/>
      <c r="C141" s="27" t="n"/>
      <c r="D141" s="28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>
        <f>IF(COUNTA(A141:L141)=0,"",IF(OR(A141="",B141="",C141="",D141="",E141="",I141=""),"Change detail missing",IF(COUNTIF($A$4:$A$253,A141)&gt;1,"Duplicate Map Change ID",IF(NOT(ISNUMBER(D141)),"Change date is not a date",IF(COUNTIF('System map'!$A$4:$A$203,B141)&lt;&gt;1,"AIR-ID not reconciled",IF(COUNTIF(Relationships!$A$4:$A$1003,C141)=0,"Map Edge ID not found in Relationships",IF(AND(OR(H141="Yes",H141="Unsure",E141="Expand access",E141="Add link"),J141=""),"Access change needs reassessment ref",IF(AND(L141="Closed",OR(H141="",AND(OR(H141="Yes",H141="Unsure",E141="Expand access",E141="Add link"),J141=""))),"Closure / reassessment evidence missing","OK — verify source"))))))))</f>
        <v/>
      </c>
    </row>
    <row r="142">
      <c r="A142" s="25" t="n"/>
      <c r="B142" s="25" t="n"/>
      <c r="C142" s="25" t="n"/>
      <c r="D142" s="26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>
        <f>IF(COUNTA(A142:L142)=0,"",IF(OR(A142="",B142="",C142="",D142="",E142="",I142=""),"Change detail missing",IF(COUNTIF($A$4:$A$253,A142)&gt;1,"Duplicate Map Change ID",IF(NOT(ISNUMBER(D142)),"Change date is not a date",IF(COUNTIF('System map'!$A$4:$A$203,B142)&lt;&gt;1,"AIR-ID not reconciled",IF(COUNTIF(Relationships!$A$4:$A$1003,C142)=0,"Map Edge ID not found in Relationships",IF(AND(OR(H142="Yes",H142="Unsure",E142="Expand access",E142="Add link"),J142=""),"Access change needs reassessment ref",IF(AND(L142="Closed",OR(H142="",AND(OR(H142="Yes",H142="Unsure",E142="Expand access",E142="Add link"),J142=""))),"Closure / reassessment evidence missing","OK — verify source"))))))))</f>
        <v/>
      </c>
    </row>
    <row r="143">
      <c r="A143" s="27" t="n"/>
      <c r="B143" s="27" t="n"/>
      <c r="C143" s="27" t="n"/>
      <c r="D143" s="28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>
        <f>IF(COUNTA(A143:L143)=0,"",IF(OR(A143="",B143="",C143="",D143="",E143="",I143=""),"Change detail missing",IF(COUNTIF($A$4:$A$253,A143)&gt;1,"Duplicate Map Change ID",IF(NOT(ISNUMBER(D143)),"Change date is not a date",IF(COUNTIF('System map'!$A$4:$A$203,B143)&lt;&gt;1,"AIR-ID not reconciled",IF(COUNTIF(Relationships!$A$4:$A$1003,C143)=0,"Map Edge ID not found in Relationships",IF(AND(OR(H143="Yes",H143="Unsure",E143="Expand access",E143="Add link"),J143=""),"Access change needs reassessment ref",IF(AND(L143="Closed",OR(H143="",AND(OR(H143="Yes",H143="Unsure",E143="Expand access",E143="Add link"),J143=""))),"Closure / reassessment evidence missing","OK — verify source"))))))))</f>
        <v/>
      </c>
    </row>
    <row r="144">
      <c r="A144" s="25" t="n"/>
      <c r="B144" s="25" t="n"/>
      <c r="C144" s="25" t="n"/>
      <c r="D144" s="26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>
        <f>IF(COUNTA(A144:L144)=0,"",IF(OR(A144="",B144="",C144="",D144="",E144="",I144=""),"Change detail missing",IF(COUNTIF($A$4:$A$253,A144)&gt;1,"Duplicate Map Change ID",IF(NOT(ISNUMBER(D144)),"Change date is not a date",IF(COUNTIF('System map'!$A$4:$A$203,B144)&lt;&gt;1,"AIR-ID not reconciled",IF(COUNTIF(Relationships!$A$4:$A$1003,C144)=0,"Map Edge ID not found in Relationships",IF(AND(OR(H144="Yes",H144="Unsure",E144="Expand access",E144="Add link"),J144=""),"Access change needs reassessment ref",IF(AND(L144="Closed",OR(H144="",AND(OR(H144="Yes",H144="Unsure",E144="Expand access",E144="Add link"),J144=""))),"Closure / reassessment evidence missing","OK — verify source"))))))))</f>
        <v/>
      </c>
    </row>
    <row r="145">
      <c r="A145" s="27" t="n"/>
      <c r="B145" s="27" t="n"/>
      <c r="C145" s="27" t="n"/>
      <c r="D145" s="28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>
        <f>IF(COUNTA(A145:L145)=0,"",IF(OR(A145="",B145="",C145="",D145="",E145="",I145=""),"Change detail missing",IF(COUNTIF($A$4:$A$253,A145)&gt;1,"Duplicate Map Change ID",IF(NOT(ISNUMBER(D145)),"Change date is not a date",IF(COUNTIF('System map'!$A$4:$A$203,B145)&lt;&gt;1,"AIR-ID not reconciled",IF(COUNTIF(Relationships!$A$4:$A$1003,C145)=0,"Map Edge ID not found in Relationships",IF(AND(OR(H145="Yes",H145="Unsure",E145="Expand access",E145="Add link"),J145=""),"Access change needs reassessment ref",IF(AND(L145="Closed",OR(H145="",AND(OR(H145="Yes",H145="Unsure",E145="Expand access",E145="Add link"),J145=""))),"Closure / reassessment evidence missing","OK — verify source"))))))))</f>
        <v/>
      </c>
    </row>
    <row r="146">
      <c r="A146" s="25" t="n"/>
      <c r="B146" s="25" t="n"/>
      <c r="C146" s="25" t="n"/>
      <c r="D146" s="26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>
        <f>IF(COUNTA(A146:L146)=0,"",IF(OR(A146="",B146="",C146="",D146="",E146="",I146=""),"Change detail missing",IF(COUNTIF($A$4:$A$253,A146)&gt;1,"Duplicate Map Change ID",IF(NOT(ISNUMBER(D146)),"Change date is not a date",IF(COUNTIF('System map'!$A$4:$A$203,B146)&lt;&gt;1,"AIR-ID not reconciled",IF(COUNTIF(Relationships!$A$4:$A$1003,C146)=0,"Map Edge ID not found in Relationships",IF(AND(OR(H146="Yes",H146="Unsure",E146="Expand access",E146="Add link"),J146=""),"Access change needs reassessment ref",IF(AND(L146="Closed",OR(H146="",AND(OR(H146="Yes",H146="Unsure",E146="Expand access",E146="Add link"),J146=""))),"Closure / reassessment evidence missing","OK — verify source"))))))))</f>
        <v/>
      </c>
    </row>
    <row r="147">
      <c r="A147" s="27" t="n"/>
      <c r="B147" s="27" t="n"/>
      <c r="C147" s="27" t="n"/>
      <c r="D147" s="28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>
        <f>IF(COUNTA(A147:L147)=0,"",IF(OR(A147="",B147="",C147="",D147="",E147="",I147=""),"Change detail missing",IF(COUNTIF($A$4:$A$253,A147)&gt;1,"Duplicate Map Change ID",IF(NOT(ISNUMBER(D147)),"Change date is not a date",IF(COUNTIF('System map'!$A$4:$A$203,B147)&lt;&gt;1,"AIR-ID not reconciled",IF(COUNTIF(Relationships!$A$4:$A$1003,C147)=0,"Map Edge ID not found in Relationships",IF(AND(OR(H147="Yes",H147="Unsure",E147="Expand access",E147="Add link"),J147=""),"Access change needs reassessment ref",IF(AND(L147="Closed",OR(H147="",AND(OR(H147="Yes",H147="Unsure",E147="Expand access",E147="Add link"),J147=""))),"Closure / reassessment evidence missing","OK — verify source"))))))))</f>
        <v/>
      </c>
    </row>
    <row r="148">
      <c r="A148" s="25" t="n"/>
      <c r="B148" s="25" t="n"/>
      <c r="C148" s="25" t="n"/>
      <c r="D148" s="26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>
        <f>IF(COUNTA(A148:L148)=0,"",IF(OR(A148="",B148="",C148="",D148="",E148="",I148=""),"Change detail missing",IF(COUNTIF($A$4:$A$253,A148)&gt;1,"Duplicate Map Change ID",IF(NOT(ISNUMBER(D148)),"Change date is not a date",IF(COUNTIF('System map'!$A$4:$A$203,B148)&lt;&gt;1,"AIR-ID not reconciled",IF(COUNTIF(Relationships!$A$4:$A$1003,C148)=0,"Map Edge ID not found in Relationships",IF(AND(OR(H148="Yes",H148="Unsure",E148="Expand access",E148="Add link"),J148=""),"Access change needs reassessment ref",IF(AND(L148="Closed",OR(H148="",AND(OR(H148="Yes",H148="Unsure",E148="Expand access",E148="Add link"),J148=""))),"Closure / reassessment evidence missing","OK — verify source"))))))))</f>
        <v/>
      </c>
    </row>
    <row r="149">
      <c r="A149" s="27" t="n"/>
      <c r="B149" s="27" t="n"/>
      <c r="C149" s="27" t="n"/>
      <c r="D149" s="28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>
        <f>IF(COUNTA(A149:L149)=0,"",IF(OR(A149="",B149="",C149="",D149="",E149="",I149=""),"Change detail missing",IF(COUNTIF($A$4:$A$253,A149)&gt;1,"Duplicate Map Change ID",IF(NOT(ISNUMBER(D149)),"Change date is not a date",IF(COUNTIF('System map'!$A$4:$A$203,B149)&lt;&gt;1,"AIR-ID not reconciled",IF(COUNTIF(Relationships!$A$4:$A$1003,C149)=0,"Map Edge ID not found in Relationships",IF(AND(OR(H149="Yes",H149="Unsure",E149="Expand access",E149="Add link"),J149=""),"Access change needs reassessment ref",IF(AND(L149="Closed",OR(H149="",AND(OR(H149="Yes",H149="Unsure",E149="Expand access",E149="Add link"),J149=""))),"Closure / reassessment evidence missing","OK — verify source"))))))))</f>
        <v/>
      </c>
    </row>
    <row r="150">
      <c r="A150" s="25" t="n"/>
      <c r="B150" s="25" t="n"/>
      <c r="C150" s="25" t="n"/>
      <c r="D150" s="26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>
        <f>IF(COUNTA(A150:L150)=0,"",IF(OR(A150="",B150="",C150="",D150="",E150="",I150=""),"Change detail missing",IF(COUNTIF($A$4:$A$253,A150)&gt;1,"Duplicate Map Change ID",IF(NOT(ISNUMBER(D150)),"Change date is not a date",IF(COUNTIF('System map'!$A$4:$A$203,B150)&lt;&gt;1,"AIR-ID not reconciled",IF(COUNTIF(Relationships!$A$4:$A$1003,C150)=0,"Map Edge ID not found in Relationships",IF(AND(OR(H150="Yes",H150="Unsure",E150="Expand access",E150="Add link"),J150=""),"Access change needs reassessment ref",IF(AND(L150="Closed",OR(H150="",AND(OR(H150="Yes",H150="Unsure",E150="Expand access",E150="Add link"),J150=""))),"Closure / reassessment evidence missing","OK — verify source"))))))))</f>
        <v/>
      </c>
    </row>
    <row r="151">
      <c r="A151" s="27" t="n"/>
      <c r="B151" s="27" t="n"/>
      <c r="C151" s="27" t="n"/>
      <c r="D151" s="28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>
        <f>IF(COUNTA(A151:L151)=0,"",IF(OR(A151="",B151="",C151="",D151="",E151="",I151=""),"Change detail missing",IF(COUNTIF($A$4:$A$253,A151)&gt;1,"Duplicate Map Change ID",IF(NOT(ISNUMBER(D151)),"Change date is not a date",IF(COUNTIF('System map'!$A$4:$A$203,B151)&lt;&gt;1,"AIR-ID not reconciled",IF(COUNTIF(Relationships!$A$4:$A$1003,C151)=0,"Map Edge ID not found in Relationships",IF(AND(OR(H151="Yes",H151="Unsure",E151="Expand access",E151="Add link"),J151=""),"Access change needs reassessment ref",IF(AND(L151="Closed",OR(H151="",AND(OR(H151="Yes",H151="Unsure",E151="Expand access",E151="Add link"),J151=""))),"Closure / reassessment evidence missing","OK — verify source"))))))))</f>
        <v/>
      </c>
    </row>
    <row r="152">
      <c r="A152" s="25" t="n"/>
      <c r="B152" s="25" t="n"/>
      <c r="C152" s="25" t="n"/>
      <c r="D152" s="26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>
        <f>IF(COUNTA(A152:L152)=0,"",IF(OR(A152="",B152="",C152="",D152="",E152="",I152=""),"Change detail missing",IF(COUNTIF($A$4:$A$253,A152)&gt;1,"Duplicate Map Change ID",IF(NOT(ISNUMBER(D152)),"Change date is not a date",IF(COUNTIF('System map'!$A$4:$A$203,B152)&lt;&gt;1,"AIR-ID not reconciled",IF(COUNTIF(Relationships!$A$4:$A$1003,C152)=0,"Map Edge ID not found in Relationships",IF(AND(OR(H152="Yes",H152="Unsure",E152="Expand access",E152="Add link"),J152=""),"Access change needs reassessment ref",IF(AND(L152="Closed",OR(H152="",AND(OR(H152="Yes",H152="Unsure",E152="Expand access",E152="Add link"),J152=""))),"Closure / reassessment evidence missing","OK — verify source"))))))))</f>
        <v/>
      </c>
    </row>
    <row r="153">
      <c r="A153" s="27" t="n"/>
      <c r="B153" s="27" t="n"/>
      <c r="C153" s="27" t="n"/>
      <c r="D153" s="28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>
        <f>IF(COUNTA(A153:L153)=0,"",IF(OR(A153="",B153="",C153="",D153="",E153="",I153=""),"Change detail missing",IF(COUNTIF($A$4:$A$253,A153)&gt;1,"Duplicate Map Change ID",IF(NOT(ISNUMBER(D153)),"Change date is not a date",IF(COUNTIF('System map'!$A$4:$A$203,B153)&lt;&gt;1,"AIR-ID not reconciled",IF(COUNTIF(Relationships!$A$4:$A$1003,C153)=0,"Map Edge ID not found in Relationships",IF(AND(OR(H153="Yes",H153="Unsure",E153="Expand access",E153="Add link"),J153=""),"Access change needs reassessment ref",IF(AND(L153="Closed",OR(H153="",AND(OR(H153="Yes",H153="Unsure",E153="Expand access",E153="Add link"),J153=""))),"Closure / reassessment evidence missing","OK — verify source"))))))))</f>
        <v/>
      </c>
    </row>
    <row r="154">
      <c r="A154" s="25" t="n"/>
      <c r="B154" s="25" t="n"/>
      <c r="C154" s="25" t="n"/>
      <c r="D154" s="26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>
        <f>IF(COUNTA(A154:L154)=0,"",IF(OR(A154="",B154="",C154="",D154="",E154="",I154=""),"Change detail missing",IF(COUNTIF($A$4:$A$253,A154)&gt;1,"Duplicate Map Change ID",IF(NOT(ISNUMBER(D154)),"Change date is not a date",IF(COUNTIF('System map'!$A$4:$A$203,B154)&lt;&gt;1,"AIR-ID not reconciled",IF(COUNTIF(Relationships!$A$4:$A$1003,C154)=0,"Map Edge ID not found in Relationships",IF(AND(OR(H154="Yes",H154="Unsure",E154="Expand access",E154="Add link"),J154=""),"Access change needs reassessment ref",IF(AND(L154="Closed",OR(H154="",AND(OR(H154="Yes",H154="Unsure",E154="Expand access",E154="Add link"),J154=""))),"Closure / reassessment evidence missing","OK — verify source"))))))))</f>
        <v/>
      </c>
    </row>
    <row r="155">
      <c r="A155" s="27" t="n"/>
      <c r="B155" s="27" t="n"/>
      <c r="C155" s="27" t="n"/>
      <c r="D155" s="28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>
        <f>IF(COUNTA(A155:L155)=0,"",IF(OR(A155="",B155="",C155="",D155="",E155="",I155=""),"Change detail missing",IF(COUNTIF($A$4:$A$253,A155)&gt;1,"Duplicate Map Change ID",IF(NOT(ISNUMBER(D155)),"Change date is not a date",IF(COUNTIF('System map'!$A$4:$A$203,B155)&lt;&gt;1,"AIR-ID not reconciled",IF(COUNTIF(Relationships!$A$4:$A$1003,C155)=0,"Map Edge ID not found in Relationships",IF(AND(OR(H155="Yes",H155="Unsure",E155="Expand access",E155="Add link"),J155=""),"Access change needs reassessment ref",IF(AND(L155="Closed",OR(H155="",AND(OR(H155="Yes",H155="Unsure",E155="Expand access",E155="Add link"),J155=""))),"Closure / reassessment evidence missing","OK — verify source"))))))))</f>
        <v/>
      </c>
    </row>
    <row r="156">
      <c r="A156" s="25" t="n"/>
      <c r="B156" s="25" t="n"/>
      <c r="C156" s="25" t="n"/>
      <c r="D156" s="26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>
        <f>IF(COUNTA(A156:L156)=0,"",IF(OR(A156="",B156="",C156="",D156="",E156="",I156=""),"Change detail missing",IF(COUNTIF($A$4:$A$253,A156)&gt;1,"Duplicate Map Change ID",IF(NOT(ISNUMBER(D156)),"Change date is not a date",IF(COUNTIF('System map'!$A$4:$A$203,B156)&lt;&gt;1,"AIR-ID not reconciled",IF(COUNTIF(Relationships!$A$4:$A$1003,C156)=0,"Map Edge ID not found in Relationships",IF(AND(OR(H156="Yes",H156="Unsure",E156="Expand access",E156="Add link"),J156=""),"Access change needs reassessment ref",IF(AND(L156="Closed",OR(H156="",AND(OR(H156="Yes",H156="Unsure",E156="Expand access",E156="Add link"),J156=""))),"Closure / reassessment evidence missing","OK — verify source"))))))))</f>
        <v/>
      </c>
    </row>
    <row r="157">
      <c r="A157" s="27" t="n"/>
      <c r="B157" s="27" t="n"/>
      <c r="C157" s="27" t="n"/>
      <c r="D157" s="28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>
        <f>IF(COUNTA(A157:L157)=0,"",IF(OR(A157="",B157="",C157="",D157="",E157="",I157=""),"Change detail missing",IF(COUNTIF($A$4:$A$253,A157)&gt;1,"Duplicate Map Change ID",IF(NOT(ISNUMBER(D157)),"Change date is not a date",IF(COUNTIF('System map'!$A$4:$A$203,B157)&lt;&gt;1,"AIR-ID not reconciled",IF(COUNTIF(Relationships!$A$4:$A$1003,C157)=0,"Map Edge ID not found in Relationships",IF(AND(OR(H157="Yes",H157="Unsure",E157="Expand access",E157="Add link"),J157=""),"Access change needs reassessment ref",IF(AND(L157="Closed",OR(H157="",AND(OR(H157="Yes",H157="Unsure",E157="Expand access",E157="Add link"),J157=""))),"Closure / reassessment evidence missing","OK — verify source"))))))))</f>
        <v/>
      </c>
    </row>
    <row r="158">
      <c r="A158" s="25" t="n"/>
      <c r="B158" s="25" t="n"/>
      <c r="C158" s="25" t="n"/>
      <c r="D158" s="26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>
        <f>IF(COUNTA(A158:L158)=0,"",IF(OR(A158="",B158="",C158="",D158="",E158="",I158=""),"Change detail missing",IF(COUNTIF($A$4:$A$253,A158)&gt;1,"Duplicate Map Change ID",IF(NOT(ISNUMBER(D158)),"Change date is not a date",IF(COUNTIF('System map'!$A$4:$A$203,B158)&lt;&gt;1,"AIR-ID not reconciled",IF(COUNTIF(Relationships!$A$4:$A$1003,C158)=0,"Map Edge ID not found in Relationships",IF(AND(OR(H158="Yes",H158="Unsure",E158="Expand access",E158="Add link"),J158=""),"Access change needs reassessment ref",IF(AND(L158="Closed",OR(H158="",AND(OR(H158="Yes",H158="Unsure",E158="Expand access",E158="Add link"),J158=""))),"Closure / reassessment evidence missing","OK — verify source"))))))))</f>
        <v/>
      </c>
    </row>
    <row r="159">
      <c r="A159" s="27" t="n"/>
      <c r="B159" s="27" t="n"/>
      <c r="C159" s="27" t="n"/>
      <c r="D159" s="28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>
        <f>IF(COUNTA(A159:L159)=0,"",IF(OR(A159="",B159="",C159="",D159="",E159="",I159=""),"Change detail missing",IF(COUNTIF($A$4:$A$253,A159)&gt;1,"Duplicate Map Change ID",IF(NOT(ISNUMBER(D159)),"Change date is not a date",IF(COUNTIF('System map'!$A$4:$A$203,B159)&lt;&gt;1,"AIR-ID not reconciled",IF(COUNTIF(Relationships!$A$4:$A$1003,C159)=0,"Map Edge ID not found in Relationships",IF(AND(OR(H159="Yes",H159="Unsure",E159="Expand access",E159="Add link"),J159=""),"Access change needs reassessment ref",IF(AND(L159="Closed",OR(H159="",AND(OR(H159="Yes",H159="Unsure",E159="Expand access",E159="Add link"),J159=""))),"Closure / reassessment evidence missing","OK — verify source"))))))))</f>
        <v/>
      </c>
    </row>
    <row r="160">
      <c r="A160" s="25" t="n"/>
      <c r="B160" s="25" t="n"/>
      <c r="C160" s="25" t="n"/>
      <c r="D160" s="26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>
        <f>IF(COUNTA(A160:L160)=0,"",IF(OR(A160="",B160="",C160="",D160="",E160="",I160=""),"Change detail missing",IF(COUNTIF($A$4:$A$253,A160)&gt;1,"Duplicate Map Change ID",IF(NOT(ISNUMBER(D160)),"Change date is not a date",IF(COUNTIF('System map'!$A$4:$A$203,B160)&lt;&gt;1,"AIR-ID not reconciled",IF(COUNTIF(Relationships!$A$4:$A$1003,C160)=0,"Map Edge ID not found in Relationships",IF(AND(OR(H160="Yes",H160="Unsure",E160="Expand access",E160="Add link"),J160=""),"Access change needs reassessment ref",IF(AND(L160="Closed",OR(H160="",AND(OR(H160="Yes",H160="Unsure",E160="Expand access",E160="Add link"),J160=""))),"Closure / reassessment evidence missing","OK — verify source"))))))))</f>
        <v/>
      </c>
    </row>
    <row r="161">
      <c r="A161" s="27" t="n"/>
      <c r="B161" s="27" t="n"/>
      <c r="C161" s="27" t="n"/>
      <c r="D161" s="28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>
        <f>IF(COUNTA(A161:L161)=0,"",IF(OR(A161="",B161="",C161="",D161="",E161="",I161=""),"Change detail missing",IF(COUNTIF($A$4:$A$253,A161)&gt;1,"Duplicate Map Change ID",IF(NOT(ISNUMBER(D161)),"Change date is not a date",IF(COUNTIF('System map'!$A$4:$A$203,B161)&lt;&gt;1,"AIR-ID not reconciled",IF(COUNTIF(Relationships!$A$4:$A$1003,C161)=0,"Map Edge ID not found in Relationships",IF(AND(OR(H161="Yes",H161="Unsure",E161="Expand access",E161="Add link"),J161=""),"Access change needs reassessment ref",IF(AND(L161="Closed",OR(H161="",AND(OR(H161="Yes",H161="Unsure",E161="Expand access",E161="Add link"),J161=""))),"Closure / reassessment evidence missing","OK — verify source"))))))))</f>
        <v/>
      </c>
    </row>
    <row r="162">
      <c r="A162" s="25" t="n"/>
      <c r="B162" s="25" t="n"/>
      <c r="C162" s="25" t="n"/>
      <c r="D162" s="26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>
        <f>IF(COUNTA(A162:L162)=0,"",IF(OR(A162="",B162="",C162="",D162="",E162="",I162=""),"Change detail missing",IF(COUNTIF($A$4:$A$253,A162)&gt;1,"Duplicate Map Change ID",IF(NOT(ISNUMBER(D162)),"Change date is not a date",IF(COUNTIF('System map'!$A$4:$A$203,B162)&lt;&gt;1,"AIR-ID not reconciled",IF(COUNTIF(Relationships!$A$4:$A$1003,C162)=0,"Map Edge ID not found in Relationships",IF(AND(OR(H162="Yes",H162="Unsure",E162="Expand access",E162="Add link"),J162=""),"Access change needs reassessment ref",IF(AND(L162="Closed",OR(H162="",AND(OR(H162="Yes",H162="Unsure",E162="Expand access",E162="Add link"),J162=""))),"Closure / reassessment evidence missing","OK — verify source"))))))))</f>
        <v/>
      </c>
    </row>
    <row r="163">
      <c r="A163" s="27" t="n"/>
      <c r="B163" s="27" t="n"/>
      <c r="C163" s="27" t="n"/>
      <c r="D163" s="28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>
        <f>IF(COUNTA(A163:L163)=0,"",IF(OR(A163="",B163="",C163="",D163="",E163="",I163=""),"Change detail missing",IF(COUNTIF($A$4:$A$253,A163)&gt;1,"Duplicate Map Change ID",IF(NOT(ISNUMBER(D163)),"Change date is not a date",IF(COUNTIF('System map'!$A$4:$A$203,B163)&lt;&gt;1,"AIR-ID not reconciled",IF(COUNTIF(Relationships!$A$4:$A$1003,C163)=0,"Map Edge ID not found in Relationships",IF(AND(OR(H163="Yes",H163="Unsure",E163="Expand access",E163="Add link"),J163=""),"Access change needs reassessment ref",IF(AND(L163="Closed",OR(H163="",AND(OR(H163="Yes",H163="Unsure",E163="Expand access",E163="Add link"),J163=""))),"Closure / reassessment evidence missing","OK — verify source"))))))))</f>
        <v/>
      </c>
    </row>
    <row r="164">
      <c r="A164" s="25" t="n"/>
      <c r="B164" s="25" t="n"/>
      <c r="C164" s="25" t="n"/>
      <c r="D164" s="26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>
        <f>IF(COUNTA(A164:L164)=0,"",IF(OR(A164="",B164="",C164="",D164="",E164="",I164=""),"Change detail missing",IF(COUNTIF($A$4:$A$253,A164)&gt;1,"Duplicate Map Change ID",IF(NOT(ISNUMBER(D164)),"Change date is not a date",IF(COUNTIF('System map'!$A$4:$A$203,B164)&lt;&gt;1,"AIR-ID not reconciled",IF(COUNTIF(Relationships!$A$4:$A$1003,C164)=0,"Map Edge ID not found in Relationships",IF(AND(OR(H164="Yes",H164="Unsure",E164="Expand access",E164="Add link"),J164=""),"Access change needs reassessment ref",IF(AND(L164="Closed",OR(H164="",AND(OR(H164="Yes",H164="Unsure",E164="Expand access",E164="Add link"),J164=""))),"Closure / reassessment evidence missing","OK — verify source"))))))))</f>
        <v/>
      </c>
    </row>
    <row r="165">
      <c r="A165" s="27" t="n"/>
      <c r="B165" s="27" t="n"/>
      <c r="C165" s="27" t="n"/>
      <c r="D165" s="28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>
        <f>IF(COUNTA(A165:L165)=0,"",IF(OR(A165="",B165="",C165="",D165="",E165="",I165=""),"Change detail missing",IF(COUNTIF($A$4:$A$253,A165)&gt;1,"Duplicate Map Change ID",IF(NOT(ISNUMBER(D165)),"Change date is not a date",IF(COUNTIF('System map'!$A$4:$A$203,B165)&lt;&gt;1,"AIR-ID not reconciled",IF(COUNTIF(Relationships!$A$4:$A$1003,C165)=0,"Map Edge ID not found in Relationships",IF(AND(OR(H165="Yes",H165="Unsure",E165="Expand access",E165="Add link"),J165=""),"Access change needs reassessment ref",IF(AND(L165="Closed",OR(H165="",AND(OR(H165="Yes",H165="Unsure",E165="Expand access",E165="Add link"),J165=""))),"Closure / reassessment evidence missing","OK — verify source"))))))))</f>
        <v/>
      </c>
    </row>
    <row r="166">
      <c r="A166" s="25" t="n"/>
      <c r="B166" s="25" t="n"/>
      <c r="C166" s="25" t="n"/>
      <c r="D166" s="26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>
        <f>IF(COUNTA(A166:L166)=0,"",IF(OR(A166="",B166="",C166="",D166="",E166="",I166=""),"Change detail missing",IF(COUNTIF($A$4:$A$253,A166)&gt;1,"Duplicate Map Change ID",IF(NOT(ISNUMBER(D166)),"Change date is not a date",IF(COUNTIF('System map'!$A$4:$A$203,B166)&lt;&gt;1,"AIR-ID not reconciled",IF(COUNTIF(Relationships!$A$4:$A$1003,C166)=0,"Map Edge ID not found in Relationships",IF(AND(OR(H166="Yes",H166="Unsure",E166="Expand access",E166="Add link"),J166=""),"Access change needs reassessment ref",IF(AND(L166="Closed",OR(H166="",AND(OR(H166="Yes",H166="Unsure",E166="Expand access",E166="Add link"),J166=""))),"Closure / reassessment evidence missing","OK — verify source"))))))))</f>
        <v/>
      </c>
    </row>
    <row r="167">
      <c r="A167" s="27" t="n"/>
      <c r="B167" s="27" t="n"/>
      <c r="C167" s="27" t="n"/>
      <c r="D167" s="28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>
        <f>IF(COUNTA(A167:L167)=0,"",IF(OR(A167="",B167="",C167="",D167="",E167="",I167=""),"Change detail missing",IF(COUNTIF($A$4:$A$253,A167)&gt;1,"Duplicate Map Change ID",IF(NOT(ISNUMBER(D167)),"Change date is not a date",IF(COUNTIF('System map'!$A$4:$A$203,B167)&lt;&gt;1,"AIR-ID not reconciled",IF(COUNTIF(Relationships!$A$4:$A$1003,C167)=0,"Map Edge ID not found in Relationships",IF(AND(OR(H167="Yes",H167="Unsure",E167="Expand access",E167="Add link"),J167=""),"Access change needs reassessment ref",IF(AND(L167="Closed",OR(H167="",AND(OR(H167="Yes",H167="Unsure",E167="Expand access",E167="Add link"),J167=""))),"Closure / reassessment evidence missing","OK — verify source"))))))))</f>
        <v/>
      </c>
    </row>
    <row r="168">
      <c r="A168" s="25" t="n"/>
      <c r="B168" s="25" t="n"/>
      <c r="C168" s="25" t="n"/>
      <c r="D168" s="26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>
        <f>IF(COUNTA(A168:L168)=0,"",IF(OR(A168="",B168="",C168="",D168="",E168="",I168=""),"Change detail missing",IF(COUNTIF($A$4:$A$253,A168)&gt;1,"Duplicate Map Change ID",IF(NOT(ISNUMBER(D168)),"Change date is not a date",IF(COUNTIF('System map'!$A$4:$A$203,B168)&lt;&gt;1,"AIR-ID not reconciled",IF(COUNTIF(Relationships!$A$4:$A$1003,C168)=0,"Map Edge ID not found in Relationships",IF(AND(OR(H168="Yes",H168="Unsure",E168="Expand access",E168="Add link"),J168=""),"Access change needs reassessment ref",IF(AND(L168="Closed",OR(H168="",AND(OR(H168="Yes",H168="Unsure",E168="Expand access",E168="Add link"),J168=""))),"Closure / reassessment evidence missing","OK — verify source"))))))))</f>
        <v/>
      </c>
    </row>
    <row r="169">
      <c r="A169" s="27" t="n"/>
      <c r="B169" s="27" t="n"/>
      <c r="C169" s="27" t="n"/>
      <c r="D169" s="28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>
        <f>IF(COUNTA(A169:L169)=0,"",IF(OR(A169="",B169="",C169="",D169="",E169="",I169=""),"Change detail missing",IF(COUNTIF($A$4:$A$253,A169)&gt;1,"Duplicate Map Change ID",IF(NOT(ISNUMBER(D169)),"Change date is not a date",IF(COUNTIF('System map'!$A$4:$A$203,B169)&lt;&gt;1,"AIR-ID not reconciled",IF(COUNTIF(Relationships!$A$4:$A$1003,C169)=0,"Map Edge ID not found in Relationships",IF(AND(OR(H169="Yes",H169="Unsure",E169="Expand access",E169="Add link"),J169=""),"Access change needs reassessment ref",IF(AND(L169="Closed",OR(H169="",AND(OR(H169="Yes",H169="Unsure",E169="Expand access",E169="Add link"),J169=""))),"Closure / reassessment evidence missing","OK — verify source"))))))))</f>
        <v/>
      </c>
    </row>
    <row r="170">
      <c r="A170" s="25" t="n"/>
      <c r="B170" s="25" t="n"/>
      <c r="C170" s="25" t="n"/>
      <c r="D170" s="26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>
        <f>IF(COUNTA(A170:L170)=0,"",IF(OR(A170="",B170="",C170="",D170="",E170="",I170=""),"Change detail missing",IF(COUNTIF($A$4:$A$253,A170)&gt;1,"Duplicate Map Change ID",IF(NOT(ISNUMBER(D170)),"Change date is not a date",IF(COUNTIF('System map'!$A$4:$A$203,B170)&lt;&gt;1,"AIR-ID not reconciled",IF(COUNTIF(Relationships!$A$4:$A$1003,C170)=0,"Map Edge ID not found in Relationships",IF(AND(OR(H170="Yes",H170="Unsure",E170="Expand access",E170="Add link"),J170=""),"Access change needs reassessment ref",IF(AND(L170="Closed",OR(H170="",AND(OR(H170="Yes",H170="Unsure",E170="Expand access",E170="Add link"),J170=""))),"Closure / reassessment evidence missing","OK — verify source"))))))))</f>
        <v/>
      </c>
    </row>
    <row r="171">
      <c r="A171" s="27" t="n"/>
      <c r="B171" s="27" t="n"/>
      <c r="C171" s="27" t="n"/>
      <c r="D171" s="28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>
        <f>IF(COUNTA(A171:L171)=0,"",IF(OR(A171="",B171="",C171="",D171="",E171="",I171=""),"Change detail missing",IF(COUNTIF($A$4:$A$253,A171)&gt;1,"Duplicate Map Change ID",IF(NOT(ISNUMBER(D171)),"Change date is not a date",IF(COUNTIF('System map'!$A$4:$A$203,B171)&lt;&gt;1,"AIR-ID not reconciled",IF(COUNTIF(Relationships!$A$4:$A$1003,C171)=0,"Map Edge ID not found in Relationships",IF(AND(OR(H171="Yes",H171="Unsure",E171="Expand access",E171="Add link"),J171=""),"Access change needs reassessment ref",IF(AND(L171="Closed",OR(H171="",AND(OR(H171="Yes",H171="Unsure",E171="Expand access",E171="Add link"),J171=""))),"Closure / reassessment evidence missing","OK — verify source"))))))))</f>
        <v/>
      </c>
    </row>
    <row r="172">
      <c r="A172" s="25" t="n"/>
      <c r="B172" s="25" t="n"/>
      <c r="C172" s="25" t="n"/>
      <c r="D172" s="26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>
        <f>IF(COUNTA(A172:L172)=0,"",IF(OR(A172="",B172="",C172="",D172="",E172="",I172=""),"Change detail missing",IF(COUNTIF($A$4:$A$253,A172)&gt;1,"Duplicate Map Change ID",IF(NOT(ISNUMBER(D172)),"Change date is not a date",IF(COUNTIF('System map'!$A$4:$A$203,B172)&lt;&gt;1,"AIR-ID not reconciled",IF(COUNTIF(Relationships!$A$4:$A$1003,C172)=0,"Map Edge ID not found in Relationships",IF(AND(OR(H172="Yes",H172="Unsure",E172="Expand access",E172="Add link"),J172=""),"Access change needs reassessment ref",IF(AND(L172="Closed",OR(H172="",AND(OR(H172="Yes",H172="Unsure",E172="Expand access",E172="Add link"),J172=""))),"Closure / reassessment evidence missing","OK — verify source"))))))))</f>
        <v/>
      </c>
    </row>
    <row r="173">
      <c r="A173" s="27" t="n"/>
      <c r="B173" s="27" t="n"/>
      <c r="C173" s="27" t="n"/>
      <c r="D173" s="28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>
        <f>IF(COUNTA(A173:L173)=0,"",IF(OR(A173="",B173="",C173="",D173="",E173="",I173=""),"Change detail missing",IF(COUNTIF($A$4:$A$253,A173)&gt;1,"Duplicate Map Change ID",IF(NOT(ISNUMBER(D173)),"Change date is not a date",IF(COUNTIF('System map'!$A$4:$A$203,B173)&lt;&gt;1,"AIR-ID not reconciled",IF(COUNTIF(Relationships!$A$4:$A$1003,C173)=0,"Map Edge ID not found in Relationships",IF(AND(OR(H173="Yes",H173="Unsure",E173="Expand access",E173="Add link"),J173=""),"Access change needs reassessment ref",IF(AND(L173="Closed",OR(H173="",AND(OR(H173="Yes",H173="Unsure",E173="Expand access",E173="Add link"),J173=""))),"Closure / reassessment evidence missing","OK — verify source"))))))))</f>
        <v/>
      </c>
    </row>
    <row r="174">
      <c r="A174" s="25" t="n"/>
      <c r="B174" s="25" t="n"/>
      <c r="C174" s="25" t="n"/>
      <c r="D174" s="26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>
        <f>IF(COUNTA(A174:L174)=0,"",IF(OR(A174="",B174="",C174="",D174="",E174="",I174=""),"Change detail missing",IF(COUNTIF($A$4:$A$253,A174)&gt;1,"Duplicate Map Change ID",IF(NOT(ISNUMBER(D174)),"Change date is not a date",IF(COUNTIF('System map'!$A$4:$A$203,B174)&lt;&gt;1,"AIR-ID not reconciled",IF(COUNTIF(Relationships!$A$4:$A$1003,C174)=0,"Map Edge ID not found in Relationships",IF(AND(OR(H174="Yes",H174="Unsure",E174="Expand access",E174="Add link"),J174=""),"Access change needs reassessment ref",IF(AND(L174="Closed",OR(H174="",AND(OR(H174="Yes",H174="Unsure",E174="Expand access",E174="Add link"),J174=""))),"Closure / reassessment evidence missing","OK — verify source"))))))))</f>
        <v/>
      </c>
    </row>
    <row r="175">
      <c r="A175" s="27" t="n"/>
      <c r="B175" s="27" t="n"/>
      <c r="C175" s="27" t="n"/>
      <c r="D175" s="28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>
        <f>IF(COUNTA(A175:L175)=0,"",IF(OR(A175="",B175="",C175="",D175="",E175="",I175=""),"Change detail missing",IF(COUNTIF($A$4:$A$253,A175)&gt;1,"Duplicate Map Change ID",IF(NOT(ISNUMBER(D175)),"Change date is not a date",IF(COUNTIF('System map'!$A$4:$A$203,B175)&lt;&gt;1,"AIR-ID not reconciled",IF(COUNTIF(Relationships!$A$4:$A$1003,C175)=0,"Map Edge ID not found in Relationships",IF(AND(OR(H175="Yes",H175="Unsure",E175="Expand access",E175="Add link"),J175=""),"Access change needs reassessment ref",IF(AND(L175="Closed",OR(H175="",AND(OR(H175="Yes",H175="Unsure",E175="Expand access",E175="Add link"),J175=""))),"Closure / reassessment evidence missing","OK — verify source"))))))))</f>
        <v/>
      </c>
    </row>
    <row r="176">
      <c r="A176" s="25" t="n"/>
      <c r="B176" s="25" t="n"/>
      <c r="C176" s="25" t="n"/>
      <c r="D176" s="26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>
        <f>IF(COUNTA(A176:L176)=0,"",IF(OR(A176="",B176="",C176="",D176="",E176="",I176=""),"Change detail missing",IF(COUNTIF($A$4:$A$253,A176)&gt;1,"Duplicate Map Change ID",IF(NOT(ISNUMBER(D176)),"Change date is not a date",IF(COUNTIF('System map'!$A$4:$A$203,B176)&lt;&gt;1,"AIR-ID not reconciled",IF(COUNTIF(Relationships!$A$4:$A$1003,C176)=0,"Map Edge ID not found in Relationships",IF(AND(OR(H176="Yes",H176="Unsure",E176="Expand access",E176="Add link"),J176=""),"Access change needs reassessment ref",IF(AND(L176="Closed",OR(H176="",AND(OR(H176="Yes",H176="Unsure",E176="Expand access",E176="Add link"),J176=""))),"Closure / reassessment evidence missing","OK — verify source"))))))))</f>
        <v/>
      </c>
    </row>
    <row r="177">
      <c r="A177" s="27" t="n"/>
      <c r="B177" s="27" t="n"/>
      <c r="C177" s="27" t="n"/>
      <c r="D177" s="28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>
        <f>IF(COUNTA(A177:L177)=0,"",IF(OR(A177="",B177="",C177="",D177="",E177="",I177=""),"Change detail missing",IF(COUNTIF($A$4:$A$253,A177)&gt;1,"Duplicate Map Change ID",IF(NOT(ISNUMBER(D177)),"Change date is not a date",IF(COUNTIF('System map'!$A$4:$A$203,B177)&lt;&gt;1,"AIR-ID not reconciled",IF(COUNTIF(Relationships!$A$4:$A$1003,C177)=0,"Map Edge ID not found in Relationships",IF(AND(OR(H177="Yes",H177="Unsure",E177="Expand access",E177="Add link"),J177=""),"Access change needs reassessment ref",IF(AND(L177="Closed",OR(H177="",AND(OR(H177="Yes",H177="Unsure",E177="Expand access",E177="Add link"),J177=""))),"Closure / reassessment evidence missing","OK — verify source"))))))))</f>
        <v/>
      </c>
    </row>
    <row r="178">
      <c r="A178" s="25" t="n"/>
      <c r="B178" s="25" t="n"/>
      <c r="C178" s="25" t="n"/>
      <c r="D178" s="26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>
        <f>IF(COUNTA(A178:L178)=0,"",IF(OR(A178="",B178="",C178="",D178="",E178="",I178=""),"Change detail missing",IF(COUNTIF($A$4:$A$253,A178)&gt;1,"Duplicate Map Change ID",IF(NOT(ISNUMBER(D178)),"Change date is not a date",IF(COUNTIF('System map'!$A$4:$A$203,B178)&lt;&gt;1,"AIR-ID not reconciled",IF(COUNTIF(Relationships!$A$4:$A$1003,C178)=0,"Map Edge ID not found in Relationships",IF(AND(OR(H178="Yes",H178="Unsure",E178="Expand access",E178="Add link"),J178=""),"Access change needs reassessment ref",IF(AND(L178="Closed",OR(H178="",AND(OR(H178="Yes",H178="Unsure",E178="Expand access",E178="Add link"),J178=""))),"Closure / reassessment evidence missing","OK — verify source"))))))))</f>
        <v/>
      </c>
    </row>
    <row r="179">
      <c r="A179" s="27" t="n"/>
      <c r="B179" s="27" t="n"/>
      <c r="C179" s="27" t="n"/>
      <c r="D179" s="28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>
        <f>IF(COUNTA(A179:L179)=0,"",IF(OR(A179="",B179="",C179="",D179="",E179="",I179=""),"Change detail missing",IF(COUNTIF($A$4:$A$253,A179)&gt;1,"Duplicate Map Change ID",IF(NOT(ISNUMBER(D179)),"Change date is not a date",IF(COUNTIF('System map'!$A$4:$A$203,B179)&lt;&gt;1,"AIR-ID not reconciled",IF(COUNTIF(Relationships!$A$4:$A$1003,C179)=0,"Map Edge ID not found in Relationships",IF(AND(OR(H179="Yes",H179="Unsure",E179="Expand access",E179="Add link"),J179=""),"Access change needs reassessment ref",IF(AND(L179="Closed",OR(H179="",AND(OR(H179="Yes",H179="Unsure",E179="Expand access",E179="Add link"),J179=""))),"Closure / reassessment evidence missing","OK — verify source"))))))))</f>
        <v/>
      </c>
    </row>
    <row r="180">
      <c r="A180" s="25" t="n"/>
      <c r="B180" s="25" t="n"/>
      <c r="C180" s="25" t="n"/>
      <c r="D180" s="26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>
        <f>IF(COUNTA(A180:L180)=0,"",IF(OR(A180="",B180="",C180="",D180="",E180="",I180=""),"Change detail missing",IF(COUNTIF($A$4:$A$253,A180)&gt;1,"Duplicate Map Change ID",IF(NOT(ISNUMBER(D180)),"Change date is not a date",IF(COUNTIF('System map'!$A$4:$A$203,B180)&lt;&gt;1,"AIR-ID not reconciled",IF(COUNTIF(Relationships!$A$4:$A$1003,C180)=0,"Map Edge ID not found in Relationships",IF(AND(OR(H180="Yes",H180="Unsure",E180="Expand access",E180="Add link"),J180=""),"Access change needs reassessment ref",IF(AND(L180="Closed",OR(H180="",AND(OR(H180="Yes",H180="Unsure",E180="Expand access",E180="Add link"),J180=""))),"Closure / reassessment evidence missing","OK — verify source"))))))))</f>
        <v/>
      </c>
    </row>
    <row r="181">
      <c r="A181" s="27" t="n"/>
      <c r="B181" s="27" t="n"/>
      <c r="C181" s="27" t="n"/>
      <c r="D181" s="28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>
        <f>IF(COUNTA(A181:L181)=0,"",IF(OR(A181="",B181="",C181="",D181="",E181="",I181=""),"Change detail missing",IF(COUNTIF($A$4:$A$253,A181)&gt;1,"Duplicate Map Change ID",IF(NOT(ISNUMBER(D181)),"Change date is not a date",IF(COUNTIF('System map'!$A$4:$A$203,B181)&lt;&gt;1,"AIR-ID not reconciled",IF(COUNTIF(Relationships!$A$4:$A$1003,C181)=0,"Map Edge ID not found in Relationships",IF(AND(OR(H181="Yes",H181="Unsure",E181="Expand access",E181="Add link"),J181=""),"Access change needs reassessment ref",IF(AND(L181="Closed",OR(H181="",AND(OR(H181="Yes",H181="Unsure",E181="Expand access",E181="Add link"),J181=""))),"Closure / reassessment evidence missing","OK — verify source"))))))))</f>
        <v/>
      </c>
    </row>
    <row r="182">
      <c r="A182" s="25" t="n"/>
      <c r="B182" s="25" t="n"/>
      <c r="C182" s="25" t="n"/>
      <c r="D182" s="26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>
        <f>IF(COUNTA(A182:L182)=0,"",IF(OR(A182="",B182="",C182="",D182="",E182="",I182=""),"Change detail missing",IF(COUNTIF($A$4:$A$253,A182)&gt;1,"Duplicate Map Change ID",IF(NOT(ISNUMBER(D182)),"Change date is not a date",IF(COUNTIF('System map'!$A$4:$A$203,B182)&lt;&gt;1,"AIR-ID not reconciled",IF(COUNTIF(Relationships!$A$4:$A$1003,C182)=0,"Map Edge ID not found in Relationships",IF(AND(OR(H182="Yes",H182="Unsure",E182="Expand access",E182="Add link"),J182=""),"Access change needs reassessment ref",IF(AND(L182="Closed",OR(H182="",AND(OR(H182="Yes",H182="Unsure",E182="Expand access",E182="Add link"),J182=""))),"Closure / reassessment evidence missing","OK — verify source"))))))))</f>
        <v/>
      </c>
    </row>
    <row r="183">
      <c r="A183" s="27" t="n"/>
      <c r="B183" s="27" t="n"/>
      <c r="C183" s="27" t="n"/>
      <c r="D183" s="28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>
        <f>IF(COUNTA(A183:L183)=0,"",IF(OR(A183="",B183="",C183="",D183="",E183="",I183=""),"Change detail missing",IF(COUNTIF($A$4:$A$253,A183)&gt;1,"Duplicate Map Change ID",IF(NOT(ISNUMBER(D183)),"Change date is not a date",IF(COUNTIF('System map'!$A$4:$A$203,B183)&lt;&gt;1,"AIR-ID not reconciled",IF(COUNTIF(Relationships!$A$4:$A$1003,C183)=0,"Map Edge ID not found in Relationships",IF(AND(OR(H183="Yes",H183="Unsure",E183="Expand access",E183="Add link"),J183=""),"Access change needs reassessment ref",IF(AND(L183="Closed",OR(H183="",AND(OR(H183="Yes",H183="Unsure",E183="Expand access",E183="Add link"),J183=""))),"Closure / reassessment evidence missing","OK — verify source"))))))))</f>
        <v/>
      </c>
    </row>
    <row r="184">
      <c r="A184" s="25" t="n"/>
      <c r="B184" s="25" t="n"/>
      <c r="C184" s="25" t="n"/>
      <c r="D184" s="26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>
        <f>IF(COUNTA(A184:L184)=0,"",IF(OR(A184="",B184="",C184="",D184="",E184="",I184=""),"Change detail missing",IF(COUNTIF($A$4:$A$253,A184)&gt;1,"Duplicate Map Change ID",IF(NOT(ISNUMBER(D184)),"Change date is not a date",IF(COUNTIF('System map'!$A$4:$A$203,B184)&lt;&gt;1,"AIR-ID not reconciled",IF(COUNTIF(Relationships!$A$4:$A$1003,C184)=0,"Map Edge ID not found in Relationships",IF(AND(OR(H184="Yes",H184="Unsure",E184="Expand access",E184="Add link"),J184=""),"Access change needs reassessment ref",IF(AND(L184="Closed",OR(H184="",AND(OR(H184="Yes",H184="Unsure",E184="Expand access",E184="Add link"),J184=""))),"Closure / reassessment evidence missing","OK — verify source"))))))))</f>
        <v/>
      </c>
    </row>
    <row r="185">
      <c r="A185" s="27" t="n"/>
      <c r="B185" s="27" t="n"/>
      <c r="C185" s="27" t="n"/>
      <c r="D185" s="28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>
        <f>IF(COUNTA(A185:L185)=0,"",IF(OR(A185="",B185="",C185="",D185="",E185="",I185=""),"Change detail missing",IF(COUNTIF($A$4:$A$253,A185)&gt;1,"Duplicate Map Change ID",IF(NOT(ISNUMBER(D185)),"Change date is not a date",IF(COUNTIF('System map'!$A$4:$A$203,B185)&lt;&gt;1,"AIR-ID not reconciled",IF(COUNTIF(Relationships!$A$4:$A$1003,C185)=0,"Map Edge ID not found in Relationships",IF(AND(OR(H185="Yes",H185="Unsure",E185="Expand access",E185="Add link"),J185=""),"Access change needs reassessment ref",IF(AND(L185="Closed",OR(H185="",AND(OR(H185="Yes",H185="Unsure",E185="Expand access",E185="Add link"),J185=""))),"Closure / reassessment evidence missing","OK — verify source"))))))))</f>
        <v/>
      </c>
    </row>
    <row r="186">
      <c r="A186" s="25" t="n"/>
      <c r="B186" s="25" t="n"/>
      <c r="C186" s="25" t="n"/>
      <c r="D186" s="26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>
        <f>IF(COUNTA(A186:L186)=0,"",IF(OR(A186="",B186="",C186="",D186="",E186="",I186=""),"Change detail missing",IF(COUNTIF($A$4:$A$253,A186)&gt;1,"Duplicate Map Change ID",IF(NOT(ISNUMBER(D186)),"Change date is not a date",IF(COUNTIF('System map'!$A$4:$A$203,B186)&lt;&gt;1,"AIR-ID not reconciled",IF(COUNTIF(Relationships!$A$4:$A$1003,C186)=0,"Map Edge ID not found in Relationships",IF(AND(OR(H186="Yes",H186="Unsure",E186="Expand access",E186="Add link"),J186=""),"Access change needs reassessment ref",IF(AND(L186="Closed",OR(H186="",AND(OR(H186="Yes",H186="Unsure",E186="Expand access",E186="Add link"),J186=""))),"Closure / reassessment evidence missing","OK — verify source"))))))))</f>
        <v/>
      </c>
    </row>
    <row r="187">
      <c r="A187" s="27" t="n"/>
      <c r="B187" s="27" t="n"/>
      <c r="C187" s="27" t="n"/>
      <c r="D187" s="28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>
        <f>IF(COUNTA(A187:L187)=0,"",IF(OR(A187="",B187="",C187="",D187="",E187="",I187=""),"Change detail missing",IF(COUNTIF($A$4:$A$253,A187)&gt;1,"Duplicate Map Change ID",IF(NOT(ISNUMBER(D187)),"Change date is not a date",IF(COUNTIF('System map'!$A$4:$A$203,B187)&lt;&gt;1,"AIR-ID not reconciled",IF(COUNTIF(Relationships!$A$4:$A$1003,C187)=0,"Map Edge ID not found in Relationships",IF(AND(OR(H187="Yes",H187="Unsure",E187="Expand access",E187="Add link"),J187=""),"Access change needs reassessment ref",IF(AND(L187="Closed",OR(H187="",AND(OR(H187="Yes",H187="Unsure",E187="Expand access",E187="Add link"),J187=""))),"Closure / reassessment evidence missing","OK — verify source"))))))))</f>
        <v/>
      </c>
    </row>
    <row r="188">
      <c r="A188" s="25" t="n"/>
      <c r="B188" s="25" t="n"/>
      <c r="C188" s="25" t="n"/>
      <c r="D188" s="26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>
        <f>IF(COUNTA(A188:L188)=0,"",IF(OR(A188="",B188="",C188="",D188="",E188="",I188=""),"Change detail missing",IF(COUNTIF($A$4:$A$253,A188)&gt;1,"Duplicate Map Change ID",IF(NOT(ISNUMBER(D188)),"Change date is not a date",IF(COUNTIF('System map'!$A$4:$A$203,B188)&lt;&gt;1,"AIR-ID not reconciled",IF(COUNTIF(Relationships!$A$4:$A$1003,C188)=0,"Map Edge ID not found in Relationships",IF(AND(OR(H188="Yes",H188="Unsure",E188="Expand access",E188="Add link"),J188=""),"Access change needs reassessment ref",IF(AND(L188="Closed",OR(H188="",AND(OR(H188="Yes",H188="Unsure",E188="Expand access",E188="Add link"),J188=""))),"Closure / reassessment evidence missing","OK — verify source"))))))))</f>
        <v/>
      </c>
    </row>
    <row r="189">
      <c r="A189" s="27" t="n"/>
      <c r="B189" s="27" t="n"/>
      <c r="C189" s="27" t="n"/>
      <c r="D189" s="28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>
        <f>IF(COUNTA(A189:L189)=0,"",IF(OR(A189="",B189="",C189="",D189="",E189="",I189=""),"Change detail missing",IF(COUNTIF($A$4:$A$253,A189)&gt;1,"Duplicate Map Change ID",IF(NOT(ISNUMBER(D189)),"Change date is not a date",IF(COUNTIF('System map'!$A$4:$A$203,B189)&lt;&gt;1,"AIR-ID not reconciled",IF(COUNTIF(Relationships!$A$4:$A$1003,C189)=0,"Map Edge ID not found in Relationships",IF(AND(OR(H189="Yes",H189="Unsure",E189="Expand access",E189="Add link"),J189=""),"Access change needs reassessment ref",IF(AND(L189="Closed",OR(H189="",AND(OR(H189="Yes",H189="Unsure",E189="Expand access",E189="Add link"),J189=""))),"Closure / reassessment evidence missing","OK — verify source"))))))))</f>
        <v/>
      </c>
    </row>
    <row r="190">
      <c r="A190" s="25" t="n"/>
      <c r="B190" s="25" t="n"/>
      <c r="C190" s="25" t="n"/>
      <c r="D190" s="26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>
        <f>IF(COUNTA(A190:L190)=0,"",IF(OR(A190="",B190="",C190="",D190="",E190="",I190=""),"Change detail missing",IF(COUNTIF($A$4:$A$253,A190)&gt;1,"Duplicate Map Change ID",IF(NOT(ISNUMBER(D190)),"Change date is not a date",IF(COUNTIF('System map'!$A$4:$A$203,B190)&lt;&gt;1,"AIR-ID not reconciled",IF(COUNTIF(Relationships!$A$4:$A$1003,C190)=0,"Map Edge ID not found in Relationships",IF(AND(OR(H190="Yes",H190="Unsure",E190="Expand access",E190="Add link"),J190=""),"Access change needs reassessment ref",IF(AND(L190="Closed",OR(H190="",AND(OR(H190="Yes",H190="Unsure",E190="Expand access",E190="Add link"),J190=""))),"Closure / reassessment evidence missing","OK — verify source"))))))))</f>
        <v/>
      </c>
    </row>
    <row r="191">
      <c r="A191" s="27" t="n"/>
      <c r="B191" s="27" t="n"/>
      <c r="C191" s="27" t="n"/>
      <c r="D191" s="28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>
        <f>IF(COUNTA(A191:L191)=0,"",IF(OR(A191="",B191="",C191="",D191="",E191="",I191=""),"Change detail missing",IF(COUNTIF($A$4:$A$253,A191)&gt;1,"Duplicate Map Change ID",IF(NOT(ISNUMBER(D191)),"Change date is not a date",IF(COUNTIF('System map'!$A$4:$A$203,B191)&lt;&gt;1,"AIR-ID not reconciled",IF(COUNTIF(Relationships!$A$4:$A$1003,C191)=0,"Map Edge ID not found in Relationships",IF(AND(OR(H191="Yes",H191="Unsure",E191="Expand access",E191="Add link"),J191=""),"Access change needs reassessment ref",IF(AND(L191="Closed",OR(H191="",AND(OR(H191="Yes",H191="Unsure",E191="Expand access",E191="Add link"),J191=""))),"Closure / reassessment evidence missing","OK — verify source"))))))))</f>
        <v/>
      </c>
    </row>
    <row r="192">
      <c r="A192" s="25" t="n"/>
      <c r="B192" s="25" t="n"/>
      <c r="C192" s="25" t="n"/>
      <c r="D192" s="26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>
        <f>IF(COUNTA(A192:L192)=0,"",IF(OR(A192="",B192="",C192="",D192="",E192="",I192=""),"Change detail missing",IF(COUNTIF($A$4:$A$253,A192)&gt;1,"Duplicate Map Change ID",IF(NOT(ISNUMBER(D192)),"Change date is not a date",IF(COUNTIF('System map'!$A$4:$A$203,B192)&lt;&gt;1,"AIR-ID not reconciled",IF(COUNTIF(Relationships!$A$4:$A$1003,C192)=0,"Map Edge ID not found in Relationships",IF(AND(OR(H192="Yes",H192="Unsure",E192="Expand access",E192="Add link"),J192=""),"Access change needs reassessment ref",IF(AND(L192="Closed",OR(H192="",AND(OR(H192="Yes",H192="Unsure",E192="Expand access",E192="Add link"),J192=""))),"Closure / reassessment evidence missing","OK — verify source"))))))))</f>
        <v/>
      </c>
    </row>
    <row r="193">
      <c r="A193" s="27" t="n"/>
      <c r="B193" s="27" t="n"/>
      <c r="C193" s="27" t="n"/>
      <c r="D193" s="28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>
        <f>IF(COUNTA(A193:L193)=0,"",IF(OR(A193="",B193="",C193="",D193="",E193="",I193=""),"Change detail missing",IF(COUNTIF($A$4:$A$253,A193)&gt;1,"Duplicate Map Change ID",IF(NOT(ISNUMBER(D193)),"Change date is not a date",IF(COUNTIF('System map'!$A$4:$A$203,B193)&lt;&gt;1,"AIR-ID not reconciled",IF(COUNTIF(Relationships!$A$4:$A$1003,C193)=0,"Map Edge ID not found in Relationships",IF(AND(OR(H193="Yes",H193="Unsure",E193="Expand access",E193="Add link"),J193=""),"Access change needs reassessment ref",IF(AND(L193="Closed",OR(H193="",AND(OR(H193="Yes",H193="Unsure",E193="Expand access",E193="Add link"),J193=""))),"Closure / reassessment evidence missing","OK — verify source"))))))))</f>
        <v/>
      </c>
    </row>
    <row r="194">
      <c r="A194" s="25" t="n"/>
      <c r="B194" s="25" t="n"/>
      <c r="C194" s="25" t="n"/>
      <c r="D194" s="26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>
        <f>IF(COUNTA(A194:L194)=0,"",IF(OR(A194="",B194="",C194="",D194="",E194="",I194=""),"Change detail missing",IF(COUNTIF($A$4:$A$253,A194)&gt;1,"Duplicate Map Change ID",IF(NOT(ISNUMBER(D194)),"Change date is not a date",IF(COUNTIF('System map'!$A$4:$A$203,B194)&lt;&gt;1,"AIR-ID not reconciled",IF(COUNTIF(Relationships!$A$4:$A$1003,C194)=0,"Map Edge ID not found in Relationships",IF(AND(OR(H194="Yes",H194="Unsure",E194="Expand access",E194="Add link"),J194=""),"Access change needs reassessment ref",IF(AND(L194="Closed",OR(H194="",AND(OR(H194="Yes",H194="Unsure",E194="Expand access",E194="Add link"),J194=""))),"Closure / reassessment evidence missing","OK — verify source"))))))))</f>
        <v/>
      </c>
    </row>
    <row r="195">
      <c r="A195" s="27" t="n"/>
      <c r="B195" s="27" t="n"/>
      <c r="C195" s="27" t="n"/>
      <c r="D195" s="28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>
        <f>IF(COUNTA(A195:L195)=0,"",IF(OR(A195="",B195="",C195="",D195="",E195="",I195=""),"Change detail missing",IF(COUNTIF($A$4:$A$253,A195)&gt;1,"Duplicate Map Change ID",IF(NOT(ISNUMBER(D195)),"Change date is not a date",IF(COUNTIF('System map'!$A$4:$A$203,B195)&lt;&gt;1,"AIR-ID not reconciled",IF(COUNTIF(Relationships!$A$4:$A$1003,C195)=0,"Map Edge ID not found in Relationships",IF(AND(OR(H195="Yes",H195="Unsure",E195="Expand access",E195="Add link"),J195=""),"Access change needs reassessment ref",IF(AND(L195="Closed",OR(H195="",AND(OR(H195="Yes",H195="Unsure",E195="Expand access",E195="Add link"),J195=""))),"Closure / reassessment evidence missing","OK — verify source"))))))))</f>
        <v/>
      </c>
    </row>
    <row r="196">
      <c r="A196" s="25" t="n"/>
      <c r="B196" s="25" t="n"/>
      <c r="C196" s="25" t="n"/>
      <c r="D196" s="26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>
        <f>IF(COUNTA(A196:L196)=0,"",IF(OR(A196="",B196="",C196="",D196="",E196="",I196=""),"Change detail missing",IF(COUNTIF($A$4:$A$253,A196)&gt;1,"Duplicate Map Change ID",IF(NOT(ISNUMBER(D196)),"Change date is not a date",IF(COUNTIF('System map'!$A$4:$A$203,B196)&lt;&gt;1,"AIR-ID not reconciled",IF(COUNTIF(Relationships!$A$4:$A$1003,C196)=0,"Map Edge ID not found in Relationships",IF(AND(OR(H196="Yes",H196="Unsure",E196="Expand access",E196="Add link"),J196=""),"Access change needs reassessment ref",IF(AND(L196="Closed",OR(H196="",AND(OR(H196="Yes",H196="Unsure",E196="Expand access",E196="Add link"),J196=""))),"Closure / reassessment evidence missing","OK — verify source"))))))))</f>
        <v/>
      </c>
    </row>
    <row r="197">
      <c r="A197" s="27" t="n"/>
      <c r="B197" s="27" t="n"/>
      <c r="C197" s="27" t="n"/>
      <c r="D197" s="28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>
        <f>IF(COUNTA(A197:L197)=0,"",IF(OR(A197="",B197="",C197="",D197="",E197="",I197=""),"Change detail missing",IF(COUNTIF($A$4:$A$253,A197)&gt;1,"Duplicate Map Change ID",IF(NOT(ISNUMBER(D197)),"Change date is not a date",IF(COUNTIF('System map'!$A$4:$A$203,B197)&lt;&gt;1,"AIR-ID not reconciled",IF(COUNTIF(Relationships!$A$4:$A$1003,C197)=0,"Map Edge ID not found in Relationships",IF(AND(OR(H197="Yes",H197="Unsure",E197="Expand access",E197="Add link"),J197=""),"Access change needs reassessment ref",IF(AND(L197="Closed",OR(H197="",AND(OR(H197="Yes",H197="Unsure",E197="Expand access",E197="Add link"),J197=""))),"Closure / reassessment evidence missing","OK — verify source"))))))))</f>
        <v/>
      </c>
    </row>
    <row r="198">
      <c r="A198" s="25" t="n"/>
      <c r="B198" s="25" t="n"/>
      <c r="C198" s="25" t="n"/>
      <c r="D198" s="26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>
        <f>IF(COUNTA(A198:L198)=0,"",IF(OR(A198="",B198="",C198="",D198="",E198="",I198=""),"Change detail missing",IF(COUNTIF($A$4:$A$253,A198)&gt;1,"Duplicate Map Change ID",IF(NOT(ISNUMBER(D198)),"Change date is not a date",IF(COUNTIF('System map'!$A$4:$A$203,B198)&lt;&gt;1,"AIR-ID not reconciled",IF(COUNTIF(Relationships!$A$4:$A$1003,C198)=0,"Map Edge ID not found in Relationships",IF(AND(OR(H198="Yes",H198="Unsure",E198="Expand access",E198="Add link"),J198=""),"Access change needs reassessment ref",IF(AND(L198="Closed",OR(H198="",AND(OR(H198="Yes",H198="Unsure",E198="Expand access",E198="Add link"),J198=""))),"Closure / reassessment evidence missing","OK — verify source"))))))))</f>
        <v/>
      </c>
    </row>
    <row r="199">
      <c r="A199" s="27" t="n"/>
      <c r="B199" s="27" t="n"/>
      <c r="C199" s="27" t="n"/>
      <c r="D199" s="28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>
        <f>IF(COUNTA(A199:L199)=0,"",IF(OR(A199="",B199="",C199="",D199="",E199="",I199=""),"Change detail missing",IF(COUNTIF($A$4:$A$253,A199)&gt;1,"Duplicate Map Change ID",IF(NOT(ISNUMBER(D199)),"Change date is not a date",IF(COUNTIF('System map'!$A$4:$A$203,B199)&lt;&gt;1,"AIR-ID not reconciled",IF(COUNTIF(Relationships!$A$4:$A$1003,C199)=0,"Map Edge ID not found in Relationships",IF(AND(OR(H199="Yes",H199="Unsure",E199="Expand access",E199="Add link"),J199=""),"Access change needs reassessment ref",IF(AND(L199="Closed",OR(H199="",AND(OR(H199="Yes",H199="Unsure",E199="Expand access",E199="Add link"),J199=""))),"Closure / reassessment evidence missing","OK — verify source"))))))))</f>
        <v/>
      </c>
    </row>
    <row r="200">
      <c r="A200" s="25" t="n"/>
      <c r="B200" s="25" t="n"/>
      <c r="C200" s="25" t="n"/>
      <c r="D200" s="26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>
        <f>IF(COUNTA(A200:L200)=0,"",IF(OR(A200="",B200="",C200="",D200="",E200="",I200=""),"Change detail missing",IF(COUNTIF($A$4:$A$253,A200)&gt;1,"Duplicate Map Change ID",IF(NOT(ISNUMBER(D200)),"Change date is not a date",IF(COUNTIF('System map'!$A$4:$A$203,B200)&lt;&gt;1,"AIR-ID not reconciled",IF(COUNTIF(Relationships!$A$4:$A$1003,C200)=0,"Map Edge ID not found in Relationships",IF(AND(OR(H200="Yes",H200="Unsure",E200="Expand access",E200="Add link"),J200=""),"Access change needs reassessment ref",IF(AND(L200="Closed",OR(H200="",AND(OR(H200="Yes",H200="Unsure",E200="Expand access",E200="Add link"),J200=""))),"Closure / reassessment evidence missing","OK — verify source"))))))))</f>
        <v/>
      </c>
    </row>
    <row r="201">
      <c r="A201" s="27" t="n"/>
      <c r="B201" s="27" t="n"/>
      <c r="C201" s="27" t="n"/>
      <c r="D201" s="28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>
        <f>IF(COUNTA(A201:L201)=0,"",IF(OR(A201="",B201="",C201="",D201="",E201="",I201=""),"Change detail missing",IF(COUNTIF($A$4:$A$253,A201)&gt;1,"Duplicate Map Change ID",IF(NOT(ISNUMBER(D201)),"Change date is not a date",IF(COUNTIF('System map'!$A$4:$A$203,B201)&lt;&gt;1,"AIR-ID not reconciled",IF(COUNTIF(Relationships!$A$4:$A$1003,C201)=0,"Map Edge ID not found in Relationships",IF(AND(OR(H201="Yes",H201="Unsure",E201="Expand access",E201="Add link"),J201=""),"Access change needs reassessment ref",IF(AND(L201="Closed",OR(H201="",AND(OR(H201="Yes",H201="Unsure",E201="Expand access",E201="Add link"),J201=""))),"Closure / reassessment evidence missing","OK — verify source"))))))))</f>
        <v/>
      </c>
    </row>
    <row r="202">
      <c r="A202" s="25" t="n"/>
      <c r="B202" s="25" t="n"/>
      <c r="C202" s="25" t="n"/>
      <c r="D202" s="26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>
        <f>IF(COUNTA(A202:L202)=0,"",IF(OR(A202="",B202="",C202="",D202="",E202="",I202=""),"Change detail missing",IF(COUNTIF($A$4:$A$253,A202)&gt;1,"Duplicate Map Change ID",IF(NOT(ISNUMBER(D202)),"Change date is not a date",IF(COUNTIF('System map'!$A$4:$A$203,B202)&lt;&gt;1,"AIR-ID not reconciled",IF(COUNTIF(Relationships!$A$4:$A$1003,C202)=0,"Map Edge ID not found in Relationships",IF(AND(OR(H202="Yes",H202="Unsure",E202="Expand access",E202="Add link"),J202=""),"Access change needs reassessment ref",IF(AND(L202="Closed",OR(H202="",AND(OR(H202="Yes",H202="Unsure",E202="Expand access",E202="Add link"),J202=""))),"Closure / reassessment evidence missing","OK — verify source"))))))))</f>
        <v/>
      </c>
    </row>
    <row r="203">
      <c r="A203" s="27" t="n"/>
      <c r="B203" s="27" t="n"/>
      <c r="C203" s="27" t="n"/>
      <c r="D203" s="28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>
        <f>IF(COUNTA(A203:L203)=0,"",IF(OR(A203="",B203="",C203="",D203="",E203="",I203=""),"Change detail missing",IF(COUNTIF($A$4:$A$253,A203)&gt;1,"Duplicate Map Change ID",IF(NOT(ISNUMBER(D203)),"Change date is not a date",IF(COUNTIF('System map'!$A$4:$A$203,B203)&lt;&gt;1,"AIR-ID not reconciled",IF(COUNTIF(Relationships!$A$4:$A$1003,C203)=0,"Map Edge ID not found in Relationships",IF(AND(OR(H203="Yes",H203="Unsure",E203="Expand access",E203="Add link"),J203=""),"Access change needs reassessment ref",IF(AND(L203="Closed",OR(H203="",AND(OR(H203="Yes",H203="Unsure",E203="Expand access",E203="Add link"),J203=""))),"Closure / reassessment evidence missing","OK — verify source"))))))))</f>
        <v/>
      </c>
    </row>
    <row r="204">
      <c r="A204" s="25" t="n"/>
      <c r="B204" s="25" t="n"/>
      <c r="C204" s="25" t="n"/>
      <c r="D204" s="26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>
        <f>IF(COUNTA(A204:L204)=0,"",IF(OR(A204="",B204="",C204="",D204="",E204="",I204=""),"Change detail missing",IF(COUNTIF($A$4:$A$253,A204)&gt;1,"Duplicate Map Change ID",IF(NOT(ISNUMBER(D204)),"Change date is not a date",IF(COUNTIF('System map'!$A$4:$A$203,B204)&lt;&gt;1,"AIR-ID not reconciled",IF(COUNTIF(Relationships!$A$4:$A$1003,C204)=0,"Map Edge ID not found in Relationships",IF(AND(OR(H204="Yes",H204="Unsure",E204="Expand access",E204="Add link"),J204=""),"Access change needs reassessment ref",IF(AND(L204="Closed",OR(H204="",AND(OR(H204="Yes",H204="Unsure",E204="Expand access",E204="Add link"),J204=""))),"Closure / reassessment evidence missing","OK — verify source"))))))))</f>
        <v/>
      </c>
    </row>
    <row r="205">
      <c r="A205" s="27" t="n"/>
      <c r="B205" s="27" t="n"/>
      <c r="C205" s="27" t="n"/>
      <c r="D205" s="28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>
        <f>IF(COUNTA(A205:L205)=0,"",IF(OR(A205="",B205="",C205="",D205="",E205="",I205=""),"Change detail missing",IF(COUNTIF($A$4:$A$253,A205)&gt;1,"Duplicate Map Change ID",IF(NOT(ISNUMBER(D205)),"Change date is not a date",IF(COUNTIF('System map'!$A$4:$A$203,B205)&lt;&gt;1,"AIR-ID not reconciled",IF(COUNTIF(Relationships!$A$4:$A$1003,C205)=0,"Map Edge ID not found in Relationships",IF(AND(OR(H205="Yes",H205="Unsure",E205="Expand access",E205="Add link"),J205=""),"Access change needs reassessment ref",IF(AND(L205="Closed",OR(H205="",AND(OR(H205="Yes",H205="Unsure",E205="Expand access",E205="Add link"),J205=""))),"Closure / reassessment evidence missing","OK — verify source"))))))))</f>
        <v/>
      </c>
    </row>
    <row r="206">
      <c r="A206" s="25" t="n"/>
      <c r="B206" s="25" t="n"/>
      <c r="C206" s="25" t="n"/>
      <c r="D206" s="26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>
        <f>IF(COUNTA(A206:L206)=0,"",IF(OR(A206="",B206="",C206="",D206="",E206="",I206=""),"Change detail missing",IF(COUNTIF($A$4:$A$253,A206)&gt;1,"Duplicate Map Change ID",IF(NOT(ISNUMBER(D206)),"Change date is not a date",IF(COUNTIF('System map'!$A$4:$A$203,B206)&lt;&gt;1,"AIR-ID not reconciled",IF(COUNTIF(Relationships!$A$4:$A$1003,C206)=0,"Map Edge ID not found in Relationships",IF(AND(OR(H206="Yes",H206="Unsure",E206="Expand access",E206="Add link"),J206=""),"Access change needs reassessment ref",IF(AND(L206="Closed",OR(H206="",AND(OR(H206="Yes",H206="Unsure",E206="Expand access",E206="Add link"),J206=""))),"Closure / reassessment evidence missing","OK — verify source"))))))))</f>
        <v/>
      </c>
    </row>
    <row r="207">
      <c r="A207" s="27" t="n"/>
      <c r="B207" s="27" t="n"/>
      <c r="C207" s="27" t="n"/>
      <c r="D207" s="28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>
        <f>IF(COUNTA(A207:L207)=0,"",IF(OR(A207="",B207="",C207="",D207="",E207="",I207=""),"Change detail missing",IF(COUNTIF($A$4:$A$253,A207)&gt;1,"Duplicate Map Change ID",IF(NOT(ISNUMBER(D207)),"Change date is not a date",IF(COUNTIF('System map'!$A$4:$A$203,B207)&lt;&gt;1,"AIR-ID not reconciled",IF(COUNTIF(Relationships!$A$4:$A$1003,C207)=0,"Map Edge ID not found in Relationships",IF(AND(OR(H207="Yes",H207="Unsure",E207="Expand access",E207="Add link"),J207=""),"Access change needs reassessment ref",IF(AND(L207="Closed",OR(H207="",AND(OR(H207="Yes",H207="Unsure",E207="Expand access",E207="Add link"),J207=""))),"Closure / reassessment evidence missing","OK — verify source"))))))))</f>
        <v/>
      </c>
    </row>
    <row r="208">
      <c r="A208" s="25" t="n"/>
      <c r="B208" s="25" t="n"/>
      <c r="C208" s="25" t="n"/>
      <c r="D208" s="26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>
        <f>IF(COUNTA(A208:L208)=0,"",IF(OR(A208="",B208="",C208="",D208="",E208="",I208=""),"Change detail missing",IF(COUNTIF($A$4:$A$253,A208)&gt;1,"Duplicate Map Change ID",IF(NOT(ISNUMBER(D208)),"Change date is not a date",IF(COUNTIF('System map'!$A$4:$A$203,B208)&lt;&gt;1,"AIR-ID not reconciled",IF(COUNTIF(Relationships!$A$4:$A$1003,C208)=0,"Map Edge ID not found in Relationships",IF(AND(OR(H208="Yes",H208="Unsure",E208="Expand access",E208="Add link"),J208=""),"Access change needs reassessment ref",IF(AND(L208="Closed",OR(H208="",AND(OR(H208="Yes",H208="Unsure",E208="Expand access",E208="Add link"),J208=""))),"Closure / reassessment evidence missing","OK — verify source"))))))))</f>
        <v/>
      </c>
    </row>
    <row r="209">
      <c r="A209" s="27" t="n"/>
      <c r="B209" s="27" t="n"/>
      <c r="C209" s="27" t="n"/>
      <c r="D209" s="28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>
        <f>IF(COUNTA(A209:L209)=0,"",IF(OR(A209="",B209="",C209="",D209="",E209="",I209=""),"Change detail missing",IF(COUNTIF($A$4:$A$253,A209)&gt;1,"Duplicate Map Change ID",IF(NOT(ISNUMBER(D209)),"Change date is not a date",IF(COUNTIF('System map'!$A$4:$A$203,B209)&lt;&gt;1,"AIR-ID not reconciled",IF(COUNTIF(Relationships!$A$4:$A$1003,C209)=0,"Map Edge ID not found in Relationships",IF(AND(OR(H209="Yes",H209="Unsure",E209="Expand access",E209="Add link"),J209=""),"Access change needs reassessment ref",IF(AND(L209="Closed",OR(H209="",AND(OR(H209="Yes",H209="Unsure",E209="Expand access",E209="Add link"),J209=""))),"Closure / reassessment evidence missing","OK — verify source"))))))))</f>
        <v/>
      </c>
    </row>
    <row r="210">
      <c r="A210" s="25" t="n"/>
      <c r="B210" s="25" t="n"/>
      <c r="C210" s="25" t="n"/>
      <c r="D210" s="26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>
        <f>IF(COUNTA(A210:L210)=0,"",IF(OR(A210="",B210="",C210="",D210="",E210="",I210=""),"Change detail missing",IF(COUNTIF($A$4:$A$253,A210)&gt;1,"Duplicate Map Change ID",IF(NOT(ISNUMBER(D210)),"Change date is not a date",IF(COUNTIF('System map'!$A$4:$A$203,B210)&lt;&gt;1,"AIR-ID not reconciled",IF(COUNTIF(Relationships!$A$4:$A$1003,C210)=0,"Map Edge ID not found in Relationships",IF(AND(OR(H210="Yes",H210="Unsure",E210="Expand access",E210="Add link"),J210=""),"Access change needs reassessment ref",IF(AND(L210="Closed",OR(H210="",AND(OR(H210="Yes",H210="Unsure",E210="Expand access",E210="Add link"),J210=""))),"Closure / reassessment evidence missing","OK — verify source"))))))))</f>
        <v/>
      </c>
    </row>
    <row r="211">
      <c r="A211" s="27" t="n"/>
      <c r="B211" s="27" t="n"/>
      <c r="C211" s="27" t="n"/>
      <c r="D211" s="28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>
        <f>IF(COUNTA(A211:L211)=0,"",IF(OR(A211="",B211="",C211="",D211="",E211="",I211=""),"Change detail missing",IF(COUNTIF($A$4:$A$253,A211)&gt;1,"Duplicate Map Change ID",IF(NOT(ISNUMBER(D211)),"Change date is not a date",IF(COUNTIF('System map'!$A$4:$A$203,B211)&lt;&gt;1,"AIR-ID not reconciled",IF(COUNTIF(Relationships!$A$4:$A$1003,C211)=0,"Map Edge ID not found in Relationships",IF(AND(OR(H211="Yes",H211="Unsure",E211="Expand access",E211="Add link"),J211=""),"Access change needs reassessment ref",IF(AND(L211="Closed",OR(H211="",AND(OR(H211="Yes",H211="Unsure",E211="Expand access",E211="Add link"),J211=""))),"Closure / reassessment evidence missing","OK — verify source"))))))))</f>
        <v/>
      </c>
    </row>
    <row r="212">
      <c r="A212" s="25" t="n"/>
      <c r="B212" s="25" t="n"/>
      <c r="C212" s="25" t="n"/>
      <c r="D212" s="26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>
        <f>IF(COUNTA(A212:L212)=0,"",IF(OR(A212="",B212="",C212="",D212="",E212="",I212=""),"Change detail missing",IF(COUNTIF($A$4:$A$253,A212)&gt;1,"Duplicate Map Change ID",IF(NOT(ISNUMBER(D212)),"Change date is not a date",IF(COUNTIF('System map'!$A$4:$A$203,B212)&lt;&gt;1,"AIR-ID not reconciled",IF(COUNTIF(Relationships!$A$4:$A$1003,C212)=0,"Map Edge ID not found in Relationships",IF(AND(OR(H212="Yes",H212="Unsure",E212="Expand access",E212="Add link"),J212=""),"Access change needs reassessment ref",IF(AND(L212="Closed",OR(H212="",AND(OR(H212="Yes",H212="Unsure",E212="Expand access",E212="Add link"),J212=""))),"Closure / reassessment evidence missing","OK — verify source"))))))))</f>
        <v/>
      </c>
    </row>
    <row r="213">
      <c r="A213" s="27" t="n"/>
      <c r="B213" s="27" t="n"/>
      <c r="C213" s="27" t="n"/>
      <c r="D213" s="28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>
        <f>IF(COUNTA(A213:L213)=0,"",IF(OR(A213="",B213="",C213="",D213="",E213="",I213=""),"Change detail missing",IF(COUNTIF($A$4:$A$253,A213)&gt;1,"Duplicate Map Change ID",IF(NOT(ISNUMBER(D213)),"Change date is not a date",IF(COUNTIF('System map'!$A$4:$A$203,B213)&lt;&gt;1,"AIR-ID not reconciled",IF(COUNTIF(Relationships!$A$4:$A$1003,C213)=0,"Map Edge ID not found in Relationships",IF(AND(OR(H213="Yes",H213="Unsure",E213="Expand access",E213="Add link"),J213=""),"Access change needs reassessment ref",IF(AND(L213="Closed",OR(H213="",AND(OR(H213="Yes",H213="Unsure",E213="Expand access",E213="Add link"),J213=""))),"Closure / reassessment evidence missing","OK — verify source"))))))))</f>
        <v/>
      </c>
    </row>
    <row r="214">
      <c r="A214" s="25" t="n"/>
      <c r="B214" s="25" t="n"/>
      <c r="C214" s="25" t="n"/>
      <c r="D214" s="26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>
        <f>IF(COUNTA(A214:L214)=0,"",IF(OR(A214="",B214="",C214="",D214="",E214="",I214=""),"Change detail missing",IF(COUNTIF($A$4:$A$253,A214)&gt;1,"Duplicate Map Change ID",IF(NOT(ISNUMBER(D214)),"Change date is not a date",IF(COUNTIF('System map'!$A$4:$A$203,B214)&lt;&gt;1,"AIR-ID not reconciled",IF(COUNTIF(Relationships!$A$4:$A$1003,C214)=0,"Map Edge ID not found in Relationships",IF(AND(OR(H214="Yes",H214="Unsure",E214="Expand access",E214="Add link"),J214=""),"Access change needs reassessment ref",IF(AND(L214="Closed",OR(H214="",AND(OR(H214="Yes",H214="Unsure",E214="Expand access",E214="Add link"),J214=""))),"Closure / reassessment evidence missing","OK — verify source"))))))))</f>
        <v/>
      </c>
    </row>
    <row r="215">
      <c r="A215" s="27" t="n"/>
      <c r="B215" s="27" t="n"/>
      <c r="C215" s="27" t="n"/>
      <c r="D215" s="28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>
        <f>IF(COUNTA(A215:L215)=0,"",IF(OR(A215="",B215="",C215="",D215="",E215="",I215=""),"Change detail missing",IF(COUNTIF($A$4:$A$253,A215)&gt;1,"Duplicate Map Change ID",IF(NOT(ISNUMBER(D215)),"Change date is not a date",IF(COUNTIF('System map'!$A$4:$A$203,B215)&lt;&gt;1,"AIR-ID not reconciled",IF(COUNTIF(Relationships!$A$4:$A$1003,C215)=0,"Map Edge ID not found in Relationships",IF(AND(OR(H215="Yes",H215="Unsure",E215="Expand access",E215="Add link"),J215=""),"Access change needs reassessment ref",IF(AND(L215="Closed",OR(H215="",AND(OR(H215="Yes",H215="Unsure",E215="Expand access",E215="Add link"),J215=""))),"Closure / reassessment evidence missing","OK — verify source"))))))))</f>
        <v/>
      </c>
    </row>
    <row r="216">
      <c r="A216" s="25" t="n"/>
      <c r="B216" s="25" t="n"/>
      <c r="C216" s="25" t="n"/>
      <c r="D216" s="26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>
        <f>IF(COUNTA(A216:L216)=0,"",IF(OR(A216="",B216="",C216="",D216="",E216="",I216=""),"Change detail missing",IF(COUNTIF($A$4:$A$253,A216)&gt;1,"Duplicate Map Change ID",IF(NOT(ISNUMBER(D216)),"Change date is not a date",IF(COUNTIF('System map'!$A$4:$A$203,B216)&lt;&gt;1,"AIR-ID not reconciled",IF(COUNTIF(Relationships!$A$4:$A$1003,C216)=0,"Map Edge ID not found in Relationships",IF(AND(OR(H216="Yes",H216="Unsure",E216="Expand access",E216="Add link"),J216=""),"Access change needs reassessment ref",IF(AND(L216="Closed",OR(H216="",AND(OR(H216="Yes",H216="Unsure",E216="Expand access",E216="Add link"),J216=""))),"Closure / reassessment evidence missing","OK — verify source"))))))))</f>
        <v/>
      </c>
    </row>
    <row r="217">
      <c r="A217" s="27" t="n"/>
      <c r="B217" s="27" t="n"/>
      <c r="C217" s="27" t="n"/>
      <c r="D217" s="28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>
        <f>IF(COUNTA(A217:L217)=0,"",IF(OR(A217="",B217="",C217="",D217="",E217="",I217=""),"Change detail missing",IF(COUNTIF($A$4:$A$253,A217)&gt;1,"Duplicate Map Change ID",IF(NOT(ISNUMBER(D217)),"Change date is not a date",IF(COUNTIF('System map'!$A$4:$A$203,B217)&lt;&gt;1,"AIR-ID not reconciled",IF(COUNTIF(Relationships!$A$4:$A$1003,C217)=0,"Map Edge ID not found in Relationships",IF(AND(OR(H217="Yes",H217="Unsure",E217="Expand access",E217="Add link"),J217=""),"Access change needs reassessment ref",IF(AND(L217="Closed",OR(H217="",AND(OR(H217="Yes",H217="Unsure",E217="Expand access",E217="Add link"),J217=""))),"Closure / reassessment evidence missing","OK — verify source"))))))))</f>
        <v/>
      </c>
    </row>
    <row r="218">
      <c r="A218" s="25" t="n"/>
      <c r="B218" s="25" t="n"/>
      <c r="C218" s="25" t="n"/>
      <c r="D218" s="26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>
        <f>IF(COUNTA(A218:L218)=0,"",IF(OR(A218="",B218="",C218="",D218="",E218="",I218=""),"Change detail missing",IF(COUNTIF($A$4:$A$253,A218)&gt;1,"Duplicate Map Change ID",IF(NOT(ISNUMBER(D218)),"Change date is not a date",IF(COUNTIF('System map'!$A$4:$A$203,B218)&lt;&gt;1,"AIR-ID not reconciled",IF(COUNTIF(Relationships!$A$4:$A$1003,C218)=0,"Map Edge ID not found in Relationships",IF(AND(OR(H218="Yes",H218="Unsure",E218="Expand access",E218="Add link"),J218=""),"Access change needs reassessment ref",IF(AND(L218="Closed",OR(H218="",AND(OR(H218="Yes",H218="Unsure",E218="Expand access",E218="Add link"),J218=""))),"Closure / reassessment evidence missing","OK — verify source"))))))))</f>
        <v/>
      </c>
    </row>
    <row r="219">
      <c r="A219" s="27" t="n"/>
      <c r="B219" s="27" t="n"/>
      <c r="C219" s="27" t="n"/>
      <c r="D219" s="28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>
        <f>IF(COUNTA(A219:L219)=0,"",IF(OR(A219="",B219="",C219="",D219="",E219="",I219=""),"Change detail missing",IF(COUNTIF($A$4:$A$253,A219)&gt;1,"Duplicate Map Change ID",IF(NOT(ISNUMBER(D219)),"Change date is not a date",IF(COUNTIF('System map'!$A$4:$A$203,B219)&lt;&gt;1,"AIR-ID not reconciled",IF(COUNTIF(Relationships!$A$4:$A$1003,C219)=0,"Map Edge ID not found in Relationships",IF(AND(OR(H219="Yes",H219="Unsure",E219="Expand access",E219="Add link"),J219=""),"Access change needs reassessment ref",IF(AND(L219="Closed",OR(H219="",AND(OR(H219="Yes",H219="Unsure",E219="Expand access",E219="Add link"),J219=""))),"Closure / reassessment evidence missing","OK — verify source"))))))))</f>
        <v/>
      </c>
    </row>
    <row r="220">
      <c r="A220" s="25" t="n"/>
      <c r="B220" s="25" t="n"/>
      <c r="C220" s="25" t="n"/>
      <c r="D220" s="26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>
        <f>IF(COUNTA(A220:L220)=0,"",IF(OR(A220="",B220="",C220="",D220="",E220="",I220=""),"Change detail missing",IF(COUNTIF($A$4:$A$253,A220)&gt;1,"Duplicate Map Change ID",IF(NOT(ISNUMBER(D220)),"Change date is not a date",IF(COUNTIF('System map'!$A$4:$A$203,B220)&lt;&gt;1,"AIR-ID not reconciled",IF(COUNTIF(Relationships!$A$4:$A$1003,C220)=0,"Map Edge ID not found in Relationships",IF(AND(OR(H220="Yes",H220="Unsure",E220="Expand access",E220="Add link"),J220=""),"Access change needs reassessment ref",IF(AND(L220="Closed",OR(H220="",AND(OR(H220="Yes",H220="Unsure",E220="Expand access",E220="Add link"),J220=""))),"Closure / reassessment evidence missing","OK — verify source"))))))))</f>
        <v/>
      </c>
    </row>
    <row r="221">
      <c r="A221" s="27" t="n"/>
      <c r="B221" s="27" t="n"/>
      <c r="C221" s="27" t="n"/>
      <c r="D221" s="28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>
        <f>IF(COUNTA(A221:L221)=0,"",IF(OR(A221="",B221="",C221="",D221="",E221="",I221=""),"Change detail missing",IF(COUNTIF($A$4:$A$253,A221)&gt;1,"Duplicate Map Change ID",IF(NOT(ISNUMBER(D221)),"Change date is not a date",IF(COUNTIF('System map'!$A$4:$A$203,B221)&lt;&gt;1,"AIR-ID not reconciled",IF(COUNTIF(Relationships!$A$4:$A$1003,C221)=0,"Map Edge ID not found in Relationships",IF(AND(OR(H221="Yes",H221="Unsure",E221="Expand access",E221="Add link"),J221=""),"Access change needs reassessment ref",IF(AND(L221="Closed",OR(H221="",AND(OR(H221="Yes",H221="Unsure",E221="Expand access",E221="Add link"),J221=""))),"Closure / reassessment evidence missing","OK — verify source"))))))))</f>
        <v/>
      </c>
    </row>
    <row r="222">
      <c r="A222" s="25" t="n"/>
      <c r="B222" s="25" t="n"/>
      <c r="C222" s="25" t="n"/>
      <c r="D222" s="26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>
        <f>IF(COUNTA(A222:L222)=0,"",IF(OR(A222="",B222="",C222="",D222="",E222="",I222=""),"Change detail missing",IF(COUNTIF($A$4:$A$253,A222)&gt;1,"Duplicate Map Change ID",IF(NOT(ISNUMBER(D222)),"Change date is not a date",IF(COUNTIF('System map'!$A$4:$A$203,B222)&lt;&gt;1,"AIR-ID not reconciled",IF(COUNTIF(Relationships!$A$4:$A$1003,C222)=0,"Map Edge ID not found in Relationships",IF(AND(OR(H222="Yes",H222="Unsure",E222="Expand access",E222="Add link"),J222=""),"Access change needs reassessment ref",IF(AND(L222="Closed",OR(H222="",AND(OR(H222="Yes",H222="Unsure",E222="Expand access",E222="Add link"),J222=""))),"Closure / reassessment evidence missing","OK — verify source"))))))))</f>
        <v/>
      </c>
    </row>
    <row r="223">
      <c r="A223" s="27" t="n"/>
      <c r="B223" s="27" t="n"/>
      <c r="C223" s="27" t="n"/>
      <c r="D223" s="28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>
        <f>IF(COUNTA(A223:L223)=0,"",IF(OR(A223="",B223="",C223="",D223="",E223="",I223=""),"Change detail missing",IF(COUNTIF($A$4:$A$253,A223)&gt;1,"Duplicate Map Change ID",IF(NOT(ISNUMBER(D223)),"Change date is not a date",IF(COUNTIF('System map'!$A$4:$A$203,B223)&lt;&gt;1,"AIR-ID not reconciled",IF(COUNTIF(Relationships!$A$4:$A$1003,C223)=0,"Map Edge ID not found in Relationships",IF(AND(OR(H223="Yes",H223="Unsure",E223="Expand access",E223="Add link"),J223=""),"Access change needs reassessment ref",IF(AND(L223="Closed",OR(H223="",AND(OR(H223="Yes",H223="Unsure",E223="Expand access",E223="Add link"),J223=""))),"Closure / reassessment evidence missing","OK — verify source"))))))))</f>
        <v/>
      </c>
    </row>
    <row r="224">
      <c r="A224" s="25" t="n"/>
      <c r="B224" s="25" t="n"/>
      <c r="C224" s="25" t="n"/>
      <c r="D224" s="26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>
        <f>IF(COUNTA(A224:L224)=0,"",IF(OR(A224="",B224="",C224="",D224="",E224="",I224=""),"Change detail missing",IF(COUNTIF($A$4:$A$253,A224)&gt;1,"Duplicate Map Change ID",IF(NOT(ISNUMBER(D224)),"Change date is not a date",IF(COUNTIF('System map'!$A$4:$A$203,B224)&lt;&gt;1,"AIR-ID not reconciled",IF(COUNTIF(Relationships!$A$4:$A$1003,C224)=0,"Map Edge ID not found in Relationships",IF(AND(OR(H224="Yes",H224="Unsure",E224="Expand access",E224="Add link"),J224=""),"Access change needs reassessment ref",IF(AND(L224="Closed",OR(H224="",AND(OR(H224="Yes",H224="Unsure",E224="Expand access",E224="Add link"),J224=""))),"Closure / reassessment evidence missing","OK — verify source"))))))))</f>
        <v/>
      </c>
    </row>
    <row r="225">
      <c r="A225" s="27" t="n"/>
      <c r="B225" s="27" t="n"/>
      <c r="C225" s="27" t="n"/>
      <c r="D225" s="28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>
        <f>IF(COUNTA(A225:L225)=0,"",IF(OR(A225="",B225="",C225="",D225="",E225="",I225=""),"Change detail missing",IF(COUNTIF($A$4:$A$253,A225)&gt;1,"Duplicate Map Change ID",IF(NOT(ISNUMBER(D225)),"Change date is not a date",IF(COUNTIF('System map'!$A$4:$A$203,B225)&lt;&gt;1,"AIR-ID not reconciled",IF(COUNTIF(Relationships!$A$4:$A$1003,C225)=0,"Map Edge ID not found in Relationships",IF(AND(OR(H225="Yes",H225="Unsure",E225="Expand access",E225="Add link"),J225=""),"Access change needs reassessment ref",IF(AND(L225="Closed",OR(H225="",AND(OR(H225="Yes",H225="Unsure",E225="Expand access",E225="Add link"),J225=""))),"Closure / reassessment evidence missing","OK — verify source"))))))))</f>
        <v/>
      </c>
    </row>
    <row r="226">
      <c r="A226" s="25" t="n"/>
      <c r="B226" s="25" t="n"/>
      <c r="C226" s="25" t="n"/>
      <c r="D226" s="26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>
        <f>IF(COUNTA(A226:L226)=0,"",IF(OR(A226="",B226="",C226="",D226="",E226="",I226=""),"Change detail missing",IF(COUNTIF($A$4:$A$253,A226)&gt;1,"Duplicate Map Change ID",IF(NOT(ISNUMBER(D226)),"Change date is not a date",IF(COUNTIF('System map'!$A$4:$A$203,B226)&lt;&gt;1,"AIR-ID not reconciled",IF(COUNTIF(Relationships!$A$4:$A$1003,C226)=0,"Map Edge ID not found in Relationships",IF(AND(OR(H226="Yes",H226="Unsure",E226="Expand access",E226="Add link"),J226=""),"Access change needs reassessment ref",IF(AND(L226="Closed",OR(H226="",AND(OR(H226="Yes",H226="Unsure",E226="Expand access",E226="Add link"),J226=""))),"Closure / reassessment evidence missing","OK — verify source"))))))))</f>
        <v/>
      </c>
    </row>
    <row r="227">
      <c r="A227" s="27" t="n"/>
      <c r="B227" s="27" t="n"/>
      <c r="C227" s="27" t="n"/>
      <c r="D227" s="28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>
        <f>IF(COUNTA(A227:L227)=0,"",IF(OR(A227="",B227="",C227="",D227="",E227="",I227=""),"Change detail missing",IF(COUNTIF($A$4:$A$253,A227)&gt;1,"Duplicate Map Change ID",IF(NOT(ISNUMBER(D227)),"Change date is not a date",IF(COUNTIF('System map'!$A$4:$A$203,B227)&lt;&gt;1,"AIR-ID not reconciled",IF(COUNTIF(Relationships!$A$4:$A$1003,C227)=0,"Map Edge ID not found in Relationships",IF(AND(OR(H227="Yes",H227="Unsure",E227="Expand access",E227="Add link"),J227=""),"Access change needs reassessment ref",IF(AND(L227="Closed",OR(H227="",AND(OR(H227="Yes",H227="Unsure",E227="Expand access",E227="Add link"),J227=""))),"Closure / reassessment evidence missing","OK — verify source"))))))))</f>
        <v/>
      </c>
    </row>
    <row r="228">
      <c r="A228" s="25" t="n"/>
      <c r="B228" s="25" t="n"/>
      <c r="C228" s="25" t="n"/>
      <c r="D228" s="26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>
        <f>IF(COUNTA(A228:L228)=0,"",IF(OR(A228="",B228="",C228="",D228="",E228="",I228=""),"Change detail missing",IF(COUNTIF($A$4:$A$253,A228)&gt;1,"Duplicate Map Change ID",IF(NOT(ISNUMBER(D228)),"Change date is not a date",IF(COUNTIF('System map'!$A$4:$A$203,B228)&lt;&gt;1,"AIR-ID not reconciled",IF(COUNTIF(Relationships!$A$4:$A$1003,C228)=0,"Map Edge ID not found in Relationships",IF(AND(OR(H228="Yes",H228="Unsure",E228="Expand access",E228="Add link"),J228=""),"Access change needs reassessment ref",IF(AND(L228="Closed",OR(H228="",AND(OR(H228="Yes",H228="Unsure",E228="Expand access",E228="Add link"),J228=""))),"Closure / reassessment evidence missing","OK — verify source"))))))))</f>
        <v/>
      </c>
    </row>
    <row r="229">
      <c r="A229" s="27" t="n"/>
      <c r="B229" s="27" t="n"/>
      <c r="C229" s="27" t="n"/>
      <c r="D229" s="28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>
        <f>IF(COUNTA(A229:L229)=0,"",IF(OR(A229="",B229="",C229="",D229="",E229="",I229=""),"Change detail missing",IF(COUNTIF($A$4:$A$253,A229)&gt;1,"Duplicate Map Change ID",IF(NOT(ISNUMBER(D229)),"Change date is not a date",IF(COUNTIF('System map'!$A$4:$A$203,B229)&lt;&gt;1,"AIR-ID not reconciled",IF(COUNTIF(Relationships!$A$4:$A$1003,C229)=0,"Map Edge ID not found in Relationships",IF(AND(OR(H229="Yes",H229="Unsure",E229="Expand access",E229="Add link"),J229=""),"Access change needs reassessment ref",IF(AND(L229="Closed",OR(H229="",AND(OR(H229="Yes",H229="Unsure",E229="Expand access",E229="Add link"),J229=""))),"Closure / reassessment evidence missing","OK — verify source"))))))))</f>
        <v/>
      </c>
    </row>
    <row r="230">
      <c r="A230" s="25" t="n"/>
      <c r="B230" s="25" t="n"/>
      <c r="C230" s="25" t="n"/>
      <c r="D230" s="26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>
        <f>IF(COUNTA(A230:L230)=0,"",IF(OR(A230="",B230="",C230="",D230="",E230="",I230=""),"Change detail missing",IF(COUNTIF($A$4:$A$253,A230)&gt;1,"Duplicate Map Change ID",IF(NOT(ISNUMBER(D230)),"Change date is not a date",IF(COUNTIF('System map'!$A$4:$A$203,B230)&lt;&gt;1,"AIR-ID not reconciled",IF(COUNTIF(Relationships!$A$4:$A$1003,C230)=0,"Map Edge ID not found in Relationships",IF(AND(OR(H230="Yes",H230="Unsure",E230="Expand access",E230="Add link"),J230=""),"Access change needs reassessment ref",IF(AND(L230="Closed",OR(H230="",AND(OR(H230="Yes",H230="Unsure",E230="Expand access",E230="Add link"),J230=""))),"Closure / reassessment evidence missing","OK — verify source"))))))))</f>
        <v/>
      </c>
    </row>
    <row r="231">
      <c r="A231" s="27" t="n"/>
      <c r="B231" s="27" t="n"/>
      <c r="C231" s="27" t="n"/>
      <c r="D231" s="28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>
        <f>IF(COUNTA(A231:L231)=0,"",IF(OR(A231="",B231="",C231="",D231="",E231="",I231=""),"Change detail missing",IF(COUNTIF($A$4:$A$253,A231)&gt;1,"Duplicate Map Change ID",IF(NOT(ISNUMBER(D231)),"Change date is not a date",IF(COUNTIF('System map'!$A$4:$A$203,B231)&lt;&gt;1,"AIR-ID not reconciled",IF(COUNTIF(Relationships!$A$4:$A$1003,C231)=0,"Map Edge ID not found in Relationships",IF(AND(OR(H231="Yes",H231="Unsure",E231="Expand access",E231="Add link"),J231=""),"Access change needs reassessment ref",IF(AND(L231="Closed",OR(H231="",AND(OR(H231="Yes",H231="Unsure",E231="Expand access",E231="Add link"),J231=""))),"Closure / reassessment evidence missing","OK — verify source"))))))))</f>
        <v/>
      </c>
    </row>
    <row r="232">
      <c r="A232" s="25" t="n"/>
      <c r="B232" s="25" t="n"/>
      <c r="C232" s="25" t="n"/>
      <c r="D232" s="26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>
        <f>IF(COUNTA(A232:L232)=0,"",IF(OR(A232="",B232="",C232="",D232="",E232="",I232=""),"Change detail missing",IF(COUNTIF($A$4:$A$253,A232)&gt;1,"Duplicate Map Change ID",IF(NOT(ISNUMBER(D232)),"Change date is not a date",IF(COUNTIF('System map'!$A$4:$A$203,B232)&lt;&gt;1,"AIR-ID not reconciled",IF(COUNTIF(Relationships!$A$4:$A$1003,C232)=0,"Map Edge ID not found in Relationships",IF(AND(OR(H232="Yes",H232="Unsure",E232="Expand access",E232="Add link"),J232=""),"Access change needs reassessment ref",IF(AND(L232="Closed",OR(H232="",AND(OR(H232="Yes",H232="Unsure",E232="Expand access",E232="Add link"),J232=""))),"Closure / reassessment evidence missing","OK — verify source"))))))))</f>
        <v/>
      </c>
    </row>
    <row r="233">
      <c r="A233" s="27" t="n"/>
      <c r="B233" s="27" t="n"/>
      <c r="C233" s="27" t="n"/>
      <c r="D233" s="28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>
        <f>IF(COUNTA(A233:L233)=0,"",IF(OR(A233="",B233="",C233="",D233="",E233="",I233=""),"Change detail missing",IF(COUNTIF($A$4:$A$253,A233)&gt;1,"Duplicate Map Change ID",IF(NOT(ISNUMBER(D233)),"Change date is not a date",IF(COUNTIF('System map'!$A$4:$A$203,B233)&lt;&gt;1,"AIR-ID not reconciled",IF(COUNTIF(Relationships!$A$4:$A$1003,C233)=0,"Map Edge ID not found in Relationships",IF(AND(OR(H233="Yes",H233="Unsure",E233="Expand access",E233="Add link"),J233=""),"Access change needs reassessment ref",IF(AND(L233="Closed",OR(H233="",AND(OR(H233="Yes",H233="Unsure",E233="Expand access",E233="Add link"),J233=""))),"Closure / reassessment evidence missing","OK — verify source"))))))))</f>
        <v/>
      </c>
    </row>
    <row r="234">
      <c r="A234" s="25" t="n"/>
      <c r="B234" s="25" t="n"/>
      <c r="C234" s="25" t="n"/>
      <c r="D234" s="26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>
        <f>IF(COUNTA(A234:L234)=0,"",IF(OR(A234="",B234="",C234="",D234="",E234="",I234=""),"Change detail missing",IF(COUNTIF($A$4:$A$253,A234)&gt;1,"Duplicate Map Change ID",IF(NOT(ISNUMBER(D234)),"Change date is not a date",IF(COUNTIF('System map'!$A$4:$A$203,B234)&lt;&gt;1,"AIR-ID not reconciled",IF(COUNTIF(Relationships!$A$4:$A$1003,C234)=0,"Map Edge ID not found in Relationships",IF(AND(OR(H234="Yes",H234="Unsure",E234="Expand access",E234="Add link"),J234=""),"Access change needs reassessment ref",IF(AND(L234="Closed",OR(H234="",AND(OR(H234="Yes",H234="Unsure",E234="Expand access",E234="Add link"),J234=""))),"Closure / reassessment evidence missing","OK — verify source"))))))))</f>
        <v/>
      </c>
    </row>
    <row r="235">
      <c r="A235" s="27" t="n"/>
      <c r="B235" s="27" t="n"/>
      <c r="C235" s="27" t="n"/>
      <c r="D235" s="28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>
        <f>IF(COUNTA(A235:L235)=0,"",IF(OR(A235="",B235="",C235="",D235="",E235="",I235=""),"Change detail missing",IF(COUNTIF($A$4:$A$253,A235)&gt;1,"Duplicate Map Change ID",IF(NOT(ISNUMBER(D235)),"Change date is not a date",IF(COUNTIF('System map'!$A$4:$A$203,B235)&lt;&gt;1,"AIR-ID not reconciled",IF(COUNTIF(Relationships!$A$4:$A$1003,C235)=0,"Map Edge ID not found in Relationships",IF(AND(OR(H235="Yes",H235="Unsure",E235="Expand access",E235="Add link"),J235=""),"Access change needs reassessment ref",IF(AND(L235="Closed",OR(H235="",AND(OR(H235="Yes",H235="Unsure",E235="Expand access",E235="Add link"),J235=""))),"Closure / reassessment evidence missing","OK — verify source"))))))))</f>
        <v/>
      </c>
    </row>
    <row r="236">
      <c r="A236" s="25" t="n"/>
      <c r="B236" s="25" t="n"/>
      <c r="C236" s="25" t="n"/>
      <c r="D236" s="26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>
        <f>IF(COUNTA(A236:L236)=0,"",IF(OR(A236="",B236="",C236="",D236="",E236="",I236=""),"Change detail missing",IF(COUNTIF($A$4:$A$253,A236)&gt;1,"Duplicate Map Change ID",IF(NOT(ISNUMBER(D236)),"Change date is not a date",IF(COUNTIF('System map'!$A$4:$A$203,B236)&lt;&gt;1,"AIR-ID not reconciled",IF(COUNTIF(Relationships!$A$4:$A$1003,C236)=0,"Map Edge ID not found in Relationships",IF(AND(OR(H236="Yes",H236="Unsure",E236="Expand access",E236="Add link"),J236=""),"Access change needs reassessment ref",IF(AND(L236="Closed",OR(H236="",AND(OR(H236="Yes",H236="Unsure",E236="Expand access",E236="Add link"),J236=""))),"Closure / reassessment evidence missing","OK — verify source"))))))))</f>
        <v/>
      </c>
    </row>
    <row r="237">
      <c r="A237" s="27" t="n"/>
      <c r="B237" s="27" t="n"/>
      <c r="C237" s="27" t="n"/>
      <c r="D237" s="28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>
        <f>IF(COUNTA(A237:L237)=0,"",IF(OR(A237="",B237="",C237="",D237="",E237="",I237=""),"Change detail missing",IF(COUNTIF($A$4:$A$253,A237)&gt;1,"Duplicate Map Change ID",IF(NOT(ISNUMBER(D237)),"Change date is not a date",IF(COUNTIF('System map'!$A$4:$A$203,B237)&lt;&gt;1,"AIR-ID not reconciled",IF(COUNTIF(Relationships!$A$4:$A$1003,C237)=0,"Map Edge ID not found in Relationships",IF(AND(OR(H237="Yes",H237="Unsure",E237="Expand access",E237="Add link"),J237=""),"Access change needs reassessment ref",IF(AND(L237="Closed",OR(H237="",AND(OR(H237="Yes",H237="Unsure",E237="Expand access",E237="Add link"),J237=""))),"Closure / reassessment evidence missing","OK — verify source"))))))))</f>
        <v/>
      </c>
    </row>
    <row r="238">
      <c r="A238" s="25" t="n"/>
      <c r="B238" s="25" t="n"/>
      <c r="C238" s="25" t="n"/>
      <c r="D238" s="26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>
        <f>IF(COUNTA(A238:L238)=0,"",IF(OR(A238="",B238="",C238="",D238="",E238="",I238=""),"Change detail missing",IF(COUNTIF($A$4:$A$253,A238)&gt;1,"Duplicate Map Change ID",IF(NOT(ISNUMBER(D238)),"Change date is not a date",IF(COUNTIF('System map'!$A$4:$A$203,B238)&lt;&gt;1,"AIR-ID not reconciled",IF(COUNTIF(Relationships!$A$4:$A$1003,C238)=0,"Map Edge ID not found in Relationships",IF(AND(OR(H238="Yes",H238="Unsure",E238="Expand access",E238="Add link"),J238=""),"Access change needs reassessment ref",IF(AND(L238="Closed",OR(H238="",AND(OR(H238="Yes",H238="Unsure",E238="Expand access",E238="Add link"),J238=""))),"Closure / reassessment evidence missing","OK — verify source"))))))))</f>
        <v/>
      </c>
    </row>
    <row r="239">
      <c r="A239" s="27" t="n"/>
      <c r="B239" s="27" t="n"/>
      <c r="C239" s="27" t="n"/>
      <c r="D239" s="28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>
        <f>IF(COUNTA(A239:L239)=0,"",IF(OR(A239="",B239="",C239="",D239="",E239="",I239=""),"Change detail missing",IF(COUNTIF($A$4:$A$253,A239)&gt;1,"Duplicate Map Change ID",IF(NOT(ISNUMBER(D239)),"Change date is not a date",IF(COUNTIF('System map'!$A$4:$A$203,B239)&lt;&gt;1,"AIR-ID not reconciled",IF(COUNTIF(Relationships!$A$4:$A$1003,C239)=0,"Map Edge ID not found in Relationships",IF(AND(OR(H239="Yes",H239="Unsure",E239="Expand access",E239="Add link"),J239=""),"Access change needs reassessment ref",IF(AND(L239="Closed",OR(H239="",AND(OR(H239="Yes",H239="Unsure",E239="Expand access",E239="Add link"),J239=""))),"Closure / reassessment evidence missing","OK — verify source"))))))))</f>
        <v/>
      </c>
    </row>
    <row r="240">
      <c r="A240" s="25" t="n"/>
      <c r="B240" s="25" t="n"/>
      <c r="C240" s="25" t="n"/>
      <c r="D240" s="26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>
        <f>IF(COUNTA(A240:L240)=0,"",IF(OR(A240="",B240="",C240="",D240="",E240="",I240=""),"Change detail missing",IF(COUNTIF($A$4:$A$253,A240)&gt;1,"Duplicate Map Change ID",IF(NOT(ISNUMBER(D240)),"Change date is not a date",IF(COUNTIF('System map'!$A$4:$A$203,B240)&lt;&gt;1,"AIR-ID not reconciled",IF(COUNTIF(Relationships!$A$4:$A$1003,C240)=0,"Map Edge ID not found in Relationships",IF(AND(OR(H240="Yes",H240="Unsure",E240="Expand access",E240="Add link"),J240=""),"Access change needs reassessment ref",IF(AND(L240="Closed",OR(H240="",AND(OR(H240="Yes",H240="Unsure",E240="Expand access",E240="Add link"),J240=""))),"Closure / reassessment evidence missing","OK — verify source"))))))))</f>
        <v/>
      </c>
    </row>
    <row r="241">
      <c r="A241" s="27" t="n"/>
      <c r="B241" s="27" t="n"/>
      <c r="C241" s="27" t="n"/>
      <c r="D241" s="28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>
        <f>IF(COUNTA(A241:L241)=0,"",IF(OR(A241="",B241="",C241="",D241="",E241="",I241=""),"Change detail missing",IF(COUNTIF($A$4:$A$253,A241)&gt;1,"Duplicate Map Change ID",IF(NOT(ISNUMBER(D241)),"Change date is not a date",IF(COUNTIF('System map'!$A$4:$A$203,B241)&lt;&gt;1,"AIR-ID not reconciled",IF(COUNTIF(Relationships!$A$4:$A$1003,C241)=0,"Map Edge ID not found in Relationships",IF(AND(OR(H241="Yes",H241="Unsure",E241="Expand access",E241="Add link"),J241=""),"Access change needs reassessment ref",IF(AND(L241="Closed",OR(H241="",AND(OR(H241="Yes",H241="Unsure",E241="Expand access",E241="Add link"),J241=""))),"Closure / reassessment evidence missing","OK — verify source"))))))))</f>
        <v/>
      </c>
    </row>
    <row r="242">
      <c r="A242" s="25" t="n"/>
      <c r="B242" s="25" t="n"/>
      <c r="C242" s="25" t="n"/>
      <c r="D242" s="26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>
        <f>IF(COUNTA(A242:L242)=0,"",IF(OR(A242="",B242="",C242="",D242="",E242="",I242=""),"Change detail missing",IF(COUNTIF($A$4:$A$253,A242)&gt;1,"Duplicate Map Change ID",IF(NOT(ISNUMBER(D242)),"Change date is not a date",IF(COUNTIF('System map'!$A$4:$A$203,B242)&lt;&gt;1,"AIR-ID not reconciled",IF(COUNTIF(Relationships!$A$4:$A$1003,C242)=0,"Map Edge ID not found in Relationships",IF(AND(OR(H242="Yes",H242="Unsure",E242="Expand access",E242="Add link"),J242=""),"Access change needs reassessment ref",IF(AND(L242="Closed",OR(H242="",AND(OR(H242="Yes",H242="Unsure",E242="Expand access",E242="Add link"),J242=""))),"Closure / reassessment evidence missing","OK — verify source"))))))))</f>
        <v/>
      </c>
    </row>
    <row r="243">
      <c r="A243" s="27" t="n"/>
      <c r="B243" s="27" t="n"/>
      <c r="C243" s="27" t="n"/>
      <c r="D243" s="28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>
        <f>IF(COUNTA(A243:L243)=0,"",IF(OR(A243="",B243="",C243="",D243="",E243="",I243=""),"Change detail missing",IF(COUNTIF($A$4:$A$253,A243)&gt;1,"Duplicate Map Change ID",IF(NOT(ISNUMBER(D243)),"Change date is not a date",IF(COUNTIF('System map'!$A$4:$A$203,B243)&lt;&gt;1,"AIR-ID not reconciled",IF(COUNTIF(Relationships!$A$4:$A$1003,C243)=0,"Map Edge ID not found in Relationships",IF(AND(OR(H243="Yes",H243="Unsure",E243="Expand access",E243="Add link"),J243=""),"Access change needs reassessment ref",IF(AND(L243="Closed",OR(H243="",AND(OR(H243="Yes",H243="Unsure",E243="Expand access",E243="Add link"),J243=""))),"Closure / reassessment evidence missing","OK — verify source"))))))))</f>
        <v/>
      </c>
    </row>
    <row r="244">
      <c r="A244" s="25" t="n"/>
      <c r="B244" s="25" t="n"/>
      <c r="C244" s="25" t="n"/>
      <c r="D244" s="26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>
        <f>IF(COUNTA(A244:L244)=0,"",IF(OR(A244="",B244="",C244="",D244="",E244="",I244=""),"Change detail missing",IF(COUNTIF($A$4:$A$253,A244)&gt;1,"Duplicate Map Change ID",IF(NOT(ISNUMBER(D244)),"Change date is not a date",IF(COUNTIF('System map'!$A$4:$A$203,B244)&lt;&gt;1,"AIR-ID not reconciled",IF(COUNTIF(Relationships!$A$4:$A$1003,C244)=0,"Map Edge ID not found in Relationships",IF(AND(OR(H244="Yes",H244="Unsure",E244="Expand access",E244="Add link"),J244=""),"Access change needs reassessment ref",IF(AND(L244="Closed",OR(H244="",AND(OR(H244="Yes",H244="Unsure",E244="Expand access",E244="Add link"),J244=""))),"Closure / reassessment evidence missing","OK — verify source"))))))))</f>
        <v/>
      </c>
    </row>
    <row r="245">
      <c r="A245" s="27" t="n"/>
      <c r="B245" s="27" t="n"/>
      <c r="C245" s="27" t="n"/>
      <c r="D245" s="28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>
        <f>IF(COUNTA(A245:L245)=0,"",IF(OR(A245="",B245="",C245="",D245="",E245="",I245=""),"Change detail missing",IF(COUNTIF($A$4:$A$253,A245)&gt;1,"Duplicate Map Change ID",IF(NOT(ISNUMBER(D245)),"Change date is not a date",IF(COUNTIF('System map'!$A$4:$A$203,B245)&lt;&gt;1,"AIR-ID not reconciled",IF(COUNTIF(Relationships!$A$4:$A$1003,C245)=0,"Map Edge ID not found in Relationships",IF(AND(OR(H245="Yes",H245="Unsure",E245="Expand access",E245="Add link"),J245=""),"Access change needs reassessment ref",IF(AND(L245="Closed",OR(H245="",AND(OR(H245="Yes",H245="Unsure",E245="Expand access",E245="Add link"),J245=""))),"Closure / reassessment evidence missing","OK — verify source"))))))))</f>
        <v/>
      </c>
    </row>
    <row r="246">
      <c r="A246" s="25" t="n"/>
      <c r="B246" s="25" t="n"/>
      <c r="C246" s="25" t="n"/>
      <c r="D246" s="26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>
        <f>IF(COUNTA(A246:L246)=0,"",IF(OR(A246="",B246="",C246="",D246="",E246="",I246=""),"Change detail missing",IF(COUNTIF($A$4:$A$253,A246)&gt;1,"Duplicate Map Change ID",IF(NOT(ISNUMBER(D246)),"Change date is not a date",IF(COUNTIF('System map'!$A$4:$A$203,B246)&lt;&gt;1,"AIR-ID not reconciled",IF(COUNTIF(Relationships!$A$4:$A$1003,C246)=0,"Map Edge ID not found in Relationships",IF(AND(OR(H246="Yes",H246="Unsure",E246="Expand access",E246="Add link"),J246=""),"Access change needs reassessment ref",IF(AND(L246="Closed",OR(H246="",AND(OR(H246="Yes",H246="Unsure",E246="Expand access",E246="Add link"),J246=""))),"Closure / reassessment evidence missing","OK — verify source"))))))))</f>
        <v/>
      </c>
    </row>
    <row r="247">
      <c r="A247" s="27" t="n"/>
      <c r="B247" s="27" t="n"/>
      <c r="C247" s="27" t="n"/>
      <c r="D247" s="28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>
        <f>IF(COUNTA(A247:L247)=0,"",IF(OR(A247="",B247="",C247="",D247="",E247="",I247=""),"Change detail missing",IF(COUNTIF($A$4:$A$253,A247)&gt;1,"Duplicate Map Change ID",IF(NOT(ISNUMBER(D247)),"Change date is not a date",IF(COUNTIF('System map'!$A$4:$A$203,B247)&lt;&gt;1,"AIR-ID not reconciled",IF(COUNTIF(Relationships!$A$4:$A$1003,C247)=0,"Map Edge ID not found in Relationships",IF(AND(OR(H247="Yes",H247="Unsure",E247="Expand access",E247="Add link"),J247=""),"Access change needs reassessment ref",IF(AND(L247="Closed",OR(H247="",AND(OR(H247="Yes",H247="Unsure",E247="Expand access",E247="Add link"),J247=""))),"Closure / reassessment evidence missing","OK — verify source"))))))))</f>
        <v/>
      </c>
    </row>
    <row r="248">
      <c r="A248" s="25" t="n"/>
      <c r="B248" s="25" t="n"/>
      <c r="C248" s="25" t="n"/>
      <c r="D248" s="26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>
        <f>IF(COUNTA(A248:L248)=0,"",IF(OR(A248="",B248="",C248="",D248="",E248="",I248=""),"Change detail missing",IF(COUNTIF($A$4:$A$253,A248)&gt;1,"Duplicate Map Change ID",IF(NOT(ISNUMBER(D248)),"Change date is not a date",IF(COUNTIF('System map'!$A$4:$A$203,B248)&lt;&gt;1,"AIR-ID not reconciled",IF(COUNTIF(Relationships!$A$4:$A$1003,C248)=0,"Map Edge ID not found in Relationships",IF(AND(OR(H248="Yes",H248="Unsure",E248="Expand access",E248="Add link"),J248=""),"Access change needs reassessment ref",IF(AND(L248="Closed",OR(H248="",AND(OR(H248="Yes",H248="Unsure",E248="Expand access",E248="Add link"),J248=""))),"Closure / reassessment evidence missing","OK — verify source"))))))))</f>
        <v/>
      </c>
    </row>
    <row r="249">
      <c r="A249" s="27" t="n"/>
      <c r="B249" s="27" t="n"/>
      <c r="C249" s="27" t="n"/>
      <c r="D249" s="28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>
        <f>IF(COUNTA(A249:L249)=0,"",IF(OR(A249="",B249="",C249="",D249="",E249="",I249=""),"Change detail missing",IF(COUNTIF($A$4:$A$253,A249)&gt;1,"Duplicate Map Change ID",IF(NOT(ISNUMBER(D249)),"Change date is not a date",IF(COUNTIF('System map'!$A$4:$A$203,B249)&lt;&gt;1,"AIR-ID not reconciled",IF(COUNTIF(Relationships!$A$4:$A$1003,C249)=0,"Map Edge ID not found in Relationships",IF(AND(OR(H249="Yes",H249="Unsure",E249="Expand access",E249="Add link"),J249=""),"Access change needs reassessment ref",IF(AND(L249="Closed",OR(H249="",AND(OR(H249="Yes",H249="Unsure",E249="Expand access",E249="Add link"),J249=""))),"Closure / reassessment evidence missing","OK — verify source"))))))))</f>
        <v/>
      </c>
    </row>
    <row r="250">
      <c r="A250" s="25" t="n"/>
      <c r="B250" s="25" t="n"/>
      <c r="C250" s="25" t="n"/>
      <c r="D250" s="26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>
        <f>IF(COUNTA(A250:L250)=0,"",IF(OR(A250="",B250="",C250="",D250="",E250="",I250=""),"Change detail missing",IF(COUNTIF($A$4:$A$253,A250)&gt;1,"Duplicate Map Change ID",IF(NOT(ISNUMBER(D250)),"Change date is not a date",IF(COUNTIF('System map'!$A$4:$A$203,B250)&lt;&gt;1,"AIR-ID not reconciled",IF(COUNTIF(Relationships!$A$4:$A$1003,C250)=0,"Map Edge ID not found in Relationships",IF(AND(OR(H250="Yes",H250="Unsure",E250="Expand access",E250="Add link"),J250=""),"Access change needs reassessment ref",IF(AND(L250="Closed",OR(H250="",AND(OR(H250="Yes",H250="Unsure",E250="Expand access",E250="Add link"),J250=""))),"Closure / reassessment evidence missing","OK — verify source"))))))))</f>
        <v/>
      </c>
    </row>
    <row r="251">
      <c r="A251" s="27" t="n"/>
      <c r="B251" s="27" t="n"/>
      <c r="C251" s="27" t="n"/>
      <c r="D251" s="28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>
        <f>IF(COUNTA(A251:L251)=0,"",IF(OR(A251="",B251="",C251="",D251="",E251="",I251=""),"Change detail missing",IF(COUNTIF($A$4:$A$253,A251)&gt;1,"Duplicate Map Change ID",IF(NOT(ISNUMBER(D251)),"Change date is not a date",IF(COUNTIF('System map'!$A$4:$A$203,B251)&lt;&gt;1,"AIR-ID not reconciled",IF(COUNTIF(Relationships!$A$4:$A$1003,C251)=0,"Map Edge ID not found in Relationships",IF(AND(OR(H251="Yes",H251="Unsure",E251="Expand access",E251="Add link"),J251=""),"Access change needs reassessment ref",IF(AND(L251="Closed",OR(H251="",AND(OR(H251="Yes",H251="Unsure",E251="Expand access",E251="Add link"),J251=""))),"Closure / reassessment evidence missing","OK — verify source"))))))))</f>
        <v/>
      </c>
    </row>
    <row r="252">
      <c r="A252" s="25" t="n"/>
      <c r="B252" s="25" t="n"/>
      <c r="C252" s="25" t="n"/>
      <c r="D252" s="26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>
        <f>IF(COUNTA(A252:L252)=0,"",IF(OR(A252="",B252="",C252="",D252="",E252="",I252=""),"Change detail missing",IF(COUNTIF($A$4:$A$253,A252)&gt;1,"Duplicate Map Change ID",IF(NOT(ISNUMBER(D252)),"Change date is not a date",IF(COUNTIF('System map'!$A$4:$A$203,B252)&lt;&gt;1,"AIR-ID not reconciled",IF(COUNTIF(Relationships!$A$4:$A$1003,C252)=0,"Map Edge ID not found in Relationships",IF(AND(OR(H252="Yes",H252="Unsure",E252="Expand access",E252="Add link"),J252=""),"Access change needs reassessment ref",IF(AND(L252="Closed",OR(H252="",AND(OR(H252="Yes",H252="Unsure",E252="Expand access",E252="Add link"),J252=""))),"Closure / reassessment evidence missing","OK — verify source"))))))))</f>
        <v/>
      </c>
    </row>
    <row r="253">
      <c r="A253" s="27" t="n"/>
      <c r="B253" s="27" t="n"/>
      <c r="C253" s="27" t="n"/>
      <c r="D253" s="28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>
        <f>IF(COUNTA(A253:L253)=0,"",IF(OR(A253="",B253="",C253="",D253="",E253="",I253=""),"Change detail missing",IF(COUNTIF($A$4:$A$253,A253)&gt;1,"Duplicate Map Change ID",IF(NOT(ISNUMBER(D253)),"Change date is not a date",IF(COUNTIF('System map'!$A$4:$A$203,B253)&lt;&gt;1,"AIR-ID not reconciled",IF(COUNTIF(Relationships!$A$4:$A$1003,C253)=0,"Map Edge ID not found in Relationships",IF(AND(OR(H253="Yes",H253="Unsure",E253="Expand access",E253="Add link"),J253=""),"Access change needs reassessment ref",IF(AND(L253="Closed",OR(H253="",AND(OR(H253="Yes",H253="Unsure",E253="Expand access",E253="Add link"),J253=""))),"Closure / reassessment evidence missing","OK — verify source"))))))))</f>
        <v/>
      </c>
    </row>
  </sheetData>
  <mergeCells count="2">
    <mergeCell ref="A2:M2"/>
    <mergeCell ref="A1:M1"/>
  </mergeCells>
  <dataValidations count="3">
    <dataValidation sqref="E4:E253" showDropDown="0" showInputMessage="0" showErrorMessage="1" allowBlank="1" errorTitle="Controlled value" error="Select a listed value." type="list">
      <formula1>"Add link,Expand access,Reduce access,Change scope,Remove link"</formula1>
    </dataValidation>
    <dataValidation sqref="H4:H253" showDropDown="0" showInputMessage="0" showErrorMessage="1" allowBlank="1" errorTitle="Controlled value" error="Select a listed value." type="list">
      <formula1>"Yes,No,Unsure"</formula1>
    </dataValidation>
    <dataValidation sqref="L4:L253" showDropDown="0" showInputMessage="0" showErrorMessage="1" allowBlank="1" errorTitle="Controlled value" error="Select a listed value." type="list">
      <formula1>"Open,In review,Closed"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30" customWidth="1" min="1" max="1"/>
    <col width="48" customWidth="1" min="2" max="2"/>
    <col width="105" customWidth="1" min="3" max="3"/>
    <col width="48" customWidth="1" min="4" max="4"/>
  </cols>
  <sheetData>
    <row r="1">
      <c r="A1" s="29" t="inlineStr">
        <is>
          <t>ID / link</t>
        </is>
      </c>
      <c r="B1" s="29" t="inlineStr">
        <is>
          <t>Authoritative source</t>
        </is>
      </c>
      <c r="C1" s="29" t="inlineStr">
        <is>
          <t>Meaning and boundary</t>
        </is>
      </c>
      <c r="D1" s="29" t="inlineStr">
        <is>
          <t>Before adoption</t>
        </is>
      </c>
    </row>
    <row r="2" ht="54" customHeight="1">
      <c r="A2" s="30" t="inlineStr">
        <is>
          <t>AIR-ID</t>
        </is>
      </c>
      <c r="B2" s="30" t="inlineStr">
        <is>
          <t>AIG-INV-04 AI Register</t>
        </is>
      </c>
      <c r="C2" s="30" t="inlineStr">
        <is>
          <t>Governance-issued permanent system ID. Enter existing ID in System map; never invent/recycle it.</t>
        </is>
      </c>
      <c r="D2" s="30" t="inlineStr">
        <is>
          <t>Confirm allocation and reconciliation process</t>
        </is>
      </c>
    </row>
    <row r="3" ht="54" customHeight="1">
      <c r="A3" s="31" t="inlineStr">
        <is>
          <t>UC-ID</t>
        </is>
      </c>
      <c r="B3" s="31" t="inlineStr">
        <is>
          <t>This map; AIG-INV-03 as factual source</t>
        </is>
      </c>
      <c r="C3" s="31" t="inlineStr">
        <is>
          <t>One outcome/workflow; can exist provisionally before AIR-ID. Link UC → CAP with source.</t>
        </is>
      </c>
      <c r="D3" s="31" t="inlineStr">
        <is>
          <t>Approve ID scheme and granularity</t>
        </is>
      </c>
    </row>
    <row r="4" ht="54" customHeight="1">
      <c r="A4" s="30" t="inlineStr">
        <is>
          <t>CAP-ID</t>
        </is>
      </c>
      <c r="B4" s="30" t="inlineStr">
        <is>
          <t>This map or approved capability catalogue</t>
        </is>
      </c>
      <c r="C4" s="30" t="inlineStr">
        <is>
          <t>Reusable verb+noun function, inputs/outputs and boundary; not an agent permission.</t>
        </is>
      </c>
      <c r="D4" s="30" t="inlineStr">
        <is>
          <t>Choose canonical capability catalogue</t>
        </is>
      </c>
    </row>
    <row r="5" ht="54" customHeight="1">
      <c r="A5" s="31" t="inlineStr">
        <is>
          <t>MOD / DATA / IF reference</t>
        </is>
      </c>
      <c r="B5" s="31" t="inlineStr">
        <is>
          <t>AIG-ASS-09 / existing data or interface catalogue and specialist source</t>
        </is>
      </c>
      <c r="C5" s="31" t="inlineStr">
        <is>
          <t>Version-specific pointers; detailed model, data or security controls stay in source.</t>
        </is>
      </c>
      <c r="D5" s="31" t="inlineStr">
        <is>
          <t>Confirm canonical source and versioning</t>
        </is>
      </c>
    </row>
    <row r="6" ht="54" customHeight="1">
      <c r="A6" s="30" t="inlineStr">
        <is>
          <t>AG / TOOL reference</t>
        </is>
      </c>
      <c r="B6" s="30" t="inlineStr">
        <is>
          <t>AIG-AGT-04 Agent Record and exact agent/tool row; AIG-AGT-05 for authority</t>
        </is>
      </c>
      <c r="C6" s="30" t="inlineStr">
        <is>
          <t>Stable reference and versioned source pointer. Map edge is not delegation or permission.</t>
        </is>
      </c>
      <c r="D6" s="30" t="inlineStr">
        <is>
          <t>Confirm stable AG-ID and tool ID policy</t>
        </is>
      </c>
    </row>
    <row r="7" ht="54" customHeight="1">
      <c r="A7" s="31" t="inlineStr">
        <is>
          <t>Map Edge ID</t>
        </is>
      </c>
      <c r="B7" s="31" t="inlineStr">
        <is>
          <t>This map</t>
        </is>
      </c>
      <c r="C7" s="31" t="inlineStr">
        <is>
          <t>Unique relationship with type, source, owner, confidence, verification and state. Named ‘Map Edge ID’ to distinguish it from the Authority Edge ID in AIG-AGT-04.</t>
        </is>
      </c>
      <c r="D7" s="31" t="inlineStr">
        <is>
          <t>Agree ownership, lifecycle and review frequency</t>
        </is>
      </c>
    </row>
    <row r="8" ht="54" customHeight="1">
      <c r="A8" s="30" t="inlineStr">
        <is>
          <t>UC → CAP</t>
        </is>
      </c>
      <c r="B8" s="30" t="inlineStr">
        <is>
          <t>requires</t>
        </is>
      </c>
      <c r="C8" s="30" t="inlineStr">
        <is>
          <t>Early discovery link; AIR context may be blank. A proposed link is not confirmed deployment.</t>
        </is>
      </c>
      <c r="D8" s="30" t="inlineStr">
        <is>
          <t>Approve semantics</t>
        </is>
      </c>
    </row>
    <row r="9" ht="54" customHeight="1">
      <c r="A9" s="31" t="inlineStr">
        <is>
          <t>CAP → AIR</t>
        </is>
      </c>
      <c r="B9" s="31" t="inlineStr">
        <is>
          <t>provided by</t>
        </is>
      </c>
      <c r="C9" s="31" t="inlineStr">
        <is>
          <t>Only official AIR-ID; one capability can be provided by several systems and vice versa.</t>
        </is>
      </c>
      <c r="D9" s="31" t="inlineStr">
        <is>
          <t>Approve semantics</t>
        </is>
      </c>
    </row>
    <row r="10" ht="54" customHeight="1">
      <c r="A10" s="30" t="inlineStr">
        <is>
          <t>AIR → MOD/DATA/IF/AG/TOOL</t>
        </is>
      </c>
      <c r="B10" s="30" t="inlineStr">
        <is>
          <t>references</t>
        </is>
      </c>
      <c r="C10" s="30" t="inlineStr">
        <is>
          <t>AIR context required; refer to exact canonical component, not duplicate controls.</t>
        </is>
      </c>
      <c r="D10" s="30" t="inlineStr">
        <is>
          <t>Review material access changes</t>
        </is>
      </c>
    </row>
    <row r="11" ht="54" customHeight="1">
      <c r="A11" s="31" t="inlineStr">
        <is>
          <t>AIR → AIR</t>
        </is>
      </c>
      <c r="B11" s="31" t="inlineStr">
        <is>
          <t>depends on</t>
        </is>
      </c>
      <c r="C11" s="31" t="inlineStr">
        <is>
          <t>Record material system dependency with source. Self-dependency and two-node cycles (A depends on B and B on A) are flagged.</t>
        </is>
      </c>
      <c r="D11" s="31" t="inlineStr">
        <is>
          <t>Agree treatment of cycles / shared services</t>
        </is>
      </c>
    </row>
    <row r="12" ht="54" customHeight="1">
      <c r="A12" s="30" t="inlineStr">
        <is>
          <t>Map Change ID</t>
        </is>
      </c>
      <c r="B12" s="30" t="inlineStr">
        <is>
          <t>Map changes</t>
        </is>
      </c>
      <c r="C12" s="30" t="inlineStr">
        <is>
          <t>Independent change trail (distinct from the AIG-INV-04 Register Change ID). Access expansion requires reassessment evidence and AIG-DEC-04 event where needed.</t>
        </is>
      </c>
      <c r="D12" s="30" t="inlineStr">
        <is>
          <t>Agree trigger / escalation owner</t>
        </is>
      </c>
    </row>
    <row r="13" ht="54" customHeight="1">
      <c r="A13" s="31" t="inlineStr">
        <is>
          <t>Dependency concentration</t>
        </is>
      </c>
      <c r="B13" s="31" t="inlineStr">
        <is>
          <t>Derived from Components and Relationships (this map); supplier from the controlled AIG-INV-04 extract</t>
        </is>
      </c>
      <c r="C13" s="31" t="inlineStr">
        <is>
          <t>Proposed — for Council confirmation. Portfolio view only: counts distinct AIR-IDs per component and per supplier and flags shares at or above the Council's threshold. Grants no approval, sets no appetite and does not change AIG-INV-04.</t>
        </is>
      </c>
      <c r="D13" s="31" t="inlineStr">
        <is>
          <t>Council sets the threshold for concern; agree supplier naming and extract cut-off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7.75" customWidth="1" min="2" max="2"/>
    <col width="35.5" customWidth="1" min="3" max="3"/>
    <col width="20" customWidth="1" min="4" max="4"/>
    <col width="8.880000114440918" customWidth="1" min="5" max="5"/>
    <col width="13" customWidth="1" min="6" max="6"/>
  </cols>
  <sheetData>
    <row r="1">
      <c r="A1" s="32" t="inlineStr">
        <is>
          <t>AIG-INV-05 — Document Control</t>
        </is>
      </c>
    </row>
    <row r="2">
      <c r="A2" s="33" t="inlineStr">
        <is>
          <t>Controlled working template. Draft for Council review; not Council-adopted and not effective until formally approved.</t>
        </is>
      </c>
    </row>
    <row r="4">
      <c r="A4" s="34" t="inlineStr">
        <is>
          <t>Field</t>
        </is>
      </c>
      <c r="B4" s="34" t="inlineStr">
        <is>
          <t>Controlled value</t>
        </is>
      </c>
    </row>
    <row r="5">
      <c r="A5" s="35" t="inlineStr">
        <is>
          <t>Document ID</t>
        </is>
      </c>
      <c r="B5" s="36" t="inlineStr">
        <is>
          <t>AIG-INV-05</t>
        </is>
      </c>
      <c r="C5" s="37" t="n"/>
      <c r="D5" s="37" t="n"/>
      <c r="E5" s="37" t="n"/>
      <c r="F5" s="38" t="n"/>
    </row>
    <row r="6">
      <c r="A6" s="35" t="inlineStr">
        <is>
          <t>Artefact</t>
        </is>
      </c>
      <c r="B6" s="36" t="inlineStr">
        <is>
          <t>Capabilities and System Map (proposed)</t>
        </is>
      </c>
      <c r="C6" s="37" t="n"/>
      <c r="D6" s="37" t="n"/>
      <c r="E6" s="37" t="n"/>
      <c r="F6" s="38" t="n"/>
    </row>
    <row r="7">
      <c r="A7" s="35" t="inlineStr">
        <is>
          <t>Version</t>
        </is>
      </c>
      <c r="B7" s="36" t="inlineStr">
        <is>
          <t>0.3 proposed design draft</t>
        </is>
      </c>
      <c r="C7" s="37" t="n"/>
      <c r="D7" s="37" t="n"/>
      <c r="E7" s="37" t="n"/>
      <c r="F7" s="38" t="n"/>
    </row>
    <row r="8">
      <c r="A8" s="35" t="inlineStr">
        <is>
          <t>Status</t>
        </is>
      </c>
      <c r="B8" s="36" t="inlineStr">
        <is>
          <t>Draft for Council review</t>
        </is>
      </c>
      <c r="C8" s="37" t="n"/>
      <c r="D8" s="37" t="n"/>
      <c r="E8" s="37" t="n"/>
      <c r="F8" s="38" t="n"/>
    </row>
    <row r="9">
      <c r="A9" s="35" t="inlineStr">
        <is>
          <t>Document owner</t>
        </is>
      </c>
      <c r="B9" s="36" t="inlineStr">
        <is>
          <t>To be confirmed by the competent authority (proposed custodian: AI Governance Lead with authorised service/architecture data owners)</t>
        </is>
      </c>
      <c r="C9" s="37" t="n"/>
      <c r="D9" s="37" t="n"/>
      <c r="E9" s="37" t="n"/>
      <c r="F9" s="38" t="n"/>
    </row>
    <row r="10">
      <c r="A10" s="35" t="inlineStr">
        <is>
          <t>Approving body</t>
        </is>
      </c>
      <c r="B10" s="36" t="inlineStr">
        <is>
          <t>Not yet confirmed. Competent delegated Council authority to be verified; AI Assurance Board provides assurance where applicable</t>
        </is>
      </c>
      <c r="C10" s="37" t="n"/>
      <c r="D10" s="37" t="n"/>
      <c r="E10" s="37" t="n"/>
      <c r="F10" s="38" t="n"/>
    </row>
    <row r="11">
      <c r="A11" s="35" t="inlineStr">
        <is>
          <t>Approval date</t>
        </is>
      </c>
      <c r="B11" s="36" t="inlineStr">
        <is>
          <t>Not yet approved</t>
        </is>
      </c>
      <c r="C11" s="37" t="n"/>
      <c r="D11" s="37" t="n"/>
      <c r="E11" s="37" t="n"/>
      <c r="F11" s="38" t="n"/>
    </row>
    <row r="12">
      <c r="A12" s="35" t="inlineStr">
        <is>
          <t>Effective date</t>
        </is>
      </c>
      <c r="B12" s="36" t="inlineStr">
        <is>
          <t>Not yet effective</t>
        </is>
      </c>
      <c r="C12" s="37" t="n"/>
      <c r="D12" s="37" t="n"/>
      <c r="E12" s="37" t="n"/>
      <c r="F12" s="38" t="n"/>
    </row>
    <row r="13">
      <c r="A13" s="35" t="inlineStr">
        <is>
          <t>Next review date</t>
        </is>
      </c>
      <c r="B13" s="36" t="inlineStr">
        <is>
          <t>To be set on approval: 12 months after effective date or sooner following material change</t>
        </is>
      </c>
      <c r="C13" s="37" t="n"/>
      <c r="D13" s="37" t="n"/>
      <c r="E13" s="37" t="n"/>
      <c r="F13" s="38" t="n"/>
    </row>
    <row r="14">
      <c r="A14" s="35" t="inlineStr">
        <is>
          <t>Classification</t>
        </is>
      </c>
      <c r="B14" s="36" t="inlineStr">
        <is>
          <t>OFFICIAL</t>
        </is>
      </c>
      <c r="C14" s="37" t="n"/>
      <c r="D14" s="37" t="n"/>
      <c r="E14" s="37" t="n"/>
      <c r="F14" s="38" t="n"/>
    </row>
    <row r="16">
      <c r="A16" s="39" t="inlineStr">
        <is>
          <t>Change history</t>
        </is>
      </c>
      <c r="B16" s="37" t="n"/>
      <c r="C16" s="37" t="n"/>
      <c r="D16" s="37" t="n"/>
      <c r="E16" s="37" t="n"/>
      <c r="F16" s="38" t="n"/>
    </row>
    <row r="17">
      <c r="A17" s="34" t="inlineStr">
        <is>
          <t>Version</t>
        </is>
      </c>
      <c r="B17" s="34" t="inlineStr">
        <is>
          <t>Date</t>
        </is>
      </c>
      <c r="C17" s="34" t="inlineStr">
        <is>
          <t>Change</t>
        </is>
      </c>
      <c r="D17" s="34" t="inlineStr">
        <is>
          <t>Author / owner</t>
        </is>
      </c>
    </row>
    <row r="18" ht="60" customHeight="1">
      <c r="A18" s="40" t="inlineStr">
        <is>
          <t>0.1 proposed design draft</t>
        </is>
      </c>
      <c r="B18" s="40" t="inlineStr">
        <is>
          <t>Not recorded in source</t>
        </is>
      </c>
      <c r="C18" s="40" t="inlineStr">
        <is>
          <t>Initial proposed design (START HERE ‘v0.1’).</t>
        </is>
      </c>
      <c r="D18" s="40" t="inlineStr">
        <is>
          <t>Not recorded in source</t>
        </is>
      </c>
    </row>
    <row r="19" ht="60" customHeight="1">
      <c r="A19" s="40" t="inlineStr">
        <is>
          <t>0.2 proposed design draft</t>
        </is>
      </c>
      <c r="B19" s="40" t="inlineStr">
        <is>
          <t>29 September 2026</t>
        </is>
      </c>
      <c r="C19" s="40" t="inlineStr">
        <is>
          <t>QA remediation — applied findings QA-234, QA-251, QA-269, QA-270, QA-271, QA-291, QA-293 (see QA change log).</t>
        </is>
      </c>
      <c r="D19" s="40" t="inlineStr">
        <is>
          <t>AI Governance Lead</t>
        </is>
      </c>
    </row>
    <row r="20" ht="75" customHeight="1">
      <c r="A20" s="40" t="inlineStr">
        <is>
          <t>0.3 proposed design draft</t>
        </is>
      </c>
      <c r="B20" s="40" t="inlineStr">
        <is>
          <t>30 September 2026</t>
        </is>
      </c>
      <c r="C20" s="40" t="inlineStr">
        <is>
          <t>v3.9: added the Dependency concentration sheet (Proposed — for Council confirmation): components and suppliers relied on by mapped AIR-IDs, share of mapped AIR-IDs, Council-set threshold flag (blank by default) and notes; feeds AIG-AIMS-10 M-16. START HERE and ID and source rules updated. Follow-up: component method note clarifies that a duplicated link fails the link check and is excluded until resolved.</t>
        </is>
      </c>
      <c r="D20" s="40" t="inlineStr">
        <is>
          <t>AI Governance Lead</t>
        </is>
      </c>
    </row>
  </sheetData>
  <mergeCells count="13">
    <mergeCell ref="A2:F2"/>
    <mergeCell ref="A16:F16"/>
    <mergeCell ref="B12:F12"/>
    <mergeCell ref="B7:F7"/>
    <mergeCell ref="B6:F6"/>
    <mergeCell ref="B10:F10"/>
    <mergeCell ref="A1:F1"/>
    <mergeCell ref="B11:F11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Governance Lead</dc:creator>
  <dc:title xmlns:dc="http://purl.org/dc/elements/1.1/">AIG-INV-05 Capabilities and System Map</dc:title>
  <dc:description xmlns:dc="http://purl.org/dc/elements/1.1/">Classification: OFFICIAL. Draft for Council review; not Council-adopted.</dc:description>
  <dc:subject xmlns:dc="http://purl.org/dc/elements/1.1/">Capabilities and System Map — v0.3 proposed design draft</dc:subject>
  <dcterms:created xmlns:dcterms="http://purl.org/dc/terms/" xmlns:xsi="http://www.w3.org/2001/XMLSchema-instance" xsi:type="dcterms:W3CDTF">2026-09-29T17:48:31Z</dcterms:created>
  <dcterms:modified xmlns:dcterms="http://purl.org/dc/terms/" xmlns:xsi="http://www.w3.org/2001/XMLSchema-instance" xsi:type="dcterms:W3CDTF">2026-09-30T07:10:52Z</dcterms:modified>
  <cp:lastModifiedBy>AI Governance Lead</cp:lastModifiedBy>
  <cp:category>The Council AI governance suite v3.9.9</cp:category>
  <cp:keywords>OFFICIAL; Draft for Council review</cp:keywords>
</cp:coreProperties>
</file>