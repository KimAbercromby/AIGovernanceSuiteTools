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Applicable Requirements" sheetId="2" state="visible" r:id="rId2"/>
    <sheet xmlns:r="http://schemas.openxmlformats.org/officeDocument/2006/relationships" name="Change Register" sheetId="3" state="visible" r:id="rId3"/>
    <sheet xmlns:r="http://schemas.openxmlformats.org/officeDocument/2006/relationships" name="Horizon Scanning" sheetId="4" state="visible" r:id="rId4"/>
    <sheet xmlns:r="http://schemas.openxmlformats.org/officeDocument/2006/relationships" name="Evidence &amp; Review" sheetId="5" state="visible" r:id="rId5"/>
    <sheet xmlns:r="http://schemas.openxmlformats.org/officeDocument/2006/relationships" name="Lists &amp; Guidance" sheetId="6" state="visible" r:id="rId6"/>
    <sheet xmlns:r="http://schemas.openxmlformats.org/officeDocument/2006/relationships" name="INTEGRATION INV-04 DEC-04" sheetId="7" state="visible" r:id="rId7"/>
    <sheet xmlns:r="http://schemas.openxmlformats.org/officeDocument/2006/relationships" name="STANDARDS SCOPE QA" sheetId="8" state="visible" r:id="rId8"/>
    <sheet xmlns:r="http://schemas.openxmlformats.org/officeDocument/2006/relationships" name="MAP &amp; SPLIT CONTRACT" sheetId="9" state="visible" r:id="rId9"/>
  </sheets>
  <definedNames>
    <definedName name="_xlnm.Print_Area" localSheetId="0">'Summary'!$A$1:$H$43</definedName>
    <definedName name="_xlnm.Print_Area" localSheetId="1">'Applicable Requirements'!$A$1:$U$61</definedName>
    <definedName name="_xlnm.Print_Area" localSheetId="2">'Change Register'!$A$1:$O$18</definedName>
    <definedName name="_xlnm.Print_Area" localSheetId="3">'Horizon Scanning'!$A$1:$O$19</definedName>
    <definedName name="_xlnm.Print_Area" localSheetId="4">'Evidence &amp; Review'!$A$1:$O$21</definedName>
    <definedName name="_xlnm.Print_Area" localSheetId="5">'Lists &amp; Guidance'!$A$1:$J$46</definedName>
    <definedName name="_xlnm.Print_Area" localSheetId="6">'INTEGRATION INV-04 DEC-04'!$A$1:$B$11</definedName>
    <definedName name="_xlnm.Print_Area" localSheetId="7">'STANDARDS SCOPE QA'!$A$1:$E$57</definedName>
    <definedName name="_xlnm.Print_Area" localSheetId="8">'MAP &amp; SPLIT CONTRACT'!$A$1:$B$11</definedName>
  </definedNames>
</workbook>
</file>

<file path=xl/styles.xml><?xml version="1.0" encoding="utf-8"?>
<styleSheet xmlns="http://schemas.openxmlformats.org/spreadsheetml/2006/main">
  <numFmts count="1">
    <numFmt numFmtId="164" formatCode="dd/mm/yyyy"/>
  </numFmts>
  <fonts count="25">
    <font>
      <name val="Arial"/>
      <sz val="10"/>
    </font>
    <font>
      <name val="Arial"/>
      <sz val="10"/>
    </font>
    <font>
      <name val="Arial"/>
      <sz val="10"/>
    </font>
    <font>
      <name val="Arial"/>
      <sz val="10"/>
    </font>
    <font>
      <name val="Arial"/>
      <sz val="10"/>
    </font>
    <font>
      <name val="Arial"/>
      <b val="1"/>
      <color rgb="FFFFFFFF"/>
      <sz val="16"/>
    </font>
    <font>
      <name val="Arial"/>
      <i val="1"/>
      <color rgb="FF17212B"/>
      <sz val="9"/>
    </font>
    <font>
      <name val="Arial"/>
      <color rgb="FF17212B"/>
      <sz val="9"/>
    </font>
    <font>
      <name val="Arial"/>
      <b val="1"/>
      <color rgb="FFC00000"/>
      <sz val="9"/>
    </font>
    <font>
      <name val="Arial"/>
      <b val="1"/>
      <color rgb="FFFFFFFF"/>
      <sz val="10"/>
    </font>
    <font>
      <name val="Arial"/>
      <b val="1"/>
      <color rgb="FF08233F"/>
      <sz val="9"/>
    </font>
    <font>
      <name val="Arial"/>
      <b val="1"/>
      <color rgb="FFFFFFFF"/>
      <sz val="9"/>
    </font>
    <font>
      <name val="Arial"/>
      <b val="1"/>
      <color rgb="FF08233F"/>
      <sz val="11"/>
    </font>
    <font>
      <name val="Arial"/>
      <b val="1"/>
      <color rgb="FFFFFFFF"/>
      <sz val="15"/>
    </font>
    <font>
      <name val="Aptos Display"/>
      <b val="1"/>
      <color rgb="FFFFFFFF"/>
      <sz val="15"/>
    </font>
    <font>
      <name val="Aptos"/>
      <b val="1"/>
      <color rgb="FF9C0006"/>
      <sz val="10"/>
    </font>
    <font>
      <b val="1"/>
      <color rgb="FFFFFFFF"/>
    </font>
    <font>
      <b val="1"/>
      <color rgb="FF17365D"/>
    </font>
    <font>
      <name val="Aptos Display"/>
      <b val="1"/>
      <color rgb="FF17324F"/>
      <sz val="16"/>
    </font>
    <font>
      <name val="Aptos"/>
      <b val="1"/>
      <color rgb="FF17324F"/>
      <sz val="11"/>
    </font>
    <font>
      <name val="Aptos"/>
      <color rgb="FF17324F"/>
      <sz val="11"/>
    </font>
    <font>
      <name val="Arial"/>
      <b val="1"/>
      <color rgb="FFFFFFFF"/>
      <sz val="11"/>
    </font>
    <font>
      <name val="Arial"/>
      <color rgb="FF17212B"/>
      <sz val="8"/>
    </font>
    <font>
      <name val="Arial"/>
      <sz val="8"/>
    </font>
    <font>
      <name val="Arial"/>
      <b val="1"/>
      <color rgb="FFC00000"/>
      <sz val="8"/>
    </font>
  </fonts>
  <fills count="16">
    <fill>
      <patternFill/>
    </fill>
    <fill>
      <patternFill patternType="gray125"/>
    </fill>
    <fill>
      <patternFill patternType="solid">
        <fgColor rgb="FF0B2848"/>
      </patternFill>
    </fill>
    <fill>
      <patternFill patternType="solid">
        <fgColor rgb="FFFFF8E1"/>
      </patternFill>
    </fill>
    <fill>
      <patternFill patternType="solid">
        <fgColor rgb="FFF4F8FC"/>
      </patternFill>
    </fill>
    <fill>
      <patternFill patternType="solid">
        <fgColor rgb="FFFCE4D6"/>
      </patternFill>
    </fill>
    <fill>
      <patternFill patternType="solid">
        <fgColor rgb="FFE9EEF4"/>
      </patternFill>
    </fill>
    <fill>
      <patternFill patternType="solid">
        <fgColor rgb="FF1F436B"/>
      </patternFill>
    </fill>
    <fill>
      <patternFill patternType="solid">
        <fgColor rgb="FFD9EAF7"/>
      </patternFill>
    </fill>
    <fill>
      <patternFill patternType="solid">
        <fgColor rgb="FF17365D"/>
      </patternFill>
    </fill>
    <fill>
      <patternFill patternType="solid">
        <fgColor rgb="FFFCE4D6"/>
      </patternFill>
    </fill>
    <fill>
      <patternFill patternType="solid">
        <fgColor rgb="FF4472C4"/>
      </patternFill>
    </fill>
    <fill>
      <patternFill patternType="solid">
        <fgColor rgb="FFD9EAF7"/>
      </patternFill>
    </fill>
    <fill>
      <patternFill patternType="solid">
        <fgColor rgb="FF17354F"/>
      </patternFill>
    </fill>
    <fill>
      <patternFill patternType="solid">
        <fgColor rgb="FFEAF4F3"/>
      </patternFill>
    </fill>
    <fill>
      <patternFill patternType="solid">
        <fgColor rgb="FFF5F9FA"/>
      </patternFill>
    </fill>
  </fills>
  <borders count="10">
    <border/>
    <border>
      <left style="thin">
        <color rgb="FFB4C7DC"/>
      </left>
      <right style="thin">
        <color rgb="FFB4C7DC"/>
      </right>
      <top style="thin">
        <color rgb="FFB4C7DC"/>
      </top>
      <bottom style="thin">
        <color rgb="FFB4C7DC"/>
      </bottom>
    </border>
    <border>
      <left style="thin">
        <color rgb="FFD9E2F3"/>
      </left>
      <right style="thin">
        <color rgb="FFD9E2F3"/>
      </right>
      <top style="thin">
        <color rgb="FFD9E2F3"/>
      </top>
      <bottom style="thin">
        <color rgb="FFD9E2F3"/>
      </bottom>
    </border>
    <border>
      <top style="thin">
        <color rgb="FFB4C7DC"/>
      </top>
    </border>
    <border>
      <right style="thin">
        <color rgb="FFB4C7DC"/>
      </right>
      <top style="thin">
        <color rgb="FFB4C7DC"/>
      </top>
    </border>
    <border>
      <right style="thin">
        <color rgb="FFB4C7DC"/>
      </right>
      <top style="thin">
        <color rgb="FFB4C7DC"/>
      </top>
      <bottom style="thin">
        <color rgb="FFB4C7DC"/>
      </bottom>
    </border>
    <border>
      <top style="thin">
        <color rgb="FFB4C7DC"/>
      </top>
      <bottom style="thin">
        <color rgb="FFB4C7DC"/>
      </bottom>
    </border>
    <border>
      <bottom style="thin">
        <color rgb="FFD9E2F3"/>
      </bottom>
    </border>
    <border>
      <right style="thin">
        <color rgb="FFB4C7DC"/>
      </right>
      <bottom style="thin">
        <color rgb="FFB4C7DC"/>
      </bottom>
    </border>
    <border>
      <right style="thin">
        <color rgb="FFB4C7DC"/>
      </right>
    </border>
  </borders>
  <cellStyleXfs count="6">
    <xf numFmtId="0" fontId="4" fillId="0" borderId="0" applyAlignment="1">
      <alignment horizontal="general" vertical="bottom"/>
    </xf>
    <xf numFmtId="43" fontId="4" fillId="0" borderId="0"/>
    <xf numFmtId="41" fontId="4" fillId="0" borderId="0"/>
    <xf numFmtId="44" fontId="4" fillId="0" borderId="0"/>
    <xf numFmtId="42" fontId="4" fillId="0" borderId="0"/>
    <xf numFmtId="9" fontId="4" fillId="0" borderId="0"/>
  </cellStyleXfs>
  <cellXfs count="7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center"/>
    </xf>
    <xf numFmtId="0" fontId="6" fillId="3" borderId="0" applyAlignment="1" pivotButton="0" quotePrefix="0" xfId="0">
      <alignment horizontal="general" vertical="center"/>
    </xf>
    <xf numFmtId="0" fontId="7" fillId="4" borderId="0" applyAlignment="1" pivotButton="0" quotePrefix="0" xfId="0">
      <alignment horizontal="general" vertical="center"/>
    </xf>
    <xf numFmtId="0" fontId="8" fillId="5" borderId="0" applyAlignment="1" pivotButton="0" quotePrefix="0" xfId="0">
      <alignment horizontal="general" vertical="center" wrapText="1"/>
    </xf>
    <xf numFmtId="0" fontId="9" fillId="2" borderId="0" applyAlignment="1" pivotButton="0" quotePrefix="0" xfId="0">
      <alignment horizontal="general" vertical="bottom"/>
    </xf>
    <xf numFmtId="0" fontId="9" fillId="2" borderId="0" applyAlignment="1" pivotButton="0" quotePrefix="0" xfId="0">
      <alignment horizontal="center" vertical="bottom"/>
    </xf>
    <xf numFmtId="0" fontId="10" fillId="6" borderId="1" applyAlignment="1" pivotButton="0" quotePrefix="0" xfId="0">
      <alignment horizontal="general" vertical="bottom" wrapText="1"/>
    </xf>
    <xf numFmtId="0" fontId="7" fillId="4" borderId="1" applyAlignment="1" pivotButton="0" quotePrefix="0" xfId="0">
      <alignment horizontal="general" vertical="bottom" wrapText="1"/>
    </xf>
    <xf numFmtId="0" fontId="11" fillId="7" borderId="0" applyAlignment="1" pivotButton="0" quotePrefix="0" xfId="0">
      <alignment horizontal="general" vertical="bottom"/>
    </xf>
    <xf numFmtId="0" fontId="10" fillId="6" borderId="1" applyAlignment="1" pivotButton="0" quotePrefix="0" xfId="0">
      <alignment horizontal="general" vertical="bottom"/>
    </xf>
    <xf numFmtId="0" fontId="12" fillId="8" borderId="1" applyAlignment="1" pivotButton="0" quotePrefix="0" xfId="0">
      <alignment horizontal="center" vertical="bottom"/>
    </xf>
    <xf numFmtId="0" fontId="7" fillId="3" borderId="1" applyAlignment="1" pivotButton="0" quotePrefix="0" xfId="0">
      <alignment horizontal="general" vertical="center" wrapText="1"/>
    </xf>
    <xf numFmtId="0" fontId="9" fillId="2" borderId="0" applyAlignment="1" pivotButton="0" quotePrefix="0" xfId="0">
      <alignment horizontal="general" vertical="bottom"/>
    </xf>
    <xf numFmtId="0" fontId="7" fillId="4" borderId="1" applyAlignment="1" pivotButton="0" quotePrefix="0" xfId="0">
      <alignment horizontal="general" vertical="center" wrapText="1"/>
    </xf>
    <xf numFmtId="0" fontId="11" fillId="2"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wrapText="1"/>
    </xf>
    <xf numFmtId="164" fontId="7" fillId="0" borderId="1" applyAlignment="1" pivotButton="0" quotePrefix="0" xfId="0">
      <alignment horizontal="general" vertical="bottom" wrapText="1"/>
    </xf>
    <xf numFmtId="0" fontId="11" fillId="2" borderId="1" applyAlignment="1" pivotButton="0" quotePrefix="0" xfId="0">
      <alignment horizontal="center" vertical="center" wrapText="1"/>
    </xf>
    <xf numFmtId="0" fontId="10" fillId="6" borderId="2" applyAlignment="1" pivotButton="0" quotePrefix="0" xfId="0">
      <alignment horizontal="center" vertical="top" wrapText="1"/>
    </xf>
    <xf numFmtId="0" fontId="7" fillId="0" borderId="2" applyAlignment="1" pivotButton="0" quotePrefix="0" xfId="0">
      <alignment horizontal="general" vertical="top" wrapText="1"/>
    </xf>
    <xf numFmtId="0" fontId="7" fillId="3" borderId="2" applyAlignment="1" pivotButton="0" quotePrefix="0" xfId="0">
      <alignment horizontal="general" vertical="top" wrapText="1"/>
    </xf>
    <xf numFmtId="164" fontId="7" fillId="0" borderId="2" applyAlignment="1" pivotButton="0" quotePrefix="0" xfId="0">
      <alignment horizontal="general" vertical="top" wrapText="1"/>
    </xf>
    <xf numFmtId="1" fontId="7" fillId="0" borderId="2" applyAlignment="1" pivotButton="0" quotePrefix="0" xfId="0">
      <alignment horizontal="general" vertical="top" wrapText="1"/>
    </xf>
    <xf numFmtId="164" fontId="7" fillId="3" borderId="2" applyAlignment="1" pivotButton="0" quotePrefix="0" xfId="0">
      <alignment horizontal="general" vertical="top" wrapText="1"/>
    </xf>
    <xf numFmtId="0" fontId="13" fillId="2" borderId="0" applyAlignment="1" pivotButton="0" quotePrefix="0" xfId="0">
      <alignment horizontal="general" vertical="bottom"/>
    </xf>
    <xf numFmtId="0" fontId="4" fillId="0" borderId="0" applyAlignment="1" pivotButton="0" quotePrefix="0" xfId="0">
      <alignment horizontal="general" vertical="bottom"/>
    </xf>
    <xf numFmtId="0" fontId="0" fillId="0" borderId="0" pivotButton="0" quotePrefix="0" xfId="0"/>
    <xf numFmtId="0" fontId="5" fillId="2" borderId="0" applyAlignment="1" pivotButton="0" quotePrefix="0" xfId="0">
      <alignment horizontal="general" vertical="center"/>
    </xf>
    <xf numFmtId="0" fontId="6" fillId="3" borderId="0" applyAlignment="1" pivotButton="0" quotePrefix="0" xfId="0">
      <alignment horizontal="general" vertical="center"/>
    </xf>
    <xf numFmtId="0" fontId="7" fillId="4" borderId="0" applyAlignment="1" pivotButton="0" quotePrefix="0" xfId="0">
      <alignment horizontal="general" vertical="center"/>
    </xf>
    <xf numFmtId="0" fontId="8" fillId="5" borderId="0" applyAlignment="1" pivotButton="0" quotePrefix="0" xfId="0">
      <alignment horizontal="general" vertical="center" wrapText="1"/>
    </xf>
    <xf numFmtId="0" fontId="9" fillId="2" borderId="0" applyAlignment="1" pivotButton="0" quotePrefix="0" xfId="0">
      <alignment horizontal="general" vertical="bottom"/>
    </xf>
    <xf numFmtId="0" fontId="9" fillId="2" borderId="0" applyAlignment="1" pivotButton="0" quotePrefix="0" xfId="0">
      <alignment horizontal="center" vertical="bottom"/>
    </xf>
    <xf numFmtId="0" fontId="10" fillId="6" borderId="1" applyAlignment="1" pivotButton="0" quotePrefix="0" xfId="0">
      <alignment horizontal="general" vertical="bottom" wrapText="1"/>
    </xf>
    <xf numFmtId="0" fontId="7" fillId="4" borderId="1" applyAlignment="1" pivotButton="0" quotePrefix="0" xfId="0">
      <alignment horizontal="general" vertical="bottom" wrapText="1"/>
    </xf>
    <xf numFmtId="0" fontId="11" fillId="7" borderId="0" applyAlignment="1" pivotButton="0" quotePrefix="0" xfId="0">
      <alignment horizontal="general" vertical="bottom"/>
    </xf>
    <xf numFmtId="0" fontId="10" fillId="6" borderId="1" applyAlignment="1" pivotButton="0" quotePrefix="0" xfId="0">
      <alignment horizontal="general" vertical="bottom"/>
    </xf>
    <xf numFmtId="0" fontId="12" fillId="8" borderId="1" applyAlignment="1" pivotButton="0" quotePrefix="0" xfId="0">
      <alignment horizontal="center" vertical="bottom"/>
    </xf>
    <xf numFmtId="0" fontId="7" fillId="3" borderId="1" applyAlignment="1" pivotButton="0" quotePrefix="0" xfId="0">
      <alignment horizontal="general" vertical="center" wrapText="1"/>
    </xf>
    <xf numFmtId="0" fontId="0" fillId="0" borderId="5" pivotButton="0" quotePrefix="0" xfId="0"/>
    <xf numFmtId="0" fontId="7" fillId="4" borderId="1" applyAlignment="1" pivotButton="0" quotePrefix="0" xfId="0">
      <alignment horizontal="general" vertical="center" wrapText="1"/>
    </xf>
    <xf numFmtId="0" fontId="0" fillId="0" borderId="6" pivotButton="0" quotePrefix="0" xfId="0"/>
    <xf numFmtId="0" fontId="11" fillId="2" borderId="0" applyAlignment="1" pivotButton="0" quotePrefix="0" xfId="0">
      <alignment horizontal="general" vertical="bottom"/>
    </xf>
    <xf numFmtId="0" fontId="7" fillId="0" borderId="1" applyAlignment="1" pivotButton="0" quotePrefix="0" xfId="0">
      <alignment horizontal="general" vertical="bottom" wrapText="1"/>
    </xf>
    <xf numFmtId="164" fontId="7" fillId="0" borderId="1" applyAlignment="1" pivotButton="0" quotePrefix="0" xfId="0">
      <alignment horizontal="general" vertical="bottom" wrapText="1"/>
    </xf>
    <xf numFmtId="0" fontId="11" fillId="2" borderId="1" applyAlignment="1" pivotButton="0" quotePrefix="0" xfId="0">
      <alignment horizontal="center" vertical="center" wrapText="1"/>
    </xf>
    <xf numFmtId="0" fontId="10" fillId="6" borderId="2" applyAlignment="1" pivotButton="0" quotePrefix="0" xfId="0">
      <alignment horizontal="center" vertical="top" wrapText="1"/>
    </xf>
    <xf numFmtId="0" fontId="7" fillId="0" borderId="2" applyAlignment="1" pivotButton="0" quotePrefix="0" xfId="0">
      <alignment horizontal="general" vertical="top" wrapText="1"/>
    </xf>
    <xf numFmtId="0" fontId="7" fillId="3" borderId="2" applyAlignment="1" pivotButton="0" quotePrefix="0" xfId="0">
      <alignment horizontal="general" vertical="top" wrapText="1"/>
    </xf>
    <xf numFmtId="164" fontId="7" fillId="0" borderId="2" applyAlignment="1" pivotButton="0" quotePrefix="0" xfId="0">
      <alignment horizontal="general" vertical="top" wrapText="1"/>
    </xf>
    <xf numFmtId="1" fontId="7" fillId="0" borderId="2" applyAlignment="1" pivotButton="0" quotePrefix="0" xfId="0">
      <alignment horizontal="general" vertical="top" wrapText="1"/>
    </xf>
    <xf numFmtId="164" fontId="7" fillId="3" borderId="2" applyAlignment="1" pivotButton="0" quotePrefix="0" xfId="0">
      <alignment horizontal="general" vertical="top" wrapText="1"/>
    </xf>
    <xf numFmtId="0" fontId="13" fillId="2" borderId="0" applyAlignment="1" pivotButton="0" quotePrefix="0" xfId="0">
      <alignment horizontal="general" vertical="bottom"/>
    </xf>
    <xf numFmtId="0" fontId="14" fillId="9" borderId="0" applyAlignment="1" pivotButton="0" quotePrefix="0" xfId="0">
      <alignment vertical="center" wrapText="1"/>
    </xf>
    <xf numFmtId="0" fontId="15" fillId="10" borderId="0" applyAlignment="1" pivotButton="0" quotePrefix="0" xfId="0">
      <alignment vertical="top" wrapText="1"/>
    </xf>
    <xf numFmtId="0" fontId="16" fillId="11" borderId="0" applyAlignment="1" pivotButton="0" quotePrefix="0" xfId="0">
      <alignment vertical="center" wrapText="1"/>
    </xf>
    <xf numFmtId="0" fontId="17" fillId="12" borderId="7" applyAlignment="1" pivotButton="0" quotePrefix="0" xfId="0">
      <alignment vertical="top" wrapText="1"/>
    </xf>
    <xf numFmtId="0" fontId="0" fillId="0" borderId="7" applyAlignment="1" pivotButton="0" quotePrefix="0" xfId="0">
      <alignment vertical="top" wrapText="1"/>
    </xf>
    <xf numFmtId="0" fontId="16" fillId="13" borderId="0" pivotButton="0" quotePrefix="0" xfId="0"/>
    <xf numFmtId="0" fontId="0" fillId="0" borderId="0" applyAlignment="1" pivotButton="0" quotePrefix="0" xfId="0">
      <alignment vertical="top" wrapText="1"/>
    </xf>
    <xf numFmtId="0" fontId="18" fillId="0" borderId="0" pivotButton="0" quotePrefix="0" xfId="0"/>
    <xf numFmtId="0" fontId="19" fillId="14" borderId="0" applyAlignment="1" pivotButton="0" quotePrefix="0" xfId="0">
      <alignment vertical="top" wrapText="1"/>
    </xf>
    <xf numFmtId="0" fontId="20" fillId="14" borderId="0" applyAlignment="1" pivotButton="0" quotePrefix="0" xfId="0">
      <alignment vertical="top" wrapText="1"/>
    </xf>
    <xf numFmtId="0" fontId="19" fillId="15" borderId="0" applyAlignment="1" pivotButton="0" quotePrefix="0" xfId="0">
      <alignment vertical="top" wrapText="1"/>
    </xf>
    <xf numFmtId="0" fontId="20" fillId="15" borderId="0" applyAlignment="1" pivotButton="0" quotePrefix="0" xfId="0">
      <alignment vertical="top" wrapText="1"/>
    </xf>
    <xf numFmtId="0" fontId="21" fillId="2" borderId="0" applyAlignment="1" pivotButton="0" quotePrefix="0" xfId="0">
      <alignment horizontal="general" vertical="center"/>
    </xf>
    <xf numFmtId="0" fontId="21" fillId="2" borderId="0" applyAlignment="1" pivotButton="0" quotePrefix="0" xfId="0">
      <alignment horizontal="general" vertical="center" wrapText="1"/>
    </xf>
    <xf numFmtId="0" fontId="0" fillId="0" borderId="0" applyAlignment="1" pivotButton="0" quotePrefix="0" xfId="0">
      <alignment horizontal="general" vertical="bottom" wrapText="1"/>
    </xf>
    <xf numFmtId="0" fontId="7" fillId="4" borderId="0" applyAlignment="1" pivotButton="0" quotePrefix="0" xfId="0">
      <alignment horizontal="general" vertical="center" wrapText="1"/>
    </xf>
    <xf numFmtId="0" fontId="8" fillId="5" borderId="0" applyAlignment="1" pivotButton="0" quotePrefix="0" xfId="0">
      <alignment horizontal="general" vertical="center" wrapText="1"/>
    </xf>
    <xf numFmtId="0" fontId="22" fillId="4" borderId="0" applyAlignment="1" pivotButton="0" quotePrefix="0" xfId="0">
      <alignment horizontal="general" vertical="center" wrapText="1"/>
    </xf>
    <xf numFmtId="0" fontId="23" fillId="0" borderId="0" applyAlignment="1" pivotButton="0" quotePrefix="0" xfId="0">
      <alignment horizontal="general" vertical="bottom" wrapText="1"/>
    </xf>
    <xf numFmtId="0" fontId="24" fillId="5" borderId="0" applyAlignment="1" pivotButton="0" quotePrefix="0" xfId="0">
      <alignment horizontal="general" vertical="center" wrapText="1"/>
    </xf>
    <xf numFmtId="0" fontId="12" fillId="12" borderId="1" applyAlignment="1" pivotButton="0" quotePrefix="0" xfId="0">
      <alignment horizontal="center" vertical="bottom"/>
    </xf>
    <xf numFmtId="0" fontId="0" fillId="0" borderId="8" pivotButton="0" quotePrefix="0" xfId="0"/>
    <xf numFmtId="0" fontId="4" fillId="0" borderId="0" pivotButton="0" quotePrefix="0" xfId="0"/>
  </cellXfs>
  <cellStyles count="6">
    <cellStyle name="Normal" xfId="0"/>
    <cellStyle name="Comma" xfId="1"/>
    <cellStyle name="Comma [0]" xfId="2"/>
    <cellStyle name="Currency" xfId="3"/>
    <cellStyle name="Currency [0]" xfId="4"/>
    <cellStyle name="Percent" xfId="5"/>
  </cellStyles>
  <dxfs count="20">
    <dxf>
      <fill>
        <patternFill>
          <bgColor rgb="FF0B2848"/>
        </patternFill>
      </fill>
    </dxf>
    <dxf>
      <fill>
        <patternFill>
          <bgColor rgb="FFE9EEF4"/>
        </patternFill>
      </fill>
    </dxf>
    <dxf>
      <fill>
        <patternFill>
          <bgColor rgb="FF08233F"/>
        </patternFill>
      </fill>
    </dxf>
    <dxf>
      <fill>
        <patternFill>
          <bgColor rgb="FFFFFFFF"/>
        </patternFill>
      </fill>
    </dxf>
    <dxf>
      <fill>
        <patternFill>
          <bgColor rgb="FF000000"/>
        </patternFill>
      </fill>
    </dxf>
    <dxf>
      <fill>
        <patternFill>
          <bgColor rgb="FF17212B"/>
        </patternFill>
      </fill>
    </dxf>
    <dxf>
      <fill>
        <patternFill>
          <bgColor rgb="FFE2F0D9"/>
        </patternFill>
      </fill>
    </dxf>
    <dxf>
      <fill>
        <patternFill>
          <bgColor rgb="FFFFF2CC"/>
        </patternFill>
      </fill>
    </dxf>
    <dxf>
      <fill>
        <patternFill>
          <bgColor rgb="FFFFF8E1"/>
        </patternFill>
      </fill>
    </dxf>
    <dxf>
      <fill>
        <patternFill>
          <bgColor rgb="FF548235"/>
        </patternFill>
      </fill>
    </dxf>
    <dxf>
      <fill>
        <patternFill>
          <bgColor rgb="FFBF7A00"/>
        </patternFill>
      </fill>
    </dxf>
    <dxf>
      <font>
        <b val="1"/>
        <color rgb="FF548235"/>
      </font>
      <fill>
        <patternFill>
          <bgColor rgb="FFE2F0D9"/>
        </patternFill>
      </fill>
    </dxf>
    <dxf>
      <font>
        <b val="1"/>
        <color rgb="FFBF7A00"/>
      </font>
      <fill>
        <patternFill>
          <bgColor rgb="FFFFF2CC"/>
        </patternFill>
      </fill>
    </dxf>
    <dxf>
      <fill>
        <patternFill>
          <bgColor rgb="FFFCE4D6"/>
        </patternFill>
      </fill>
    </dxf>
    <dxf>
      <fill>
        <patternFill>
          <bgColor rgb="FFC00000"/>
        </patternFill>
      </fill>
    </dxf>
    <dxf>
      <font>
        <b val="1"/>
        <color rgb="FFC00000"/>
      </font>
      <fill>
        <patternFill>
          <bgColor rgb="FFFCE4D6"/>
        </patternFill>
      </fill>
    </dxf>
    <dxf/>
    <dxf/>
    <dxf/>
    <dxf>
      <font>
        <color rgb="FF9C0006"/>
      </font>
      <fill>
        <patternFill patternType="solid">
          <fgColor rgb="FFF4CCC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4C7DC"/>
      <rgbColor rgb="FF808080"/>
      <rgbColor rgb="FF9999FF"/>
      <rgbColor rgb="FF993366"/>
      <rgbColor rgb="FFFFF8E1"/>
      <rgbColor rgb="FFD9EA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9EEF4"/>
      <rgbColor rgb="FFE2F0D9"/>
      <rgbColor rgb="FFFFF2CC"/>
      <rgbColor rgb="FFF4F8FC"/>
      <rgbColor rgb="FFFF99CC"/>
      <rgbColor rgb="FFCC99FF"/>
      <rgbColor rgb="FFFCE4D6"/>
      <rgbColor rgb="FF3366FF"/>
      <rgbColor rgb="FF33CCCC"/>
      <rgbColor rgb="FF99CC00"/>
      <rgbColor rgb="FFFFCC00"/>
      <rgbColor rgb="FFFF9900"/>
      <rgbColor rgb="FFBF7A00"/>
      <rgbColor rgb="FF666699"/>
      <rgbColor rgb="FF969696"/>
      <rgbColor rgb="FF0B2848"/>
      <rgbColor rgb="FF339966"/>
      <rgbColor rgb="FF08233F"/>
      <rgbColor rgb="FF333300"/>
      <rgbColor rgb="FF993300"/>
      <rgbColor rgb="FF993366"/>
      <rgbColor rgb="FF1F436B"/>
      <rgbColor rgb="FF17212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ApplicableRequirementsTable" displayName="ApplicableRequirementsTable" ref="A6:U62" headerRowCount="1" totalsRowCount="0" totalsRowShown="0">
  <autoFilter ref="A6:U62"/>
  <tableColumns count="21">
    <tableColumn id="1" name="Requirement ID"/>
    <tableColumn id="2" name="Category"/>
    <tableColumn id="3" name="Authority type"/>
    <tableColumn id="4" name="Requirement / instrument"/>
    <tableColumn id="5" name="Jurisdiction"/>
    <tableColumn id="6" name="Proposed applicability"/>
    <tableColumn id="7" name="Validation status"/>
    <tableColumn id="8" name="Why it applies / trigger"/>
    <tableColumn id="9" name="Principal AIMS / AI obligation"/>
    <tableColumn id="10" name="Proposed owner"/>
    <tableColumn id="11" name="Lifecycle / process"/>
    <tableColumn id="12" name="Related suite references"/>
    <tableColumn id="13" name="ISO / SoA links"/>
    <tableColumn id="14" name="Required compliance evidence"/>
    <tableColumn id="15" name="Authoritative source URL / location"/>
    <tableColumn id="16" name="Last verified"/>
    <tableColumn id="17" name="Review interval (months)"/>
    <tableColumn id="18" name="Next review"/>
    <tableColumn id="19" name="Change state"/>
    <tableColumn id="20" name="Required action / decision"/>
    <tableColumn id="21" name="Record QA"/>
  </tableColumns>
</table>
</file>

<file path=xl/tables/table2.xml><?xml version="1.0" encoding="utf-8"?>
<table xmlns="http://schemas.openxmlformats.org/spreadsheetml/2006/main" id="2" name="RequirementsChangeTable" displayName="RequirementsChangeTable" ref="A6:O20" headerRowCount="1" totalsRowCount="0" totalsRowShown="0">
  <tableColumns count="15">
    <tableColumn id="1" name="Change ID"/>
    <tableColumn id="2" name="Change / event"/>
    <tableColumn id="3" name="Authoritative date"/>
    <tableColumn id="4" name="Affected requirement(s)"/>
    <tableColumn id="5" name="Impact / interpretation"/>
    <tableColumn id="6" name="Required action"/>
    <tableColumn id="7" name="Proposed owner"/>
    <tableColumn id="8" name="Priority"/>
    <tableColumn id="9" name="Status"/>
    <tableColumn id="10" name="Target date"/>
    <tableColumn id="11" name="Implementation / closure evidence"/>
    <tableColumn id="12" name="Authoritative source"/>
    <tableColumn id="13" name="Last reviewed"/>
    <tableColumn id="14" name="Next review"/>
    <tableColumn id="15" name="Record QA"/>
  </tableColumns>
</table>
</file>

<file path=xl/tables/table3.xml><?xml version="1.0" encoding="utf-8"?>
<table xmlns="http://schemas.openxmlformats.org/spreadsheetml/2006/main" id="3" name="HorizonScanningTable" displayName="HorizonScanningTable" ref="A6:O18" headerRowCount="1" totalsRowCount="0" totalsRowShown="0">
  <tableColumns count="15">
    <tableColumn id="1" name="Scan ID"/>
    <tableColumn id="2" name="Channel"/>
    <tableColumn id="3" name="Scope / search terms"/>
    <tableColumn id="4" name="Authoritative source"/>
    <tableColumn id="5" name="Proposed owner"/>
    <tableColumn id="6" name="Frequency"/>
    <tableColumn id="7" name="Method"/>
    <tableColumn id="8" name="Escalation trigger"/>
    <tableColumn id="9" name="Required evidence"/>
    <tableColumn id="10" name="Status"/>
    <tableColumn id="11" name="Last completed"/>
    <tableColumn id="12" name="Next due"/>
    <tableColumn id="13" name="Outcome / action"/>
    <tableColumn id="14" name="Related requirements"/>
    <tableColumn id="15" name="Record QA"/>
  </tableColumns>
</table>
</file>

<file path=xl/tables/table4.xml><?xml version="1.0" encoding="utf-8"?>
<table xmlns="http://schemas.openxmlformats.org/spreadsheetml/2006/main" id="4" name="RequirementsEvidenceTable" displayName="RequirementsEvidenceTable" ref="A6:O21" headerRowCount="1" totalsRowCount="0" totalsRowShown="0">
  <tableColumns count="15">
    <tableColumn id="1" name="Evidence ID"/>
    <tableColumn id="2" name="Domain"/>
    <tableColumn id="3" name="Minimum evidence pack"/>
    <tableColumn id="4" name="Proposed owner"/>
    <tableColumn id="5" name="Affected requirements"/>
    <tableColumn id="6" name="Approved repository / system"/>
    <tableColumn id="7" name="Retention basis"/>
    <tableColumn id="8" name="Sampling / review"/>
    <tableColumn id="9" name="Status"/>
    <tableColumn id="10" name="Evidence location / index"/>
    <tableColumn id="11" name="Last reviewed"/>
    <tableColumn id="12" name="Next review"/>
    <tableColumn id="13" name="Gap / required action"/>
    <tableColumn id="14" name="Related suite references"/>
    <tableColumn id="15" name="Record QA"/>
  </tableColumns>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fitToPage="1"/>
  </sheetPr>
  <dimension ref="A1:H45"/>
  <sheetViews>
    <sheetView showGridLines="0" workbookViewId="0">
      <selection activeCell="A1" sqref="A1"/>
    </sheetView>
  </sheetViews>
  <sheetFormatPr baseColWidth="8" defaultColWidth="9.47265625" defaultRowHeight="15"/>
  <cols>
    <col width="34.06999969482422" customWidth="1" style="28" min="1" max="1"/>
    <col width="37.36999893188477" customWidth="1" style="28" min="2" max="2"/>
    <col width="4.400000095367432" customWidth="1" style="28" min="3" max="3"/>
    <col width="30.77000045776367" customWidth="1" style="28" min="4" max="4"/>
    <col width="17.59000015258789" customWidth="1" style="28" min="5" max="5"/>
    <col width="4.400000095367432" customWidth="1" style="28" min="6" max="6"/>
    <col width="32.97000122070312" customWidth="1" style="28" min="7" max="7"/>
    <col width="18.68000030517578" customWidth="1" style="28" min="8" max="8"/>
  </cols>
  <sheetData>
    <row r="1" ht="32" customHeight="1" s="29">
      <c r="A1" s="69" t="inlineStr">
        <is>
          <t>The Council — AIMS Applicable Requirements and Change Register</t>
        </is>
      </c>
    </row>
    <row r="2" ht="21.75" customHeight="1" s="29">
      <c r="A2" s="31" t="inlineStr">
        <is>
          <t>AIG-AIMS-05  ·  v1.9 draft  ·  Draft for Council review  ·  OFFICIAL  ·  ISO/IEC 42001:2023</t>
        </is>
      </c>
    </row>
    <row r="3" ht="34" customHeight="1" s="29">
      <c r="A3" s="73" t="inlineStr">
        <is>
          <t>Purpose: maintain proposed AIMS requirements, owners, evidence, review and controlled change.</t>
        </is>
      </c>
    </row>
    <row r="4" ht="60" customHeight="1" s="29">
      <c r="A4" s="75" t="inlineStr">
        <is>
          <t>Legal status: desk-review starting point only. Legal Services, the DPO, Monitoring Officer and specialist functions must validate applicability, interpretation, authority, sources and actions before adoption. Existing Council obligations registers remain authoritative.</t>
        </is>
      </c>
    </row>
    <row r="5"/>
    <row r="6" ht="15" customHeight="1" s="29">
      <c r="A6" s="34" t="inlineStr">
        <is>
          <t>Document control</t>
        </is>
      </c>
      <c r="B6" s="34" t="inlineStr">
        <is>
          <t>Controlled value</t>
        </is>
      </c>
      <c r="D6" s="35" t="inlineStr">
        <is>
          <t>Requirements readiness</t>
        </is>
      </c>
      <c r="G6" s="35" t="inlineStr">
        <is>
          <t>Change readiness</t>
        </is>
      </c>
    </row>
    <row r="7" ht="24" customHeight="1" s="29">
      <c r="A7" s="36" t="inlineStr">
        <is>
          <t>Document ID</t>
        </is>
      </c>
      <c r="B7" s="37" t="inlineStr">
        <is>
          <t>AIG-AIMS-05</t>
        </is>
      </c>
      <c r="D7" s="38" t="inlineStr">
        <is>
          <t>Measure</t>
        </is>
      </c>
      <c r="E7" s="38" t="inlineStr">
        <is>
          <t>Result</t>
        </is>
      </c>
      <c r="G7" s="38" t="inlineStr">
        <is>
          <t>Measure</t>
        </is>
      </c>
      <c r="H7" s="38" t="inlineStr">
        <is>
          <t>Result</t>
        </is>
      </c>
    </row>
    <row r="8" ht="24" customHeight="1" s="29">
      <c r="A8" s="36" t="inlineStr">
        <is>
          <t>Version</t>
        </is>
      </c>
      <c r="B8" s="37" t="inlineStr">
        <is>
          <t>1.9 draft</t>
        </is>
      </c>
      <c r="D8" s="39" t="inlineStr">
        <is>
          <t>Desk-reviewed requirements</t>
        </is>
      </c>
      <c r="E8" s="40">
        <f>COUNTA('Applicable Requirements'!$A$7:$A$64)</f>
        <v/>
      </c>
      <c r="G8" s="39" t="inlineStr">
        <is>
          <t>Change records</t>
        </is>
      </c>
      <c r="H8" s="40">
        <f>COUNTA('Change Register'!$A$7:$A$40)</f>
        <v/>
      </c>
    </row>
    <row r="9" ht="24" customHeight="1" s="29">
      <c r="A9" s="36" t="inlineStr">
        <is>
          <t>Status</t>
        </is>
      </c>
      <c r="B9" s="37" t="inlineStr">
        <is>
          <t>Draft for Council review</t>
        </is>
      </c>
      <c r="D9" s="39" t="inlineStr">
        <is>
          <t>Applicable</t>
        </is>
      </c>
      <c r="E9" s="40">
        <f>COUNTIF('Applicable Requirements'!$F$7:$F$64,"Applicable")</f>
        <v/>
      </c>
      <c r="G9" s="39" t="inlineStr">
        <is>
          <t>Critical / high</t>
        </is>
      </c>
      <c r="H9" s="40">
        <f>COUNTIF('Change Register'!$H$7:$H$40,"Critical")+COUNTIF('Change Register'!$H$7:$H$40,"High")</f>
        <v/>
      </c>
    </row>
    <row r="10" ht="24" customHeight="1" s="29">
      <c r="A10" s="36" t="inlineStr">
        <is>
          <t>Document owner</t>
        </is>
      </c>
      <c r="B10" s="37" t="inlineStr">
        <is>
          <t>AI Governance Lead</t>
        </is>
      </c>
      <c r="D10" s="39" t="inlineStr">
        <is>
          <t>Conditional</t>
        </is>
      </c>
      <c r="E10" s="40">
        <f>COUNTIF('Applicable Requirements'!$F$7:$F$64,"Conditional")</f>
        <v/>
      </c>
      <c r="G10" s="39" t="inlineStr">
        <is>
          <t>Assessment required</t>
        </is>
      </c>
      <c r="H10" s="40">
        <f>COUNTIF('Change Register'!$I$7:$I$40,"Assessment required")</f>
        <v/>
      </c>
    </row>
    <row r="11" ht="24" customHeight="1" s="29">
      <c r="A11" s="36" t="inlineStr">
        <is>
          <t>Primary specialist owners</t>
        </is>
      </c>
      <c r="B11" s="37" t="inlineStr">
        <is>
          <t>Legal Services, DPO, Monitoring Officer and named control functions</t>
        </is>
      </c>
      <c r="D11" s="39" t="inlineStr">
        <is>
          <t>Voluntary / proposed adoption</t>
        </is>
      </c>
      <c r="E11" s="40">
        <f>COUNTIF('Applicable Requirements'!$F$7:$F$64,"Voluntary adopted")+COUNTIF('Applicable Requirements'!$F$7:$F$64,"Proposed adoption")</f>
        <v/>
      </c>
      <c r="G11" s="39" t="inlineStr">
        <is>
          <t>Monitoring</t>
        </is>
      </c>
      <c r="H11" s="40">
        <f>COUNTIF('Change Register'!$I$7:$I$40,"Monitoring")</f>
        <v/>
      </c>
    </row>
    <row r="12" ht="24" customHeight="1" s="29">
      <c r="A12" s="36" t="inlineStr">
        <is>
          <t>Approving authority</t>
        </is>
      </c>
      <c r="B12" s="37" t="inlineStr">
        <is>
          <t>To be confirmed under Council delegations</t>
        </is>
      </c>
      <c r="D12" s="39" t="inlineStr">
        <is>
          <t>Specialist validation required</t>
        </is>
      </c>
      <c r="E12" s="40">
        <f>COUNTIF('Applicable Requirements'!$G$7:$G$64,"Specialist validation required")</f>
        <v/>
      </c>
      <c r="G12" s="39" t="inlineStr">
        <is>
          <t>Implemented / closed</t>
        </is>
      </c>
      <c r="H12" s="40">
        <f>COUNTIF('Change Register'!$I$7:$I$40,"Implemented")+COUNTIF('Change Register'!$I$7:$I$40,"Closed")</f>
        <v/>
      </c>
    </row>
    <row r="13" ht="24" customHeight="1" s="29">
      <c r="A13" s="36" t="inlineStr">
        <is>
          <t>Effective date</t>
        </is>
      </c>
      <c r="B13" s="37" t="inlineStr">
        <is>
          <t>Pending formal approval</t>
        </is>
      </c>
      <c r="D13" s="39" t="inlineStr">
        <is>
          <t>Validated</t>
        </is>
      </c>
      <c r="E13" s="40">
        <f>COUNTIF('Applicable Requirements'!$G$7:$G$64,"Validated")</f>
        <v/>
      </c>
      <c r="G13" s="39" t="inlineStr">
        <is>
          <t>Target dates recorded</t>
        </is>
      </c>
      <c r="H13" s="40">
        <f>COUNT('Change Register'!$J$7:$J$40)</f>
        <v/>
      </c>
    </row>
    <row r="14" ht="24" customHeight="1" s="29">
      <c r="A14" s="36" t="inlineStr">
        <is>
          <t>Review frequency</t>
        </is>
      </c>
      <c r="B14" s="37" t="inlineStr">
        <is>
          <t>Monthly change review; annual full validation; event-driven updates</t>
        </is>
      </c>
      <c r="D14" s="39" t="inlineStr">
        <is>
          <t>Reviews due within 90 days</t>
        </is>
      </c>
      <c r="E14" s="40">
        <f>COUNTIFS('Applicable Requirements'!$R$7:$R$64,"&gt;="&amp;TODAY(),'Applicable Requirements'!$R$7:$R$64,"&lt;="&amp;TODAY()+90)</f>
        <v/>
      </c>
      <c r="G14" s="39" t="inlineStr">
        <is>
          <t>Evidence recorded</t>
        </is>
      </c>
      <c r="H14" s="40">
        <f>COUNTA('Change Register'!$K$7:$K$40)</f>
        <v/>
      </c>
    </row>
    <row r="15" ht="24" customHeight="1" s="29">
      <c r="A15" s="36" t="inlineStr">
        <is>
          <t>Source position</t>
        </is>
      </c>
      <c r="B15" s="37" t="inlineStr">
        <is>
          <t>AIG-AIMS-01 section 8; AIG-AIMS-03 IMP-04; official sources verified 2026-08-07 (1-month review items now overdue; see Requirement reviews overdue)</t>
        </is>
      </c>
      <c r="D15" s="39" t="inlineStr">
        <is>
          <t>Requirement QA complete</t>
        </is>
      </c>
      <c r="E15" s="40">
        <f>COUNTIF('Applicable Requirements'!$U$7:$U$64,"Complete")</f>
        <v/>
      </c>
      <c r="G15" s="39" t="inlineStr">
        <is>
          <t>Change QA complete (not overdue)</t>
        </is>
      </c>
      <c r="H15" s="40">
        <f>COUNTIF('Change Register'!$O$7:$O$40,"Complete")</f>
        <v/>
      </c>
    </row>
    <row r="16" ht="24" customHeight="1" s="29">
      <c r="A16" s="36" t="inlineStr">
        <is>
          <t>Classification</t>
        </is>
      </c>
      <c r="B16" s="37" t="inlineStr">
        <is>
          <t>OFFICIAL</t>
        </is>
      </c>
      <c r="D16" s="39" t="inlineStr">
        <is>
          <t>Requirement reviews overdue</t>
        </is>
      </c>
      <c r="E16" s="76">
        <f>COUNTIFS('Applicable Requirements'!$R$7:$R$64,"&lt;"&amp;TODAY())</f>
        <v/>
      </c>
      <c r="G16" s="39" t="inlineStr">
        <is>
          <t>Change reviews overdue</t>
        </is>
      </c>
      <c r="H16" s="76">
        <f>COUNTIFS('Change Register'!$N$7:$N$40,"&lt;"&amp;TODAY())</f>
        <v/>
      </c>
    </row>
    <row r="17"/>
    <row r="18" ht="15" customHeight="1" s="29">
      <c r="D18" s="35" t="inlineStr">
        <is>
          <t>Monitoring and evidence</t>
        </is>
      </c>
      <c r="G18" s="35" t="inlineStr">
        <is>
          <t>Immediate implementation decisions</t>
        </is>
      </c>
    </row>
    <row r="19" ht="27.75" customHeight="1" s="29">
      <c r="D19" s="38" t="inlineStr">
        <is>
          <t>Measure</t>
        </is>
      </c>
      <c r="E19" s="38" t="inlineStr">
        <is>
          <t>Result</t>
        </is>
      </c>
      <c r="G19" s="41" t="inlineStr">
        <is>
          <t>1. Legal, DPO and specialist owners validate all 58 applicability entries.</t>
        </is>
      </c>
      <c r="H19" s="42" t="n"/>
    </row>
    <row r="20" ht="27.75" customHeight="1" s="29">
      <c r="D20" s="39" t="inlineStr">
        <is>
          <t>Horizon channels</t>
        </is>
      </c>
      <c r="E20" s="40">
        <f>COUNTA('Horizon Scanning'!$A$7:$A$19)</f>
        <v/>
      </c>
      <c r="G20" s="41" t="inlineStr">
        <is>
          <t>2. Close the DUAA 2025 gap assessment, including complaints and updated ADM interpretation.</t>
        </is>
      </c>
      <c r="H20" s="42" t="n"/>
    </row>
    <row r="21" ht="27.75" customHeight="1" s="29">
      <c r="D21" s="39" t="inlineStr">
        <is>
          <t>Active channels</t>
        </is>
      </c>
      <c r="E21" s="40">
        <f>COUNTIF('Horizon Scanning'!$J$7:$J$19,"Active")</f>
        <v/>
      </c>
      <c r="G21" s="41" t="inlineStr">
        <is>
          <t>3. Complete EU AI Act territorial/actor screening and apply only where legally in scope.</t>
        </is>
      </c>
      <c r="H21" s="42" t="n"/>
    </row>
    <row r="22" ht="27.75" customHeight="1" s="29">
      <c r="D22" s="39" t="inlineStr">
        <is>
          <t>Completed scans</t>
        </is>
      </c>
      <c r="E22" s="40">
        <f>COUNT('Horizon Scanning'!$K$7:$K$19)</f>
        <v/>
      </c>
      <c r="G22" s="41" t="inlineStr">
        <is>
          <t>4. Formally decide ATRS, ISO/IEC 42001 and related voluntary-standard adoption.</t>
        </is>
      </c>
      <c r="H22" s="42" t="n"/>
    </row>
    <row r="23" ht="27.75" customHeight="1" s="29">
      <c r="D23" s="39" t="inlineStr">
        <is>
          <t>Evidence domains</t>
        </is>
      </c>
      <c r="E23" s="40">
        <f>COUNTA('Evidence &amp; Review'!$A$7:$A$21)</f>
        <v/>
      </c>
      <c r="G23" s="41" t="inlineStr">
        <is>
          <t>5. Populate the authoritative Council policy, Constitution and delegation sources.</t>
        </is>
      </c>
      <c r="H23" s="42" t="n"/>
    </row>
    <row r="24" ht="27.75" customHeight="1" s="29">
      <c r="D24" s="39" t="inlineStr">
        <is>
          <t>Evidence locations recorded</t>
        </is>
      </c>
      <c r="E24" s="40">
        <f>COUNTA('Evidence &amp; Review'!$J$7:$J$21)</f>
        <v/>
      </c>
      <c r="G24" s="41" t="inlineStr">
        <is>
          <t>6. Approve horizon-scanning ownership, cadence, escalation and evidence.</t>
        </is>
      </c>
      <c r="H24" s="42" t="n"/>
    </row>
    <row r="25" ht="27.75" customHeight="1" s="29">
      <c r="D25" s="39" t="inlineStr">
        <is>
          <t>Evidence records complete</t>
        </is>
      </c>
      <c r="E25" s="40">
        <f>COUNTIF('Evidence &amp; Review'!$O$7:$O$21,"Complete")</f>
        <v/>
      </c>
      <c r="G25" s="41" t="inlineStr">
        <is>
          <t>7. Link every live AI Register record to case-specific legal, contract and partnership obligations.</t>
        </is>
      </c>
      <c r="H25" s="42" t="n"/>
    </row>
    <row r="26" ht="27.75" customHeight="1" s="29">
      <c r="G26" s="77" t="n"/>
      <c r="H26" s="77" t="n"/>
    </row>
    <row r="27"/>
    <row r="28" ht="15" customHeight="1" s="29">
      <c r="A28" s="34" t="inlineStr">
        <is>
          <t>Controlled requirements and change process</t>
        </is>
      </c>
    </row>
    <row r="29" ht="27" customHeight="1" s="29">
      <c r="A29" s="43" t="inlineStr">
        <is>
          <t>1. Identify an authoritative source or received obligation; record its legal/policy status and date.</t>
        </is>
      </c>
      <c r="B29" s="44" t="n"/>
      <c r="C29" s="44" t="n"/>
      <c r="D29" s="44" t="n"/>
      <c r="E29" s="44" t="n"/>
      <c r="F29" s="44" t="n"/>
      <c r="G29" s="44" t="n"/>
      <c r="H29" s="42" t="n"/>
    </row>
    <row r="30" ht="27" customHeight="1" s="29">
      <c r="A30" s="43" t="inlineStr">
        <is>
          <t>2. Specialist owner validates applicability, interpretation, affected services/systems and any conflict.</t>
        </is>
      </c>
      <c r="B30" s="44" t="n"/>
      <c r="C30" s="44" t="n"/>
      <c r="D30" s="44" t="n"/>
      <c r="E30" s="44" t="n"/>
      <c r="F30" s="44" t="n"/>
      <c r="G30" s="44" t="n"/>
      <c r="H30" s="42" t="n"/>
    </row>
    <row r="31" ht="27" customHeight="1" s="29">
      <c r="A31" s="43" t="inlineStr">
        <is>
          <t>3. Assign an accountable owner, evidence, review frequency and affected AIMS/process/control references.</t>
        </is>
      </c>
      <c r="B31" s="44" t="n"/>
      <c r="C31" s="44" t="n"/>
      <c r="D31" s="44" t="n"/>
      <c r="E31" s="44" t="n"/>
      <c r="F31" s="44" t="n"/>
      <c r="G31" s="44" t="n"/>
      <c r="H31" s="42" t="n"/>
    </row>
    <row r="32" ht="27" customHeight="1" s="29">
      <c r="A32" s="43" t="inlineStr">
        <is>
          <t>4. Assess change significance and urgency; record decision, target, resources and interim risk controls.</t>
        </is>
      </c>
      <c r="B32" s="44" t="n"/>
      <c r="C32" s="44" t="n"/>
      <c r="D32" s="44" t="n"/>
      <c r="E32" s="44" t="n"/>
      <c r="F32" s="44" t="n"/>
      <c r="G32" s="44" t="n"/>
      <c r="H32" s="42" t="n"/>
    </row>
    <row r="33" ht="27" customHeight="1" s="29">
      <c r="A33" s="43" t="inlineStr">
        <is>
          <t>5. Update affected policies, artefacts, contracts, systems, training and communications through approved change control.</t>
        </is>
      </c>
      <c r="B33" s="44" t="n"/>
      <c r="C33" s="44" t="n"/>
      <c r="D33" s="44" t="n"/>
      <c r="E33" s="44" t="n"/>
      <c r="F33" s="44" t="n"/>
      <c r="G33" s="44" t="n"/>
      <c r="H33" s="42" t="n"/>
    </row>
    <row r="34" ht="27" customHeight="1" s="29">
      <c r="A34" s="43" t="inlineStr">
        <is>
          <t>6. Verify implementation and effectiveness; retain evidence and close or continue monitoring.</t>
        </is>
      </c>
      <c r="B34" s="44" t="n"/>
      <c r="C34" s="44" t="n"/>
      <c r="D34" s="44" t="n"/>
      <c r="E34" s="44" t="n"/>
      <c r="F34" s="44" t="n"/>
      <c r="G34" s="44" t="n"/>
      <c r="H34" s="42" t="n"/>
    </row>
    <row r="35" ht="35" customHeight="1" s="29">
      <c r="A35" s="43" t="inlineStr">
        <is>
          <t>7. Feed open changes, overdue reviews, evidence gaps, material changes and trends into risk treatment, audit and AIMS management review.</t>
        </is>
      </c>
      <c r="B35" s="44" t="n"/>
      <c r="C35" s="44" t="n"/>
      <c r="D35" s="44" t="n"/>
      <c r="E35" s="44" t="n"/>
      <c r="F35" s="44" t="n"/>
      <c r="G35" s="44" t="n"/>
      <c r="H35" s="42" t="n"/>
    </row>
    <row r="36"/>
    <row r="37" ht="15" customHeight="1" s="29">
      <c r="A37" s="45" t="inlineStr">
        <is>
          <t>Version</t>
        </is>
      </c>
      <c r="B37" s="45" t="inlineStr">
        <is>
          <t>Date</t>
        </is>
      </c>
      <c r="C37" s="45" t="inlineStr">
        <is>
          <t>Change</t>
        </is>
      </c>
      <c r="G37" s="45" t="inlineStr">
        <is>
          <t>Author / owner</t>
        </is>
      </c>
    </row>
    <row r="38" ht="39" customHeight="1" s="29">
      <c r="A38" s="46" t="inlineStr">
        <is>
          <t>1.0 draft</t>
        </is>
      </c>
      <c r="B38" s="47" t="n">
        <v>46241</v>
      </c>
      <c r="C38" s="46" t="inlineStr">
        <is>
          <t>Initial applicable-requirements, regulatory-change, horizon-scanning and evidence design aligned to AIG-AIMS-01 and AIG-AIMS-03 IMP-04; official sources checked 2026-08-07.</t>
        </is>
      </c>
      <c r="D38" s="44" t="n"/>
      <c r="E38" s="44" t="n"/>
      <c r="F38" s="42" t="n"/>
      <c r="G38" s="46" t="inlineStr">
        <is>
          <t>AI Governance Lead</t>
        </is>
      </c>
      <c r="H38" s="42" t="n"/>
    </row>
    <row r="39" s="29">
      <c r="A39" s="0" t="inlineStr">
        <is>
          <t>1.3 draft</t>
        </is>
      </c>
      <c r="B39" s="0" t="inlineStr">
        <is>
          <t>28 September 2026</t>
        </is>
      </c>
      <c r="C39" s="0" t="inlineStr">
        <is>
          <t>Correct review interval QA, validate positive whole months and make applicability colours exact.</t>
        </is>
      </c>
    </row>
    <row r="40">
      <c r="A40" s="28" t="inlineStr">
        <is>
          <t>1.4 draft</t>
        </is>
      </c>
      <c r="B40" s="28" t="inlineStr">
        <is>
          <t>29 September 2026</t>
        </is>
      </c>
      <c r="C40" s="28" t="inlineStr">
        <is>
          <t>QA remediation — applied findings QA-168, QA-218, QA-220, QA-222, QA-223, QA-238, QA-240, QA-241, QA-251, QA-256, QA-257, QA-284, QA-287, QA-291 and decision D9 legal dates (see QA change log). CHG-001 split; CHG-013 added. Integration pass: REQ-052 (DSIT Code of Practice for the Cyber Security of AI, January 2025) and REQ-053 (ETSI EN 304 223, January 2026) added; inventory now 53 entries.</t>
        </is>
      </c>
      <c r="D40" s="78" t="n"/>
      <c r="E40" s="78" t="n"/>
      <c r="F40" s="78" t="n"/>
      <c r="G40" s="78" t="inlineStr">
        <is>
          <t>AI Governance Lead</t>
        </is>
      </c>
      <c r="H40" s="78" t="n"/>
    </row>
    <row r="41">
      <c r="A41" s="28" t="inlineStr">
        <is>
          <t>1.5 draft</t>
        </is>
      </c>
      <c r="B41" s="28" t="inlineStr">
        <is>
          <t>30 September 2026</t>
        </is>
      </c>
      <c r="C41" s="28" t="inlineStr">
        <is>
          <t>v3.9.1: REQ-054 added: Civil Contingencies Act 2004 (Category 1 responder duties, including business continuity arrangements), conditional where an AI use supports a prioritised activity in the Council’s business continuity plans, linked to AIG-OPS-01 section 8 (new business continuity link) and AIG-ASS-08 section 8; added to STANDARDS SCOPE QA, EVD-07, EVD-15 and SCN-01; inventory now 54 entries. Proposed — for Council confirmation.</t>
        </is>
      </c>
      <c r="D41" s="78" t="n"/>
      <c r="E41" s="78" t="n"/>
      <c r="F41" s="78" t="n"/>
      <c r="G41" s="78" t="inlineStr">
        <is>
          <t>AI Governance Lead</t>
        </is>
      </c>
      <c r="H41" s="78" t="n"/>
    </row>
    <row r="42">
      <c r="A42" s="28" t="inlineStr">
        <is>
          <t>1.6 draft</t>
        </is>
      </c>
      <c r="B42" s="28" t="inlineStr">
        <is>
          <t>1 October 2026</t>
        </is>
      </c>
      <c r="C42" s="28" t="inlineStr">
        <is>
          <t>v3.9.3: REQ-055 added: NIST AI 600-1 Artificial Intelligence Risk Management Framework: Generative Artificial Intelligence Profile (July 2024), voluntary guidance (US), reference only, not statutory; relevance: generative AI risk prompts and actions; linked to the Playbook (§4.3, §5.4.3, §5.4.4), the new AIG-AIMS-11 risk domain crosswalk, AIG-ASS-04 and AIG-ASS-11; added to STANDARDS SCOPE QA and EVD-15; inventory now 55 entries; last verified 1 October 2026. Applicable Requirements table filter range corrected to the full table. Proposed — for Council confirmation.</t>
        </is>
      </c>
      <c r="D42" s="78" t="n"/>
      <c r="E42" s="78" t="n"/>
      <c r="F42" s="78" t="n"/>
      <c r="G42" s="78" t="inlineStr">
        <is>
          <t>AI Governance Lead</t>
        </is>
      </c>
      <c r="H42" s="78" t="n"/>
    </row>
    <row r="43" s="29">
      <c r="A43" s="28" t="inlineStr">
        <is>
          <t>1.7 draft</t>
        </is>
      </c>
      <c r="B43" s="28" t="inlineStr">
        <is>
          <t>1 October 2026</t>
        </is>
      </c>
      <c r="C43" s="28" t="inlineStr">
        <is>
          <t>v3.9.4: Horizon Scanning SCN-07 widened from ISO only to a standards bodies channel: ISO/IEC JTC 1/SC 42, NIST (AI publications, including the AI RMF and NIST AI 600-1) and ETSI (Securing AI); quarterly; owner AI Governance Lead; any change logged against the linked requirements REQ-041, REQ-042, REQ-053 and REQ-055 (related requirements now REQ-040 to REQ-043, REQ-053, REQ-055; NIST and ETSI source URLs added). REQ-042 required action: validate the AIG-AIMS-11 crosswalk against the Council’s licensed copy of ISO/IEC 42005 before formal adoption (not a pilot blocker). No columns added. Proposed — for Council confirmation.</t>
        </is>
      </c>
      <c r="D43" s="78" t="n"/>
      <c r="E43" s="78" t="n"/>
      <c r="F43" s="78" t="n"/>
      <c r="G43" s="78" t="inlineStr">
        <is>
          <t>AI Governance Lead</t>
        </is>
      </c>
      <c r="H43" s="78" t="n"/>
    </row>
    <row r="44" s="29">
      <c r="A44" s="28" t="inlineStr">
        <is>
          <t>1.8 draft</t>
        </is>
      </c>
      <c r="B44" s="28" t="inlineStr">
        <is>
          <t>2 October 2026</t>
        </is>
      </c>
      <c r="C44" s="28" t="inlineStr">
        <is>
          <t>v3.9.5: REQ-056 added: The Data Protection Act 2018 (Code of Practice on Artificial Intelligence and Automated Decision-Making) Regulations 2026 (SI 2026/425), requiring an ICO statutory code of practice on AI and automated decision-making, from regulatory scanner review REG-0001; CHG-014 added; linked to SCN-01, SCN-03 and EVD-01 (inventory now 56 entries). RequirementsChangeTable range also extended to include CHG-012 to CHG-014. Proposed — for Council confirmation.</t>
        </is>
      </c>
      <c r="D44" s="78" t="n"/>
      <c r="E44" s="78" t="n"/>
      <c r="F44" s="78" t="n"/>
      <c r="G44" s="78" t="inlineStr">
        <is>
          <t>AI Governance Lead</t>
        </is>
      </c>
      <c r="H44" s="78" t="n"/>
    </row>
    <row r="45" s="29">
      <c r="A45" s="28" t="inlineStr">
        <is>
          <t>1.9 draft</t>
        </is>
      </c>
      <c r="B45" s="28" t="inlineStr">
        <is>
          <t>12 October 2026</t>
        </is>
      </c>
      <c r="C45" s="28" t="inlineStr">
        <is>
          <t>v3.9.10: REQ-057 DAMA-DMBOK (Data Management Body of Knowledge, 2nd Edition Revised) and REQ-058 ISO/IEC 5259 series (data quality for analytics and machine learning) added as voluntary references; the inventory now holds 58 entries. Standards scope QA and evidence coverage (EVD-15) extended. Proposed — for Council confirmation.</t>
        </is>
      </c>
      <c r="D45" s="78" t="n"/>
      <c r="E45" s="78" t="n"/>
      <c r="F45" s="78" t="n"/>
      <c r="G45" s="78" t="inlineStr">
        <is>
          <t>AI Governance Lead</t>
        </is>
      </c>
      <c r="H45" s="78" t="n"/>
    </row>
  </sheetData>
  <mergeCells count="28">
    <mergeCell ref="G21:H21"/>
    <mergeCell ref="A30:H30"/>
    <mergeCell ref="C38:F38"/>
    <mergeCell ref="G23:H23"/>
    <mergeCell ref="A1:H1"/>
    <mergeCell ref="C37:F37"/>
    <mergeCell ref="D6:E6"/>
    <mergeCell ref="G38:H38"/>
    <mergeCell ref="G19:H19"/>
    <mergeCell ref="G37:H37"/>
    <mergeCell ref="G6:H6"/>
    <mergeCell ref="G18:H18"/>
    <mergeCell ref="A3:H3"/>
    <mergeCell ref="G24:H24"/>
    <mergeCell ref="A2:H2"/>
    <mergeCell ref="A33:H33"/>
    <mergeCell ref="D18:E18"/>
    <mergeCell ref="A32:H32"/>
    <mergeCell ref="G26:H26"/>
    <mergeCell ref="A4:H4"/>
    <mergeCell ref="G20:H20"/>
    <mergeCell ref="A29:H29"/>
    <mergeCell ref="A35:H35"/>
    <mergeCell ref="G25:H25"/>
    <mergeCell ref="A28:H28"/>
    <mergeCell ref="G22:H22"/>
    <mergeCell ref="A31:H31"/>
    <mergeCell ref="A34:H34"/>
  </mergeCells>
  <conditionalFormatting sqref="E16">
    <cfRule type="expression" priority="1" dxfId="19">
      <formula>E16&gt;0</formula>
    </cfRule>
  </conditionalFormatting>
  <conditionalFormatting sqref="H16">
    <cfRule type="expression" priority="2" dxfId="19">
      <formula>H16&gt;0</formula>
    </cfRule>
  </conditionalFormatting>
  <pageMargins left="0.7" right="0.7" top="0.75" bottom="0.75" header="0.3" footer="0.3"/>
  <pageSetup orientation="landscape" paperSize="9" fitToHeight="0" fitToWidth="1" useFirstPageNumber="0"/>
  <headerFooter>
    <oddHeader>&amp;C&amp;"Arial,Regular"&amp;8 The Council — AIMS Applicable Requirements and Change Register</oddHeader>
    <oddFooter>&amp;C&amp;"Arial,Regular"&amp;8 AIG-AIMS-05 · v1.9 draft · Draft for Council review · OFFICIAL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U64"/>
  <sheetViews>
    <sheetView showGridLines="0" workbookViewId="0">
      <pane ySplit="6" topLeftCell="A7" activePane="bottomLeft" state="frozen"/>
      <selection activeCell="A1" sqref="A1"/>
    </sheetView>
  </sheetViews>
  <sheetFormatPr baseColWidth="8" defaultColWidth="9.47265625" defaultRowHeight="15"/>
  <cols>
    <col width="13.1899995803833" customWidth="1" style="28" min="1" max="1"/>
    <col width="28.57999992370605" customWidth="1" style="28" min="2" max="2"/>
    <col width="26.3799991607666" customWidth="1" style="28" min="3" max="3"/>
    <col width="41.7599983215332" customWidth="1" style="28" min="4" max="4"/>
    <col width="24.18000030517578" customWidth="1" style="28" min="5" max="6"/>
    <col width="26.3799991607666" customWidth="1" style="28" min="7" max="7"/>
    <col width="42.86999893188477" customWidth="1" style="28" min="8" max="8"/>
    <col width="50.56000137329102" customWidth="1" style="28" min="9" max="9"/>
    <col width="30.77000045776367" customWidth="1" style="28" min="10" max="10"/>
    <col width="32.97000122070312" customWidth="1" style="28" min="11" max="11"/>
    <col width="29.65999984741211" customWidth="1" style="28" min="12" max="12"/>
    <col width="26.3799991607666" customWidth="1" style="28" min="13" max="13"/>
    <col width="40.66999816894531" customWidth="1" style="28" min="14" max="14"/>
    <col width="46.15999984741211" customWidth="1" style="28" min="15" max="15"/>
    <col width="14.28999996185303" customWidth="1" style="28" min="16" max="16"/>
    <col width="15.39000034332275" customWidth="1" style="28" min="17" max="17"/>
    <col width="14.28999996185303" customWidth="1" style="28" min="18" max="18"/>
    <col width="24.18000030517578" customWidth="1" style="28" min="19" max="19"/>
    <col width="43.97999954223633" customWidth="1" style="28" min="20" max="20"/>
    <col width="17.59000015258789" customWidth="1" style="28" min="21" max="21"/>
  </cols>
  <sheetData>
    <row r="1" ht="31.5" customHeight="1" s="29">
      <c r="A1" s="30" t="inlineStr">
        <is>
          <t>The Council — Applicable Requirements Register</t>
        </is>
      </c>
    </row>
    <row r="2" ht="21.75" customHeight="1" s="29">
      <c r="A2" s="31" t="inlineStr">
        <is>
          <t>AIG-AIMS-05  ·  v1.9 draft  ·  Draft for Council review  ·  OFFICIAL  ·  ISO/IEC 42001:2023</t>
        </is>
      </c>
    </row>
    <row r="3" ht="24" customHeight="1" s="29">
      <c r="A3" s="32" t="inlineStr">
        <is>
          <t>Purpose: record authoritative requirements, proposed applicability, validation, ownership, affected processes, evidence, source, review and change decisions for the AIMS scope.</t>
        </is>
      </c>
    </row>
    <row r="4" ht="30" customHeight="1" s="29">
      <c r="A4" s="72" t="inlineStr">
        <is>
          <t>Current position: all 58 entries are desk-reviewed and require competent specialist validation. 'Applicable' does not mean every provision applies to every AI system; case-specific triggers and interpretations must be recorded by authorised Council functions.</t>
        </is>
      </c>
    </row>
    <row r="5"/>
    <row r="6" ht="45.75" customHeight="1" s="29">
      <c r="A6" s="48" t="inlineStr">
        <is>
          <t>Requirement ID</t>
        </is>
      </c>
      <c r="B6" s="48" t="inlineStr">
        <is>
          <t>Category</t>
        </is>
      </c>
      <c r="C6" s="48" t="inlineStr">
        <is>
          <t>Authority type</t>
        </is>
      </c>
      <c r="D6" s="48" t="inlineStr">
        <is>
          <t>Requirement / instrument</t>
        </is>
      </c>
      <c r="E6" s="48" t="inlineStr">
        <is>
          <t>Jurisdiction</t>
        </is>
      </c>
      <c r="F6" s="48" t="inlineStr">
        <is>
          <t>Proposed applicability</t>
        </is>
      </c>
      <c r="G6" s="48" t="inlineStr">
        <is>
          <t>Validation status</t>
        </is>
      </c>
      <c r="H6" s="48" t="inlineStr">
        <is>
          <t>Why it applies / trigger</t>
        </is>
      </c>
      <c r="I6" s="48" t="inlineStr">
        <is>
          <t>Principal AIMS / AI obligation</t>
        </is>
      </c>
      <c r="J6" s="48" t="inlineStr">
        <is>
          <t>Proposed owner</t>
        </is>
      </c>
      <c r="K6" s="48" t="inlineStr">
        <is>
          <t>Lifecycle / process</t>
        </is>
      </c>
      <c r="L6" s="48" t="inlineStr">
        <is>
          <t>Related suite references</t>
        </is>
      </c>
      <c r="M6" s="48" t="inlineStr">
        <is>
          <t>ISO / SoA links</t>
        </is>
      </c>
      <c r="N6" s="48" t="inlineStr">
        <is>
          <t>Required compliance evidence</t>
        </is>
      </c>
      <c r="O6" s="48" t="inlineStr">
        <is>
          <t>Authoritative source URL / location</t>
        </is>
      </c>
      <c r="P6" s="48" t="inlineStr">
        <is>
          <t>Last verified</t>
        </is>
      </c>
      <c r="Q6" s="48" t="inlineStr">
        <is>
          <t>Review interval (months)</t>
        </is>
      </c>
      <c r="R6" s="48" t="inlineStr">
        <is>
          <t>Next review</t>
        </is>
      </c>
      <c r="S6" s="48" t="inlineStr">
        <is>
          <t>Change state</t>
        </is>
      </c>
      <c r="T6" s="48" t="inlineStr">
        <is>
          <t>Required action / decision</t>
        </is>
      </c>
      <c r="U6" s="48" t="inlineStr">
        <is>
          <t>Record QA</t>
        </is>
      </c>
    </row>
    <row r="7" ht="42.75" customHeight="1" s="29">
      <c r="A7" s="49" t="inlineStr">
        <is>
          <t>REQ-001</t>
        </is>
      </c>
      <c r="B7" s="50" t="inlineStr">
        <is>
          <t>Data protection and privacy</t>
        </is>
      </c>
      <c r="C7" s="50" t="inlineStr">
        <is>
          <t>Legislation</t>
        </is>
      </c>
      <c r="D7" s="50" t="inlineStr">
        <is>
          <t>UK General Data Protection Regulation (UK GDPR), as amended</t>
        </is>
      </c>
      <c r="E7" s="50" t="inlineStr">
        <is>
          <t>United Kingdom</t>
        </is>
      </c>
      <c r="F7" s="51" t="inlineStr">
        <is>
          <t>Applicable</t>
        </is>
      </c>
      <c r="G7" s="51" t="inlineStr">
        <is>
          <t>Specialist validation required</t>
        </is>
      </c>
      <c r="H7" s="50" t="inlineStr">
        <is>
          <t>Council AI trains on, receives, infers, generates or otherwise processes personal data.</t>
        </is>
      </c>
      <c r="I7" s="50" t="inlineStr">
        <is>
          <t>Establish lawful basis and purpose; apply fairness, transparency, minimisation, accuracy, retention, security, accountability, rights, DPIA and processor/controller controls. Interpret automated decision-making together with the DUAA and current ICO guidance.</t>
        </is>
      </c>
      <c r="J7" s="50" t="inlineStr">
        <is>
          <t>DPO / Information Governance</t>
        </is>
      </c>
      <c r="K7" s="50" t="inlineStr">
        <is>
          <t>Intake; data; design; procurement; deployment; monitoring; incidents; retirement</t>
        </is>
      </c>
      <c r="L7" s="50" t="inlineStr">
        <is>
          <t>AIG-INV-03, AIG-ASS-02, AIG-ASS-04, AIG-ASS-05, AIG-ASS-08, AIG-ASS-09, AIG-OPS-03, AIG-OPS-01</t>
        </is>
      </c>
      <c r="M7" s="50" t="inlineStr">
        <is>
          <t>ISO 4.2, 6.1, 8.1; A.5, A.7, A.8</t>
        </is>
      </c>
      <c r="N7" s="50" t="inlineStr">
        <is>
          <t>ROPA; DPIA; privacy information; lawful-basis decision; data map; rights/complaint records; contracts; monitoring</t>
        </is>
      </c>
      <c r="O7" s="50" t="inlineStr">
        <is>
          <t>https://www.legislation.gov.uk/eur/2016/679/contents</t>
        </is>
      </c>
      <c r="P7" s="52" t="n">
        <v>46241</v>
      </c>
      <c r="Q7" s="53" t="n">
        <v>3</v>
      </c>
      <c r="R7" s="52">
        <f>IF(P7="","",IF(OR(NOT(ISNUMBER(P7)),NOT(ISNUMBER(Q7)),Q7&lt;0,Q7&lt;&gt;INT(Q7)),"CHECK DATE / INTERVAL",EDATE(P7,Q7)))</f>
        <v/>
      </c>
      <c r="S7" s="50" t="inlineStr">
        <is>
          <t>Amended</t>
        </is>
      </c>
      <c r="T7" s="50" t="inlineStr">
        <is>
          <t>DPO/Legal to validate current article-level mapping after DUAA amendments and identify every in-scope system.</t>
        </is>
      </c>
      <c r="U7" s="50">
        <f>IF(AND(A7&lt;&gt;"",B7&lt;&gt;"",C7&lt;&gt;"",D7&lt;&gt;"",E7&lt;&gt;"",F7&lt;&gt;"",G7&lt;&gt;"",H7&lt;&gt;"",I7&lt;&gt;"",J7&lt;&gt;"",K7&lt;&gt;"",L7&lt;&gt;"",M7&lt;&gt;"",N7&lt;&gt;"",O7&lt;&gt;"",P7&lt;&gt;"",AND(ISNUMBER(P7),ISNUMBER(Q7),Q7&gt;0,Q7=INT(Q7),ISNUMBER(R7)),S7&lt;&gt;"",T7&lt;&gt;""),IF(AND(ISNUMBER(R7),R7&lt;TODAY()),"Review overdue","Complete"),"Incomplete")</f>
        <v/>
      </c>
    </row>
    <row r="8" ht="42.75" customHeight="1" s="29">
      <c r="A8" s="49" t="inlineStr">
        <is>
          <t>REQ-002</t>
        </is>
      </c>
      <c r="B8" s="50" t="inlineStr">
        <is>
          <t>Data protection and privacy</t>
        </is>
      </c>
      <c r="C8" s="50" t="inlineStr">
        <is>
          <t>Legislation</t>
        </is>
      </c>
      <c r="D8" s="50" t="inlineStr">
        <is>
          <t>Data Protection Act 2018, as amended</t>
        </is>
      </c>
      <c r="E8" s="50" t="inlineStr">
        <is>
          <t>United Kingdom</t>
        </is>
      </c>
      <c r="F8" s="51" t="inlineStr">
        <is>
          <t>Applicable</t>
        </is>
      </c>
      <c r="G8" s="51" t="inlineStr">
        <is>
          <t>Specialist validation required</t>
        </is>
      </c>
      <c r="H8" s="50" t="inlineStr">
        <is>
          <t>The Council processes general, special-category, criminal-offence and potentially law-enforcement data.</t>
        </is>
      </c>
      <c r="I8" s="50" t="inlineStr">
        <is>
          <t>Apply the correct processing regime, conditions and safeguards; retain DPO advice; manage exemptions, enforcement, offences and data-subject rights. Determine Part 3 competent-authority processing case by case.</t>
        </is>
      </c>
      <c r="J8" s="50" t="inlineStr">
        <is>
          <t>DPO / Legal Services</t>
        </is>
      </c>
      <c r="K8" s="50" t="inlineStr">
        <is>
          <t>Intake; data; DPIA; operations; incidents; complaints</t>
        </is>
      </c>
      <c r="L8" s="50" t="inlineStr">
        <is>
          <t>AIG-ASS-02, AIG-ASS-04, AIG-ASS-05, AIG-OPS-03</t>
        </is>
      </c>
      <c r="M8" s="50" t="inlineStr">
        <is>
          <t>ISO 4.2, 6.1, 8.1; A.5, A.7</t>
        </is>
      </c>
      <c r="N8" s="50" t="inlineStr">
        <is>
          <t>Processing-regime decision; condition schedules; DPIA; DPO advice; rights and incident records</t>
        </is>
      </c>
      <c r="O8" s="50" t="inlineStr">
        <is>
          <t>https://www.legislation.gov.uk/ukpga/2018/12/contents</t>
        </is>
      </c>
      <c r="P8" s="52" t="n">
        <v>46241</v>
      </c>
      <c r="Q8" s="53" t="n">
        <v>3</v>
      </c>
      <c r="R8" s="52">
        <f>IF(P8="","",IF(OR(NOT(ISNUMBER(P8)),NOT(ISNUMBER(Q8)),Q8&lt;0,Q8&lt;&gt;INT(Q8)),"CHECK DATE / INTERVAL",EDATE(P8,Q8)))</f>
        <v/>
      </c>
      <c r="S8" s="50" t="inlineStr">
        <is>
          <t>Amended</t>
        </is>
      </c>
      <c r="T8" s="50" t="inlineStr">
        <is>
          <t>DPO/Legal to confirm Part 2/Part 3 applicability, schedules and any service-specific exemptions.</t>
        </is>
      </c>
      <c r="U8" s="50">
        <f>IF(AND(A8&lt;&gt;"",B8&lt;&gt;"",C8&lt;&gt;"",D8&lt;&gt;"",E8&lt;&gt;"",F8&lt;&gt;"",G8&lt;&gt;"",H8&lt;&gt;"",I8&lt;&gt;"",J8&lt;&gt;"",K8&lt;&gt;"",L8&lt;&gt;"",M8&lt;&gt;"",N8&lt;&gt;"",O8&lt;&gt;"",P8&lt;&gt;"",AND(ISNUMBER(P8),ISNUMBER(Q8),Q8&gt;0,Q8=INT(Q8),ISNUMBER(R8)),S8&lt;&gt;"",T8&lt;&gt;""),IF(AND(ISNUMBER(R8),R8&lt;TODAY()),"Review overdue","Complete"),"Incomplete")</f>
        <v/>
      </c>
    </row>
    <row r="9" ht="42.75" customHeight="1" s="29">
      <c r="A9" s="49" t="inlineStr">
        <is>
          <t>REQ-003</t>
        </is>
      </c>
      <c r="B9" s="50" t="inlineStr">
        <is>
          <t>Data protection and privacy</t>
        </is>
      </c>
      <c r="C9" s="50" t="inlineStr">
        <is>
          <t>Legislation</t>
        </is>
      </c>
      <c r="D9" s="50" t="inlineStr">
        <is>
          <t>Data (Use and Access) Act 2025 (DUAA)</t>
        </is>
      </c>
      <c r="E9" s="50" t="inlineStr">
        <is>
          <t>United Kingdom</t>
        </is>
      </c>
      <c r="F9" s="51" t="inlineStr">
        <is>
          <t>Applicable</t>
        </is>
      </c>
      <c r="G9" s="51" t="inlineStr">
        <is>
          <t>Specialist validation required</t>
        </is>
      </c>
      <c r="H9" s="50" t="inlineStr">
        <is>
          <t>The DUAA amends UK GDPR, DPA 2018 and PECR. The main data-protection amendments, including s.70 (lawfulness and recognised legitimate interests) and s.80 / Sch 6 (UK GDPR Articles 22A to 22D, automated decision-making), commenced on 5 February 2026 (SI 2026/82, reg 2). The s.103 data-protection complaints duty (DPA 2018 s.164A) applies from 19 June 2026 (reg 3) to complaints received on or after that date.</t>
        </is>
      </c>
      <c r="I9" s="50" t="inlineStr">
        <is>
          <t>Update privacy, automated-decision, legitimate-interest, research, transfer, cookie/communications and enforcement interpretations as relevant; maintain a compliant data-protection complaints process and current notices/procedures.</t>
        </is>
      </c>
      <c r="J9" s="50" t="inlineStr">
        <is>
          <t>DPO / Legal Services / Complaints</t>
        </is>
      </c>
      <c r="K9" s="50" t="inlineStr">
        <is>
          <t>AIMS requirements; DPIA; decisions; complaints; policies; training</t>
        </is>
      </c>
      <c r="L9" s="50" t="inlineStr">
        <is>
          <t>AIG-ASS-04, AIG-ASS-05, AIG-OPS-05, AIG-OPS-03, AIG-AIMS-04</t>
        </is>
      </c>
      <c r="M9" s="50" t="inlineStr">
        <is>
          <t>ISO 4.2, 7.4, 8.1, 10.2; A.3.3, A.5, A.8</t>
        </is>
      </c>
      <c r="N9" s="50" t="inlineStr">
        <is>
          <t>DUAA gap assessment; updated procedures/notices; complaints route; training; legal advice; change closure</t>
        </is>
      </c>
      <c r="O9" s="50" t="inlineStr">
        <is>
          <t>https://www.legislation.gov.uk/uksi/2026/82/contents/made (commencement, primary) ; https://www.legislation.gov.uk/ukpga/2025/18/contents ; https://ico.org.uk/about-the-ico/what-we-do/legislation-we-cover/data-use-and-access-act-2025/</t>
        </is>
      </c>
      <c r="P9" s="52" t="n">
        <v>46241</v>
      </c>
      <c r="Q9" s="53" t="n">
        <v>1</v>
      </c>
      <c r="R9" s="52">
        <f>IF(P9="","",IF(OR(NOT(ISNUMBER(P9)),NOT(ISNUMBER(Q9)),Q9&lt;0,Q9&lt;&gt;INT(Q9)),"CHECK DATE / INTERVAL",EDATE(P9,Q9)))</f>
        <v/>
      </c>
      <c r="S9" s="50" t="inlineStr">
        <is>
          <t>New / commenced</t>
        </is>
      </c>
      <c r="T9" s="50" t="inlineStr">
        <is>
          <t>Complete a Council DUAA implementation check, including complaints and current automated-decision safeguards; close CHG-001.</t>
        </is>
      </c>
      <c r="U9" s="50">
        <f>IF(AND(A9&lt;&gt;"",B9&lt;&gt;"",C9&lt;&gt;"",D9&lt;&gt;"",E9&lt;&gt;"",F9&lt;&gt;"",G9&lt;&gt;"",H9&lt;&gt;"",I9&lt;&gt;"",J9&lt;&gt;"",K9&lt;&gt;"",L9&lt;&gt;"",M9&lt;&gt;"",N9&lt;&gt;"",O9&lt;&gt;"",P9&lt;&gt;"",AND(ISNUMBER(P9),ISNUMBER(Q9),Q9&gt;0,Q9=INT(Q9),ISNUMBER(R9)),S9&lt;&gt;"",T9&lt;&gt;""),IF(AND(ISNUMBER(R9),R9&lt;TODAY()),"Review overdue","Complete"),"Incomplete")</f>
        <v/>
      </c>
    </row>
    <row r="10" ht="32.25" customHeight="1" s="29">
      <c r="A10" s="49" t="inlineStr">
        <is>
          <t>REQ-004</t>
        </is>
      </c>
      <c r="B10" s="50" t="inlineStr">
        <is>
          <t>Data protection and privacy</t>
        </is>
      </c>
      <c r="C10" s="50" t="inlineStr">
        <is>
          <t>Legislation</t>
        </is>
      </c>
      <c r="D10" s="50" t="inlineStr">
        <is>
          <t>Privacy and Electronic Communications Regulations 2003 (PECR), as amended</t>
        </is>
      </c>
      <c r="E10" s="50" t="inlineStr">
        <is>
          <t>United Kingdom</t>
        </is>
      </c>
      <c r="F10" s="51" t="inlineStr">
        <is>
          <t>Conditional</t>
        </is>
      </c>
      <c r="G10" s="51" t="inlineStr">
        <is>
          <t>Specialist validation required</t>
        </is>
      </c>
      <c r="H10" s="50" t="inlineStr">
        <is>
          <t>Triggered by electronic communications, direct marketing, cookies or similar storage/access technologies in AI-enabled services.</t>
        </is>
      </c>
      <c r="I10" s="50" t="inlineStr">
        <is>
          <t>Assess consent and information duties, communications rules and cookie/device access; reflect DUAA amendments and ICO guidance.</t>
        </is>
      </c>
      <c r="J10" s="50" t="inlineStr">
        <is>
          <t>DPO / Digital / Communications</t>
        </is>
      </c>
      <c r="K10" s="50" t="inlineStr">
        <is>
          <t>Service design; web/app; communications; monitoring</t>
        </is>
      </c>
      <c r="L10" s="50" t="inlineStr">
        <is>
          <t>AIG-ASS-04, AIG-ASS-05, AIG-ASS-10, AIG-OPS-01</t>
        </is>
      </c>
      <c r="M10" s="50" t="inlineStr">
        <is>
          <t>ISO 4.2, 8.1; A.5.4, A.8.2</t>
        </is>
      </c>
      <c r="N10" s="50" t="inlineStr">
        <is>
          <t>Cookie/technology assessment; consent records; notices; communications approval; supplier configuration</t>
        </is>
      </c>
      <c r="O10" s="50" t="inlineStr">
        <is>
          <t>https://www.legislation.gov.uk/uksi/2003/2426/contents</t>
        </is>
      </c>
      <c r="P10" s="52" t="n">
        <v>46241</v>
      </c>
      <c r="Q10" s="53" t="n">
        <v>6</v>
      </c>
      <c r="R10" s="52">
        <f>IF(P10="","",IF(OR(NOT(ISNUMBER(P10)),NOT(ISNUMBER(Q10)),Q10&lt;0,Q10&lt;&gt;INT(Q10)),"CHECK DATE / INTERVAL",EDATE(P10,Q10)))</f>
        <v/>
      </c>
      <c r="S10" s="50" t="inlineStr">
        <is>
          <t>Amended</t>
        </is>
      </c>
      <c r="T10" s="50" t="inlineStr">
        <is>
          <t>DPO to define PECR triggers for chatbots, analytics, personalisation and AI-enabled communications.</t>
        </is>
      </c>
      <c r="U10" s="50">
        <f>IF(AND(A10&lt;&gt;"",B10&lt;&gt;"",C10&lt;&gt;"",D10&lt;&gt;"",E10&lt;&gt;"",F10&lt;&gt;"",G10&lt;&gt;"",H10&lt;&gt;"",I10&lt;&gt;"",J10&lt;&gt;"",K10&lt;&gt;"",L10&lt;&gt;"",M10&lt;&gt;"",N10&lt;&gt;"",O10&lt;&gt;"",P10&lt;&gt;"",AND(ISNUMBER(P10),ISNUMBER(Q10),Q10&gt;0,Q10=INT(Q10),ISNUMBER(R10)),S10&lt;&gt;"",T10&lt;&gt;""),IF(AND(ISNUMBER(R10),R10&lt;TODAY()),"Review overdue","Complete"),"Incomplete")</f>
        <v/>
      </c>
    </row>
    <row r="11" ht="42.75" customHeight="1" s="29">
      <c r="A11" s="49" t="inlineStr">
        <is>
          <t>REQ-005</t>
        </is>
      </c>
      <c r="B11" s="50" t="inlineStr">
        <is>
          <t>Equality and non-discrimination</t>
        </is>
      </c>
      <c r="C11" s="50" t="inlineStr">
        <is>
          <t>Legislation</t>
        </is>
      </c>
      <c r="D11" s="50" t="inlineStr">
        <is>
          <t>Equality Act 2010, including Public Sector Equality Duty section 149</t>
        </is>
      </c>
      <c r="E11" s="50" t="inlineStr">
        <is>
          <t>England, Scotland and Wales</t>
        </is>
      </c>
      <c r="F11" s="51" t="inlineStr">
        <is>
          <t>Applicable</t>
        </is>
      </c>
      <c r="G11" s="51" t="inlineStr">
        <is>
          <t>Specialist validation required</t>
        </is>
      </c>
      <c r="H11" s="50" t="inlineStr">
        <is>
          <t>The Council is a public authority and AI may affect protected groups, access, employment or service outcomes.</t>
        </is>
      </c>
      <c r="I11" s="50" t="inlineStr">
        <is>
          <t>Avoid direct/indirect discrimination, harassment and victimisation; make reasonable adjustments; have due regard to eliminating discrimination, advancing equality and fostering good relations throughout procurement, design, use and review.</t>
        </is>
      </c>
      <c r="J11" s="50" t="inlineStr">
        <is>
          <t>Equality Lead / Legal Services</t>
        </is>
      </c>
      <c r="K11" s="50" t="inlineStr">
        <is>
          <t>Intake; procurement; impact assessment; testing; engagement; monitoring</t>
        </is>
      </c>
      <c r="L11" s="50" t="inlineStr">
        <is>
          <t>AIG-ASS-02, AIG-ASS-04, AIG-ASS-06, AIG-ASS-07, AIG-ASS-10, AIG-OPS-05</t>
        </is>
      </c>
      <c r="M11" s="50" t="inlineStr">
        <is>
          <t>ISO 4.2, 6.1, 8.1; A.5.2-A.5.5, A.8</t>
        </is>
      </c>
      <c r="N11" s="50" t="inlineStr">
        <is>
          <t>Equality analysis; EIA; affected-group evidence; accessibility tests; mitigations; monitoring; decision record</t>
        </is>
      </c>
      <c r="O11" s="50" t="inlineStr">
        <is>
          <t>https://www.legislation.gov.uk/ukpga/2010/15/section/149</t>
        </is>
      </c>
      <c r="P11" s="52" t="n">
        <v>46241</v>
      </c>
      <c r="Q11" s="53" t="n">
        <v>6</v>
      </c>
      <c r="R11" s="52">
        <f>IF(P11="","",IF(OR(NOT(ISNUMBER(P11)),NOT(ISNUMBER(Q11)),Q11&lt;0,Q11&lt;&gt;INT(Q11)),"CHECK DATE / INTERVAL",EDATE(P11,Q11)))</f>
        <v/>
      </c>
      <c r="S11" s="50" t="inlineStr">
        <is>
          <t>Current</t>
        </is>
      </c>
      <c r="T11" s="50" t="inlineStr">
        <is>
          <t>Equality/Legal to validate the PSED evidence standard and approval route for each material AI case.</t>
        </is>
      </c>
      <c r="U11" s="50">
        <f>IF(AND(A11&lt;&gt;"",B11&lt;&gt;"",C11&lt;&gt;"",D11&lt;&gt;"",E11&lt;&gt;"",F11&lt;&gt;"",G11&lt;&gt;"",H11&lt;&gt;"",I11&lt;&gt;"",J11&lt;&gt;"",K11&lt;&gt;"",L11&lt;&gt;"",M11&lt;&gt;"",N11&lt;&gt;"",O11&lt;&gt;"",P11&lt;&gt;"",AND(ISNUMBER(P11),ISNUMBER(Q11),Q11&gt;0,Q11=INT(Q11),ISNUMBER(R11)),S11&lt;&gt;"",T11&lt;&gt;""),IF(AND(ISNUMBER(R11),R11&lt;TODAY()),"Review overdue","Complete"),"Incomplete")</f>
        <v/>
      </c>
    </row>
    <row r="12" ht="42.75" customHeight="1" s="29">
      <c r="A12" s="49" t="inlineStr">
        <is>
          <t>REQ-006</t>
        </is>
      </c>
      <c r="B12" s="50" t="inlineStr">
        <is>
          <t>Human rights and public law</t>
        </is>
      </c>
      <c r="C12" s="50" t="inlineStr">
        <is>
          <t>Legislation</t>
        </is>
      </c>
      <c r="D12" s="50" t="inlineStr">
        <is>
          <t>Human Rights Act 1998</t>
        </is>
      </c>
      <c r="E12" s="50" t="inlineStr">
        <is>
          <t>United Kingdom</t>
        </is>
      </c>
      <c r="F12" s="51" t="inlineStr">
        <is>
          <t>Applicable</t>
        </is>
      </c>
      <c r="G12" s="51" t="inlineStr">
        <is>
          <t>Specialist validation required</t>
        </is>
      </c>
      <c r="H12" s="50" t="inlineStr">
        <is>
          <t>It is unlawful for a public authority to act incompatibly with Convention rights; AI may affect privacy, liberty, expression, property, fair procedures or non-discrimination.</t>
        </is>
      </c>
      <c r="I12" s="50" t="inlineStr">
        <is>
          <t>Identify engaged rights; assess legality, legitimate aim, necessity and proportionality; provide safeguards, meaningful human review, reasons, challenge and remedy.</t>
        </is>
      </c>
      <c r="J12" s="50" t="inlineStr">
        <is>
          <t>Legal Services / Human Rights Lead</t>
        </is>
      </c>
      <c r="K12" s="50" t="inlineStr">
        <is>
          <t>Intake; impact assessment; decisions; operations; complaints</t>
        </is>
      </c>
      <c r="L12" s="50" t="inlineStr">
        <is>
          <t>AIG-ASS-04, AIG-ASS-07, AIG-ASS-10, AIG-DEC-03, AIG-OPS-03</t>
        </is>
      </c>
      <c r="M12" s="50" t="inlineStr">
        <is>
          <t>ISO 4.2, 6.1, 8.1; A.5, A.8</t>
        </is>
      </c>
      <c r="N12" s="50" t="inlineStr">
        <is>
          <t>Human Rights Assessment; legal advice; proportionality analysis; oversight; explanation; complaint/redress evidence</t>
        </is>
      </c>
      <c r="O12" s="50" t="inlineStr">
        <is>
          <t>https://www.legislation.gov.uk/ukpga/1998/42/contents</t>
        </is>
      </c>
      <c r="P12" s="52" t="n">
        <v>46241</v>
      </c>
      <c r="Q12" s="53" t="n">
        <v>6</v>
      </c>
      <c r="R12" s="52">
        <f>IF(P12="","",IF(OR(NOT(ISNUMBER(P12)),NOT(ISNUMBER(Q12)),Q12&lt;0,Q12&lt;&gt;INT(Q12)),"CHECK DATE / INTERVAL",EDATE(P12,Q12)))</f>
        <v/>
      </c>
      <c r="S12" s="50" t="inlineStr">
        <is>
          <t>Current</t>
        </is>
      </c>
      <c r="T12" s="50" t="inlineStr">
        <is>
          <t>Legal/Human Rights leads to confirm rights triggers and residual-risk acceptance authority.</t>
        </is>
      </c>
      <c r="U12" s="50">
        <f>IF(AND(A12&lt;&gt;"",B12&lt;&gt;"",C12&lt;&gt;"",D12&lt;&gt;"",E12&lt;&gt;"",F12&lt;&gt;"",G12&lt;&gt;"",H12&lt;&gt;"",I12&lt;&gt;"",J12&lt;&gt;"",K12&lt;&gt;"",L12&lt;&gt;"",M12&lt;&gt;"",N12&lt;&gt;"",O12&lt;&gt;"",P12&lt;&gt;"",AND(ISNUMBER(P12),ISNUMBER(Q12),Q12&gt;0,Q12=INT(Q12),ISNUMBER(R12)),S12&lt;&gt;"",T12&lt;&gt;""),IF(AND(ISNUMBER(R12),R12&lt;TODAY()),"Review overdue","Complete"),"Incomplete")</f>
        <v/>
      </c>
    </row>
    <row r="13" ht="42.75" customHeight="1" s="29">
      <c r="A13" s="49" t="inlineStr">
        <is>
          <t>REQ-007</t>
        </is>
      </c>
      <c r="B13" s="50" t="inlineStr">
        <is>
          <t>Human rights and public law</t>
        </is>
      </c>
      <c r="C13" s="50" t="inlineStr">
        <is>
          <t>Public-law requirement</t>
        </is>
      </c>
      <c r="D13" s="50" t="inlineStr">
        <is>
          <t>Administrative law, statutory powers, procedural fairness and reasoned decision-making</t>
        </is>
      </c>
      <c r="E13" s="50" t="inlineStr">
        <is>
          <t>England / Council functions</t>
        </is>
      </c>
      <c r="F13" s="51" t="inlineStr">
        <is>
          <t>Applicable</t>
        </is>
      </c>
      <c r="G13" s="51" t="inlineStr">
        <is>
          <t>Specialist validation required</t>
        </is>
      </c>
      <c r="H13" s="50" t="inlineStr">
        <is>
          <t>Council decisions must remain within statutory powers and public-law standards even when supported by AI.</t>
        </is>
      </c>
      <c r="I13" s="50" t="inlineStr">
        <is>
          <t>Confirm lawful power and proper purpose; consider relevant matters; avoid fettering discretion or irrational outcomes; provide procedurally fair human decision-making, reasons, review and remedy proportionate to impact.</t>
        </is>
      </c>
      <c r="J13" s="50" t="inlineStr">
        <is>
          <t>Monitoring Officer / Legal Services</t>
        </is>
      </c>
      <c r="K13" s="50" t="inlineStr">
        <is>
          <t>Business case; design; decision workflow; oversight; redress</t>
        </is>
      </c>
      <c r="L13" s="50" t="inlineStr">
        <is>
          <t>AIG-ASS-02, AIG-ASS-04, AIG-ASS-07, AIG-ASS-09, AIG-DEC-03, AIG-OPS-03</t>
        </is>
      </c>
      <c r="M13" s="50" t="inlineStr">
        <is>
          <t>ISO 4.2, 5.3, 8.1; A.5.4, A.8.2-A.8.4, A.9.2</t>
        </is>
      </c>
      <c r="N13" s="50" t="inlineStr">
        <is>
          <t>Legal-power analysis; decision policy; human-oversight test; reasons; review/appeal route; sampling</t>
        </is>
      </c>
      <c r="O13" s="50" t="inlineStr">
        <is>
          <t>https://www.gov.uk/government/publications/the-judge-over-your-shoulder</t>
        </is>
      </c>
      <c r="P13" s="52" t="n">
        <v>46241</v>
      </c>
      <c r="Q13" s="53" t="n">
        <v>3</v>
      </c>
      <c r="R13" s="52">
        <f>IF(P13="","",IF(OR(NOT(ISNUMBER(P13)),NOT(ISNUMBER(Q13)),Q13&lt;0,Q13&lt;&gt;INT(Q13)),"CHECK DATE / INTERVAL",EDATE(P13,Q13)))</f>
        <v/>
      </c>
      <c r="S13" s="50" t="inlineStr">
        <is>
          <t>Current / case-law sensitive</t>
        </is>
      </c>
      <c r="T13" s="50" t="inlineStr">
        <is>
          <t>Monitoring Officer/Legal to validate the public-law checklist and system-specific statutory powers.</t>
        </is>
      </c>
      <c r="U13" s="50">
        <f>IF(AND(A13&lt;&gt;"",B13&lt;&gt;"",C13&lt;&gt;"",D13&lt;&gt;"",E13&lt;&gt;"",F13&lt;&gt;"",G13&lt;&gt;"",H13&lt;&gt;"",I13&lt;&gt;"",J13&lt;&gt;"",K13&lt;&gt;"",L13&lt;&gt;"",M13&lt;&gt;"",N13&lt;&gt;"",O13&lt;&gt;"",P13&lt;&gt;"",AND(ISNUMBER(P13),ISNUMBER(Q13),Q13&gt;0,Q13=INT(Q13),ISNUMBER(R13)),S13&lt;&gt;"",T13&lt;&gt;""),IF(AND(ISNUMBER(R13),R13&lt;TODAY()),"Review overdue","Complete"),"Incomplete")</f>
        <v/>
      </c>
    </row>
    <row r="14" ht="42.75" customHeight="1" s="29">
      <c r="A14" s="49" t="inlineStr">
        <is>
          <t>REQ-008</t>
        </is>
      </c>
      <c r="B14" s="50" t="inlineStr">
        <is>
          <t>Accessibility and inclusion</t>
        </is>
      </c>
      <c r="C14" s="50" t="inlineStr">
        <is>
          <t>Legislation</t>
        </is>
      </c>
      <c r="D14" s="50" t="inlineStr">
        <is>
          <t>Public Sector Bodies (Websites and Mobile Applications) (No. 2) Accessibility Regulations 2018</t>
        </is>
      </c>
      <c r="E14" s="50" t="inlineStr">
        <is>
          <t>United Kingdom</t>
        </is>
      </c>
      <c r="F14" s="51" t="inlineStr">
        <is>
          <t>Conditional</t>
        </is>
      </c>
      <c r="G14" s="51" t="inlineStr">
        <is>
          <t>Specialist validation required</t>
        </is>
      </c>
      <c r="H14" s="50" t="inlineStr">
        <is>
          <t>Applies where an AI-enabled public website or mobile application is within scope.</t>
        </is>
      </c>
      <c r="I14" s="50" t="inlineStr">
        <is>
          <t>Meet accessibility requirements, maintain an accessibility statement, remediate barriers and provide an effective feedback/contact route; integrate with Equality Act reasonable adjustments.</t>
        </is>
      </c>
      <c r="J14" s="50" t="inlineStr">
        <is>
          <t>Digital Accessibility Lead / Service Owner</t>
        </is>
      </c>
      <c r="K14" s="50" t="inlineStr">
        <is>
          <t>Design; user research; testing; publication; change</t>
        </is>
      </c>
      <c r="L14" s="50" t="inlineStr">
        <is>
          <t>AIG-ASS-06, AIG-ASS-07, AIG-ASS-10, AIG-OPS-05, AIG-OPS-01</t>
        </is>
      </c>
      <c r="M14" s="50" t="inlineStr">
        <is>
          <t>ISO 4.2, 8.1; A.5.4, A.8.2-A.8.5</t>
        </is>
      </c>
      <c r="N14" s="50" t="inlineStr">
        <is>
          <t>Accessibility assessment; statement; user testing; defect plan; alternative route; review records</t>
        </is>
      </c>
      <c r="O14" s="50" t="inlineStr">
        <is>
          <t>https://www.gov.uk/guidance/accessibility-requirements-for-public-sector-websites-and-apps</t>
        </is>
      </c>
      <c r="P14" s="52" t="n">
        <v>46241</v>
      </c>
      <c r="Q14" s="53" t="n">
        <v>6</v>
      </c>
      <c r="R14" s="52">
        <f>IF(P14="","",IF(OR(NOT(ISNUMBER(P14)),NOT(ISNUMBER(Q14)),Q14&lt;0,Q14&lt;&gt;INT(Q14)),"CHECK DATE / INTERVAL",EDATE(P14,Q14)))</f>
        <v/>
      </c>
      <c r="S14" s="50" t="inlineStr">
        <is>
          <t>Current</t>
        </is>
      </c>
      <c r="T14" s="50" t="inlineStr">
        <is>
          <t>Define applicability and approved accessibility standard/testing evidence for every public digital interface.</t>
        </is>
      </c>
      <c r="U14" s="50">
        <f>IF(AND(A14&lt;&gt;"",B14&lt;&gt;"",C14&lt;&gt;"",D14&lt;&gt;"",E14&lt;&gt;"",F14&lt;&gt;"",G14&lt;&gt;"",H14&lt;&gt;"",I14&lt;&gt;"",J14&lt;&gt;"",K14&lt;&gt;"",L14&lt;&gt;"",M14&lt;&gt;"",N14&lt;&gt;"",O14&lt;&gt;"",P14&lt;&gt;"",AND(ISNUMBER(P14),ISNUMBER(Q14),Q14&gt;0,Q14=INT(Q14),ISNUMBER(R14)),S14&lt;&gt;"",T14&lt;&gt;""),IF(AND(ISNUMBER(R14),R14&lt;TODAY()),"Review overdue","Complete"),"Incomplete")</f>
        <v/>
      </c>
    </row>
    <row r="15" ht="42.75" customHeight="1" s="29">
      <c r="A15" s="49" t="inlineStr">
        <is>
          <t>REQ-009</t>
        </is>
      </c>
      <c r="B15" s="50" t="inlineStr">
        <is>
          <t>Information access and records</t>
        </is>
      </c>
      <c r="C15" s="50" t="inlineStr">
        <is>
          <t>Legislation</t>
        </is>
      </c>
      <c r="D15" s="50" t="inlineStr">
        <is>
          <t>Freedom of Information Act 2000 (FOIA)</t>
        </is>
      </c>
      <c r="E15" s="50" t="inlineStr">
        <is>
          <t>England, Wales and Northern Ireland</t>
        </is>
      </c>
      <c r="F15" s="51" t="inlineStr">
        <is>
          <t>Applicable</t>
        </is>
      </c>
      <c r="G15" s="51" t="inlineStr">
        <is>
          <t>Specialist validation required</t>
        </is>
      </c>
      <c r="H15" s="50" t="inlineStr">
        <is>
          <t>The Council is a public authority and recorded AI information may be held by the Council or on its behalf by suppliers.</t>
        </is>
      </c>
      <c r="I15" s="50" t="inlineStr">
        <is>
          <t>Identify, retain and retrieve official information; handle requests, publication duties, datasets and exemptions lawfully; ensure supplier-held information and decision records are accessible to the Council.</t>
        </is>
      </c>
      <c r="J15" s="50" t="inlineStr">
        <is>
          <t>Information Governance / FOI Lead</t>
        </is>
      </c>
      <c r="K15" s="50" t="inlineStr">
        <is>
          <t>Procurement; evidence; operations; transparency; requests; retirement</t>
        </is>
      </c>
      <c r="L15" s="50" t="inlineStr">
        <is>
          <t>AIG-INV-04, AIG-ASS-08 to AIG-ASS-10, AIG-DEC-03, AIG-OPS-05, AIG-GOV-06, AIG-OPS-01</t>
        </is>
      </c>
      <c r="M15" s="50" t="inlineStr">
        <is>
          <t>ISO 7.5, 8.1; A.4.2-A.4.5, A.8.5, A.10.2</t>
        </is>
      </c>
      <c r="N15" s="50" t="inlineStr">
        <is>
          <t>Records inventory; retrieval test; contract clauses; disclosure decisions; publication scheme; request logs</t>
        </is>
      </c>
      <c r="O15" s="50" t="inlineStr">
        <is>
          <t>https://www.legislation.gov.uk/ukpga/2000/36/contents</t>
        </is>
      </c>
      <c r="P15" s="52" t="n">
        <v>46241</v>
      </c>
      <c r="Q15" s="53" t="n">
        <v>12</v>
      </c>
      <c r="R15" s="52">
        <f>IF(P15="","",IF(OR(NOT(ISNUMBER(P15)),NOT(ISNUMBER(Q15)),Q15&lt;0,Q15&lt;&gt;INT(Q15)),"CHECK DATE / INTERVAL",EDATE(P15,Q15)))</f>
        <v/>
      </c>
      <c r="S15" s="50" t="inlineStr">
        <is>
          <t>Current</t>
        </is>
      </c>
      <c r="T15" s="50" t="inlineStr">
        <is>
          <t>FOI/IG to map AIMS records and supplier-held evidence to retrieval and exemption processes.</t>
        </is>
      </c>
      <c r="U15" s="50">
        <f>IF(AND(A15&lt;&gt;"",B15&lt;&gt;"",C15&lt;&gt;"",D15&lt;&gt;"",E15&lt;&gt;"",F15&lt;&gt;"",G15&lt;&gt;"",H15&lt;&gt;"",I15&lt;&gt;"",J15&lt;&gt;"",K15&lt;&gt;"",L15&lt;&gt;"",M15&lt;&gt;"",N15&lt;&gt;"",O15&lt;&gt;"",P15&lt;&gt;"",AND(ISNUMBER(P15),ISNUMBER(Q15),Q15&gt;0,Q15=INT(Q15),ISNUMBER(R15)),S15&lt;&gt;"",T15&lt;&gt;""),IF(AND(ISNUMBER(R15),R15&lt;TODAY()),"Review overdue","Complete"),"Incomplete")</f>
        <v/>
      </c>
    </row>
    <row r="16" ht="32.25" customHeight="1" s="29">
      <c r="A16" s="49" t="inlineStr">
        <is>
          <t>REQ-010</t>
        </is>
      </c>
      <c r="B16" s="50" t="inlineStr">
        <is>
          <t>Information access and records</t>
        </is>
      </c>
      <c r="C16" s="50" t="inlineStr">
        <is>
          <t>Legislation</t>
        </is>
      </c>
      <c r="D16" s="50" t="inlineStr">
        <is>
          <t>Environmental Information Regulations 2004 (EIR)</t>
        </is>
      </c>
      <c r="E16" s="50" t="inlineStr">
        <is>
          <t>United Kingdom</t>
        </is>
      </c>
      <c r="F16" s="51" t="inlineStr">
        <is>
          <t>Conditional</t>
        </is>
      </c>
      <c r="G16" s="51" t="inlineStr">
        <is>
          <t>Specialist validation required</t>
        </is>
      </c>
      <c r="H16" s="50" t="inlineStr">
        <is>
          <t>Triggered where AI information falls within the definition of environmental information, including relevant planning, transport, waste, energy or environmental services.</t>
        </is>
      </c>
      <c r="I16" s="50" t="inlineStr">
        <is>
          <t>Identify EIR information; support access, proactive dissemination, exceptions and records retrieval under the correct regime.</t>
        </is>
      </c>
      <c r="J16" s="50" t="inlineStr">
        <is>
          <t>Information Governance / EIR Lead</t>
        </is>
      </c>
      <c r="K16" s="50" t="inlineStr">
        <is>
          <t>Service design; evidence; transparency; requests</t>
        </is>
      </c>
      <c r="L16" s="50" t="inlineStr">
        <is>
          <t>AIG-INV-04, AIG-ASS-10, AIG-OPS-05</t>
        </is>
      </c>
      <c r="M16" s="50" t="inlineStr">
        <is>
          <t>ISO 4.2, 7.5; A.8.5</t>
        </is>
      </c>
      <c r="N16" s="50" t="inlineStr">
        <is>
          <t>Regime decision; searchable records; request log; disclosure/exception decision; publication evidence</t>
        </is>
      </c>
      <c r="O16" s="50" t="inlineStr">
        <is>
          <t>https://www.legislation.gov.uk/uksi/2004/3391/contents</t>
        </is>
      </c>
      <c r="P16" s="52" t="n">
        <v>46241</v>
      </c>
      <c r="Q16" s="53" t="n">
        <v>12</v>
      </c>
      <c r="R16" s="52">
        <f>IF(P16="","",IF(OR(NOT(ISNUMBER(P16)),NOT(ISNUMBER(Q16)),Q16&lt;0,Q16&lt;&gt;INT(Q16)),"CHECK DATE / INTERVAL",EDATE(P16,Q16)))</f>
        <v/>
      </c>
      <c r="S16" s="50" t="inlineStr">
        <is>
          <t>Current</t>
        </is>
      </c>
      <c r="T16" s="50" t="inlineStr">
        <is>
          <t>EIR Lead to define service triggers and align evidence retention with FOIA/EIR handling.</t>
        </is>
      </c>
      <c r="U16" s="50">
        <f>IF(AND(A16&lt;&gt;"",B16&lt;&gt;"",C16&lt;&gt;"",D16&lt;&gt;"",E16&lt;&gt;"",F16&lt;&gt;"",G16&lt;&gt;"",H16&lt;&gt;"",I16&lt;&gt;"",J16&lt;&gt;"",K16&lt;&gt;"",L16&lt;&gt;"",M16&lt;&gt;"",N16&lt;&gt;"",O16&lt;&gt;"",P16&lt;&gt;"",AND(ISNUMBER(P16),ISNUMBER(Q16),Q16&gt;0,Q16=INT(Q16),ISNUMBER(R16)),S16&lt;&gt;"",T16&lt;&gt;""),IF(AND(ISNUMBER(R16),R16&lt;TODAY()),"Review overdue","Complete"),"Incomplete")</f>
        <v/>
      </c>
    </row>
    <row r="17" ht="32.25" customHeight="1" s="29">
      <c r="A17" s="49" t="inlineStr">
        <is>
          <t>REQ-011</t>
        </is>
      </c>
      <c r="B17" s="50" t="inlineStr">
        <is>
          <t>Information access and records</t>
        </is>
      </c>
      <c r="C17" s="50" t="inlineStr">
        <is>
          <t>Statutory code</t>
        </is>
      </c>
      <c r="D17" s="50" t="inlineStr">
        <is>
          <t>Section 46 Code of Practice on records management under FOIA</t>
        </is>
      </c>
      <c r="E17" s="50" t="inlineStr">
        <is>
          <t>United Kingdom</t>
        </is>
      </c>
      <c r="F17" s="51" t="inlineStr">
        <is>
          <t>Applicable</t>
        </is>
      </c>
      <c r="G17" s="51" t="inlineStr">
        <is>
          <t>Specialist validation required</t>
        </is>
      </c>
      <c r="H17" s="50" t="inlineStr">
        <is>
          <t>The Code applies to public authorities covered by FOIA and supports ordered, retrievable and controlled records.</t>
        </is>
      </c>
      <c r="I17" s="50" t="inlineStr">
        <is>
          <t>Maintain governance, policies, responsibilities, retention/disposal, secure custody, retrieval and transfer arrangements for AI and AIMS records, including supplier-held material.</t>
        </is>
      </c>
      <c r="J17" s="50" t="inlineStr">
        <is>
          <t>Records Management / Information Governance</t>
        </is>
      </c>
      <c r="K17" s="50" t="inlineStr">
        <is>
          <t>Document control; evidence; contracts; retirement</t>
        </is>
      </c>
      <c r="L17" s="50" t="inlineStr">
        <is>
          <t>AIG-GOV-01, AIG-INV-04, AIG-ASS-08 to AIG-ASS-11, AIG-DEC-03, AIG-GOV-06, AIG-OPS-01, AIG-OPS-03, AIG-OPS-05, AIG-OPS-06, AIG-AIMS-01 to AIG-AIMS-05</t>
        </is>
      </c>
      <c r="M17" s="50" t="inlineStr">
        <is>
          <t>ISO 7.5, 9.1-9.3, 10.2; A.4.2-A.4.5</t>
        </is>
      </c>
      <c r="N17" s="50" t="inlineStr">
        <is>
          <t>Approved taxonomy; retention schedule; disposal holds; access logs; retrieval sample; transfer/exit evidence</t>
        </is>
      </c>
      <c r="O17" s="50" t="inlineStr">
        <is>
          <t>https://ico.org.uk/for-organisations/foi/freedom-of-information-and-environmental-information-regulations/section-46-code-of-practice-records-management/</t>
        </is>
      </c>
      <c r="P17" s="52" t="n">
        <v>46241</v>
      </c>
      <c r="Q17" s="53" t="n">
        <v>12</v>
      </c>
      <c r="R17" s="52">
        <f>IF(P17="","",IF(OR(NOT(ISNUMBER(P17)),NOT(ISNUMBER(Q17)),Q17&lt;0,Q17&lt;&gt;INT(Q17)),"CHECK DATE / INTERVAL",EDATE(P17,Q17)))</f>
        <v/>
      </c>
      <c r="S17" s="50" t="inlineStr">
        <is>
          <t>Current</t>
        </is>
      </c>
      <c r="T17" s="50" t="inlineStr">
        <is>
          <t>Records Management to approve AIMS evidence taxonomy, retention and deletion/hold rules.</t>
        </is>
      </c>
      <c r="U17" s="50">
        <f>IF(AND(A17&lt;&gt;"",B17&lt;&gt;"",C17&lt;&gt;"",D17&lt;&gt;"",E17&lt;&gt;"",F17&lt;&gt;"",G17&lt;&gt;"",H17&lt;&gt;"",I17&lt;&gt;"",J17&lt;&gt;"",K17&lt;&gt;"",L17&lt;&gt;"",M17&lt;&gt;"",N17&lt;&gt;"",O17&lt;&gt;"",P17&lt;&gt;"",AND(ISNUMBER(P17),ISNUMBER(Q17),Q17&gt;0,Q17=INT(Q17),ISNUMBER(R17)),S17&lt;&gt;"",T17&lt;&gt;""),IF(AND(ISNUMBER(R17),R17&lt;TODAY()),"Review overdue","Complete"),"Incomplete")</f>
        <v/>
      </c>
    </row>
    <row r="18" ht="32.25" customHeight="1" s="29">
      <c r="A18" s="49" t="inlineStr">
        <is>
          <t>REQ-012</t>
        </is>
      </c>
      <c r="B18" s="50" t="inlineStr">
        <is>
          <t>Local-government transparency</t>
        </is>
      </c>
      <c r="C18" s="50" t="inlineStr">
        <is>
          <t>Statutory code / government requirement</t>
        </is>
      </c>
      <c r="D18" s="50" t="inlineStr">
        <is>
          <t>Local Government Transparency Code 2015</t>
        </is>
      </c>
      <c r="E18" s="50" t="inlineStr">
        <is>
          <t>England</t>
        </is>
      </c>
      <c r="F18" s="51" t="inlineStr">
        <is>
          <t>Applicable</t>
        </is>
      </c>
      <c r="G18" s="51" t="inlineStr">
        <is>
          <t>Specialist validation required</t>
        </is>
      </c>
      <c r="H18" s="50" t="inlineStr">
        <is>
          <t>The Code sets mandatory and recommended local-authority publication requirements; AI-related spend, contracts or decisions may be captured.</t>
        </is>
      </c>
      <c r="I18" s="50" t="inlineStr">
        <is>
          <t>Map AI procurement, spend, contracts, grants, assets and decision records to required publication; protect lawful exemptions and personal/security information.</t>
        </is>
      </c>
      <c r="J18" s="50" t="inlineStr">
        <is>
          <t>Corporate Governance / Transparency Lead</t>
        </is>
      </c>
      <c r="K18" s="50" t="inlineStr">
        <is>
          <t>Procurement; reporting; publication; records</t>
        </is>
      </c>
      <c r="L18" s="50" t="inlineStr">
        <is>
          <t>AIG-ASS-08, AIG-ASS-10, AIG-OPS-05, AIG-OPS-06</t>
        </is>
      </c>
      <c r="M18" s="50" t="inlineStr">
        <is>
          <t>ISO 4.2, 7.4-7.5; A.8.5, A.10</t>
        </is>
      </c>
      <c r="N18" s="50" t="inlineStr">
        <is>
          <t>Publication mapping; published datasets; exemption decisions; quality checks; update records</t>
        </is>
      </c>
      <c r="O18" s="50" t="inlineStr">
        <is>
          <t>https://www.gov.uk/government/publications/local-government-transparency-code-2015/local-government-transparency-code-2015</t>
        </is>
      </c>
      <c r="P18" s="52" t="n">
        <v>46241</v>
      </c>
      <c r="Q18" s="53" t="n">
        <v>12</v>
      </c>
      <c r="R18" s="52">
        <f>IF(P18="","",IF(OR(NOT(ISNUMBER(P18)),NOT(ISNUMBER(Q18)),Q18&lt;0,Q18&lt;&gt;INT(Q18)),"CHECK DATE / INTERVAL",EDATE(P18,Q18)))</f>
        <v/>
      </c>
      <c r="S18" s="50" t="inlineStr">
        <is>
          <t>Current</t>
        </is>
      </c>
      <c r="T18" s="50" t="inlineStr">
        <is>
          <t>Transparency Lead to identify which AI/AIMS records fall within mandatory or recommended publication.</t>
        </is>
      </c>
      <c r="U18" s="50">
        <f>IF(AND(A18&lt;&gt;"",B18&lt;&gt;"",C18&lt;&gt;"",D18&lt;&gt;"",E18&lt;&gt;"",F18&lt;&gt;"",G18&lt;&gt;"",H18&lt;&gt;"",I18&lt;&gt;"",J18&lt;&gt;"",K18&lt;&gt;"",L18&lt;&gt;"",M18&lt;&gt;"",N18&lt;&gt;"",O18&lt;&gt;"",P18&lt;&gt;"",AND(ISNUMBER(P18),ISNUMBER(Q18),Q18&gt;0,Q18=INT(Q18),ISNUMBER(R18)),S18&lt;&gt;"",T18&lt;&gt;""),IF(AND(ISNUMBER(R18),R18&lt;TODAY()),"Review overdue","Complete"),"Incomplete")</f>
        <v/>
      </c>
    </row>
    <row r="19" ht="32.25" customHeight="1" s="29">
      <c r="A19" s="49" t="inlineStr">
        <is>
          <t>REQ-013</t>
        </is>
      </c>
      <c r="B19" s="50" t="inlineStr">
        <is>
          <t>Council governance</t>
        </is>
      </c>
      <c r="C19" s="50" t="inlineStr">
        <is>
          <t>Legislation</t>
        </is>
      </c>
      <c r="D19" s="50" t="inlineStr">
        <is>
          <t>Local Government Act 1972 (including section 101) and the Council’s constitution and scheme of delegation</t>
        </is>
      </c>
      <c r="E19" s="50" t="inlineStr">
        <is>
          <t>England and Wales</t>
        </is>
      </c>
      <c r="F19" s="51" t="inlineStr">
        <is>
          <t>Applicable</t>
        </is>
      </c>
      <c r="G19" s="51" t="inlineStr">
        <is>
          <t>Specialist validation required</t>
        </is>
      </c>
      <c r="H19" s="50" t="inlineStr">
        <is>
          <t>Council functions, meetings, delegations, access to information and records must operate through lawful constitutional arrangements.</t>
        </is>
      </c>
      <c r="I19" s="50" t="inlineStr">
        <is>
          <t>Confirm decision-maker, delegation, committee/meeting, record and access requirements; ensure AI governance does not displace statutory or constitutional authority.</t>
        </is>
      </c>
      <c r="J19" s="50" t="inlineStr">
        <is>
          <t>Monitoring Officer / Governance</t>
        </is>
      </c>
      <c r="K19" s="50" t="inlineStr">
        <is>
          <t>Governance bodies; decisions; delegations; records</t>
        </is>
      </c>
      <c r="L19" s="50" t="inlineStr">
        <is>
          <t>AIG-DEC-03, AIG-GOV-06, AIG-AIMS-01, AIG-AIMS-04</t>
        </is>
      </c>
      <c r="M19" s="50" t="inlineStr">
        <is>
          <t>ISO 5.1-5.3, 7.5; A.3.2</t>
        </is>
      </c>
      <c r="N19" s="50" t="inlineStr">
        <is>
          <t>Constitution/delegation reference; Terms of Reference; appointment; minutes; decision and conflict records</t>
        </is>
      </c>
      <c r="O19" s="50" t="inlineStr">
        <is>
          <t>https://www.legislation.gov.uk/ukpga/1972/70/contents</t>
        </is>
      </c>
      <c r="P19" s="52" t="str"/>
      <c r="Q19" s="53" t="n">
        <v>12</v>
      </c>
      <c r="R19" s="52">
        <f>IF(P19="","",IF(OR(NOT(ISNUMBER(P19)),NOT(ISNUMBER(Q19)),Q19&lt;0,Q19&lt;&gt;INT(Q19)),"CHECK DATE / INTERVAL",EDATE(P19,Q19)))</f>
        <v/>
      </c>
      <c r="S19" s="50" t="inlineStr">
        <is>
          <t>Current</t>
        </is>
      </c>
      <c r="T19" s="50" t="inlineStr">
        <is>
          <t>Monitoring Officer to validate all governance-body powers, delegations and record/public-access requirements.</t>
        </is>
      </c>
      <c r="U19" s="50">
        <f>IF(AND(A19&lt;&gt;"",B19&lt;&gt;"",C19&lt;&gt;"",D19&lt;&gt;"",E19&lt;&gt;"",F19&lt;&gt;"",G19&lt;&gt;"",H19&lt;&gt;"",I19&lt;&gt;"",J19&lt;&gt;"",K19&lt;&gt;"",L19&lt;&gt;"",M19&lt;&gt;"",N19&lt;&gt;"",O19&lt;&gt;"",P19&lt;&gt;"",AND(ISNUMBER(P19),ISNUMBER(Q19),Q19&gt;0,Q19=INT(Q19),ISNUMBER(R19)),S19&lt;&gt;"",T19&lt;&gt;""),IF(AND(ISNUMBER(R19),R19&lt;TODAY()),"Review overdue","Complete"),"Incomplete")</f>
        <v/>
      </c>
    </row>
    <row r="20" ht="42.75" customHeight="1" s="29">
      <c r="A20" s="49" t="inlineStr">
        <is>
          <t>REQ-014</t>
        </is>
      </c>
      <c r="B20" s="50" t="inlineStr">
        <is>
          <t>Council governance</t>
        </is>
      </c>
      <c r="C20" s="50" t="inlineStr">
        <is>
          <t>Legislation and statutory guidance</t>
        </is>
      </c>
      <c r="D20" s="50" t="inlineStr">
        <is>
          <t>Local Government Act 1999 (Best Value Duty) and 2024 statutory guidance</t>
        </is>
      </c>
      <c r="E20" s="50" t="inlineStr">
        <is>
          <t>England</t>
        </is>
      </c>
      <c r="F20" s="51" t="inlineStr">
        <is>
          <t>Applicable</t>
        </is>
      </c>
      <c r="G20" s="51" t="inlineStr">
        <is>
          <t>Specialist validation required</t>
        </is>
      </c>
      <c r="H20" s="50" t="inlineStr">
        <is>
          <t>The Council must make arrangements to secure continuous improvement, having regard to economy, efficiency and effectiveness, and to statutory Best Value guidance.</t>
        </is>
      </c>
      <c r="I20" s="50" t="inlineStr">
        <is>
          <t>Evidence proportionate business case, value, service outcomes, governance, risk, performance and continuous improvement; avoid treating automation savings as sufficient assurance.</t>
        </is>
      </c>
      <c r="J20" s="50" t="inlineStr">
        <is>
          <t>Corporate Leadership / Finance / Performance</t>
        </is>
      </c>
      <c r="K20" s="50" t="inlineStr">
        <is>
          <t>Business case; objectives; benefits; monitoring; review</t>
        </is>
      </c>
      <c r="L20" s="50" t="inlineStr">
        <is>
          <t>AIG-ASS-02, AIG-OPS-05, AIG-OPS-06, AIG-OPS-01, AIG-AIMS-03</t>
        </is>
      </c>
      <c r="M20" s="50" t="inlineStr">
        <is>
          <t>ISO 5.1, 6.2, 9.1, 10.1</t>
        </is>
      </c>
      <c r="N20" s="50" t="inlineStr">
        <is>
          <t>Business case; option appraisal; benefits baseline; performance/outcome data; review and improvement decisions</t>
        </is>
      </c>
      <c r="O20" s="50" t="inlineStr">
        <is>
          <t>https://www.gov.uk/government/publications/best-value-standards-and-intervention-a-statutory-guide-for-best-value-authorities</t>
        </is>
      </c>
      <c r="P20" s="52" t="n">
        <v>46241</v>
      </c>
      <c r="Q20" s="53" t="n">
        <v>12</v>
      </c>
      <c r="R20" s="52">
        <f>IF(P20="","",IF(OR(NOT(ISNUMBER(P20)),NOT(ISNUMBER(Q20)),Q20&lt;0,Q20&lt;&gt;INT(Q20)),"CHECK DATE / INTERVAL",EDATE(P20,Q20)))</f>
        <v/>
      </c>
      <c r="S20" s="50" t="inlineStr">
        <is>
          <t>Current</t>
        </is>
      </c>
      <c r="T20" s="50" t="inlineStr">
        <is>
          <t>Finance/Performance/Legal to define AI value-for-money and outcome evidence by risk tier.</t>
        </is>
      </c>
      <c r="U20" s="50">
        <f>IF(AND(A20&lt;&gt;"",B20&lt;&gt;"",C20&lt;&gt;"",D20&lt;&gt;"",E20&lt;&gt;"",F20&lt;&gt;"",G20&lt;&gt;"",H20&lt;&gt;"",I20&lt;&gt;"",J20&lt;&gt;"",K20&lt;&gt;"",L20&lt;&gt;"",M20&lt;&gt;"",N20&lt;&gt;"",O20&lt;&gt;"",P20&lt;&gt;"",AND(ISNUMBER(P20),ISNUMBER(Q20),Q20&gt;0,Q20=INT(Q20),ISNUMBER(R20)),S20&lt;&gt;"",T20&lt;&gt;""),IF(AND(ISNUMBER(R20),R20&lt;TODAY()),"Review overdue","Complete"),"Incomplete")</f>
        <v/>
      </c>
    </row>
    <row r="21" ht="42.75" customHeight="1" s="29">
      <c r="A21" s="49" t="inlineStr">
        <is>
          <t>REQ-015</t>
        </is>
      </c>
      <c r="B21" s="50" t="inlineStr">
        <is>
          <t>Procurement and suppliers</t>
        </is>
      </c>
      <c r="C21" s="50" t="inlineStr">
        <is>
          <t>Legislation</t>
        </is>
      </c>
      <c r="D21" s="50" t="inlineStr">
        <is>
          <t>Procurement Act 2023 and Procurement Regulations 2024</t>
        </is>
      </c>
      <c r="E21" s="50" t="inlineStr">
        <is>
          <t>England, Wales and Northern Ireland regime as applicable</t>
        </is>
      </c>
      <c r="F21" s="51" t="inlineStr">
        <is>
          <t>Applicable</t>
        </is>
      </c>
      <c r="G21" s="51" t="inlineStr">
        <is>
          <t>Specialist validation required</t>
        </is>
      </c>
      <c r="H21" s="50" t="inlineStr">
        <is>
          <t>New public procurements from 24 February 2025 are governed by the new regime, subject to scope and transitional rules.</t>
        </is>
      </c>
      <c r="I21" s="50" t="inlineStr">
        <is>
          <t>Apply procurement objectives, transparency, conflicts, supplier information/exclusion, award, modification and contract-management requirements; embed AI due diligence, evidence, change, incident, audit, resilience and exit controls.</t>
        </is>
      </c>
      <c r="J21" s="50" t="inlineStr">
        <is>
          <t>Procurement / Legal / Contract Owner</t>
        </is>
      </c>
      <c r="K21" s="50" t="inlineStr">
        <is>
          <t>Discovery; market engagement; procurement; contract; change; exit</t>
        </is>
      </c>
      <c r="L21" s="50" t="inlineStr">
        <is>
          <t>AIG-INV-03, AIG-ASS-08, AIG-DEC-03, AIG-ASS-11, AIG-OPS-01</t>
        </is>
      </c>
      <c r="M21" s="50" t="inlineStr">
        <is>
          <t>ISO 4.2, 8.1; A.10.2-A.10.4</t>
        </is>
      </c>
      <c r="N21" s="50" t="inlineStr">
        <is>
          <t>Procurement strategy; notices; conflicts; due diligence; evaluation; contract; KPI/change/exit records</t>
        </is>
      </c>
      <c r="O21" s="50" t="inlineStr">
        <is>
          <t>https://www.legislation.gov.uk/ukpga/2023/54/contents</t>
        </is>
      </c>
      <c r="P21" s="52" t="n">
        <v>46241</v>
      </c>
      <c r="Q21" s="53" t="n">
        <v>6</v>
      </c>
      <c r="R21" s="52">
        <f>IF(P21="","",IF(OR(NOT(ISNUMBER(P21)),NOT(ISNUMBER(Q21)),Q21&lt;0,Q21&lt;&gt;INT(Q21)),"CHECK DATE / INTERVAL",EDATE(P21,Q21)))</f>
        <v/>
      </c>
      <c r="S21" s="50" t="inlineStr">
        <is>
          <t>Current / commenced</t>
        </is>
      </c>
      <c r="T21" s="50" t="inlineStr">
        <is>
          <t>Procurement/Legal to validate AI gates and mandatory terms under the new regime; distinguish legacy procurements.</t>
        </is>
      </c>
      <c r="U21" s="50">
        <f>IF(AND(A21&lt;&gt;"",B21&lt;&gt;"",C21&lt;&gt;"",D21&lt;&gt;"",E21&lt;&gt;"",F21&lt;&gt;"",G21&lt;&gt;"",H21&lt;&gt;"",I21&lt;&gt;"",J21&lt;&gt;"",K21&lt;&gt;"",L21&lt;&gt;"",M21&lt;&gt;"",N21&lt;&gt;"",O21&lt;&gt;"",P21&lt;&gt;"",AND(ISNUMBER(P21),ISNUMBER(Q21),Q21&gt;0,Q21=INT(Q21),ISNUMBER(R21)),S21&lt;&gt;"",T21&lt;&gt;""),IF(AND(ISNUMBER(R21),R21&lt;TODAY()),"Review overdue","Complete"),"Incomplete")</f>
        <v/>
      </c>
    </row>
    <row r="22" ht="32.25" customHeight="1" s="29">
      <c r="A22" s="49" t="inlineStr">
        <is>
          <t>REQ-016</t>
        </is>
      </c>
      <c r="B22" s="50" t="inlineStr">
        <is>
          <t>Procurement and suppliers</t>
        </is>
      </c>
      <c r="C22" s="50" t="inlineStr">
        <is>
          <t>Statutory statement</t>
        </is>
      </c>
      <c r="D22" s="50" t="inlineStr">
        <is>
          <t>National Procurement Policy Statement 2025</t>
        </is>
      </c>
      <c r="E22" s="50" t="inlineStr">
        <is>
          <t>England / in-scope contracting authorities</t>
        </is>
      </c>
      <c r="F22" s="51" t="inlineStr">
        <is>
          <t>Applicable</t>
        </is>
      </c>
      <c r="G22" s="51" t="inlineStr">
        <is>
          <t>Specialist validation required</t>
        </is>
      </c>
      <c r="H22" s="50" t="inlineStr">
        <is>
          <t>Section 13 of the Procurement Act requires in-scope contracting authorities to have regard to the NPPS, subject to stated exceptions.</t>
        </is>
      </c>
      <c r="I22" s="50" t="inlineStr">
        <is>
          <t>Reflect strategic priorities and public value in AI procurement planning and contract management; retain evidence of regard and relevant decisions.</t>
        </is>
      </c>
      <c r="J22" s="50" t="inlineStr">
        <is>
          <t>Procurement / Corporate Leadership</t>
        </is>
      </c>
      <c r="K22" s="50" t="inlineStr">
        <is>
          <t>Procurement strategy; business case; award; contract review</t>
        </is>
      </c>
      <c r="L22" s="50" t="inlineStr">
        <is>
          <t>AIG-ASS-02, AIG-ASS-08, AIG-DEC-03, AIG-OPS-05</t>
        </is>
      </c>
      <c r="M22" s="50" t="inlineStr">
        <is>
          <t>ISO 4.2, 6.2, 8.1; A.10</t>
        </is>
      </c>
      <c r="N22" s="50" t="inlineStr">
        <is>
          <t>Procurement strategy; decision record; social/economic/environmental considerations; contract performance</t>
        </is>
      </c>
      <c r="O22" s="50" t="inlineStr">
        <is>
          <t>https://www.gov.uk/government/publications/national-procurement-policy-statement/</t>
        </is>
      </c>
      <c r="P22" s="52" t="n">
        <v>46241</v>
      </c>
      <c r="Q22" s="53" t="n">
        <v>6</v>
      </c>
      <c r="R22" s="52">
        <f>IF(P22="","",IF(OR(NOT(ISNUMBER(P22)),NOT(ISNUMBER(Q22)),Q22&lt;0,Q22&lt;&gt;INT(Q22)),"CHECK DATE / INTERVAL",EDATE(P22,Q22)))</f>
        <v/>
      </c>
      <c r="S22" s="50" t="inlineStr">
        <is>
          <t>Current</t>
        </is>
      </c>
      <c r="T22" s="50" t="inlineStr">
        <is>
          <t>Procurement to confirm applicability/exceptions and evidence required for AI sourcing decisions.</t>
        </is>
      </c>
      <c r="U22" s="50">
        <f>IF(AND(A22&lt;&gt;"",B22&lt;&gt;"",C22&lt;&gt;"",D22&lt;&gt;"",E22&lt;&gt;"",F22&lt;&gt;"",G22&lt;&gt;"",H22&lt;&gt;"",I22&lt;&gt;"",J22&lt;&gt;"",K22&lt;&gt;"",L22&lt;&gt;"",M22&lt;&gt;"",N22&lt;&gt;"",O22&lt;&gt;"",P22&lt;&gt;"",AND(ISNUMBER(P22),ISNUMBER(Q22),Q22&gt;0,Q22=INT(Q22),ISNUMBER(R22)),S22&lt;&gt;"",T22&lt;&gt;""),IF(AND(ISNUMBER(R22),R22&lt;TODAY()),"Review overdue","Complete"),"Incomplete")</f>
        <v/>
      </c>
    </row>
    <row r="23" ht="32.25" customHeight="1" s="29">
      <c r="A23" s="49" t="inlineStr">
        <is>
          <t>REQ-017</t>
        </is>
      </c>
      <c r="B23" s="50" t="inlineStr">
        <is>
          <t>Procurement and suppliers</t>
        </is>
      </c>
      <c r="C23" s="50" t="inlineStr">
        <is>
          <t>Legacy legislation</t>
        </is>
      </c>
      <c r="D23" s="50" t="inlineStr">
        <is>
          <t>Public Contracts Regulations 2015 and procurement transitional arrangements</t>
        </is>
      </c>
      <c r="E23" s="50" t="inlineStr">
        <is>
          <t>England, Wales and Northern Ireland as applicable</t>
        </is>
      </c>
      <c r="F23" s="51" t="inlineStr">
        <is>
          <t>Conditional</t>
        </is>
      </c>
      <c r="G23" s="51" t="inlineStr">
        <is>
          <t>Specialist validation required</t>
        </is>
      </c>
      <c r="H23" s="50" t="inlineStr">
        <is>
          <t>May continue to govern procurements/contracts commenced under the previous regime.</t>
        </is>
      </c>
      <c r="I23" s="50" t="inlineStr">
        <is>
          <t>Identify the governing procurement regime; preserve legacy notice, modification, transparency and contract-management requirements alongside AI controls.</t>
        </is>
      </c>
      <c r="J23" s="50" t="inlineStr">
        <is>
          <t>Procurement / Legal</t>
        </is>
      </c>
      <c r="K23" s="50" t="inlineStr">
        <is>
          <t>Legacy contract; modification; renewal; exit</t>
        </is>
      </c>
      <c r="L23" s="50" t="inlineStr">
        <is>
          <t>AIG-ASS-08, AIG-DEC-03, AIG-ASS-11, AIG-OPS-01</t>
        </is>
      </c>
      <c r="M23" s="50" t="inlineStr">
        <is>
          <t>ISO 4.2, 8.1; A.10</t>
        </is>
      </c>
      <c r="N23" s="50" t="inlineStr">
        <is>
          <t>Regime decision; procurement file; modification/renewal advice; contract and exit evidence</t>
        </is>
      </c>
      <c r="O23" s="50" t="inlineStr">
        <is>
          <t>https://www.gov.uk/government/collections/transforming-public-procurement</t>
        </is>
      </c>
      <c r="P23" s="52" t="n">
        <v>46241</v>
      </c>
      <c r="Q23" s="53" t="n">
        <v>6</v>
      </c>
      <c r="R23" s="52">
        <f>IF(P23="","",IF(OR(NOT(ISNUMBER(P23)),NOT(ISNUMBER(Q23)),Q23&lt;0,Q23&lt;&gt;INT(Q23)),"CHECK DATE / INTERVAL",EDATE(P23,Q23)))</f>
        <v/>
      </c>
      <c r="S23" s="50" t="inlineStr">
        <is>
          <t>Transitional</t>
        </is>
      </c>
      <c r="T23" s="50" t="inlineStr">
        <is>
          <t>Create a contract-level field recording which procurement regime applies and the transition/renewal route.</t>
        </is>
      </c>
      <c r="U23" s="50">
        <f>IF(AND(A23&lt;&gt;"",B23&lt;&gt;"",C23&lt;&gt;"",D23&lt;&gt;"",E23&lt;&gt;"",F23&lt;&gt;"",G23&lt;&gt;"",H23&lt;&gt;"",I23&lt;&gt;"",J23&lt;&gt;"",K23&lt;&gt;"",L23&lt;&gt;"",M23&lt;&gt;"",N23&lt;&gt;"",O23&lt;&gt;"",P23&lt;&gt;"",AND(ISNUMBER(P23),ISNUMBER(Q23),Q23&gt;0,Q23=INT(Q23),ISNUMBER(R23)),S23&lt;&gt;"",T23&lt;&gt;""),IF(AND(ISNUMBER(R23),R23&lt;TODAY()),"Review overdue","Complete"),"Incomplete")</f>
        <v/>
      </c>
    </row>
    <row r="24" ht="32.25" customHeight="1" s="29">
      <c r="A24" s="49" t="inlineStr">
        <is>
          <t>REQ-018</t>
        </is>
      </c>
      <c r="B24" s="50" t="inlineStr">
        <is>
          <t>Procurement and suppliers</t>
        </is>
      </c>
      <c r="C24" s="50" t="inlineStr">
        <is>
          <t>Legislation</t>
        </is>
      </c>
      <c r="D24" s="50" t="inlineStr">
        <is>
          <t>Public Services (Social Value) Act 2012</t>
        </is>
      </c>
      <c r="E24" s="50" t="inlineStr">
        <is>
          <t>England and Wales</t>
        </is>
      </c>
      <c r="F24" s="51" t="inlineStr">
        <is>
          <t>Conditional</t>
        </is>
      </c>
      <c r="G24" s="51" t="inlineStr">
        <is>
          <t>Specialist validation required</t>
        </is>
      </c>
      <c r="H24" s="50" t="inlineStr">
        <is>
          <t>Triggered for relevant public-services procurements and pre-procurement consideration, subject to current procurement law and Council policy.</t>
        </is>
      </c>
      <c r="I24" s="50" t="inlineStr">
        <is>
          <t>Consider economic, social and environmental wellbeing and proportionate consultation; integrate equality, workforce, community and accessibility outcomes into AI sourcing where applicable.</t>
        </is>
      </c>
      <c r="J24" s="50" t="inlineStr">
        <is>
          <t>Procurement / Social Value Lead</t>
        </is>
      </c>
      <c r="K24" s="50" t="inlineStr">
        <is>
          <t>Business case; pre-procurement; evaluation; contract monitoring</t>
        </is>
      </c>
      <c r="L24" s="50" t="inlineStr">
        <is>
          <t>AIG-ASS-02, AIG-ASS-06 to AIG-ASS-08, AIG-OPS-05</t>
        </is>
      </c>
      <c r="M24" s="50" t="inlineStr">
        <is>
          <t>ISO 4.2, 6.2, 8.1; A.5, A.10</t>
        </is>
      </c>
      <c r="N24" s="50" t="inlineStr">
        <is>
          <t>Social-value assessment; consultation; evaluation; commitments; KPI and benefit evidence</t>
        </is>
      </c>
      <c r="O24" s="50" t="inlineStr">
        <is>
          <t>https://www.legislation.gov.uk/ukpga/2012/3/contents</t>
        </is>
      </c>
      <c r="P24" s="52" t="n">
        <v>46241</v>
      </c>
      <c r="Q24" s="53" t="n">
        <v>12</v>
      </c>
      <c r="R24" s="52">
        <f>IF(P24="","",IF(OR(NOT(ISNUMBER(P24)),NOT(ISNUMBER(Q24)),Q24&lt;0,Q24&lt;&gt;INT(Q24)),"CHECK DATE / INTERVAL",EDATE(P24,Q24)))</f>
        <v/>
      </c>
      <c r="S24" s="50" t="inlineStr">
        <is>
          <t>Current</t>
        </is>
      </c>
      <c r="T24" s="50" t="inlineStr">
        <is>
          <t>Procurement/Social Value Lead to confirm current interaction with the Procurement Act and Council policy.</t>
        </is>
      </c>
      <c r="U24" s="50">
        <f>IF(AND(A24&lt;&gt;"",B24&lt;&gt;"",C24&lt;&gt;"",D24&lt;&gt;"",E24&lt;&gt;"",F24&lt;&gt;"",G24&lt;&gt;"",H24&lt;&gt;"",I24&lt;&gt;"",J24&lt;&gt;"",K24&lt;&gt;"",L24&lt;&gt;"",M24&lt;&gt;"",N24&lt;&gt;"",O24&lt;&gt;"",P24&lt;&gt;"",AND(ISNUMBER(P24),ISNUMBER(Q24),Q24&gt;0,Q24=INT(Q24),ISNUMBER(R24)),S24&lt;&gt;"",T24&lt;&gt;""),IF(AND(ISNUMBER(R24),R24&lt;TODAY()),"Review overdue","Complete"),"Incomplete")</f>
        <v/>
      </c>
    </row>
    <row r="25" ht="32.25" customHeight="1" s="29">
      <c r="A25" s="49" t="inlineStr">
        <is>
          <t>REQ-019</t>
        </is>
      </c>
      <c r="B25" s="50" t="inlineStr">
        <is>
          <t>Data sharing and public services</t>
        </is>
      </c>
      <c r="C25" s="50" t="inlineStr">
        <is>
          <t>Legislation</t>
        </is>
      </c>
      <c r="D25" s="50" t="inlineStr">
        <is>
          <t>Digital Economy Act 2017 data-sharing powers and codes</t>
        </is>
      </c>
      <c r="E25" s="50" t="inlineStr">
        <is>
          <t>United Kingdom / relevant chapters</t>
        </is>
      </c>
      <c r="F25" s="51" t="inlineStr">
        <is>
          <t>Conditional</t>
        </is>
      </c>
      <c r="G25" s="51" t="inlineStr">
        <is>
          <t>Specialist validation required</t>
        </is>
      </c>
      <c r="H25" s="50" t="inlineStr">
        <is>
          <t>Triggered when a proposed AI data-sharing arrangement relies on a Digital Economy Act power or objective.</t>
        </is>
      </c>
      <c r="I25" s="50" t="inlineStr">
        <is>
          <t>Confirm lawful power, objective, participant eligibility, code compliance, security, transparency, data minimisation and information-sharing terms.</t>
        </is>
      </c>
      <c r="J25" s="50" t="inlineStr">
        <is>
          <t>Legal / DPO / Information Governance</t>
        </is>
      </c>
      <c r="K25" s="50" t="inlineStr">
        <is>
          <t>Data acquisition; partnership; matching; monitoring</t>
        </is>
      </c>
      <c r="L25" s="50" t="inlineStr">
        <is>
          <t>AIG-ASS-02, AIG-ASS-05, AIG-ASS-08, AIG-DEC-03</t>
        </is>
      </c>
      <c r="M25" s="50" t="inlineStr">
        <is>
          <t>ISO 4.2, 8.1; A.7, A.10</t>
        </is>
      </c>
      <c r="N25" s="50" t="inlineStr">
        <is>
          <t>Power/eligibility decision; data-sharing agreement; DPIA; code assessment; security and audit records</t>
        </is>
      </c>
      <c r="O25" s="50" t="inlineStr">
        <is>
          <t>https://www.legislation.gov.uk/ukpga/2017/30/contents</t>
        </is>
      </c>
      <c r="P25" s="52" t="n">
        <v>46241</v>
      </c>
      <c r="Q25" s="53" t="n">
        <v>12</v>
      </c>
      <c r="R25" s="52">
        <f>IF(P25="","",IF(OR(NOT(ISNUMBER(P25)),NOT(ISNUMBER(Q25)),Q25&lt;0,Q25&lt;&gt;INT(Q25)),"CHECK DATE / INTERVAL",EDATE(P25,Q25)))</f>
        <v/>
      </c>
      <c r="S25" s="50" t="inlineStr">
        <is>
          <t>Current</t>
        </is>
      </c>
      <c r="T25" s="50" t="inlineStr">
        <is>
          <t>Legal/DPO to validate any proposed reliance and distinguish other statutory data-sharing powers.</t>
        </is>
      </c>
      <c r="U25" s="50">
        <f>IF(AND(A25&lt;&gt;"",B25&lt;&gt;"",C25&lt;&gt;"",D25&lt;&gt;"",E25&lt;&gt;"",F25&lt;&gt;"",G25&lt;&gt;"",H25&lt;&gt;"",I25&lt;&gt;"",J25&lt;&gt;"",K25&lt;&gt;"",L25&lt;&gt;"",M25&lt;&gt;"",N25&lt;&gt;"",O25&lt;&gt;"",P25&lt;&gt;"",AND(ISNUMBER(P25),ISNUMBER(Q25),Q25&gt;0,Q25=INT(Q25),ISNUMBER(R25)),S25&lt;&gt;"",T25&lt;&gt;""),IF(AND(ISNUMBER(R25),R25&lt;TODAY()),"Review overdue","Complete"),"Incomplete")</f>
        <v/>
      </c>
    </row>
    <row r="26" ht="32.25" customHeight="1" s="29">
      <c r="A26" s="49" t="inlineStr">
        <is>
          <t>REQ-020</t>
        </is>
      </c>
      <c r="B26" s="50" t="inlineStr">
        <is>
          <t>Information access and records</t>
        </is>
      </c>
      <c r="C26" s="50" t="inlineStr">
        <is>
          <t>Legislation</t>
        </is>
      </c>
      <c r="D26" s="50" t="inlineStr">
        <is>
          <t>Re-use of Public Sector Information Regulations 2015</t>
        </is>
      </c>
      <c r="E26" s="50" t="inlineStr">
        <is>
          <t>United Kingdom</t>
        </is>
      </c>
      <c r="F26" s="51" t="inlineStr">
        <is>
          <t>Conditional</t>
        </is>
      </c>
      <c r="G26" s="51" t="inlineStr">
        <is>
          <t>Specialist validation required</t>
        </is>
      </c>
      <c r="H26" s="50" t="inlineStr">
        <is>
          <t>Triggered where Council information is requested or licensed for re-use, or AI datasets/outputs are made available for re-use.</t>
        </is>
      </c>
      <c r="I26" s="50" t="inlineStr">
        <is>
          <t>Assess re-use scope, licensing, charging, non-discrimination, transparency and intellectual-property/data-protection constraints.</t>
        </is>
      </c>
      <c r="J26" s="50" t="inlineStr">
        <is>
          <t>Information Governance / Legal / Data</t>
        </is>
      </c>
      <c r="K26" s="50" t="inlineStr">
        <is>
          <t>Data publication; open data; licensing; partnerships</t>
        </is>
      </c>
      <c r="L26" s="50" t="inlineStr">
        <is>
          <t>AIG-ASS-02, AIG-ASS-08, AIG-ASS-10</t>
        </is>
      </c>
      <c r="M26" s="50" t="inlineStr">
        <is>
          <t>ISO 4.2, 7.4; A.7, A.8.5</t>
        </is>
      </c>
      <c r="N26" s="50" t="inlineStr">
        <is>
          <t>Re-use decision; licence; source/provenance; privacy/IP assessment; publication record</t>
        </is>
      </c>
      <c r="O26" s="50" t="inlineStr">
        <is>
          <t>https://www.legislation.gov.uk/uksi/2015/1415/contents</t>
        </is>
      </c>
      <c r="P26" s="52" t="n">
        <v>46241</v>
      </c>
      <c r="Q26" s="53" t="n">
        <v>12</v>
      </c>
      <c r="R26" s="52">
        <f>IF(P26="","",IF(OR(NOT(ISNUMBER(P26)),NOT(ISNUMBER(Q26)),Q26&lt;0,Q26&lt;&gt;INT(Q26)),"CHECK DATE / INTERVAL",EDATE(P26,Q26)))</f>
        <v/>
      </c>
      <c r="S26" s="50" t="inlineStr">
        <is>
          <t>Current</t>
        </is>
      </c>
      <c r="T26" s="50" t="inlineStr">
        <is>
          <t>Legal/IG to define triggers for AI training datasets, outputs and public/open-data releases.</t>
        </is>
      </c>
      <c r="U26" s="50">
        <f>IF(AND(A26&lt;&gt;"",B26&lt;&gt;"",C26&lt;&gt;"",D26&lt;&gt;"",E26&lt;&gt;"",F26&lt;&gt;"",G26&lt;&gt;"",H26&lt;&gt;"",I26&lt;&gt;"",J26&lt;&gt;"",K26&lt;&gt;"",L26&lt;&gt;"",M26&lt;&gt;"",N26&lt;&gt;"",O26&lt;&gt;"",P26&lt;&gt;"",AND(ISNUMBER(P26),ISNUMBER(Q26),Q26&gt;0,Q26=INT(Q26),ISNUMBER(R26)),S26&lt;&gt;"",T26&lt;&gt;""),IF(AND(ISNUMBER(R26),R26&lt;TODAY()),"Review overdue","Complete"),"Incomplete")</f>
        <v/>
      </c>
    </row>
    <row r="27" ht="32.25" customHeight="1" s="29">
      <c r="A27" s="49" t="inlineStr">
        <is>
          <t>REQ-021</t>
        </is>
      </c>
      <c r="B27" s="50" t="inlineStr">
        <is>
          <t>Intellectual property and content</t>
        </is>
      </c>
      <c r="C27" s="50" t="inlineStr">
        <is>
          <t>Legislation</t>
        </is>
      </c>
      <c r="D27" s="50" t="inlineStr">
        <is>
          <t>Copyright, Designs and Patents Act 1988</t>
        </is>
      </c>
      <c r="E27" s="50" t="inlineStr">
        <is>
          <t>United Kingdom</t>
        </is>
      </c>
      <c r="F27" s="51" t="inlineStr">
        <is>
          <t>Conditional</t>
        </is>
      </c>
      <c r="G27" s="51" t="inlineStr">
        <is>
          <t>Specialist validation required</t>
        </is>
      </c>
      <c r="H27" s="50" t="inlineStr">
        <is>
          <t>AI training, prompts, outputs, code, datasets and supplier models may use or generate protected material.</t>
        </is>
      </c>
      <c r="I27" s="50" t="inlineStr">
        <is>
          <t>Establish rights, licences, permitted acts, attribution and ownership; control third-party content, output use, open-source terms and supplier indemnity/evidence.</t>
        </is>
      </c>
      <c r="J27" s="50" t="inlineStr">
        <is>
          <t>Legal / Procurement / Service Owner</t>
        </is>
      </c>
      <c r="K27" s="50" t="inlineStr">
        <is>
          <t>Data acquisition; development; procurement; use; publication; exit</t>
        </is>
      </c>
      <c r="L27" s="50" t="inlineStr">
        <is>
          <t>AIG-ASS-02, AIG-ASS-08 to AIG-ASS-10, AIG-OPS-01</t>
        </is>
      </c>
      <c r="M27" s="50" t="inlineStr">
        <is>
          <t>ISO 4.2, 8.1; A.4.3-A.4.5, A.10</t>
        </is>
      </c>
      <c r="N27" s="50" t="inlineStr">
        <is>
          <t>Rights/licence register; provenance; terms; supplier warranty/indemnity; content review; takedown/complaint record</t>
        </is>
      </c>
      <c r="O27" s="50" t="inlineStr">
        <is>
          <t>https://www.legislation.gov.uk/ukpga/1988/48/contents</t>
        </is>
      </c>
      <c r="P27" s="52" t="n">
        <v>46241</v>
      </c>
      <c r="Q27" s="53" t="n">
        <v>6</v>
      </c>
      <c r="R27" s="52">
        <f>IF(P27="","",IF(OR(NOT(ISNUMBER(P27)),NOT(ISNUMBER(Q27)),Q27&lt;0,Q27&lt;&gt;INT(Q27)),"CHECK DATE / INTERVAL",EDATE(P27,Q27)))</f>
        <v/>
      </c>
      <c r="S27" s="50" t="inlineStr">
        <is>
          <t>Current / policy developing</t>
        </is>
      </c>
      <c r="T27" s="50" t="inlineStr">
        <is>
          <t>Legal to establish the approved IP/copyright position for generative AI and monitor government reform.</t>
        </is>
      </c>
      <c r="U27" s="50">
        <f>IF(AND(A27&lt;&gt;"",B27&lt;&gt;"",C27&lt;&gt;"",D27&lt;&gt;"",E27&lt;&gt;"",F27&lt;&gt;"",G27&lt;&gt;"",H27&lt;&gt;"",I27&lt;&gt;"",J27&lt;&gt;"",K27&lt;&gt;"",L27&lt;&gt;"",M27&lt;&gt;"",N27&lt;&gt;"",O27&lt;&gt;"",P27&lt;&gt;"",AND(ISNUMBER(P27),ISNUMBER(Q27),Q27&gt;0,Q27=INT(Q27),ISNUMBER(R27)),S27&lt;&gt;"",T27&lt;&gt;""),IF(AND(ISNUMBER(R27),R27&lt;TODAY()),"Review overdue","Complete"),"Incomplete")</f>
        <v/>
      </c>
    </row>
    <row r="28" ht="21.75" customHeight="1" s="29">
      <c r="A28" s="49" t="inlineStr">
        <is>
          <t>REQ-022</t>
        </is>
      </c>
      <c r="B28" s="50" t="inlineStr">
        <is>
          <t>Intellectual property and content</t>
        </is>
      </c>
      <c r="C28" s="50" t="inlineStr">
        <is>
          <t>Legislation</t>
        </is>
      </c>
      <c r="D28" s="50" t="inlineStr">
        <is>
          <t>Copyright and Rights in Databases Regulations 1997</t>
        </is>
      </c>
      <c r="E28" s="50" t="inlineStr">
        <is>
          <t>United Kingdom</t>
        </is>
      </c>
      <c r="F28" s="51" t="inlineStr">
        <is>
          <t>Conditional</t>
        </is>
      </c>
      <c r="G28" s="51" t="inlineStr">
        <is>
          <t>Specialist validation required</t>
        </is>
      </c>
      <c r="H28" s="50" t="inlineStr">
        <is>
          <t>Triggered when AI datasets or data extraction/re-use engage database copyright or database right.</t>
        </is>
      </c>
      <c r="I28" s="50" t="inlineStr">
        <is>
          <t>Confirm ownership, substantial extraction/re-utilisation, licences and supplier/customer rights for datasets and derived artefacts.</t>
        </is>
      </c>
      <c r="J28" s="50" t="inlineStr">
        <is>
          <t>Legal / Data Owner</t>
        </is>
      </c>
      <c r="K28" s="50" t="inlineStr">
        <is>
          <t>Data sourcing; training; evaluation; sharing; exit</t>
        </is>
      </c>
      <c r="L28" s="50" t="inlineStr">
        <is>
          <t>AIG-ASS-02, AIG-ASS-08, AIG-ASS-09</t>
        </is>
      </c>
      <c r="M28" s="50" t="inlineStr">
        <is>
          <t>ISO 4.2, 8.1; A.4.3, A.7, A.10</t>
        </is>
      </c>
      <c r="N28" s="50" t="inlineStr">
        <is>
          <t>Dataset licence; provenance; rights assessment; contractual allocation; permitted-use record</t>
        </is>
      </c>
      <c r="O28" s="50" t="inlineStr">
        <is>
          <t>https://www.legislation.gov.uk/uksi/1997/3032/contents</t>
        </is>
      </c>
      <c r="P28" s="52" t="n">
        <v>46241</v>
      </c>
      <c r="Q28" s="53" t="n">
        <v>12</v>
      </c>
      <c r="R28" s="52">
        <f>IF(P28="","",IF(OR(NOT(ISNUMBER(P28)),NOT(ISNUMBER(Q28)),Q28&lt;0,Q28&lt;&gt;INT(Q28)),"CHECK DATE / INTERVAL",EDATE(P28,Q28)))</f>
        <v/>
      </c>
      <c r="S28" s="50" t="inlineStr">
        <is>
          <t>Current</t>
        </is>
      </c>
      <c r="T28" s="50" t="inlineStr">
        <is>
          <t>Include database-right checks in dataset and supplier due diligence where triggered.</t>
        </is>
      </c>
      <c r="U28" s="50">
        <f>IF(AND(A28&lt;&gt;"",B28&lt;&gt;"",C28&lt;&gt;"",D28&lt;&gt;"",E28&lt;&gt;"",F28&lt;&gt;"",G28&lt;&gt;"",H28&lt;&gt;"",I28&lt;&gt;"",J28&lt;&gt;"",K28&lt;&gt;"",L28&lt;&gt;"",M28&lt;&gt;"",N28&lt;&gt;"",O28&lt;&gt;"",P28&lt;&gt;"",AND(ISNUMBER(P28),ISNUMBER(Q28),Q28&gt;0,Q28=INT(Q28),ISNUMBER(R28)),S28&lt;&gt;"",T28&lt;&gt;""),IF(AND(ISNUMBER(R28),R28&lt;TODAY()),"Review overdue","Complete"),"Incomplete")</f>
        <v/>
      </c>
    </row>
    <row r="29" ht="32.25" customHeight="1" s="29">
      <c r="A29" s="49" t="inlineStr">
        <is>
          <t>REQ-023</t>
        </is>
      </c>
      <c r="B29" s="50" t="inlineStr">
        <is>
          <t>Security and misuse</t>
        </is>
      </c>
      <c r="C29" s="50" t="inlineStr">
        <is>
          <t>Legislation</t>
        </is>
      </c>
      <c r="D29" s="50" t="inlineStr">
        <is>
          <t>Computer Misuse Act 1990</t>
        </is>
      </c>
      <c r="E29" s="50" t="inlineStr">
        <is>
          <t>United Kingdom</t>
        </is>
      </c>
      <c r="F29" s="51" t="inlineStr">
        <is>
          <t>Applicable</t>
        </is>
      </c>
      <c r="G29" s="51" t="inlineStr">
        <is>
          <t>Specialist validation required</t>
        </is>
      </c>
      <c r="H29" s="50" t="inlineStr">
        <is>
          <t>AI development, testing, agents, integrations and security exercises must not involve unauthorised access or modification.</t>
        </is>
      </c>
      <c r="I29" s="50" t="inlineStr">
        <is>
          <t>Authorise access/testing explicitly; apply least privilege, environment separation, logging and supplier controls; escalate suspected offences through security/legal routes.</t>
        </is>
      </c>
      <c r="J29" s="50" t="inlineStr">
        <is>
          <t>Cyber Security / Legal</t>
        </is>
      </c>
      <c r="K29" s="50" t="inlineStr">
        <is>
          <t>Development; testing; deployment; operations; incident</t>
        </is>
      </c>
      <c r="L29" s="50" t="inlineStr">
        <is>
          <t>AIG-ASS-08, AIG-OPS-03, AIG-ASS-11, AIG-OPS-01</t>
        </is>
      </c>
      <c r="M29" s="50" t="inlineStr">
        <is>
          <t>ISO 4.2, 8.1; A.4.4-A.4.5, A.6.2.4-A.6.2.8</t>
        </is>
      </c>
      <c r="N29" s="50" t="inlineStr">
        <is>
          <t>Test authorisation; access records; rules of engagement; logs; incident/legal decisions</t>
        </is>
      </c>
      <c r="O29" s="50" t="inlineStr">
        <is>
          <t>https://www.legislation.gov.uk/ukpga/1990/18/contents</t>
        </is>
      </c>
      <c r="P29" s="52" t="n">
        <v>46241</v>
      </c>
      <c r="Q29" s="53" t="n">
        <v>12</v>
      </c>
      <c r="R29" s="52">
        <f>IF(P29="","",IF(OR(NOT(ISNUMBER(P29)),NOT(ISNUMBER(Q29)),Q29&lt;0,Q29&lt;&gt;INT(Q29)),"CHECK DATE / INTERVAL",EDATE(P29,Q29)))</f>
        <v/>
      </c>
      <c r="S29" s="50" t="inlineStr">
        <is>
          <t>Current</t>
        </is>
      </c>
      <c r="T29" s="50" t="inlineStr">
        <is>
          <t>Security/Legal to define authorisation standards for red teaming, scanning, agentic actions and supplier testing.</t>
        </is>
      </c>
      <c r="U29" s="50">
        <f>IF(AND(A29&lt;&gt;"",B29&lt;&gt;"",C29&lt;&gt;"",D29&lt;&gt;"",E29&lt;&gt;"",F29&lt;&gt;"",G29&lt;&gt;"",H29&lt;&gt;"",I29&lt;&gt;"",J29&lt;&gt;"",K29&lt;&gt;"",L29&lt;&gt;"",M29&lt;&gt;"",N29&lt;&gt;"",O29&lt;&gt;"",P29&lt;&gt;"",AND(ISNUMBER(P29),ISNUMBER(Q29),Q29&gt;0,Q29=INT(Q29),ISNUMBER(R29)),S29&lt;&gt;"",T29&lt;&gt;""),IF(AND(ISNUMBER(R29),R29&lt;TODAY()),"Review overdue","Complete"),"Incomplete")</f>
        <v/>
      </c>
    </row>
    <row r="30" ht="32.25" customHeight="1" s="29">
      <c r="A30" s="49" t="inlineStr">
        <is>
          <t>REQ-024</t>
        </is>
      </c>
      <c r="B30" s="50" t="inlineStr">
        <is>
          <t>Security and resilience</t>
        </is>
      </c>
      <c r="C30" s="50" t="inlineStr">
        <is>
          <t>Legislation</t>
        </is>
      </c>
      <c r="D30" s="50" t="inlineStr">
        <is>
          <t>Network and Information Systems Regulations 2018 (NIS Regulations)</t>
        </is>
      </c>
      <c r="E30" s="50" t="inlineStr">
        <is>
          <t>United Kingdom</t>
        </is>
      </c>
      <c r="F30" s="51" t="inlineStr">
        <is>
          <t>Conditional</t>
        </is>
      </c>
      <c r="G30" s="51" t="inlineStr">
        <is>
          <t>Specialist validation required</t>
        </is>
      </c>
      <c r="H30" s="50" t="inlineStr">
        <is>
          <t>Applies only if the Council/system is within a regulated operator/digital-service scope or supports an in-scope body/contractual requirement.</t>
        </is>
      </c>
      <c r="I30" s="50" t="inlineStr">
        <is>
          <t>Determine status and dependencies; implement proportionate security and incident notification where applicable; reflect supply-chain and service-resilience requirements.</t>
        </is>
      </c>
      <c r="J30" s="50" t="inlineStr">
        <is>
          <t>Cyber Security / Legal / Resilience</t>
        </is>
      </c>
      <c r="K30" s="50" t="inlineStr">
        <is>
          <t>Scoping; architecture; procurement; operations; incidents</t>
        </is>
      </c>
      <c r="L30" s="50" t="inlineStr">
        <is>
          <t>AIG-ASS-08, AIG-OPS-03, AIG-ASS-11, AIG-OPS-01</t>
        </is>
      </c>
      <c r="M30" s="50" t="inlineStr">
        <is>
          <t>ISO 4.2, 8.1; A.4.4, A.6.2.7-A.6.2.8, A.10</t>
        </is>
      </c>
      <c r="N30" s="50" t="inlineStr">
        <is>
          <t>Applicability decision; security assessment; resilience plan; incident process; supplier obligations</t>
        </is>
      </c>
      <c r="O30" s="50" t="inlineStr">
        <is>
          <t>https://www.legislation.gov.uk/uksi/2018/506/contents</t>
        </is>
      </c>
      <c r="P30" s="52" t="n">
        <v>46241</v>
      </c>
      <c r="Q30" s="53" t="n">
        <v>6</v>
      </c>
      <c r="R30" s="52">
        <f>IF(P30="","",IF(OR(NOT(ISNUMBER(P30)),NOT(ISNUMBER(Q30)),Q30&lt;0,Q30&lt;&gt;INT(Q30)),"CHECK DATE / INTERVAL",EDATE(P30,Q30)))</f>
        <v/>
      </c>
      <c r="S30" s="50" t="inlineStr">
        <is>
          <t>Current / reform sensitive</t>
        </is>
      </c>
      <c r="T30" s="50" t="inlineStr">
        <is>
          <t>Security/Legal to confirm applicability and monitor UK cyber-security legislative reform.</t>
        </is>
      </c>
      <c r="U30" s="50">
        <f>IF(AND(A30&lt;&gt;"",B30&lt;&gt;"",C30&lt;&gt;"",D30&lt;&gt;"",E30&lt;&gt;"",F30&lt;&gt;"",G30&lt;&gt;"",H30&lt;&gt;"",I30&lt;&gt;"",J30&lt;&gt;"",K30&lt;&gt;"",L30&lt;&gt;"",M30&lt;&gt;"",N30&lt;&gt;"",O30&lt;&gt;"",P30&lt;&gt;"",AND(ISNUMBER(P30),ISNUMBER(Q30),Q30&gt;0,Q30=INT(Q30),ISNUMBER(R30)),S30&lt;&gt;"",T30&lt;&gt;""),IF(AND(ISNUMBER(R30),R30&lt;TODAY()),"Review overdue","Complete"),"Incomplete")</f>
        <v/>
      </c>
    </row>
    <row r="31" ht="32.25" customHeight="1" s="29">
      <c r="A31" s="49" t="inlineStr">
        <is>
          <t>REQ-025</t>
        </is>
      </c>
      <c r="B31" s="50" t="inlineStr">
        <is>
          <t>Surveillance and investigatory powers</t>
        </is>
      </c>
      <c r="C31" s="50" t="inlineStr">
        <is>
          <t>Legislation and statutory codes</t>
        </is>
      </c>
      <c r="D31" s="50" t="inlineStr">
        <is>
          <t>RIPA 2000, Investigatory Powers Act 2016 and Protection of Freedoms Act 2012 / surveillance-camera obligations</t>
        </is>
      </c>
      <c r="E31" s="50" t="inlineStr">
        <is>
          <t>United Kingdom / England and Wales as applicable</t>
        </is>
      </c>
      <c r="F31" s="51" t="inlineStr">
        <is>
          <t>Conditional</t>
        </is>
      </c>
      <c r="G31" s="51" t="inlineStr">
        <is>
          <t>Specialist validation required</t>
        </is>
      </c>
      <c r="H31" s="50" t="inlineStr">
        <is>
          <t>Triggered by AI-enabled surveillance, biometrics, covert activity, communications data or investigatory powers.</t>
        </is>
      </c>
      <c r="I31" s="50" t="inlineStr">
        <is>
          <t>Confirm lawful authority, necessity, proportionality, authorisation, oversight, retention, transparency and human review; apply relevant codes and commissioner requirements.</t>
        </is>
      </c>
      <c r="J31" s="50" t="inlineStr">
        <is>
          <t>Legal / DPO / SIRO / Authorising Officer</t>
        </is>
      </c>
      <c r="K31" s="50" t="inlineStr">
        <is>
          <t>Intake; impact assessment; authorisation; deployment; monitoring; incidents</t>
        </is>
      </c>
      <c r="L31" s="50" t="inlineStr">
        <is>
          <t>AIG-ASS-02, AIG-ASS-04, AIG-ASS-05, AIG-ASS-07, AIG-ASS-09, AIG-DEC-03, AIG-ASS-11</t>
        </is>
      </c>
      <c r="M31" s="50" t="inlineStr">
        <is>
          <t>ISO 4.2, 6.1, 8.1; A.5, A.7, A.8</t>
        </is>
      </c>
      <c r="N31" s="50" t="inlineStr">
        <is>
          <t>Power/code decision; DPIA/HRA/EIA; authorisation; audit logs; oversight; review and deletion</t>
        </is>
      </c>
      <c r="O31" s="50" t="inlineStr">
        <is>
          <t>https://www.legislation.gov.uk/ukpga/2000/23/contents</t>
        </is>
      </c>
      <c r="P31" s="52" t="n">
        <v>46241</v>
      </c>
      <c r="Q31" s="53" t="n">
        <v>3</v>
      </c>
      <c r="R31" s="52">
        <f>IF(P31="","",IF(OR(NOT(ISNUMBER(P31)),NOT(ISNUMBER(Q31)),Q31&lt;0,Q31&lt;&gt;INT(Q31)),"CHECK DATE / INTERVAL",EDATE(P31,Q31)))</f>
        <v/>
      </c>
      <c r="S31" s="50" t="inlineStr">
        <is>
          <t>Current / case-sensitive</t>
        </is>
      </c>
      <c r="T31" s="50" t="inlineStr">
        <is>
          <t>Legal/DPO to create a specialist trigger and prohibit deployment before required authorisation.</t>
        </is>
      </c>
      <c r="U31" s="50">
        <f>IF(AND(A31&lt;&gt;"",B31&lt;&gt;"",C31&lt;&gt;"",D31&lt;&gt;"",E31&lt;&gt;"",F31&lt;&gt;"",G31&lt;&gt;"",H31&lt;&gt;"",I31&lt;&gt;"",J31&lt;&gt;"",K31&lt;&gt;"",L31&lt;&gt;"",M31&lt;&gt;"",N31&lt;&gt;"",O31&lt;&gt;"",P31&lt;&gt;"",AND(ISNUMBER(P31),ISNUMBER(Q31),Q31&gt;0,Q31=INT(Q31),ISNUMBER(R31)),S31&lt;&gt;"",T31&lt;&gt;""),IF(AND(ISNUMBER(R31),R31&lt;TODAY()),"Review overdue","Complete"),"Incomplete")</f>
        <v/>
      </c>
    </row>
    <row r="32" ht="32.25" customHeight="1" s="29">
      <c r="A32" s="49" t="inlineStr">
        <is>
          <t>REQ-026</t>
        </is>
      </c>
      <c r="B32" s="50" t="inlineStr">
        <is>
          <t>Workforce and safety</t>
        </is>
      </c>
      <c r="C32" s="50" t="inlineStr">
        <is>
          <t>Legislation</t>
        </is>
      </c>
      <c r="D32" s="50" t="inlineStr">
        <is>
          <t>Health and Safety at Work etc. Act 1974</t>
        </is>
      </c>
      <c r="E32" s="50" t="inlineStr">
        <is>
          <t>Great Britain</t>
        </is>
      </c>
      <c r="F32" s="51" t="inlineStr">
        <is>
          <t>Applicable</t>
        </is>
      </c>
      <c r="G32" s="51" t="inlineStr">
        <is>
          <t>Specialist validation required</t>
        </is>
      </c>
      <c r="H32" s="50" t="inlineStr">
        <is>
          <t>AI may change work design, workload, safety-critical tasks, monitoring, decision responsibility or psychosocial risk.</t>
        </is>
      </c>
      <c r="I32" s="50" t="inlineStr">
        <is>
          <t>Assess and control health/safety risks; consult and train workers; maintain safe systems of work, human authority, escalation and incident learning.</t>
        </is>
      </c>
      <c r="J32" s="50" t="inlineStr">
        <is>
          <t>Health &amp; Safety / HR / Service Owner</t>
        </is>
      </c>
      <c r="K32" s="50" t="inlineStr">
        <is>
          <t>Business case; workforce consultation; deployment; operations; incidents</t>
        </is>
      </c>
      <c r="L32" s="50" t="inlineStr">
        <is>
          <t>AIG-ASS-02, AIG-ASS-04, AIG-OPS-05, AIG-OPS-03, AIG-OPS-01, AIG-AIMS-04</t>
        </is>
      </c>
      <c r="M32" s="50" t="inlineStr">
        <is>
          <t>ISO 4.2, 6.1, 7.2-7.4, 8.1; A.4.6, A.9.2</t>
        </is>
      </c>
      <c r="N32" s="50" t="inlineStr">
        <is>
          <t>Risk assessment; consultation; training; safe operating procedure; monitoring; incident record</t>
        </is>
      </c>
      <c r="O32" s="50" t="inlineStr">
        <is>
          <t>https://www.legislation.gov.uk/ukpga/1974/37/contents</t>
        </is>
      </c>
      <c r="P32" s="52" t="n">
        <v>46241</v>
      </c>
      <c r="Q32" s="53" t="n">
        <v>12</v>
      </c>
      <c r="R32" s="52">
        <f>IF(P32="","",IF(OR(NOT(ISNUMBER(P32)),NOT(ISNUMBER(Q32)),Q32&lt;0,Q32&lt;&gt;INT(Q32)),"CHECK DATE / INTERVAL",EDATE(P32,Q32)))</f>
        <v/>
      </c>
      <c r="S32" s="50" t="inlineStr">
        <is>
          <t>Current</t>
        </is>
      </c>
      <c r="T32" s="50" t="inlineStr">
        <is>
          <t>H&amp;S/HR to define when AI change requires occupational risk assessment and consultation.</t>
        </is>
      </c>
      <c r="U32" s="50">
        <f>IF(AND(A32&lt;&gt;"",B32&lt;&gt;"",C32&lt;&gt;"",D32&lt;&gt;"",E32&lt;&gt;"",F32&lt;&gt;"",G32&lt;&gt;"",H32&lt;&gt;"",I32&lt;&gt;"",J32&lt;&gt;"",K32&lt;&gt;"",L32&lt;&gt;"",M32&lt;&gt;"",N32&lt;&gt;"",O32&lt;&gt;"",P32&lt;&gt;"",AND(ISNUMBER(P32),ISNUMBER(Q32),Q32&gt;0,Q32=INT(Q32),ISNUMBER(R32)),S32&lt;&gt;"",T32&lt;&gt;""),IF(AND(ISNUMBER(R32),R32&lt;TODAY()),"Review overdue","Complete"),"Incomplete")</f>
        <v/>
      </c>
    </row>
    <row r="33" ht="32.25" customHeight="1" s="29">
      <c r="A33" s="49" t="inlineStr">
        <is>
          <t>REQ-027</t>
        </is>
      </c>
      <c r="B33" s="50" t="inlineStr">
        <is>
          <t>Workforce and concerns</t>
        </is>
      </c>
      <c r="C33" s="50" t="inlineStr">
        <is>
          <t>Legislation</t>
        </is>
      </c>
      <c r="D33" s="50" t="inlineStr">
        <is>
          <t>Public Interest Disclosure Act 1998 / Employment Rights Act whistleblowing protections</t>
        </is>
      </c>
      <c r="E33" s="50" t="inlineStr">
        <is>
          <t>Great Britain</t>
        </is>
      </c>
      <c r="F33" s="51" t="inlineStr">
        <is>
          <t>Applicable</t>
        </is>
      </c>
      <c r="G33" s="51" t="inlineStr">
        <is>
          <t>Specialist validation required</t>
        </is>
      </c>
      <c r="H33" s="50" t="inlineStr">
        <is>
          <t>Staff may raise AI safety, legality, misconduct, data, procurement or public-interest concerns.</t>
        </is>
      </c>
      <c r="I33" s="50" t="inlineStr">
        <is>
          <t>Maintain safe, accessible reporting routes; protect qualifying disclosures; avoid retaliation; route and investigate concerns independently and preserve evidence.</t>
        </is>
      </c>
      <c r="J33" s="50" t="inlineStr">
        <is>
          <t>HR / Monitoring Officer / Whistleblowing Owner</t>
        </is>
      </c>
      <c r="K33" s="50" t="inlineStr">
        <is>
          <t>Awareness; reporting; investigation; corrective action</t>
        </is>
      </c>
      <c r="L33" s="50" t="inlineStr">
        <is>
          <t>AIG-GOV-02, AIG-OPS-05, AIG-OPS-03, AIG-GOV-06, AIG-AIMS-04</t>
        </is>
      </c>
      <c r="M33" s="50" t="inlineStr">
        <is>
          <t>ISO 7.3-7.4, 10.2; A.3.3</t>
        </is>
      </c>
      <c r="N33" s="50" t="inlineStr">
        <is>
          <t>Policy/route; awareness; protected records; investigation; decision; corrective action and trend reporting</t>
        </is>
      </c>
      <c r="O33" s="50" t="inlineStr">
        <is>
          <t>https://www.legislation.gov.uk/ukpga/1998/23/contents</t>
        </is>
      </c>
      <c r="P33" s="52" t="n">
        <v>46241</v>
      </c>
      <c r="Q33" s="53" t="n">
        <v>12</v>
      </c>
      <c r="R33" s="52">
        <f>IF(P33="","",IF(OR(NOT(ISNUMBER(P33)),NOT(ISNUMBER(Q33)),Q33&lt;0,Q33&lt;&gt;INT(Q33)),"CHECK DATE / INTERVAL",EDATE(P33,Q33)))</f>
        <v/>
      </c>
      <c r="S33" s="50" t="inlineStr">
        <is>
          <t>Current</t>
        </is>
      </c>
      <c r="T33" s="50" t="inlineStr">
        <is>
          <t>Confirm AI concern routing and independence with corporate whistleblowing arrangements.</t>
        </is>
      </c>
      <c r="U33" s="50">
        <f>IF(AND(A33&lt;&gt;"",B33&lt;&gt;"",C33&lt;&gt;"",D33&lt;&gt;"",E33&lt;&gt;"",F33&lt;&gt;"",G33&lt;&gt;"",H33&lt;&gt;"",I33&lt;&gt;"",J33&lt;&gt;"",K33&lt;&gt;"",L33&lt;&gt;"",M33&lt;&gt;"",N33&lt;&gt;"",O33&lt;&gt;"",P33&lt;&gt;"",AND(ISNUMBER(P33),ISNUMBER(Q33),Q33&gt;0,Q33=INT(Q33),ISNUMBER(R33)),S33&lt;&gt;"",T33&lt;&gt;""),IF(AND(ISNUMBER(R33),R33&lt;TODAY()),"Review overdue","Complete"),"Incomplete")</f>
        <v/>
      </c>
    </row>
    <row r="34" ht="42.75" customHeight="1" s="29">
      <c r="A34" s="49" t="inlineStr">
        <is>
          <t>REQ-028</t>
        </is>
      </c>
      <c r="B34" s="50" t="inlineStr">
        <is>
          <t>Children and safeguarding</t>
        </is>
      </c>
      <c r="C34" s="50" t="inlineStr">
        <is>
          <t>Legislation and statutory guidance</t>
        </is>
      </c>
      <c r="D34" s="50" t="inlineStr">
        <is>
          <t>Children Acts 1989/2004 and Working Together to Safeguard Children 2026</t>
        </is>
      </c>
      <c r="E34" s="50" t="inlineStr">
        <is>
          <t>England</t>
        </is>
      </c>
      <c r="F34" s="51" t="inlineStr">
        <is>
          <t>Conditional</t>
        </is>
      </c>
      <c r="G34" s="51" t="inlineStr">
        <is>
          <t>Specialist validation required</t>
        </is>
      </c>
      <c r="H34" s="50" t="inlineStr">
        <is>
          <t>Triggered where AI affects children, families, safeguarding, education, early help or children’s social care.</t>
        </is>
      </c>
      <c r="I34" s="50" t="inlineStr">
        <is>
          <t>Put the child’s welfare and voice at the centre; apply statutory safeguarding responsibilities, multi-agency working, professional judgement, information sharing, escalation and accountable human decisions.</t>
        </is>
      </c>
      <c r="J34" s="50" t="inlineStr">
        <is>
          <t>Director of Children’s Services / Safeguarding / Legal</t>
        </is>
      </c>
      <c r="K34" s="50" t="inlineStr">
        <is>
          <t>Intake; impact; data; decision support; partnership; monitoring; incidents</t>
        </is>
      </c>
      <c r="L34" s="50" t="inlineStr">
        <is>
          <t>AIG-ASS-02, AIG-ASS-04 to AIG-ASS-07, AIG-DEC-03, AIG-OPS-03, AIG-OPS-01</t>
        </is>
      </c>
      <c r="M34" s="50" t="inlineStr">
        <is>
          <t>ISO 4.2, 6.1, 8.1; A.5, A.8, A.10</t>
        </is>
      </c>
      <c r="N34" s="50" t="inlineStr">
        <is>
          <t>Safeguarding assessment; child-rights/voice evidence; legal advice; multi-agency terms; human oversight; audit and incident records</t>
        </is>
      </c>
      <c r="O34" s="50" t="inlineStr">
        <is>
          <t>https://www.gov.uk/government/publications/working-together-to-safeguard-children--2</t>
        </is>
      </c>
      <c r="P34" s="52" t="n">
        <v>46241</v>
      </c>
      <c r="Q34" s="53" t="n">
        <v>3</v>
      </c>
      <c r="R34" s="52">
        <f>IF(P34="","",IF(OR(NOT(ISNUMBER(P34)),NOT(ISNUMBER(Q34)),Q34&lt;0,Q34&lt;&gt;INT(Q34)),"CHECK DATE / INTERVAL",EDATE(P34,Q34)))</f>
        <v/>
      </c>
      <c r="S34" s="50" t="inlineStr">
        <is>
          <t>Updated 2026</t>
        </is>
      </c>
      <c r="T34" s="50" t="inlineStr">
        <is>
          <t>Children’s Services/Safeguarding to validate system-specific statutory framework and current 2026 guidance.</t>
        </is>
      </c>
      <c r="U34" s="50">
        <f>IF(AND(A34&lt;&gt;"",B34&lt;&gt;"",C34&lt;&gt;"",D34&lt;&gt;"",E34&lt;&gt;"",F34&lt;&gt;"",G34&lt;&gt;"",H34&lt;&gt;"",I34&lt;&gt;"",J34&lt;&gt;"",K34&lt;&gt;"",L34&lt;&gt;"",M34&lt;&gt;"",N34&lt;&gt;"",O34&lt;&gt;"",P34&lt;&gt;"",AND(ISNUMBER(P34),ISNUMBER(Q34),Q34&gt;0,Q34=INT(Q34),ISNUMBER(R34)),S34&lt;&gt;"",T34&lt;&gt;""),IF(AND(ISNUMBER(R34),R34&lt;TODAY()),"Review overdue","Complete"),"Incomplete")</f>
        <v/>
      </c>
    </row>
    <row r="35" ht="42.75" customHeight="1" s="29">
      <c r="A35" s="49" t="inlineStr">
        <is>
          <t>REQ-029</t>
        </is>
      </c>
      <c r="B35" s="50" t="inlineStr">
        <is>
          <t>Children and data protection</t>
        </is>
      </c>
      <c r="C35" s="50" t="inlineStr">
        <is>
          <t>Statutory code / regulatory guidance</t>
        </is>
      </c>
      <c r="D35" s="50" t="inlineStr">
        <is>
          <t>ICO Age Appropriate Design Code (Children’s Code)</t>
        </is>
      </c>
      <c r="E35" s="50" t="inlineStr">
        <is>
          <t>United Kingdom</t>
        </is>
      </c>
      <c r="F35" s="51" t="inlineStr">
        <is>
          <t>Conditional</t>
        </is>
      </c>
      <c r="G35" s="51" t="inlineStr">
        <is>
          <t>Specialist validation required</t>
        </is>
      </c>
      <c r="H35" s="50" t="inlineStr">
        <is>
          <t>Triggered for information-society services likely to be accessed by children; applicability must be assessed for each AI-enabled service.</t>
        </is>
      </c>
      <c r="I35" s="50" t="inlineStr">
        <is>
          <t>Prioritise the best interests of children; apply high privacy by default, data minimisation, transparency suitable for age, profiling/geolocation controls, DPIA and age-appropriate design.</t>
        </is>
      </c>
      <c r="J35" s="50" t="inlineStr">
        <is>
          <t>DPO / Children’s Services / Digital</t>
        </is>
      </c>
      <c r="K35" s="50" t="inlineStr">
        <is>
          <t>Service design; DPIA; user research; deployment; monitoring</t>
        </is>
      </c>
      <c r="L35" s="50" t="inlineStr">
        <is>
          <t>AIG-ASS-04, AIG-ASS-05, AIG-ASS-07, AIG-ASS-10, AIG-OPS-01</t>
        </is>
      </c>
      <c r="M35" s="50" t="inlineStr">
        <is>
          <t>ISO 4.2, 8.1; A.5, A.7, A.8</t>
        </is>
      </c>
      <c r="N35" s="50" t="inlineStr">
        <is>
          <t>Applicability decision; DPIA; child-centred design/testing; notice; settings; monitoring</t>
        </is>
      </c>
      <c r="O35" s="50" t="inlineStr">
        <is>
          <t>https://ico.org.uk/for-organisations/uk-gdpr-guidance-and-resources/childrens-information/childrens-code-guidance-and-resources/age-appropriate-design-a-code-of-practice-for-online-services/</t>
        </is>
      </c>
      <c r="P35" s="52" t="n">
        <v>46241</v>
      </c>
      <c r="Q35" s="53" t="n">
        <v>6</v>
      </c>
      <c r="R35" s="52">
        <f>IF(P35="","",IF(OR(NOT(ISNUMBER(P35)),NOT(ISNUMBER(Q35)),Q35&lt;0,Q35&lt;&gt;INT(Q35)),"CHECK DATE / INTERVAL",EDATE(P35,Q35)))</f>
        <v/>
      </c>
      <c r="S35" s="50" t="inlineStr">
        <is>
          <t>Current / DUAA review sensitive</t>
        </is>
      </c>
      <c r="T35" s="50" t="inlineStr">
        <is>
          <t>DPO/Digital to define triggers and confirm whether current ICO code/guidance has been updated for DUAA.</t>
        </is>
      </c>
      <c r="U35" s="50">
        <f>IF(AND(A35&lt;&gt;"",B35&lt;&gt;"",C35&lt;&gt;"",D35&lt;&gt;"",E35&lt;&gt;"",F35&lt;&gt;"",G35&lt;&gt;"",H35&lt;&gt;"",I35&lt;&gt;"",J35&lt;&gt;"",K35&lt;&gt;"",L35&lt;&gt;"",M35&lt;&gt;"",N35&lt;&gt;"",O35&lt;&gt;"",P35&lt;&gt;"",AND(ISNUMBER(P35),ISNUMBER(Q35),Q35&gt;0,Q35=INT(Q35),ISNUMBER(R35)),S35&lt;&gt;"",T35&lt;&gt;""),IF(AND(ISNUMBER(R35),R35&lt;TODAY()),"Review overdue","Complete"),"Incomplete")</f>
        <v/>
      </c>
    </row>
    <row r="36" ht="32.25" customHeight="1" s="29">
      <c r="A36" s="49" t="inlineStr">
        <is>
          <t>REQ-030</t>
        </is>
      </c>
      <c r="B36" s="50" t="inlineStr">
        <is>
          <t>Adult social care and capacity</t>
        </is>
      </c>
      <c r="C36" s="50" t="inlineStr">
        <is>
          <t>Legislation and statutory guidance</t>
        </is>
      </c>
      <c r="D36" s="50" t="inlineStr">
        <is>
          <t>Care Act 2014 and Mental Capacity Act 2005</t>
        </is>
      </c>
      <c r="E36" s="50" t="inlineStr">
        <is>
          <t>England and Wales as applicable</t>
        </is>
      </c>
      <c r="F36" s="51" t="inlineStr">
        <is>
          <t>Conditional</t>
        </is>
      </c>
      <c r="G36" s="51" t="inlineStr">
        <is>
          <t>Specialist validation required</t>
        </is>
      </c>
      <c r="H36" s="50" t="inlineStr">
        <is>
          <t>Triggered where AI supports adult social care, needs assessment, safeguarding, eligibility, care planning or decisions involving capacity.</t>
        </is>
      </c>
      <c r="I36" s="50" t="inlineStr">
        <is>
          <t>Preserve person-centred duties, wellbeing, safeguarding, lawful information use, capacity assessment, best-interests decisions, advocacy, professional judgement and review/appeal.</t>
        </is>
      </c>
      <c r="J36" s="50" t="inlineStr">
        <is>
          <t>Director of Adult Social Services / Legal / Safeguarding</t>
        </is>
      </c>
      <c r="K36" s="50" t="inlineStr">
        <is>
          <t>Intake; impact; decision support; casework; monitoring; complaints</t>
        </is>
      </c>
      <c r="L36" s="50" t="inlineStr">
        <is>
          <t>AIG-ASS-02, AIG-ASS-04, AIG-ASS-05, AIG-ASS-07, AIG-ASS-09, AIG-DEC-03, AIG-OPS-03</t>
        </is>
      </c>
      <c r="M36" s="50" t="inlineStr">
        <is>
          <t>ISO 4.2, 6.1, 8.1; A.5, A.8, A.9.2</t>
        </is>
      </c>
      <c r="N36" s="50" t="inlineStr">
        <is>
          <t>Service-specific legal map; capacity/best-interest records; oversight; explanation; sampling; complaint/appeal evidence</t>
        </is>
      </c>
      <c r="O36" s="50" t="inlineStr">
        <is>
          <t>https://www.legislation.gov.uk/ukpga/2014/23/contents</t>
        </is>
      </c>
      <c r="P36" s="52" t="n">
        <v>46241</v>
      </c>
      <c r="Q36" s="53" t="n">
        <v>6</v>
      </c>
      <c r="R36" s="52">
        <f>IF(P36="","",IF(OR(NOT(ISNUMBER(P36)),NOT(ISNUMBER(Q36)),Q36&lt;0,Q36&lt;&gt;INT(Q36)),"CHECK DATE / INTERVAL",EDATE(P36,Q36)))</f>
        <v/>
      </c>
      <c r="S36" s="50" t="inlineStr">
        <is>
          <t>Current</t>
        </is>
      </c>
      <c r="T36" s="50" t="inlineStr">
        <is>
          <t>Adult Social Care/Legal to validate every use against statutory guidance and local procedures.</t>
        </is>
      </c>
      <c r="U36" s="50">
        <f>IF(AND(A36&lt;&gt;"",B36&lt;&gt;"",C36&lt;&gt;"",D36&lt;&gt;"",E36&lt;&gt;"",F36&lt;&gt;"",G36&lt;&gt;"",H36&lt;&gt;"",I36&lt;&gt;"",J36&lt;&gt;"",K36&lt;&gt;"",L36&lt;&gt;"",M36&lt;&gt;"",N36&lt;&gt;"",O36&lt;&gt;"",P36&lt;&gt;"",AND(ISNUMBER(P36),ISNUMBER(Q36),Q36&gt;0,Q36=INT(Q36),ISNUMBER(R36)),S36&lt;&gt;"",T36&lt;&gt;""),IF(AND(ISNUMBER(R36),R36&lt;TODAY()),"Review overdue","Complete"),"Incomplete")</f>
        <v/>
      </c>
    </row>
    <row r="37" ht="32.25" customHeight="1" s="29">
      <c r="A37" s="49" t="inlineStr">
        <is>
          <t>REQ-031</t>
        </is>
      </c>
      <c r="B37" s="50" t="inlineStr">
        <is>
          <t>Consumer and service communications</t>
        </is>
      </c>
      <c r="C37" s="50" t="inlineStr">
        <is>
          <t>Legislation</t>
        </is>
      </c>
      <c r="D37" s="50" t="inlineStr">
        <is>
          <t>Digital Markets, Competition and Consumers Act 2024 and current unfair-commercial-practices rules</t>
        </is>
      </c>
      <c r="E37" s="50" t="inlineStr">
        <is>
          <t>United Kingdom</t>
        </is>
      </c>
      <c r="F37" s="51" t="inlineStr">
        <is>
          <t>Conditional</t>
        </is>
      </c>
      <c r="G37" s="51" t="inlineStr">
        <is>
          <t>Specialist validation required</t>
        </is>
      </c>
      <c r="H37" s="50" t="inlineStr">
        <is>
          <t>May apply where the Council or a delivery arrangement acts as a trader or AI affects paid/commercial consumer interactions.</t>
        </is>
      </c>
      <c r="I37" s="50" t="inlineStr">
        <is>
          <t>Avoid misleading actions/omissions and unfair practices; ensure claims, generated content, pricing, subscriptions and complaint/redress information are accurate and transparent.</t>
        </is>
      </c>
      <c r="J37" s="50" t="inlineStr">
        <is>
          <t>Legal / Trading Standards / Communications</t>
        </is>
      </c>
      <c r="K37" s="50" t="inlineStr">
        <is>
          <t>Business case; service design; content; transactions; complaints</t>
        </is>
      </c>
      <c r="L37" s="50" t="inlineStr">
        <is>
          <t>AIG-ASS-04, AIG-ASS-08, AIG-ASS-10, AIG-OPS-05, AIG-OPS-03</t>
        </is>
      </c>
      <c r="M37" s="50" t="inlineStr">
        <is>
          <t>ISO 4.2, 7.4, 8.1; A.8.2-A.8.5</t>
        </is>
      </c>
      <c r="N37" s="50" t="inlineStr">
        <is>
          <t>Applicability decision; content approval; user tests; transaction records; complaints and remediation</t>
        </is>
      </c>
      <c r="O37" s="50" t="inlineStr">
        <is>
          <t>https://www.legislation.gov.uk/ukpga/2024/13/contents</t>
        </is>
      </c>
      <c r="P37" s="52" t="n">
        <v>46241</v>
      </c>
      <c r="Q37" s="53" t="n">
        <v>6</v>
      </c>
      <c r="R37" s="52">
        <f>IF(P37="","",IF(OR(NOT(ISNUMBER(P37)),NOT(ISNUMBER(Q37)),Q37&lt;0,Q37&lt;&gt;INT(Q37)),"CHECK DATE / INTERVAL",EDATE(P37,Q37)))</f>
        <v/>
      </c>
      <c r="S37" s="50" t="inlineStr">
        <is>
          <t>Current / commenced in stages</t>
        </is>
      </c>
      <c r="T37" s="50" t="inlineStr">
        <is>
          <t>Legal/Trading Standards to confirm trader/service applicability and current commencement provisions.</t>
        </is>
      </c>
      <c r="U37" s="50">
        <f>IF(AND(A37&lt;&gt;"",B37&lt;&gt;"",C37&lt;&gt;"",D37&lt;&gt;"",E37&lt;&gt;"",F37&lt;&gt;"",G37&lt;&gt;"",H37&lt;&gt;"",I37&lt;&gt;"",J37&lt;&gt;"",K37&lt;&gt;"",L37&lt;&gt;"",M37&lt;&gt;"",N37&lt;&gt;"",O37&lt;&gt;"",P37&lt;&gt;"",AND(ISNUMBER(P37),ISNUMBER(Q37),Q37&gt;0,Q37=INT(Q37),ISNUMBER(R37)),S37&lt;&gt;"",T37&lt;&gt;""),IF(AND(ISNUMBER(R37),R37&lt;TODAY()),"Review overdue","Complete"),"Incomplete")</f>
        <v/>
      </c>
    </row>
    <row r="38" ht="74.25" customHeight="1" s="29">
      <c r="A38" s="49" t="inlineStr">
        <is>
          <t>REQ-032</t>
        </is>
      </c>
      <c r="B38" s="50" t="inlineStr">
        <is>
          <t>International AI regulation</t>
        </is>
      </c>
      <c r="C38" s="50" t="inlineStr">
        <is>
          <t>EU legislation</t>
        </is>
      </c>
      <c r="D38" s="50" t="inlineStr">
        <is>
          <t>Regulation (EU) 2024/1689 (EU AI Act), consolidated and amended by enacted Regulation (EU) 2026/1744</t>
        </is>
      </c>
      <c r="E38" s="50" t="inlineStr">
        <is>
          <t>European Union / extraterritorial where applicable</t>
        </is>
      </c>
      <c r="F38" s="51" t="inlineStr">
        <is>
          <t>Conditional</t>
        </is>
      </c>
      <c r="G38" s="51" t="inlineStr">
        <is>
          <t>Specialist validation required</t>
        </is>
      </c>
      <c r="H38" s="50" t="inlineStr">
        <is>
          <t>Can apply where the Council/provider/deployer places or uses systems in the EU or outputs are used in the EU, subject to territorial, role and exemption analysis.</t>
        </is>
      </c>
      <c r="I38" s="50" t="inlineStr">
        <is>
          <t>[PROPOSED EDIT — LEGAL OWNER VALIDATION REQUIRED] Determine actor role and territorial/material scope; apply only where engaged. Under Article 113 of the consolidated Regulation (EU) 2024/1689, as amended by Regulation (EU) 2026/1744, the application date is 2 December 2027 for Annex III high-risk systems and 2 August 2028 for Annex I high-risk systems. Check all other provisions, exceptions, transitional rules and applicable dates separately against the current consolidated text; do not infer scope from these dates.</t>
        </is>
      </c>
      <c r="J38" s="50" t="inlineStr">
        <is>
          <t>Legal Services / AI Governance Lead / Procurement</t>
        </is>
      </c>
      <c r="K38" s="50" t="inlineStr">
        <is>
          <t>Scoping; procurement; design; transparency; deployment; supply chain</t>
        </is>
      </c>
      <c r="L38" s="50" t="inlineStr">
        <is>
          <t>AIG-ASS-01, AIG-ASS-04, AIG-ASS-08; AIG-DEC-03 (crosswalk scope to confirm), AIG-ASS-11, AIG-OPS-01, AIG-AIMS-04</t>
        </is>
      </c>
      <c r="M38" s="50" t="inlineStr">
        <is>
          <t>ISO 4.2, 6.1, 7.2-7.4, 8.1; A.5-A.10</t>
        </is>
      </c>
      <c r="N38" s="50" t="inlineStr">
        <is>
          <t>Territorial/role classification; supplier declarations; prohibited-practice screen; literacy; notices; conformity/high-risk evidence if applicable</t>
        </is>
      </c>
      <c r="O38" s="50" t="inlineStr">
        <is>
          <t>https://eur-lex.europa.eu/legal-content/EN/TXT/HTML?uri=CELEX:02024R1689-20260727 ; amending Regulation (EU) 2026/1744: https://eur-lex.europa.eu/legal-content/EN/TXT/HTML/?uri=CELEX:32026R1744</t>
        </is>
      </c>
      <c r="P38" s="52" t="n">
        <v>46241</v>
      </c>
      <c r="Q38" s="53" t="n">
        <v>1</v>
      </c>
      <c r="R38" s="52">
        <f>IF(P38="","",IF(OR(NOT(ISNUMBER(P38)),NOT(ISNUMBER(Q38)),Q38&lt;0,Q38&lt;&gt;INT(Q38)),"CHECK DATE / INTERVAL",EDATE(P38,Q38)))</f>
        <v/>
      </c>
      <c r="S38" s="50" t="inlineStr">
        <is>
          <t>Amended / applying</t>
        </is>
      </c>
      <c r="T38" s="50" t="inlineStr">
        <is>
          <t>[PROPOSED EDIT — OWNER VALIDATION REQUIRED] Legal / DPO to validate territorial and actor-role assessment, current consolidated text, Article 113 dates, exceptions and system-specific applicability; update CHG-002/003 only where applicable.</t>
        </is>
      </c>
      <c r="U38" s="50">
        <f>IF(AND(A38&lt;&gt;"",B38&lt;&gt;"",C38&lt;&gt;"",D38&lt;&gt;"",E38&lt;&gt;"",F38&lt;&gt;"",G38&lt;&gt;"",H38&lt;&gt;"",I38&lt;&gt;"",J38&lt;&gt;"",K38&lt;&gt;"",L38&lt;&gt;"",M38&lt;&gt;"",N38&lt;&gt;"",O38&lt;&gt;"",P38&lt;&gt;"",AND(ISNUMBER(P38),ISNUMBER(Q38),Q38&gt;0,Q38=INT(Q38),ISNUMBER(R38)),S38&lt;&gt;"",T38&lt;&gt;""),IF(AND(ISNUMBER(R38),R38&lt;TODAY()),"Review overdue","Complete"),"Incomplete")</f>
        <v/>
      </c>
    </row>
    <row r="39" ht="32.25" customHeight="1" s="29">
      <c r="A39" s="49" t="inlineStr">
        <is>
          <t>REQ-033</t>
        </is>
      </c>
      <c r="B39" s="50" t="inlineStr">
        <is>
          <t>Data protection and AI guidance</t>
        </is>
      </c>
      <c r="C39" s="50" t="inlineStr">
        <is>
          <t>Regulatory guidance</t>
        </is>
      </c>
      <c r="D39" s="50" t="inlineStr">
        <is>
          <t>ICO Guidance on AI and Data Protection and AI Risk Toolkit</t>
        </is>
      </c>
      <c r="E39" s="50" t="inlineStr">
        <is>
          <t>United Kingdom</t>
        </is>
      </c>
      <c r="F39" s="51" t="inlineStr">
        <is>
          <t>Guidance to consider</t>
        </is>
      </c>
      <c r="G39" s="51" t="inlineStr">
        <is>
          <t>Specialist validation required</t>
        </is>
      </c>
      <c r="H39" s="50" t="inlineStr">
        <is>
          <t>Relevant whenever AI uses personal data; ICO states the guidance is under review following the DUAA.</t>
        </is>
      </c>
      <c r="I39" s="50" t="inlineStr">
        <is>
          <t>Use lifecycle accountability, fairness and risk-toolkit expectations while checking each point against current law and updated ICO materials; do not rely on superseded automated-decision wording.</t>
        </is>
      </c>
      <c r="J39" s="50" t="inlineStr">
        <is>
          <t>DPO / AI Governance Lead</t>
        </is>
      </c>
      <c r="K39" s="50" t="inlineStr">
        <is>
          <t>Intake; DPIA; design; testing; monitoring</t>
        </is>
      </c>
      <c r="L39" s="50" t="inlineStr">
        <is>
          <t>AIG-ASS-02, AIG-ASS-04, AIG-ASS-05, AIG-ASS-09, AIG-OPS-05</t>
        </is>
      </c>
      <c r="M39" s="50" t="inlineStr">
        <is>
          <t>ISO 4.2, 6.1, 8.1, 9.1; A.5-A.8</t>
        </is>
      </c>
      <c r="N39" s="50" t="inlineStr">
        <is>
          <t>Toolkit assessment; DPIA; fairness tests; governance decisions; monitoring and remedial action</t>
        </is>
      </c>
      <c r="O39" s="50" t="inlineStr">
        <is>
          <t>https://ico.org.uk/for-organisations/uk-gdpr-guidance-and-resources/artificial-intelligence/guidance-on-ai-and-data-protection/</t>
        </is>
      </c>
      <c r="P39" s="52" t="n">
        <v>46241</v>
      </c>
      <c r="Q39" s="53" t="n">
        <v>1</v>
      </c>
      <c r="R39" s="52">
        <f>IF(P39="","",IF(OR(NOT(ISNUMBER(P39)),NOT(ISNUMBER(Q39)),Q39&lt;0,Q39&lt;&gt;INT(Q39)),"CHECK DATE / INTERVAL",EDATE(P39,Q39)))</f>
        <v/>
      </c>
      <c r="S39" s="50" t="inlineStr">
        <is>
          <t>Under review</t>
        </is>
      </c>
      <c r="T39" s="50" t="inlineStr">
        <is>
          <t>DPO to mark which ICO pages remain current after DUAA and update the Council templates when replacement guidance issues.</t>
        </is>
      </c>
      <c r="U39" s="50">
        <f>IF(AND(A39&lt;&gt;"",B39&lt;&gt;"",C39&lt;&gt;"",D39&lt;&gt;"",E39&lt;&gt;"",F39&lt;&gt;"",G39&lt;&gt;"",H39&lt;&gt;"",I39&lt;&gt;"",J39&lt;&gt;"",K39&lt;&gt;"",L39&lt;&gt;"",M39&lt;&gt;"",N39&lt;&gt;"",O39&lt;&gt;"",P39&lt;&gt;"",AND(ISNUMBER(P39),ISNUMBER(Q39),Q39&gt;0,Q39=INT(Q39),ISNUMBER(R39)),S39&lt;&gt;"",T39&lt;&gt;""),IF(AND(ISNUMBER(R39),R39&lt;TODAY()),"Review overdue","Complete"),"Incomplete")</f>
        <v/>
      </c>
    </row>
    <row r="40" ht="32.25" customHeight="1" s="29">
      <c r="A40" s="49" t="inlineStr">
        <is>
          <t>REQ-034</t>
        </is>
      </c>
      <c r="B40" s="50" t="inlineStr">
        <is>
          <t>Transparency and explanation</t>
        </is>
      </c>
      <c r="C40" s="50" t="inlineStr">
        <is>
          <t>Regulatory guidance</t>
        </is>
      </c>
      <c r="D40" s="50" t="inlineStr">
        <is>
          <t>ICO Explaining Decisions Made with AI guidance</t>
        </is>
      </c>
      <c r="E40" s="50" t="inlineStr">
        <is>
          <t>United Kingdom</t>
        </is>
      </c>
      <c r="F40" s="51" t="inlineStr">
        <is>
          <t>Guidance to consider</t>
        </is>
      </c>
      <c r="G40" s="51" t="inlineStr">
        <is>
          <t>Specialist validation required</t>
        </is>
      </c>
      <c r="H40" s="50" t="inlineStr">
        <is>
          <t>Relevant where AI supports or makes decisions about individuals and explanations, human review or contestability are material.</t>
        </is>
      </c>
      <c r="I40" s="50" t="inlineStr">
        <is>
          <t>Design contextual, accessible and timely explanations; document responsibility, data, rationale, fairness, safety/performance and impact explanations; test with affected users.</t>
        </is>
      </c>
      <c r="J40" s="50" t="inlineStr">
        <is>
          <t>DPO / Service Owner / Communications / Legal</t>
        </is>
      </c>
      <c r="K40" s="50" t="inlineStr">
        <is>
          <t>Design; transparency; oversight; decisions; complaints</t>
        </is>
      </c>
      <c r="L40" s="50" t="inlineStr">
        <is>
          <t>AIG-ASS-04, AIG-ASS-07, AIG-ASS-09, AIG-ASS-10, AIG-OPS-05, AIG-OPS-03</t>
        </is>
      </c>
      <c r="M40" s="50" t="inlineStr">
        <is>
          <t>ISO 7.4, 8.1; A.5.4, A.8.2-A.8.5, A.9.2</t>
        </is>
      </c>
      <c r="N40" s="50" t="inlineStr">
        <is>
          <t>Explanation design; user research; model/system documentation; decision notice; complaint outcomes</t>
        </is>
      </c>
      <c r="O40" s="50" t="inlineStr">
        <is>
          <t>https://ico.org.uk/for-organisations/uk-gdpr-guidance-and-resources/artificial-intelligence/explaining-decisions-made-with-artificial-intelligence/</t>
        </is>
      </c>
      <c r="P40" s="52" t="n">
        <v>46241</v>
      </c>
      <c r="Q40" s="53" t="n">
        <v>3</v>
      </c>
      <c r="R40" s="52">
        <f>IF(P40="","",IF(OR(NOT(ISNUMBER(P40)),NOT(ISNUMBER(Q40)),Q40&lt;0,Q40&lt;&gt;INT(Q40)),"CHECK DATE / INTERVAL",EDATE(P40,Q40)))</f>
        <v/>
      </c>
      <c r="S40" s="50" t="inlineStr">
        <is>
          <t>Current / DUAA review sensitive</t>
        </is>
      </c>
      <c r="T40" s="50" t="inlineStr">
        <is>
          <t>DPO/Legal to validate current legal references and define when each explanation type is required.</t>
        </is>
      </c>
      <c r="U40" s="50">
        <f>IF(AND(A40&lt;&gt;"",B40&lt;&gt;"",C40&lt;&gt;"",D40&lt;&gt;"",E40&lt;&gt;"",F40&lt;&gt;"",G40&lt;&gt;"",H40&lt;&gt;"",I40&lt;&gt;"",J40&lt;&gt;"",K40&lt;&gt;"",L40&lt;&gt;"",M40&lt;&gt;"",N40&lt;&gt;"",O40&lt;&gt;"",P40&lt;&gt;"",AND(ISNUMBER(P40),ISNUMBER(Q40),Q40&gt;0,Q40=INT(Q40),ISNUMBER(R40)),S40&lt;&gt;"",T40&lt;&gt;""),IF(AND(ISNUMBER(R40),R40&lt;TODAY()),"Review overdue","Complete"),"Incomplete")</f>
        <v/>
      </c>
    </row>
    <row r="41" ht="32.25" customHeight="1" s="29">
      <c r="A41" s="49" t="inlineStr">
        <is>
          <t>REQ-035</t>
        </is>
      </c>
      <c r="B41" s="50" t="inlineStr">
        <is>
          <t>Equality and non-discrimination</t>
        </is>
      </c>
      <c r="C41" s="50" t="inlineStr">
        <is>
          <t>Regulatory guidance</t>
        </is>
      </c>
      <c r="D41" s="50" t="inlineStr">
        <is>
          <t>EHRC Artificial Intelligence in Public Services and PSED guidance</t>
        </is>
      </c>
      <c r="E41" s="50" t="inlineStr">
        <is>
          <t>England</t>
        </is>
      </c>
      <c r="F41" s="51" t="inlineStr">
        <is>
          <t>Guidance to consider</t>
        </is>
      </c>
      <c r="G41" s="51" t="inlineStr">
        <is>
          <t>Specialist validation required</t>
        </is>
      </c>
      <c r="H41" s="50" t="inlineStr">
        <is>
          <t>Directly addresses public-body use of AI and the PSED, including local-authority procurement and service decisions.</t>
        </is>
      </c>
      <c r="I41" s="50" t="inlineStr">
        <is>
          <t>Embed equality before procurement and throughout design/use; use evidence, consultation and monitoring to demonstrate due regard and address discriminatory effects.</t>
        </is>
      </c>
      <c r="J41" s="50" t="inlineStr">
        <is>
          <t>Equality Lead / Legal / Procurement</t>
        </is>
      </c>
      <c r="K41" s="50" t="inlineStr">
        <is>
          <t>Business case; procurement; EIA; monitoring</t>
        </is>
      </c>
      <c r="L41" s="50" t="inlineStr">
        <is>
          <t>AIG-ASS-02, AIG-ASS-04, AIG-ASS-06, AIG-ASS-07, AIG-OPS-05</t>
        </is>
      </c>
      <c r="M41" s="50" t="inlineStr">
        <is>
          <t>ISO 4.2, 6.1, 8.1; A.5.2-A.5.5, A.8</t>
        </is>
      </c>
      <c r="N41" s="50" t="inlineStr">
        <is>
          <t>EIA; procurement equality requirements; engagement; outcome testing; decision and monitoring evidence</t>
        </is>
      </c>
      <c r="O41" s="50" t="inlineStr">
        <is>
          <t>https://www.equalityhumanrights.com/guidance/artificial-intelligence-public-services</t>
        </is>
      </c>
      <c r="P41" s="52" t="n">
        <v>46241</v>
      </c>
      <c r="Q41" s="53" t="n">
        <v>6</v>
      </c>
      <c r="R41" s="52">
        <f>IF(P41="","",IF(OR(NOT(ISNUMBER(P41)),NOT(ISNUMBER(Q41)),Q41&lt;0,Q41&lt;&gt;INT(Q41)),"CHECK DATE / INTERVAL",EDATE(P41,Q41)))</f>
        <v/>
      </c>
      <c r="S41" s="50" t="inlineStr">
        <is>
          <t>Current</t>
        </is>
      </c>
      <c r="T41" s="50" t="inlineStr">
        <is>
          <t>Equality Lead to align AIG-ASS-06 and supplier controls with current EHRC guidance.</t>
        </is>
      </c>
      <c r="U41" s="50">
        <f>IF(AND(A41&lt;&gt;"",B41&lt;&gt;"",C41&lt;&gt;"",D41&lt;&gt;"",E41&lt;&gt;"",F41&lt;&gt;"",G41&lt;&gt;"",H41&lt;&gt;"",I41&lt;&gt;"",J41&lt;&gt;"",K41&lt;&gt;"",L41&lt;&gt;"",M41&lt;&gt;"",N41&lt;&gt;"",O41&lt;&gt;"",P41&lt;&gt;"",AND(ISNUMBER(P41),ISNUMBER(Q41),Q41&gt;0,Q41=INT(Q41),ISNUMBER(R41)),S41&lt;&gt;"",T41&lt;&gt;""),IF(AND(ISNUMBER(R41),R41&lt;TODAY()),"Review overdue","Complete"),"Incomplete")</f>
        <v/>
      </c>
    </row>
    <row r="42" ht="42.75" customHeight="1" s="29">
      <c r="A42" s="49" t="inlineStr">
        <is>
          <t>REQ-036</t>
        </is>
      </c>
      <c r="B42" s="50" t="inlineStr">
        <is>
          <t>Algorithmic transparency</t>
        </is>
      </c>
      <c r="C42" s="50" t="inlineStr">
        <is>
          <t>Government standard / policy</t>
        </is>
      </c>
      <c r="D42" s="50" t="inlineStr">
        <is>
          <t>Algorithmic Transparency Recording Standard (ATRS)</t>
        </is>
      </c>
      <c r="E42" s="50" t="inlineStr">
        <is>
          <t>United Kingdom public sector</t>
        </is>
      </c>
      <c r="F42" s="51" t="inlineStr">
        <is>
          <t>Proposed adoption</t>
        </is>
      </c>
      <c r="G42" s="51" t="inlineStr">
        <is>
          <t>Specialist validation required</t>
        </is>
      </c>
      <c r="H42" s="50" t="inlineStr">
        <is>
          <t>[PROPOSED EDIT — OWNER VALIDATION REQUIRED] ATRS is mandatory for central government departments and in-scope arm’s-length bodies; it is recommended (voluntary) for local authorities. Council voluntary adoption is pending formal decision; do not represent ATRS as already adopted.</t>
        </is>
      </c>
      <c r="I42" s="50" t="inlineStr">
        <is>
          <t>Identify applicable public-impact tools; prepare, approve, publish and update accessible ATRS records; manage lawful security, privacy and commercial sensitivities without overusing exemptions.</t>
        </is>
      </c>
      <c r="J42" s="50" t="inlineStr">
        <is>
          <t>AI Governance Lead / Service Owner / Communications</t>
        </is>
      </c>
      <c r="K42" s="50" t="inlineStr">
        <is>
          <t>Governance approval; transparency; publication; change; retirement</t>
        </is>
      </c>
      <c r="L42" s="50" t="inlineStr">
        <is>
          <t>AIG-INV-04, AIG-ASS-09, AIG-ASS-10, AIG-OPS-05, AIG-OPS-01</t>
        </is>
      </c>
      <c r="M42" s="50" t="inlineStr">
        <is>
          <t>ISO 4.2, 7.4-7.5, 8.1; A.8.2-A.8.5</t>
        </is>
      </c>
      <c r="N42" s="50" t="inlineStr">
        <is>
          <t>Applicability decision; approved ATRS; publication; exemption review; update/retirement record</t>
        </is>
      </c>
      <c r="O42" s="50" t="inlineStr">
        <is>
          <t>https://www.gov.uk/government/publications/guidance-for-organisations-using-the-algorithmic-transparency-recording-standard/algorithmic-transparency-recording-standard-guidance-for-public-sector-bodies</t>
        </is>
      </c>
      <c r="P42" s="52" t="n">
        <v>46241</v>
      </c>
      <c r="Q42" s="53" t="n">
        <v>3</v>
      </c>
      <c r="R42" s="52">
        <f>IF(P42="","",IF(OR(NOT(ISNUMBER(P42)),NOT(ISNUMBER(Q42)),Q42&lt;0,Q42&lt;&gt;INT(Q42)),"CHECK DATE / INTERVAL",EDATE(P42,Q42)))</f>
        <v/>
      </c>
      <c r="S42" s="50" t="inlineStr">
        <is>
          <t>Updated 2025</t>
        </is>
      </c>
      <c r="T42" s="50" t="inlineStr">
        <is>
          <t>[PROPOSED EDIT — Governance/Legal to decide voluntary adoption, publication threshold, approvals and exemption route; status remains pending until formal approval.</t>
        </is>
      </c>
      <c r="U42" s="50">
        <f>IF(AND(A42&lt;&gt;"",B42&lt;&gt;"",C42&lt;&gt;"",D42&lt;&gt;"",E42&lt;&gt;"",F42&lt;&gt;"",G42&lt;&gt;"",H42&lt;&gt;"",I42&lt;&gt;"",J42&lt;&gt;"",K42&lt;&gt;"",L42&lt;&gt;"",M42&lt;&gt;"",N42&lt;&gt;"",O42&lt;&gt;"",P42&lt;&gt;"",AND(ISNUMBER(P42),ISNUMBER(Q42),Q42&gt;0,Q42=INT(Q42),ISNUMBER(R42)),S42&lt;&gt;"",T42&lt;&gt;""),IF(AND(ISNUMBER(R42),R42&lt;TODAY()),"Review overdue","Complete"),"Incomplete")</f>
        <v/>
      </c>
    </row>
    <row r="43" ht="42.75" customHeight="1" s="29">
      <c r="A43" s="49" t="inlineStr">
        <is>
          <t>REQ-037</t>
        </is>
      </c>
      <c r="B43" s="50" t="inlineStr">
        <is>
          <t>Government AI guidance</t>
        </is>
      </c>
      <c r="C43" s="50" t="inlineStr">
        <is>
          <t>Government guidance</t>
        </is>
      </c>
      <c r="D43" s="50" t="inlineStr">
        <is>
          <t>Artificial Intelligence Playbook for the UK Government</t>
        </is>
      </c>
      <c r="E43" s="50" t="inlineStr">
        <is>
          <t>United Kingdom public sector</t>
        </is>
      </c>
      <c r="F43" s="51" t="inlineStr">
        <is>
          <t>Guidance to consider</t>
        </is>
      </c>
      <c r="G43" s="51" t="inlineStr">
        <is>
          <t>Specialist validation required</t>
        </is>
      </c>
      <c r="H43" s="50" t="inlineStr">
        <is>
          <t>The Playbook is government guidance for safe, effective and secure AI use and is relevant benchmark material for public-sector organisations, though not automatically binding on a local authority.</t>
        </is>
      </c>
      <c r="I43" s="50" t="inlineStr">
        <is>
          <t>Compare Council principles, procurement, security, transparency, skills and lifecycle controls to current guidance; record adopted or divergent positions.</t>
        </is>
      </c>
      <c r="J43" s="50" t="inlineStr">
        <is>
          <t>AI Governance Lead / Digital Leadership</t>
        </is>
      </c>
      <c r="K43" s="50" t="inlineStr">
        <is>
          <t>Policy; skills; procurement; lifecycle; assurance</t>
        </is>
      </c>
      <c r="L43" s="50" t="inlineStr">
        <is>
          <t>AIG-GOV-02, AIG-GOV-03, AIG-GOV-06, AIG-INV-01, AIG-INV-03, AIG-INV-04, AIG-ASS-01 to AIG-ASS-11, AIG-DEC-03, AIG-OPS-01, AIG-OPS-03, AIG-OPS-05, AIG-OPS-06, AIG-AIMS-01 to AIG-AIMS-05</t>
        </is>
      </c>
      <c r="M43" s="50" t="inlineStr">
        <is>
          <t>ISO clauses 4-10; Annex A</t>
        </is>
      </c>
      <c r="N43" s="50" t="inlineStr">
        <is>
          <t>Benchmark assessment; adoption decision; mapped controls; approved deviations and actions</t>
        </is>
      </c>
      <c r="O43" s="50" t="inlineStr">
        <is>
          <t>https://www.gov.uk/government/publications/ai-playbook-for-the-uk-government/artificial-intelligence-playbook-for-the-uk-government-html</t>
        </is>
      </c>
      <c r="P43" s="52" t="n">
        <v>46241</v>
      </c>
      <c r="Q43" s="53" t="n">
        <v>3</v>
      </c>
      <c r="R43" s="52">
        <f>IF(P43="","",IF(OR(NOT(ISNUMBER(P43)),NOT(ISNUMBER(Q43)),Q43&lt;0,Q43&lt;&gt;INT(Q43)),"CHECK DATE / INTERVAL",EDATE(P43,Q43)))</f>
        <v/>
      </c>
      <c r="S43" s="50" t="inlineStr">
        <is>
          <t>Current</t>
        </is>
      </c>
      <c r="T43" s="50" t="inlineStr">
        <is>
          <t>Complete a controlled benchmark and retain Council decisions rather than treating all central-government guidance as mandatory.</t>
        </is>
      </c>
      <c r="U43" s="50">
        <f>IF(AND(A43&lt;&gt;"",B43&lt;&gt;"",C43&lt;&gt;"",D43&lt;&gt;"",E43&lt;&gt;"",F43&lt;&gt;"",G43&lt;&gt;"",H43&lt;&gt;"",I43&lt;&gt;"",J43&lt;&gt;"",K43&lt;&gt;"",L43&lt;&gt;"",M43&lt;&gt;"",N43&lt;&gt;"",O43&lt;&gt;"",P43&lt;&gt;"",AND(ISNUMBER(P43),ISNUMBER(Q43),Q43&gt;0,Q43=INT(Q43),ISNUMBER(R43)),S43&lt;&gt;"",T43&lt;&gt;""),IF(AND(ISNUMBER(R43),R43&lt;TODAY()),"Review overdue","Complete"),"Incomplete")</f>
        <v/>
      </c>
    </row>
    <row r="44" ht="32.25" customHeight="1" s="29">
      <c r="A44" s="49" t="inlineStr">
        <is>
          <t>REQ-038</t>
        </is>
      </c>
      <c r="B44" s="50" t="inlineStr">
        <is>
          <t>UK AI policy and horizon</t>
        </is>
      </c>
      <c r="C44" s="50" t="inlineStr">
        <is>
          <t>Government policy / consultation</t>
        </is>
      </c>
      <c r="D44" s="50" t="inlineStr">
        <is>
          <t>UK pro-innovation AI regulation policy, October 2025 blueprint and 2026 data-regulation call for evidence</t>
        </is>
      </c>
      <c r="E44" s="50" t="inlineStr">
        <is>
          <t>United Kingdom</t>
        </is>
      </c>
      <c r="F44" s="51" t="inlineStr">
        <is>
          <t>Guidance to consider</t>
        </is>
      </c>
      <c r="G44" s="51" t="inlineStr">
        <is>
          <t>Specialist validation required</t>
        </is>
      </c>
      <c r="H44" s="50" t="inlineStr">
        <is>
          <t>The UK AI regulatory approach and data-policy environment remain active and may produce new duties or regulator guidance.</t>
        </is>
      </c>
      <c r="I44" s="50" t="inlineStr">
        <is>
          <t>Monitor government policy, consultations, Bills and regulator implementation; assess impact before changing Council controls; distinguish proposals from law.</t>
        </is>
      </c>
      <c r="J44" s="50" t="inlineStr">
        <is>
          <t>Legal Services / AI Governance Lead</t>
        </is>
      </c>
      <c r="K44" s="50" t="inlineStr">
        <is>
          <t>Horizon scanning; policy; management review; change control</t>
        </is>
      </c>
      <c r="L44" s="50" t="inlineStr">
        <is>
          <t>AIG-OPS-05, AIG-OPS-06, AIG-AIMS-01, AIG-AIMS-03, AIG-AIMS-05</t>
        </is>
      </c>
      <c r="M44" s="50" t="inlineStr">
        <is>
          <t>ISO 4.1-4.2, 6.1, 9.1, 10.1; A.2.3</t>
        </is>
      </c>
      <c r="N44" s="50" t="inlineStr">
        <is>
          <t>Scan records; consultation assessment; legal advice; approved change; communication/training updates</t>
        </is>
      </c>
      <c r="O44" s="50" t="inlineStr">
        <is>
          <t>https://www.gov.uk/government/calls-for-evidence/data-regulation-in-the-age-of-ai-and-other-data-intensive-technologies</t>
        </is>
      </c>
      <c r="P44" s="52" t="n">
        <v>46241</v>
      </c>
      <c r="Q44" s="53" t="n">
        <v>1</v>
      </c>
      <c r="R44" s="52">
        <f>IF(P44="","",IF(OR(NOT(ISNUMBER(P44)),NOT(ISNUMBER(Q44)),Q44&lt;0,Q44&lt;&gt;INT(Q44)),"CHECK DATE / INTERVAL",EDATE(P44,Q44)))</f>
        <v/>
      </c>
      <c r="S44" s="50" t="inlineStr">
        <is>
          <t>Open policy development</t>
        </is>
      </c>
      <c r="T44" s="50" t="inlineStr">
        <is>
          <t>Legal/AI Governance Lead to monitor outcomes and avoid presenting proposals as binding requirements.</t>
        </is>
      </c>
      <c r="U44" s="50">
        <f>IF(AND(A44&lt;&gt;"",B44&lt;&gt;"",C44&lt;&gt;"",D44&lt;&gt;"",E44&lt;&gt;"",F44&lt;&gt;"",G44&lt;&gt;"",H44&lt;&gt;"",I44&lt;&gt;"",J44&lt;&gt;"",K44&lt;&gt;"",L44&lt;&gt;"",M44&lt;&gt;"",N44&lt;&gt;"",O44&lt;&gt;"",P44&lt;&gt;"",AND(ISNUMBER(P44),ISNUMBER(Q44),Q44&gt;0,Q44=INT(Q44),ISNUMBER(R44)),S44&lt;&gt;"",T44&lt;&gt;""),IF(AND(ISNUMBER(R44),R44&lt;TODAY()),"Review overdue","Complete"),"Incomplete")</f>
        <v/>
      </c>
    </row>
    <row r="45" ht="42.75" customHeight="1" s="29">
      <c r="A45" s="49" t="inlineStr">
        <is>
          <t>REQ-039</t>
        </is>
      </c>
      <c r="B45" s="50" t="inlineStr">
        <is>
          <t>Security and resilience</t>
        </is>
      </c>
      <c r="C45" s="50" t="inlineStr">
        <is>
          <t>Government security guidance</t>
        </is>
      </c>
      <c r="D45" s="50" t="inlineStr">
        <is>
          <t>NCSC Guidelines for Secure AI System Development</t>
        </is>
      </c>
      <c r="E45" s="50" t="inlineStr">
        <is>
          <t>United Kingdom / international good practice</t>
        </is>
      </c>
      <c r="F45" s="51" t="inlineStr">
        <is>
          <t>Guidance to consider</t>
        </is>
      </c>
      <c r="G45" s="51" t="inlineStr">
        <is>
          <t>Specialist validation required</t>
        </is>
      </c>
      <c r="H45" s="50" t="inlineStr">
        <is>
          <t>Relevant to Council-developed, configured or procured AI and to supplier assurance across design, development, deployment and operation.</t>
        </is>
      </c>
      <c r="I45" s="50" t="inlineStr">
        <is>
          <t>Apply secure-by-design ownership, threat modelling, asset/supply-chain controls, secure development, deployment, operation, monitoring, incident response and responsible disclosure proportionate to risk.</t>
        </is>
      </c>
      <c r="J45" s="50" t="inlineStr">
        <is>
          <t>Cyber Security / Technical Lead</t>
        </is>
      </c>
      <c r="K45" s="50" t="inlineStr">
        <is>
          <t>Design; development; procurement; deployment; operations</t>
        </is>
      </c>
      <c r="L45" s="50" t="inlineStr">
        <is>
          <t>AIG-ASS-08, AIG-ASS-09, AIG-OPS-03, AIG-ASS-11, AIG-OPS-01</t>
        </is>
      </c>
      <c r="M45" s="50" t="inlineStr">
        <is>
          <t>ISO 8.1; A.4.4-A.4.5, A.6.2.2-A.6.2.8, A.10</t>
        </is>
      </c>
      <c r="N45" s="50" t="inlineStr">
        <is>
          <t>Threat model; security requirements/tests; supplier evidence; monitoring; incident and vulnerability records</t>
        </is>
      </c>
      <c r="O45" s="50" t="inlineStr">
        <is>
          <t>https://www.ncsc.gov.uk/collection/guidelines-secure-ai-system-development/introduction</t>
        </is>
      </c>
      <c r="P45" s="52" t="n">
        <v>46241</v>
      </c>
      <c r="Q45" s="53" t="n">
        <v>6</v>
      </c>
      <c r="R45" s="52">
        <f>IF(P45="","",IF(OR(NOT(ISNUMBER(P45)),NOT(ISNUMBER(Q45)),Q45&lt;0,Q45&lt;&gt;INT(Q45)),"CHECK DATE / INTERVAL",EDATE(P45,Q45)))</f>
        <v/>
      </c>
      <c r="S45" s="50" t="inlineStr">
        <is>
          <t>Current</t>
        </is>
      </c>
      <c r="T45" s="50" t="inlineStr">
        <is>
          <t>Security to map AIG-ASS-11 to NCSC guidance and record approved exceptions.</t>
        </is>
      </c>
      <c r="U45" s="50">
        <f>IF(AND(A45&lt;&gt;"",B45&lt;&gt;"",C45&lt;&gt;"",D45&lt;&gt;"",E45&lt;&gt;"",F45&lt;&gt;"",G45&lt;&gt;"",H45&lt;&gt;"",I45&lt;&gt;"",J45&lt;&gt;"",K45&lt;&gt;"",L45&lt;&gt;"",M45&lt;&gt;"",N45&lt;&gt;"",O45&lt;&gt;"",P45&lt;&gt;"",AND(ISNUMBER(P45),ISNUMBER(Q45),Q45&gt;0,Q45=INT(Q45),ISNUMBER(R45)),S45&lt;&gt;"",T45&lt;&gt;""),IF(AND(ISNUMBER(R45),R45&lt;TODAY()),"Review overdue","Complete"),"Incomplete")</f>
        <v/>
      </c>
    </row>
    <row r="46" ht="42.75" customHeight="1" s="29">
      <c r="A46" s="49" t="inlineStr">
        <is>
          <t>REQ-040</t>
        </is>
      </c>
      <c r="B46" s="50" t="inlineStr">
        <is>
          <t>AI management system</t>
        </is>
      </c>
      <c r="C46" s="50" t="inlineStr">
        <is>
          <t>International standard</t>
        </is>
      </c>
      <c r="D46" s="50" t="inlineStr">
        <is>
          <t>ISO/IEC 42001:2023 Artificial intelligence management system</t>
        </is>
      </c>
      <c r="E46" s="50" t="inlineStr">
        <is>
          <t>International / voluntary unless adopted or contracted</t>
        </is>
      </c>
      <c r="F46" s="51" t="inlineStr">
        <is>
          <t>Proposed adoption</t>
        </is>
      </c>
      <c r="G46" s="51" t="inlineStr">
        <is>
          <t>Specialist validation required</t>
        </is>
      </c>
      <c r="H46" s="50" t="inlineStr">
        <is>
          <t>The suite is explicitly designed as an ISO/IEC 42001-aligned AIMS; formal adoption/certification scope remains a Council decision.</t>
        </is>
      </c>
      <c r="I46" s="50" t="inlineStr">
        <is>
          <t>Establish, implement, maintain and continually improve the AIMS; validate clauses and Annex A controls against the licensed standard; retain objective evidence and avoid premature conformity claims.</t>
        </is>
      </c>
      <c r="J46" s="50" t="inlineStr">
        <is>
          <t>Executive Sponsor / AI Governance Lead</t>
        </is>
      </c>
      <c r="K46" s="50" t="inlineStr">
        <is>
          <t>AIMS governance; risk; operations; audit; management review; improvement</t>
        </is>
      </c>
      <c r="L46" s="50" t="inlineStr">
        <is>
          <t>AIG-GOV-02, AIG-AIMS-01 to AIG-AIMS-05 and entire suite</t>
        </is>
      </c>
      <c r="M46" s="50" t="inlineStr">
        <is>
          <t>ISO/IEC 42001 clauses 4-10; Annex A</t>
        </is>
      </c>
      <c r="N46" s="50" t="inlineStr">
        <is>
          <t>Approved scope/policy/SoA/objectives; risks; operational evidence; competence; audit; management review; corrective action</t>
        </is>
      </c>
      <c r="O46" s="50" t="inlineStr">
        <is>
          <t>https://www.iso.org/standard/42001</t>
        </is>
      </c>
      <c r="P46" s="52" t="n">
        <v>46241</v>
      </c>
      <c r="Q46" s="53" t="n">
        <v>6</v>
      </c>
      <c r="R46" s="52">
        <f>IF(P46="","",IF(OR(NOT(ISNUMBER(P46)),NOT(ISNUMBER(Q46)),Q46&lt;0,Q46&lt;&gt;INT(Q46)),"CHECK DATE / INTERVAL",EDATE(P46,Q46)))</f>
        <v/>
      </c>
      <c r="S46" s="50" t="inlineStr">
        <is>
          <t>Current</t>
        </is>
      </c>
      <c r="T46" s="50" t="inlineStr">
        <is>
          <t>Obtain licensed standard, approve adoption/certification intent and validate every mapping before formal use.</t>
        </is>
      </c>
      <c r="U46" s="50">
        <f>IF(AND(A46&lt;&gt;"",B46&lt;&gt;"",C46&lt;&gt;"",D46&lt;&gt;"",E46&lt;&gt;"",F46&lt;&gt;"",G46&lt;&gt;"",H46&lt;&gt;"",I46&lt;&gt;"",J46&lt;&gt;"",K46&lt;&gt;"",L46&lt;&gt;"",M46&lt;&gt;"",N46&lt;&gt;"",O46&lt;&gt;"",P46&lt;&gt;"",AND(ISNUMBER(P46),ISNUMBER(Q46),Q46&gt;0,Q46=INT(Q46),ISNUMBER(R46)),S46&lt;&gt;"",T46&lt;&gt;""),IF(AND(ISNUMBER(R46),R46&lt;TODAY()),"Review overdue","Complete"),"Incomplete")</f>
        <v/>
      </c>
    </row>
    <row r="47" ht="32.25" customHeight="1" s="29">
      <c r="A47" s="49" t="inlineStr">
        <is>
          <t>REQ-041</t>
        </is>
      </c>
      <c r="B47" s="50" t="inlineStr">
        <is>
          <t>AI risk management</t>
        </is>
      </c>
      <c r="C47" s="50" t="inlineStr">
        <is>
          <t>International standard</t>
        </is>
      </c>
      <c r="D47" s="50" t="inlineStr">
        <is>
          <t>ISO/IEC 23894:2023 AI — Guidance on risk management</t>
        </is>
      </c>
      <c r="E47" s="50" t="inlineStr">
        <is>
          <t>International / voluntary</t>
        </is>
      </c>
      <c r="F47" s="51" t="inlineStr">
        <is>
          <t>Proposed adoption</t>
        </is>
      </c>
      <c r="G47" s="51" t="inlineStr">
        <is>
          <t>Specialist validation required</t>
        </is>
      </c>
      <c r="H47" s="50" t="inlineStr">
        <is>
          <t>Referenced by ISO/IEC 42001 and useful to strengthen Council AI risk integration.</t>
        </is>
      </c>
      <c r="I47" s="50" t="inlineStr">
        <is>
          <t>Integrate AI-specific context, risk identification, analysis, evaluation, treatment, communication, monitoring and review with corporate risk methods.</t>
        </is>
      </c>
      <c r="J47" s="50" t="inlineStr">
        <is>
          <t>AI Governance Lead / Corporate Risk</t>
        </is>
      </c>
      <c r="K47" s="50" t="inlineStr">
        <is>
          <t>Context; risk assessment; treatment; monitoring; review</t>
        </is>
      </c>
      <c r="L47" s="50" t="inlineStr">
        <is>
          <t>AIG-ASS-01, AIG-ASS-02, AIG-OPS-05, AIG-OPS-06, AIG-AIMS-03</t>
        </is>
      </c>
      <c r="M47" s="50" t="inlineStr">
        <is>
          <t>ISO 6.1, 8.1, 9.1; A.5</t>
        </is>
      </c>
      <c r="N47" s="50" t="inlineStr">
        <is>
          <t>Risk-method decision; criteria; workshops; register; treatment; residual acceptance; trend review</t>
        </is>
      </c>
      <c r="O47" s="50" t="inlineStr">
        <is>
          <t>https://www.iso.org/standard/77304.html</t>
        </is>
      </c>
      <c r="P47" s="52" t="n">
        <v>46241</v>
      </c>
      <c r="Q47" s="53" t="n">
        <v>12</v>
      </c>
      <c r="R47" s="52">
        <f>IF(P47="","",IF(OR(NOT(ISNUMBER(P47)),NOT(ISNUMBER(Q47)),Q47&lt;0,Q47&lt;&gt;INT(Q47)),"CHECK DATE / INTERVAL",EDATE(P47,Q47)))</f>
        <v/>
      </c>
      <c r="S47" s="50" t="inlineStr">
        <is>
          <t>Current</t>
        </is>
      </c>
      <c r="T47" s="50" t="inlineStr">
        <is>
          <t>Corporate Risk/AI Governance Lead to approve the method and alignment to Council risk criteria.</t>
        </is>
      </c>
      <c r="U47" s="50">
        <f>IF(AND(A47&lt;&gt;"",B47&lt;&gt;"",C47&lt;&gt;"",D47&lt;&gt;"",E47&lt;&gt;"",F47&lt;&gt;"",G47&lt;&gt;"",H47&lt;&gt;"",I47&lt;&gt;"",J47&lt;&gt;"",K47&lt;&gt;"",L47&lt;&gt;"",M47&lt;&gt;"",N47&lt;&gt;"",O47&lt;&gt;"",P47&lt;&gt;"",AND(ISNUMBER(P47),ISNUMBER(Q47),Q47&gt;0,Q47=INT(Q47),ISNUMBER(R47)),S47&lt;&gt;"",T47&lt;&gt;""),IF(AND(ISNUMBER(R47),R47&lt;TODAY()),"Review overdue","Complete"),"Incomplete")</f>
        <v/>
      </c>
    </row>
    <row r="48" ht="32.25" customHeight="1" s="29">
      <c r="A48" s="49" t="inlineStr">
        <is>
          <t>REQ-042</t>
        </is>
      </c>
      <c r="B48" s="50" t="inlineStr">
        <is>
          <t>AI impact assessment</t>
        </is>
      </c>
      <c r="C48" s="50" t="inlineStr">
        <is>
          <t>International standard</t>
        </is>
      </c>
      <c r="D48" s="50" t="inlineStr">
        <is>
          <t>ISO/IEC 42005:2025 AI system impact assessment</t>
        </is>
      </c>
      <c r="E48" s="50" t="inlineStr">
        <is>
          <t>International / voluntary</t>
        </is>
      </c>
      <c r="F48" s="51" t="inlineStr">
        <is>
          <t>Guidance to consider</t>
        </is>
      </c>
      <c r="G48" s="51" t="inlineStr">
        <is>
          <t>Specialist validation required</t>
        </is>
      </c>
      <c r="H48" s="50" t="inlineStr">
        <is>
          <t>Current standard provides a structured impact-assessment approach relevant to Council human, societal and rights-focused templates.</t>
        </is>
      </c>
      <c r="I48" s="50" t="inlineStr">
        <is>
          <t>Benchmark impact identification, affected-party participation, assessment, treatment, monitoring and documentation; decide which elements to adopt by risk tier.</t>
        </is>
      </c>
      <c r="J48" s="50" t="inlineStr">
        <is>
          <t>AI Governance Lead / Equality / Human Rights</t>
        </is>
      </c>
      <c r="K48" s="50" t="inlineStr">
        <is>
          <t>Impact assessment; engagement; monitoring</t>
        </is>
      </c>
      <c r="L48" s="50" t="inlineStr">
        <is>
          <t>AIG-ASS-04, AIG-ASS-06, AIG-ASS-07, AIG-ASS-09, AIG-OPS-05</t>
        </is>
      </c>
      <c r="M48" s="50" t="inlineStr">
        <is>
          <t>ISO 6.1, 8.1; A.5, A.8</t>
        </is>
      </c>
      <c r="N48" s="50" t="inlineStr">
        <is>
          <t>Licensed-standard review; template mapping; approved method; completed assessments; engagement and monitoring</t>
        </is>
      </c>
      <c r="O48" s="50" t="inlineStr">
        <is>
          <t>https://www.iso.org/standard/42005</t>
        </is>
      </c>
      <c r="P48" s="52" t="n">
        <v>46241</v>
      </c>
      <c r="Q48" s="53" t="n">
        <v>12</v>
      </c>
      <c r="R48" s="52">
        <f>IF(P48="","",IF(OR(NOT(ISNUMBER(P48)),NOT(ISNUMBER(Q48)),Q48&lt;0,Q48&lt;&gt;INT(Q48)),"CHECK DATE / INTERVAL",EDATE(P48,Q48)))</f>
        <v/>
      </c>
      <c r="S48" s="50" t="inlineStr">
        <is>
          <t>New standard 2025</t>
        </is>
      </c>
      <c r="T48" s="50" t="inlineStr">
        <is>
          <t>Validate the AIG-AIMS-11 risk domain crosswalk and assessment coverage against the Council’s licensed copy (clauses, Annex C harms and benefits taxonomy, Annex E template); cite clause numbers only, do not reproduce ISO text; then update Last verified here and in AIG-AIMS-13. Before formal adoption; not a pilot blocker.</t>
        </is>
      </c>
      <c r="U48" s="50">
        <f>IF(AND(A48&lt;&gt;"",B48&lt;&gt;"",C48&lt;&gt;"",D48&lt;&gt;"",E48&lt;&gt;"",F48&lt;&gt;"",G48&lt;&gt;"",H48&lt;&gt;"",I48&lt;&gt;"",J48&lt;&gt;"",K48&lt;&gt;"",L48&lt;&gt;"",M48&lt;&gt;"",N48&lt;&gt;"",O48&lt;&gt;"",P48&lt;&gt;"",AND(ISNUMBER(P48),ISNUMBER(Q48),Q48&gt;0,Q48=INT(Q48),ISNUMBER(R48)),S48&lt;&gt;"",T48&lt;&gt;""),IF(AND(ISNUMBER(R48),R48&lt;TODAY()),"Review overdue","Complete"),"Incomplete")</f>
        <v/>
      </c>
    </row>
    <row r="49" ht="32.25" customHeight="1" s="29">
      <c r="A49" s="49" t="inlineStr">
        <is>
          <t>REQ-043</t>
        </is>
      </c>
      <c r="B49" s="50" t="inlineStr">
        <is>
          <t>Certification and assurance</t>
        </is>
      </c>
      <c r="C49" s="50" t="inlineStr">
        <is>
          <t>International standard</t>
        </is>
      </c>
      <c r="D49" s="50" t="inlineStr">
        <is>
          <t>ISO/IEC 42006:2025 requirements for bodies providing audit and certification of AIMS</t>
        </is>
      </c>
      <c r="E49" s="50" t="inlineStr">
        <is>
          <t>International / conditional</t>
        </is>
      </c>
      <c r="F49" s="51" t="inlineStr">
        <is>
          <t>Conditional</t>
        </is>
      </c>
      <c r="G49" s="51" t="inlineStr">
        <is>
          <t>Specialist validation required</t>
        </is>
      </c>
      <c r="H49" s="50" t="inlineStr">
        <is>
          <t>Relevant if the Council pursues third-party ISO/IEC 42001 certification; it governs certification bodies rather than Council controls directly.</t>
        </is>
      </c>
      <c r="I49" s="50" t="inlineStr">
        <is>
          <t>Use as due-diligence context when selecting a competent accredited certification body; preserve independence and avoid implying Council certification before successful audit.</t>
        </is>
      </c>
      <c r="J49" s="50" t="inlineStr">
        <is>
          <t>AI Governance Lead / Procurement / Internal Audit</t>
        </is>
      </c>
      <c r="K49" s="50" t="inlineStr">
        <is>
          <t>Certification decision; procurement; external audit</t>
        </is>
      </c>
      <c r="L49" s="50" t="inlineStr">
        <is>
          <t>AIG-ASS-08, AIG-OPS-05, AIG-GOV-06, AIG-AIMS-01 to AIG-AIMS-05</t>
        </is>
      </c>
      <c r="M49" s="50" t="inlineStr">
        <is>
          <t>ISO 9.2-9.3; certification context</t>
        </is>
      </c>
      <c r="N49" s="50" t="inlineStr">
        <is>
          <t>Certification business case; accredited-body due diligence; contract; audit plan/report; certificate and scope if achieved</t>
        </is>
      </c>
      <c r="O49" s="50" t="inlineStr">
        <is>
          <t>https://www.iso.org/standard/42006</t>
        </is>
      </c>
      <c r="P49" s="52" t="n">
        <v>46241</v>
      </c>
      <c r="Q49" s="53" t="n">
        <v>12</v>
      </c>
      <c r="R49" s="52">
        <f>IF(P49="","",IF(OR(NOT(ISNUMBER(P49)),NOT(ISNUMBER(Q49)),Q49&lt;0,Q49&lt;&gt;INT(Q49)),"CHECK DATE / INTERVAL",EDATE(P49,Q49)))</f>
        <v/>
      </c>
      <c r="S49" s="50" t="inlineStr">
        <is>
          <t>New standard 2025</t>
        </is>
      </c>
      <c r="T49" s="50" t="inlineStr">
        <is>
          <t>Decide certification intent before treating certification-body requirements as applicable.</t>
        </is>
      </c>
      <c r="U49" s="50">
        <f>IF(AND(A49&lt;&gt;"",B49&lt;&gt;"",C49&lt;&gt;"",D49&lt;&gt;"",E49&lt;&gt;"",F49&lt;&gt;"",G49&lt;&gt;"",H49&lt;&gt;"",I49&lt;&gt;"",J49&lt;&gt;"",K49&lt;&gt;"",L49&lt;&gt;"",M49&lt;&gt;"",N49&lt;&gt;"",O49&lt;&gt;"",P49&lt;&gt;"",AND(ISNUMBER(P49),ISNUMBER(Q49),Q49&gt;0,Q49=INT(Q49),ISNUMBER(R49)),S49&lt;&gt;"",T49&lt;&gt;""),IF(AND(ISNUMBER(R49),R49&lt;TODAY()),"Review overdue","Complete"),"Incomplete")</f>
        <v/>
      </c>
    </row>
    <row r="50" ht="32.25" customHeight="1" s="29">
      <c r="A50" s="49" t="inlineStr">
        <is>
          <t>REQ-044</t>
        </is>
      </c>
      <c r="B50" s="50" t="inlineStr">
        <is>
          <t>Council AI governance</t>
        </is>
      </c>
      <c r="C50" s="50" t="inlineStr">
        <is>
          <t>Council policy suite</t>
        </is>
      </c>
      <c r="D50" s="50" t="inlineStr">
        <is>
          <t>Council AI Governance Playbook — proposed edition/version and currency to be owner-validated</t>
        </is>
      </c>
      <c r="E50" s="50" t="inlineStr">
        <is>
          <t>The Council</t>
        </is>
      </c>
      <c r="F50" s="51" t="inlineStr">
        <is>
          <t>Proposed adoption</t>
        </is>
      </c>
      <c r="G50" s="51" t="inlineStr">
        <is>
          <t>Specialist validation required</t>
        </is>
      </c>
      <c r="H50" s="50" t="inlineStr">
        <is>
          <t>[PROPOSED EDIT — OWNER VALIDATION REQUIRED] Proposed Council-controlled requirement; identify and verify the approved edition/version and currency before adoption. No edition or currency is confirmed by this register.</t>
        </is>
      </c>
      <c r="I50" s="50" t="inlineStr">
        <is>
          <t>Approve, control, communicate and operate the suite; assign authority, owners, evidence, exceptions, review and improvement; keep one AI Register ID across the lifecycle.</t>
        </is>
      </c>
      <c r="J50" s="50" t="inlineStr">
        <is>
          <t>Executive Sponsor / AI Governance Lead</t>
        </is>
      </c>
      <c r="K50" s="50" t="inlineStr">
        <is>
          <t>All AIMS and AI lifecycle processes</t>
        </is>
      </c>
      <c r="L50" s="50" t="inlineStr">
        <is>
          <t>52 purpose-grouped artefacts (see AIG-GOV-03)</t>
        </is>
      </c>
      <c r="M50" s="50" t="inlineStr">
        <is>
          <t>ISO clauses 4-10; Annex A</t>
        </is>
      </c>
      <c r="N50" s="50" t="inlineStr">
        <is>
          <t>Adoption decision; controlled versions; appointments; case records; metrics; audits; management reviews and improvements</t>
        </is>
      </c>
      <c r="O50" s="50" t="inlineStr">
        <is>
          <t>Internal controlled suite — 52 purpose-grouped artefacts (see AIG-GOV-03)</t>
        </is>
      </c>
      <c r="P50" s="52" t="n">
        <v>46241</v>
      </c>
      <c r="Q50" s="53" t="n">
        <v>3</v>
      </c>
      <c r="R50" s="52">
        <f>IF(P50="","",IF(OR(NOT(ISNUMBER(P50)),NOT(ISNUMBER(Q50)),Q50&lt;0,Q50&lt;&gt;INT(Q50)),"CHECK DATE / INTERVAL",EDATE(P50,Q50)))</f>
        <v/>
      </c>
      <c r="S50" s="50" t="inlineStr">
        <is>
          <t>Proposed edition/currency — owner validation required</t>
        </is>
      </c>
      <c r="T50" s="50" t="inlineStr">
        <is>
          <t>[PROPOSED EDIT — AI Governance Lead/Document Control to validate proposed edition, currency, controlled artefact inventory and adoption route; no current edition/currency asserted.</t>
        </is>
      </c>
      <c r="U50" s="50">
        <f>IF(AND(A50&lt;&gt;"",B50&lt;&gt;"",C50&lt;&gt;"",D50&lt;&gt;"",E50&lt;&gt;"",F50&lt;&gt;"",G50&lt;&gt;"",H50&lt;&gt;"",I50&lt;&gt;"",J50&lt;&gt;"",K50&lt;&gt;"",L50&lt;&gt;"",M50&lt;&gt;"",N50&lt;&gt;"",O50&lt;&gt;"",P50&lt;&gt;"",AND(ISNUMBER(P50),ISNUMBER(Q50),Q50&gt;0,Q50=INT(Q50),ISNUMBER(R50)),S50&lt;&gt;"",T50&lt;&gt;""),IF(AND(ISNUMBER(R50),R50&lt;TODAY()),"Review overdue","Complete"),"Incomplete")</f>
        <v/>
      </c>
    </row>
    <row r="51" ht="32.25" customHeight="1" s="29">
      <c r="A51" s="49" t="inlineStr">
        <is>
          <t>REQ-045</t>
        </is>
      </c>
      <c r="B51" s="50" t="inlineStr">
        <is>
          <t>Council governance</t>
        </is>
      </c>
      <c r="C51" s="50" t="inlineStr">
        <is>
          <t>Council constitution / scheme of delegation</t>
        </is>
      </c>
      <c r="D51" s="50" t="inlineStr">
        <is>
          <t>Council Constitution, executive arrangements, schemes of delegation and committee procedure rules</t>
        </is>
      </c>
      <c r="E51" s="50" t="inlineStr">
        <is>
          <t>The Council</t>
        </is>
      </c>
      <c r="F51" s="51" t="inlineStr">
        <is>
          <t>Applicable</t>
        </is>
      </c>
      <c r="G51" s="51" t="inlineStr">
        <is>
          <t>Specialist validation required</t>
        </is>
      </c>
      <c r="H51" s="50" t="inlineStr">
        <is>
          <t>These instruments determine lawful authority, reserved decisions, officer/member roles, meetings, conflicts and records.</t>
        </is>
      </c>
      <c r="I51" s="50" t="inlineStr">
        <is>
          <t>Validate AIMS bodies, risk acceptance, case approval, exceptions, appointments, conflicts, escalation and records against current constitutional authority.</t>
        </is>
      </c>
      <c r="J51" s="50" t="inlineStr">
        <is>
          <t>Monitoring Officer / Governance</t>
        </is>
      </c>
      <c r="K51" s="50" t="inlineStr">
        <is>
          <t>AIMS design; appointments; decisions; management review</t>
        </is>
      </c>
      <c r="L51" s="50" t="inlineStr">
        <is>
          <t>AIG-DEC-03, AIG-GOV-06, AIG-AIMS-01, AIG-AIMS-04</t>
        </is>
      </c>
      <c r="M51" s="50" t="inlineStr">
        <is>
          <t>ISO 5.1-5.3, 7.5; A.3.2</t>
        </is>
      </c>
      <c r="N51" s="50" t="inlineStr">
        <is>
          <t>Current constitution/delegation references; approved Terms of Reference; appointments; conflicts; minutes/decisions</t>
        </is>
      </c>
      <c r="O51" s="50" t="inlineStr">
        <is>
          <t>Current Council Constitution / Scheme of Delegation reference, approved governance records and delegation evidence</t>
        </is>
      </c>
      <c r="P51" s="52" t="str"/>
      <c r="Q51" s="53" t="n">
        <v>6</v>
      </c>
      <c r="R51" s="52">
        <f>IF(P51="","",IF(OR(NOT(ISNUMBER(P51)),NOT(ISNUMBER(Q51)),Q51&lt;0,Q51&lt;&gt;INT(Q51)),"CHECK DATE / INTERVAL",EDATE(P51,Q51)))</f>
        <v/>
      </c>
      <c r="S51" s="50" t="inlineStr">
        <is>
          <t>Current version to confirm</t>
        </is>
      </c>
      <c r="T51" s="50" t="inlineStr">
        <is>
          <t>Monitoring Officer to enter the authoritative titles, versions, links and approved authority mapping from the current approved Constitution and Scheme of Delegation. Committee agendas or reports are working context only, not confirmation of the approved constitution.</t>
        </is>
      </c>
      <c r="U51" s="50">
        <f>IF(AND(A51&lt;&gt;"",B51&lt;&gt;"",C51&lt;&gt;"",D51&lt;&gt;"",E51&lt;&gt;"",F51&lt;&gt;"",G51&lt;&gt;"",H51&lt;&gt;"",I51&lt;&gt;"",J51&lt;&gt;"",K51&lt;&gt;"",L51&lt;&gt;"",M51&lt;&gt;"",N51&lt;&gt;"",O51&lt;&gt;"",P51&lt;&gt;"",AND(ISNUMBER(P51),ISNUMBER(Q51),Q51&gt;0,Q51=INT(Q51),ISNUMBER(R51)),S51&lt;&gt;"",T51&lt;&gt;""),IF(AND(ISNUMBER(R51),R51&lt;TODAY()),"Review overdue","Complete"),"Incomplete")</f>
        <v/>
      </c>
    </row>
    <row r="52" ht="32.25" customHeight="1" s="29">
      <c r="A52" s="49" t="inlineStr">
        <is>
          <t>REQ-046</t>
        </is>
      </c>
      <c r="B52" s="50" t="inlineStr">
        <is>
          <t>Council information governance</t>
        </is>
      </c>
      <c r="C52" s="50" t="inlineStr">
        <is>
          <t>Council policies / standards</t>
        </is>
      </c>
      <c r="D52" s="50" t="inlineStr">
        <is>
          <t>Council data protection, information governance, records, retention, information-sharing and FOI/EIR policies</t>
        </is>
      </c>
      <c r="E52" s="50" t="inlineStr">
        <is>
          <t>The Council</t>
        </is>
      </c>
      <c r="F52" s="51" t="inlineStr">
        <is>
          <t>Applicable</t>
        </is>
      </c>
      <c r="G52" s="51" t="inlineStr">
        <is>
          <t>Specialist validation required</t>
        </is>
      </c>
      <c r="H52" s="50" t="inlineStr">
        <is>
          <t>Corporate controls apply to AI processing, records, sharing, suppliers, information access and disposal.</t>
        </is>
      </c>
      <c r="I52" s="50" t="inlineStr">
        <is>
          <t>Integrate current policy requirements into intake, DPIA, data governance, evidence storage, contracts, access requests, retention and retirement.</t>
        </is>
      </c>
      <c r="J52" s="50" t="inlineStr">
        <is>
          <t>DPO / Information Governance / Records Management</t>
        </is>
      </c>
      <c r="K52" s="50" t="inlineStr">
        <is>
          <t>Data; evidence; sharing; requests; retirement</t>
        </is>
      </c>
      <c r="L52" s="50" t="inlineStr">
        <is>
          <t>AIG-INV-04, AIG-ASS-02, AIG-ASS-04, AIG-ASS-05, AIG-ASS-08 to AIG-ASS-10, AIG-DEC-03, AIG-OPS-03, AIG-OPS-05, AIG-OPS-06, AIG-OPS-01</t>
        </is>
      </c>
      <c r="M52" s="50" t="inlineStr">
        <is>
          <t>ISO 7.5, 8.1; A.4-A.8, A.10</t>
        </is>
      </c>
      <c r="N52" s="50" t="inlineStr">
        <is>
          <t>Current policy references; ROPA/DPIA; data agreements; retention; disclosure and disposal records</t>
        </is>
      </c>
      <c r="O52" s="50" t="inlineStr">
        <is>
          <t>Council controlled policy repository — authoritative titles, versions and links to be populated</t>
        </is>
      </c>
      <c r="P52" s="52" t="n">
        <v>46241</v>
      </c>
      <c r="Q52" s="53" t="n">
        <v>6</v>
      </c>
      <c r="R52" s="52">
        <f>IF(P52="","",IF(OR(NOT(ISNUMBER(P52)),NOT(ISNUMBER(Q52)),Q52&lt;0,Q52&lt;&gt;INT(Q52)),"CHECK DATE / INTERVAL",EDATE(P52,Q52)))</f>
        <v/>
      </c>
      <c r="S52" s="50" t="inlineStr">
        <is>
          <t>Current version to confirm</t>
        </is>
      </c>
      <c r="T52" s="50" t="inlineStr">
        <is>
          <t>Control owners to populate exact policy titles/versions and identify any conflict or duplication with the AIMS.</t>
        </is>
      </c>
      <c r="U52" s="50">
        <f>IF(AND(A52&lt;&gt;"",B52&lt;&gt;"",C52&lt;&gt;"",D52&lt;&gt;"",E52&lt;&gt;"",F52&lt;&gt;"",G52&lt;&gt;"",H52&lt;&gt;"",I52&lt;&gt;"",J52&lt;&gt;"",K52&lt;&gt;"",L52&lt;&gt;"",M52&lt;&gt;"",N52&lt;&gt;"",O52&lt;&gt;"",P52&lt;&gt;"",AND(ISNUMBER(P52),ISNUMBER(Q52),Q52&gt;0,Q52=INT(Q52),ISNUMBER(R52)),S52&lt;&gt;"",T52&lt;&gt;""),IF(AND(ISNUMBER(R52),R52&lt;TODAY()),"Review overdue","Complete"),"Incomplete")</f>
        <v/>
      </c>
    </row>
    <row r="53" ht="32.25" customHeight="1" s="29">
      <c r="A53" s="49" t="inlineStr">
        <is>
          <t>REQ-047</t>
        </is>
      </c>
      <c r="B53" s="50" t="inlineStr">
        <is>
          <t>Council security and resilience</t>
        </is>
      </c>
      <c r="C53" s="50" t="inlineStr">
        <is>
          <t>Council policies / standards</t>
        </is>
      </c>
      <c r="D53" s="50" t="inlineStr">
        <is>
          <t>Council cyber security, acceptable use, identity/access, secure development, incident, resilience and business-continuity policies</t>
        </is>
      </c>
      <c r="E53" s="50" t="inlineStr">
        <is>
          <t>The Council</t>
        </is>
      </c>
      <c r="F53" s="51" t="inlineStr">
        <is>
          <t>Applicable</t>
        </is>
      </c>
      <c r="G53" s="51" t="inlineStr">
        <is>
          <t>Specialist validation required</t>
        </is>
      </c>
      <c r="H53" s="50" t="inlineStr">
        <is>
          <t>Corporate security and resilience controls apply to AI technology, users, data, suppliers and live services.</t>
        </is>
      </c>
      <c r="I53" s="50" t="inlineStr">
        <is>
          <t>Apply approved architecture, access, logging, testing, vulnerability, incident, continuity, backup, recovery and acceptable-use controls; add AI-specific measures where needed.</t>
        </is>
      </c>
      <c r="J53" s="50" t="inlineStr">
        <is>
          <t>Cyber Security / Technology / Resilience</t>
        </is>
      </c>
      <c r="K53" s="50" t="inlineStr">
        <is>
          <t>Architecture; development; procurement; deployment; operations; incidents</t>
        </is>
      </c>
      <c r="L53" s="50" t="inlineStr">
        <is>
          <t>AIG-GOV-02, AIG-ASS-08, AIG-OPS-03, AIG-ASS-11, AIG-OPS-01, AIG-AIMS-04</t>
        </is>
      </c>
      <c r="M53" s="50" t="inlineStr">
        <is>
          <t>ISO 8.1; A.4.4-A.4.5, A.6.2.4-A.6.2.8, A.9.2, A.10</t>
        </is>
      </c>
      <c r="N53" s="50" t="inlineStr">
        <is>
          <t>Current standards; security review; tests; access/logs; incident/BC plans; exercise; supplier evidence</t>
        </is>
      </c>
      <c r="O53" s="50" t="inlineStr">
        <is>
          <t>Council controlled security and resilience repository — authoritative titles, versions and links to be populated</t>
        </is>
      </c>
      <c r="P53" s="52" t="n">
        <v>46241</v>
      </c>
      <c r="Q53" s="53" t="n">
        <v>3</v>
      </c>
      <c r="R53" s="52">
        <f>IF(P53="","",IF(OR(NOT(ISNUMBER(P53)),NOT(ISNUMBER(Q53)),Q53&lt;0,Q53&lt;&gt;INT(Q53)),"CHECK DATE / INTERVAL",EDATE(P53,Q53)))</f>
        <v/>
      </c>
      <c r="S53" s="50" t="inlineStr">
        <is>
          <t>Current version to confirm</t>
        </is>
      </c>
      <c r="T53" s="50" t="inlineStr">
        <is>
          <t>Security/Resilience to populate sources and approve the AI-specific control overlay.</t>
        </is>
      </c>
      <c r="U53" s="50">
        <f>IF(AND(A53&lt;&gt;"",B53&lt;&gt;"",C53&lt;&gt;"",D53&lt;&gt;"",E53&lt;&gt;"",F53&lt;&gt;"",G53&lt;&gt;"",H53&lt;&gt;"",I53&lt;&gt;"",J53&lt;&gt;"",K53&lt;&gt;"",L53&lt;&gt;"",M53&lt;&gt;"",N53&lt;&gt;"",O53&lt;&gt;"",P53&lt;&gt;"",AND(ISNUMBER(P53),ISNUMBER(Q53),Q53&gt;0,Q53=INT(Q53),ISNUMBER(R53)),S53&lt;&gt;"",T53&lt;&gt;""),IF(AND(ISNUMBER(R53),R53&lt;TODAY()),"Review overdue","Complete"),"Incomplete")</f>
        <v/>
      </c>
    </row>
    <row r="54" ht="32.25" customHeight="1" s="29">
      <c r="A54" s="49" t="inlineStr">
        <is>
          <t>REQ-048</t>
        </is>
      </c>
      <c r="B54" s="50" t="inlineStr">
        <is>
          <t>Council procurement and commercial</t>
        </is>
      </c>
      <c r="C54" s="50" t="inlineStr">
        <is>
          <t>Council policies / templates</t>
        </is>
      </c>
      <c r="D54" s="50" t="inlineStr">
        <is>
          <t>Council procurement, commercial, contract-management, social-value and financial rules</t>
        </is>
      </c>
      <c r="E54" s="50" t="inlineStr">
        <is>
          <t>The Council</t>
        </is>
      </c>
      <c r="F54" s="51" t="inlineStr">
        <is>
          <t>Applicable</t>
        </is>
      </c>
      <c r="G54" s="51" t="inlineStr">
        <is>
          <t>Specialist validation required</t>
        </is>
      </c>
      <c r="H54" s="50" t="inlineStr">
        <is>
          <t>Corporate sourcing and financial controls apply to AI purchases, embedded features, pilots, renewals and supplier changes.</t>
        </is>
      </c>
      <c r="I54" s="50" t="inlineStr">
        <is>
          <t>Trigger AI governance early; apply approved routes, financial authority, due diligence, evaluation, clauses, exceptions, KPI, change, audit, continuity and exit controls.</t>
        </is>
      </c>
      <c r="J54" s="50" t="inlineStr">
        <is>
          <t>Procurement / Finance / Legal / Contract Owner</t>
        </is>
      </c>
      <c r="K54" s="50" t="inlineStr">
        <is>
          <t>Business case; sourcing; contract; monitoring; renewal; exit</t>
        </is>
      </c>
      <c r="L54" s="50" t="inlineStr">
        <is>
          <t>AIG-INV-03, AIG-ASS-02, AIG-ASS-08, AIG-DEC-03, AIG-ASS-11, AIG-OPS-01</t>
        </is>
      </c>
      <c r="M54" s="50" t="inlineStr">
        <is>
          <t>ISO 4.2, 8.1; A.10</t>
        </is>
      </c>
      <c r="N54" s="50" t="inlineStr">
        <is>
          <t>Current rules/templates; approvals; due diligence; contract; exception; performance/change/exit evidence</t>
        </is>
      </c>
      <c r="O54" s="50" t="inlineStr">
        <is>
          <t>Council controlled procurement and finance repository — authoritative titles, versions and links to be populated</t>
        </is>
      </c>
      <c r="P54" s="52" t="n">
        <v>46241</v>
      </c>
      <c r="Q54" s="53" t="n">
        <v>6</v>
      </c>
      <c r="R54" s="52">
        <f>IF(P54="","",IF(OR(NOT(ISNUMBER(P54)),NOT(ISNUMBER(Q54)),Q54&lt;0,Q54&lt;&gt;INT(Q54)),"CHECK DATE / INTERVAL",EDATE(P54,Q54)))</f>
        <v/>
      </c>
      <c r="S54" s="50" t="inlineStr">
        <is>
          <t>Current version to confirm</t>
        </is>
      </c>
      <c r="T54" s="50" t="inlineStr">
        <is>
          <t>Procurement/Finance to populate sources and align AIG-ASS-08/AIG-ASS-11/AIG-OPS-01 with mandatory corporate gates.</t>
        </is>
      </c>
      <c r="U54" s="50">
        <f>IF(AND(A54&lt;&gt;"",B54&lt;&gt;"",C54&lt;&gt;"",D54&lt;&gt;"",E54&lt;&gt;"",F54&lt;&gt;"",G54&lt;&gt;"",H54&lt;&gt;"",I54&lt;&gt;"",J54&lt;&gt;"",K54&lt;&gt;"",L54&lt;&gt;"",M54&lt;&gt;"",N54&lt;&gt;"",O54&lt;&gt;"",P54&lt;&gt;"",AND(ISNUMBER(P54),ISNUMBER(Q54),Q54&gt;0,Q54=INT(Q54),ISNUMBER(R54)),S54&lt;&gt;"",T54&lt;&gt;""),IF(AND(ISNUMBER(R54),R54&lt;TODAY()),"Review overdue","Complete"),"Incomplete")</f>
        <v/>
      </c>
    </row>
    <row r="55" ht="32.25" customHeight="1" s="29">
      <c r="A55" s="49" t="inlineStr">
        <is>
          <t>REQ-049</t>
        </is>
      </c>
      <c r="B55" s="50" t="inlineStr">
        <is>
          <t>Council people and public impact</t>
        </is>
      </c>
      <c r="C55" s="50" t="inlineStr">
        <is>
          <t>Council policies / procedures</t>
        </is>
      </c>
      <c r="D55" s="50" t="inlineStr">
        <is>
          <t>Council equality, accessibility, HR, workforce consultation, safeguarding, complaints, engagement and communications policies</t>
        </is>
      </c>
      <c r="E55" s="50" t="inlineStr">
        <is>
          <t>The Council</t>
        </is>
      </c>
      <c r="F55" s="51" t="inlineStr">
        <is>
          <t>Applicable</t>
        </is>
      </c>
      <c r="G55" s="51" t="inlineStr">
        <is>
          <t>Specialist validation required</t>
        </is>
      </c>
      <c r="H55" s="50" t="inlineStr">
        <is>
          <t>Corporate duties and commitments apply to AI effects on residents, staff, communities, accessibility, safety, participation and redress.</t>
        </is>
      </c>
      <c r="I55" s="50" t="inlineStr">
        <is>
          <t>Apply current assessment, consultation, reasonable-adjustment, safeguarding, workforce, complaint, communication and engagement requirements; preserve specialist authority.</t>
        </is>
      </c>
      <c r="J55" s="50" t="inlineStr">
        <is>
          <t>Equality / HR / Safeguarding / Complaints / Communications</t>
        </is>
      </c>
      <c r="K55" s="50" t="inlineStr">
        <is>
          <t>Impact; workforce; service design; transparency; complaints; incidents</t>
        </is>
      </c>
      <c r="L55" s="50" t="inlineStr">
        <is>
          <t>AIG-ASS-04, AIG-ASS-06, AIG-ASS-07, AIG-ASS-10, AIG-OPS-05, AIG-OPS-03, AIG-OPS-01, AIG-AIMS-04</t>
        </is>
      </c>
      <c r="M55" s="50" t="inlineStr">
        <is>
          <t>ISO 4.2, 7.2-7.4, 8.1; A.5, A.8, A.9</t>
        </is>
      </c>
      <c r="N55" s="50" t="inlineStr">
        <is>
          <t>Current policies; assessments; consultation; accessibility; training; notices; complaints and action records</t>
        </is>
      </c>
      <c r="O55" s="50" t="inlineStr">
        <is>
          <t>Council controlled people, safeguarding and communications repositories — authoritative titles, versions and links to be populated</t>
        </is>
      </c>
      <c r="P55" s="52" t="n">
        <v>46241</v>
      </c>
      <c r="Q55" s="53" t="n">
        <v>6</v>
      </c>
      <c r="R55" s="52">
        <f>IF(P55="","",IF(OR(NOT(ISNUMBER(P55)),NOT(ISNUMBER(Q55)),Q55&lt;0,Q55&lt;&gt;INT(Q55)),"CHECK DATE / INTERVAL",EDATE(P55,Q55)))</f>
        <v/>
      </c>
      <c r="S55" s="50" t="inlineStr">
        <is>
          <t>Current version to confirm</t>
        </is>
      </c>
      <c r="T55" s="50" t="inlineStr">
        <is>
          <t>Function owners to populate sources and validate assessment/sign-off and complaint/redress interfaces.</t>
        </is>
      </c>
      <c r="U55" s="50">
        <f>IF(AND(A55&lt;&gt;"",B55&lt;&gt;"",C55&lt;&gt;"",D55&lt;&gt;"",E55&lt;&gt;"",F55&lt;&gt;"",G55&lt;&gt;"",H55&lt;&gt;"",I55&lt;&gt;"",J55&lt;&gt;"",K55&lt;&gt;"",L55&lt;&gt;"",M55&lt;&gt;"",N55&lt;&gt;"",O55&lt;&gt;"",P55&lt;&gt;"",AND(ISNUMBER(P55),ISNUMBER(Q55),Q55&gt;0,Q55=INT(Q55),ISNUMBER(R55)),S55&lt;&gt;"",T55&lt;&gt;""),IF(AND(ISNUMBER(R55),R55&lt;TODAY()),"Review overdue","Complete"),"Incomplete")</f>
        <v/>
      </c>
    </row>
    <row r="56" ht="32.25" customHeight="1" s="29">
      <c r="A56" s="49" t="inlineStr">
        <is>
          <t>REQ-050</t>
        </is>
      </c>
      <c r="B56" s="50" t="inlineStr">
        <is>
          <t>Council risk and digital governance</t>
        </is>
      </c>
      <c r="C56" s="50" t="inlineStr">
        <is>
          <t>Council policies / procedures</t>
        </is>
      </c>
      <c r="D56" s="50" t="inlineStr">
        <is>
          <t>Council corporate risk, internal audit, digital/service design, architecture, change, project, benefits, incident and continuity frameworks</t>
        </is>
      </c>
      <c r="E56" s="50" t="inlineStr">
        <is>
          <t>The Council</t>
        </is>
      </c>
      <c r="F56" s="51" t="inlineStr">
        <is>
          <t>Applicable</t>
        </is>
      </c>
      <c r="G56" s="51" t="inlineStr">
        <is>
          <t>Specialist validation required</t>
        </is>
      </c>
      <c r="H56" s="50" t="inlineStr">
        <is>
          <t>AIMS controls must integrate with, not duplicate or conflict with, existing corporate governance and delivery processes.</t>
        </is>
      </c>
      <c r="I56" s="50" t="inlineStr">
        <is>
          <t>Define hand-offs, authority, evidence and escalation; integrate AI risk, assurance, change, benefits and operational monitoring into existing frameworks.</t>
        </is>
      </c>
      <c r="J56" s="50" t="inlineStr">
        <is>
          <t>Corporate Risk / Internal Audit / Digital Leadership</t>
        </is>
      </c>
      <c r="K56" s="50" t="inlineStr">
        <is>
          <t>Business case; delivery; change; monitoring; assurance; improvement</t>
        </is>
      </c>
      <c r="L56" s="50" t="inlineStr">
        <is>
          <t>AIG-GOV-02, AIG-ASS-02, AIG-ASS-03, AIG-DEC-03, AIG-OPS-05, AIG-OPS-06, AIG-GOV-06, AIG-OPS-01, AIG-AIMS-03</t>
        </is>
      </c>
      <c r="M56" s="50" t="inlineStr">
        <is>
          <t>ISO 4.4, 5.3, 6.1-6.2, 8-10; A.3.2</t>
        </is>
      </c>
      <c r="N56" s="50" t="inlineStr">
        <is>
          <t>Current frameworks; process/RACI map; risk links; assurance plan; audit; change and benefits evidence</t>
        </is>
      </c>
      <c r="O56" s="50" t="inlineStr">
        <is>
          <t>Council controlled risk, audit and digital repositories — authoritative titles, versions and links to be populated</t>
        </is>
      </c>
      <c r="P56" s="52" t="n">
        <v>46241</v>
      </c>
      <c r="Q56" s="53" t="n">
        <v>6</v>
      </c>
      <c r="R56" s="52">
        <f>IF(P56="","",IF(OR(NOT(ISNUMBER(P56)),NOT(ISNUMBER(Q56)),Q56&lt;0,Q56&lt;&gt;INT(Q56)),"CHECK DATE / INTERVAL",EDATE(P56,Q56)))</f>
        <v/>
      </c>
      <c r="S56" s="50" t="inlineStr">
        <is>
          <t>Current version to confirm</t>
        </is>
      </c>
      <c r="T56" s="50" t="inlineStr">
        <is>
          <t>Owners to populate sources and approve integration points, service levels and escalation.</t>
        </is>
      </c>
      <c r="U56" s="50">
        <f>IF(AND(A56&lt;&gt;"",B56&lt;&gt;"",C56&lt;&gt;"",D56&lt;&gt;"",E56&lt;&gt;"",F56&lt;&gt;"",G56&lt;&gt;"",H56&lt;&gt;"",I56&lt;&gt;"",J56&lt;&gt;"",K56&lt;&gt;"",L56&lt;&gt;"",M56&lt;&gt;"",N56&lt;&gt;"",O56&lt;&gt;"",P56&lt;&gt;"",AND(ISNUMBER(P56),ISNUMBER(Q56),Q56&gt;0,Q56=INT(Q56),ISNUMBER(R56)),S56&lt;&gt;"",T56&lt;&gt;""),IF(AND(ISNUMBER(R56),R56&lt;TODAY()),"Review overdue","Complete"),"Incomplete")</f>
        <v/>
      </c>
    </row>
    <row r="57" ht="42.75" customHeight="1" s="29">
      <c r="A57" s="49" t="inlineStr">
        <is>
          <t>REQ-051</t>
        </is>
      </c>
      <c r="B57" s="50" t="inlineStr">
        <is>
          <t>Contracts, partnerships and funding</t>
        </is>
      </c>
      <c r="C57" s="50" t="inlineStr">
        <is>
          <t>Contractual / partnership requirement</t>
        </is>
      </c>
      <c r="D57" s="50" t="inlineStr">
        <is>
          <t>AI supplier contracts, data-processing/data-sharing agreements, partnership arrangements, grants and funding conditions</t>
        </is>
      </c>
      <c r="E57" s="50" t="inlineStr">
        <is>
          <t>Case-specific</t>
        </is>
      </c>
      <c r="F57" s="51" t="inlineStr">
        <is>
          <t>Conditional</t>
        </is>
      </c>
      <c r="G57" s="51" t="inlineStr">
        <is>
          <t>Specialist validation required</t>
        </is>
      </c>
      <c r="H57" s="50" t="inlineStr">
        <is>
          <t>Binding obligations vary by supplier, partner, shared service, data arrangement and funding programme.</t>
        </is>
      </c>
      <c r="I57" s="50" t="inlineStr">
        <is>
          <t>Record obligations, roles, data/security, evidence access, transparency, change, incident, performance, audit, sub-contracting, continuity, termination and exit requirements by AI Register ID.</t>
        </is>
      </c>
      <c r="J57" s="50" t="inlineStr">
        <is>
          <t>Service Owner / Contract Owner / Legal</t>
        </is>
      </c>
      <c r="K57" s="50" t="inlineStr">
        <is>
          <t>Procurement; partnership; data sharing; operations; change; exit</t>
        </is>
      </c>
      <c r="L57" s="50" t="inlineStr">
        <is>
          <t>AIG-INV-04, AIG-ASS-05, AIG-ASS-08, AIG-DEC-03, AIG-ASS-11, AIG-OPS-01</t>
        </is>
      </c>
      <c r="M57" s="50" t="inlineStr">
        <is>
          <t>ISO 4.2, 8.1; A.4.4-A.4.5, A.10</t>
        </is>
      </c>
      <c r="N57" s="50" t="inlineStr">
        <is>
          <t>Contract/agreement; obligations schedule; SLA/KPI; assurance; change/incident notices; exit and closure evidence</t>
        </is>
      </c>
      <c r="O57" s="50" t="inlineStr">
        <is>
          <t>Case-specific controlled contract or agreement — link from AI Register</t>
        </is>
      </c>
      <c r="P57" s="52" t="n">
        <v>46241</v>
      </c>
      <c r="Q57" s="53" t="n">
        <v>3</v>
      </c>
      <c r="R57" s="52">
        <f>IF(P57="","",IF(OR(NOT(ISNUMBER(P57)),NOT(ISNUMBER(Q57)),Q57&lt;0,Q57&lt;&gt;INT(Q57)),"CHECK DATE / INTERVAL",EDATE(P57,Q57)))</f>
        <v/>
      </c>
      <c r="S57" s="50" t="inlineStr">
        <is>
          <t>Case-specific</t>
        </is>
      </c>
      <c r="T57" s="50" t="inlineStr">
        <is>
          <t>Require each in-scope AI Register record to link its binding obligations and accountable owner.</t>
        </is>
      </c>
      <c r="U57" s="50">
        <f>IF(AND(A57&lt;&gt;"",B57&lt;&gt;"",C57&lt;&gt;"",D57&lt;&gt;"",E57&lt;&gt;"",F57&lt;&gt;"",G57&lt;&gt;"",H57&lt;&gt;"",I57&lt;&gt;"",J57&lt;&gt;"",K57&lt;&gt;"",L57&lt;&gt;"",M57&lt;&gt;"",N57&lt;&gt;"",O57&lt;&gt;"",P57&lt;&gt;"",AND(ISNUMBER(P57),ISNUMBER(Q57),Q57&gt;0,Q57=INT(Q57),ISNUMBER(R57)),S57&lt;&gt;"",T57&lt;&gt;""),IF(AND(ISNUMBER(R57),R57&lt;TODAY()),"Review overdue","Complete"),"Incomplete")</f>
        <v/>
      </c>
    </row>
    <row r="58" ht="42.75" customHeight="1" s="29">
      <c r="A58" s="49" t="inlineStr">
        <is>
          <t>REQ-052</t>
        </is>
      </c>
      <c r="B58" s="50" t="inlineStr">
        <is>
          <t>Security and resilience</t>
        </is>
      </c>
      <c r="C58" s="50" t="inlineStr">
        <is>
          <t>Government security guidance</t>
        </is>
      </c>
      <c r="D58" s="50" t="inlineStr">
        <is>
          <t>Code of Practice for the Cyber Security of AI (DSIT, 31 January 2025)</t>
        </is>
      </c>
      <c r="E58" s="50" t="inlineStr">
        <is>
          <t>United Kingdom / international good practice</t>
        </is>
      </c>
      <c r="F58" s="51" t="inlineStr">
        <is>
          <t>Guidance to consider</t>
        </is>
      </c>
      <c r="G58" s="51" t="inlineStr">
        <is>
          <t>Specialist validation required</t>
        </is>
      </c>
      <c r="H58" s="50" t="inlineStr">
        <is>
          <t>Voluntary UK government security baseline for AI systems across secure design, development, deployment, maintenance and end of life; relevant to Council-developed, configured or procured AI and to supplier assurance.</t>
        </is>
      </c>
      <c r="I58" s="50" t="inlineStr">
        <is>
          <t>Apply the 13 principles proportionate to risk (threat awareness, secure design, threat evaluation, human responsibility, asset protection, infrastructure, supply chain, documentation, testing, end-user communication, updates, monitoring, secure disposal) and record applicability case by case.</t>
        </is>
      </c>
      <c r="J58" s="50" t="inlineStr">
        <is>
          <t>Cyber Security / Technical Lead</t>
        </is>
      </c>
      <c r="K58" s="50" t="inlineStr">
        <is>
          <t>Design; development; procurement; deployment; operations; retirement</t>
        </is>
      </c>
      <c r="L58" s="50" t="inlineStr">
        <is>
          <t>AIG-ASS-11, AIG-ASS-08, AIG-OPS-01, AIG-OPS-03, AIG-AGT-04</t>
        </is>
      </c>
      <c r="M58" s="50" t="inlineStr">
        <is>
          <t>ISO 8.1; A.4.4-A.4.5, A.6.2.2-A.6.2.8, A.10</t>
        </is>
      </c>
      <c r="N58" s="50" t="inlineStr">
        <is>
          <t>AIG-ASS-11 principle mapping; threat model; security tests; supplier evidence; monitoring; incident, vulnerability and disposal records</t>
        </is>
      </c>
      <c r="O58" s="50" t="inlineStr">
        <is>
          <t>https://www.gov.uk/government/publications/ai-cyber-security-code-of-practice/code-of-practice-for-the-cyber-security-of-ai</t>
        </is>
      </c>
      <c r="P58" s="52" t="n">
        <v>46294</v>
      </c>
      <c r="Q58" s="53" t="n">
        <v>6</v>
      </c>
      <c r="R58" s="52">
        <f>IF(P58="","",IF(OR(NOT(ISNUMBER(P58)),NOT(ISNUMBER(Q58)),Q58&lt;0,Q58&lt;&gt;INT(Q58)),"CHECK DATE / INTERVAL",EDATE(P58,Q58)))</f>
        <v/>
      </c>
      <c r="S58" s="50" t="inlineStr">
        <is>
          <t>Current</t>
        </is>
      </c>
      <c r="T58" s="50" t="inlineStr">
        <is>
          <t>Security to confirm the proposed AIG-ASS-11 principle mapping (Proposed — for Council confirmation) and record case-by-case applicability and approved exceptions.</t>
        </is>
      </c>
      <c r="U58" s="50">
        <f>IF(AND(A58&lt;&gt;"",B58&lt;&gt;"",C58&lt;&gt;"",D58&lt;&gt;"",E58&lt;&gt;"",F58&lt;&gt;"",G58&lt;&gt;"",H58&lt;&gt;"",I58&lt;&gt;"",J58&lt;&gt;"",K58&lt;&gt;"",L58&lt;&gt;"",M58&lt;&gt;"",N58&lt;&gt;"",O58&lt;&gt;"",P58&lt;&gt;"",AND(ISNUMBER(P58),ISNUMBER(Q58),Q58&gt;0,Q58=INT(Q58),ISNUMBER(R58)),S58&lt;&gt;"",T58&lt;&gt;""),IF(AND(ISNUMBER(R58),R58&lt;TODAY()),"Review overdue","Complete"),"Incomplete")</f>
        <v/>
      </c>
    </row>
    <row r="59" ht="42.75" customHeight="1" s="29">
      <c r="A59" s="49" t="inlineStr">
        <is>
          <t>REQ-053</t>
        </is>
      </c>
      <c r="B59" s="50" t="inlineStr">
        <is>
          <t>Security and resilience</t>
        </is>
      </c>
      <c r="C59" s="50" t="inlineStr">
        <is>
          <t>European standard</t>
        </is>
      </c>
      <c r="D59" s="50" t="inlineStr">
        <is>
          <t>ETSI EN 304 223 V2.1.1 (2026-01) Securing Artificial Intelligence (SAI); Baseline Cyber Security Requirements for AI Models and Systems</t>
        </is>
      </c>
      <c r="E59" s="50" t="inlineStr">
        <is>
          <t>European / voluntary unless adopted or contracted</t>
        </is>
      </c>
      <c r="F59" s="51" t="inlineStr">
        <is>
          <t>Guidance to consider</t>
        </is>
      </c>
      <c r="G59" s="51" t="inlineStr">
        <is>
          <t>Specialist validation required</t>
        </is>
      </c>
      <c r="H59" s="50" t="inlineStr">
        <is>
          <t>Voluntary European Standard setting baseline cyber security requirements for AI models and systems, derived from the DSIT Code of Practice (REQ-052); relevant where the Council or a supplier claims conformance or a contract specifies it.</t>
        </is>
      </c>
      <c r="I59" s="50" t="inlineStr">
        <is>
          <t>Use as the detailed requirement set behind REQ-052 where selected; verify the current edition and record selected requirements, supplier conformance claims and evidence.</t>
        </is>
      </c>
      <c r="J59" s="50" t="inlineStr">
        <is>
          <t>Cyber Security / Technical Lead / Procurement</t>
        </is>
      </c>
      <c r="K59" s="50" t="inlineStr">
        <is>
          <t>Design; procurement; deployment; operations</t>
        </is>
      </c>
      <c r="L59" s="50" t="inlineStr">
        <is>
          <t>AIG-ASS-11, AIG-ASS-08, AIG-OPS-01</t>
        </is>
      </c>
      <c r="M59" s="50" t="inlineStr">
        <is>
          <t>ISO 8.1; A.4.4-A.4.5, A.6.2.2-A.6.2.8, A.10</t>
        </is>
      </c>
      <c r="N59" s="50" t="inlineStr">
        <is>
          <t>Selected-requirements list; supplier conformance statements; security test and assurance evidence</t>
        </is>
      </c>
      <c r="O59" s="50" t="inlineStr">
        <is>
          <t>ETSI standards catalogue (search EN 304 223; verify current edition): https://www.etsi.org/standards</t>
        </is>
      </c>
      <c r="P59" s="52" t="n">
        <v>46294</v>
      </c>
      <c r="Q59" s="53" t="n">
        <v>6</v>
      </c>
      <c r="R59" s="52">
        <f>IF(P59="","",IF(OR(NOT(ISNUMBER(P59)),NOT(ISNUMBER(Q59)),Q59&lt;0,Q59&lt;&gt;INT(Q59)),"CHECK DATE / INTERVAL",EDATE(P59,Q59)))</f>
        <v/>
      </c>
      <c r="S59" s="50" t="inlineStr">
        <is>
          <t>Current version to confirm</t>
        </is>
      </c>
      <c r="T59" s="50" t="inlineStr">
        <is>
          <t>Security/Procurement to verify the current edition and decide whether to reference it in AI procurement and AIG-ASS-11.</t>
        </is>
      </c>
      <c r="U59" s="50">
        <f>IF(AND(A59&lt;&gt;"",B59&lt;&gt;"",C59&lt;&gt;"",D59&lt;&gt;"",E59&lt;&gt;"",F59&lt;&gt;"",G59&lt;&gt;"",H59&lt;&gt;"",I59&lt;&gt;"",J59&lt;&gt;"",K59&lt;&gt;"",L59&lt;&gt;"",M59&lt;&gt;"",N59&lt;&gt;"",O59&lt;&gt;"",P59&lt;&gt;"",AND(ISNUMBER(P59),ISNUMBER(Q59),Q59&gt;0,Q59=INT(Q59),ISNUMBER(R59)),S59&lt;&gt;"",T59&lt;&gt;""),IF(AND(ISNUMBER(R59),R59&lt;TODAY()),"Review overdue","Complete"),"Incomplete")</f>
        <v/>
      </c>
    </row>
    <row r="60" ht="42.75" customHeight="1" s="29">
      <c r="A60" s="49" t="inlineStr">
        <is>
          <t>REQ-054</t>
        </is>
      </c>
      <c r="B60" s="50" t="inlineStr">
        <is>
          <t>Security and resilience</t>
        </is>
      </c>
      <c r="C60" s="50" t="inlineStr">
        <is>
          <t>Legislation</t>
        </is>
      </c>
      <c r="D60" s="50" t="inlineStr">
        <is>
          <t>Civil Contingencies Act 2004 (Category 1 responder duties, including business continuity arrangements)</t>
        </is>
      </c>
      <c r="E60" s="50" t="inlineStr">
        <is>
          <t>United Kingdom</t>
        </is>
      </c>
      <c r="F60" s="51" t="inlineStr">
        <is>
          <t>Conditional</t>
        </is>
      </c>
      <c r="G60" s="51" t="inlineStr">
        <is>
          <t>Specialist validation required</t>
        </is>
      </c>
      <c r="H60" s="50" t="inlineStr">
        <is>
          <t>Where an AI use supports a service the Council has identified as a prioritised activity in its business continuity plans; Legal / Emergency Planning to confirm. As a Category 1 responder the Council must maintain plans to ensure, so far as reasonably practicable, that it can continue to perform its functions if an emergency occurs (s.2(1)(c)).</t>
        </is>
      </c>
      <c r="I60" s="50" t="inlineStr">
        <is>
          <t>Record whether the AI-supported service is a prioritised activity in the business continuity plans; where it is, record the plan reference and a fallback consistent with the plan before go-live, and keep supplier continuity and exit arrangements consistent with it.</t>
        </is>
      </c>
      <c r="J60" s="50" t="inlineStr">
        <is>
          <t>Emergency Planning / Legal Services / Service Owner</t>
        </is>
      </c>
      <c r="K60" s="50" t="inlineStr">
        <is>
          <t>Service design; procurement; go-live; operations; incidents; exit</t>
        </is>
      </c>
      <c r="L60" s="50" t="inlineStr">
        <is>
          <t>AIG-OPS-01 section 8, AIG-ASS-08 section 8</t>
        </is>
      </c>
      <c r="M60" s="50" t="inlineStr">
        <is>
          <t>ISO 4.2, 8.1; A.6.2.5-A.6.2.6, A.10</t>
        </is>
      </c>
      <c r="N60" s="50" t="inlineStr">
        <is>
          <t>AIG-OPS-01 section 8 business continuity link (prioritised activity Yes / No / Not known; plan reference; consistent fallback); supplier continuity and exit answers (AIG-ASS-08 section 8); business continuity plan extract</t>
        </is>
      </c>
      <c r="O60" s="50" t="inlineStr">
        <is>
          <t>https://www.legislation.gov.uk/ukpga/2004/36/contents</t>
        </is>
      </c>
      <c r="P60" s="52" t="n">
        <v>46295</v>
      </c>
      <c r="Q60" s="53" t="n">
        <v>12</v>
      </c>
      <c r="R60" s="52">
        <f>IF(P60="","",IF(OR(NOT(ISNUMBER(P60)),NOT(ISNUMBER(Q60)),Q60&lt;0,Q60&lt;&gt;INT(Q60)),"CHECK DATE / INTERVAL",EDATE(P60,Q60)))</f>
        <v/>
      </c>
      <c r="S60" s="50" t="inlineStr">
        <is>
          <t>Current</t>
        </is>
      </c>
      <c r="T60" s="50" t="inlineStr">
        <is>
          <t>Proposed — for Council confirmation. Status proposed; owner to validate: Legal / Emergency Planning to confirm applicability and the list of prioritised activities before the entry is relied on.</t>
        </is>
      </c>
      <c r="U60" s="50">
        <f>IF(AND(A60&lt;&gt;"",B60&lt;&gt;"",C60&lt;&gt;"",D60&lt;&gt;"",E60&lt;&gt;"",F60&lt;&gt;"",G60&lt;&gt;"",H60&lt;&gt;"",I60&lt;&gt;"",J60&lt;&gt;"",K60&lt;&gt;"",L60&lt;&gt;"",M60&lt;&gt;"",N60&lt;&gt;"",O60&lt;&gt;"",P60&lt;&gt;"",AND(ISNUMBER(P60),ISNUMBER(Q60),Q60&gt;0,Q60=INT(Q60),ISNUMBER(R60)),S60&lt;&gt;"",T60&lt;&gt;""),IF(AND(ISNUMBER(R60),R60&lt;TODAY()),"Review overdue","Complete"),"Incomplete")</f>
        <v/>
      </c>
    </row>
    <row r="61" ht="42.75" customHeight="1" s="29">
      <c r="A61" s="49" t="inlineStr">
        <is>
          <t>REQ-055</t>
        </is>
      </c>
      <c r="B61" s="50" t="inlineStr">
        <is>
          <t>AI risk management</t>
        </is>
      </c>
      <c r="C61" s="50" t="inlineStr">
        <is>
          <t>Voluntary guidance (US)</t>
        </is>
      </c>
      <c r="D61" s="50" t="inlineStr">
        <is>
          <t>NIST AI 600-1 Artificial Intelligence Risk Management Framework: Generative Artificial Intelligence Profile (July 2024)</t>
        </is>
      </c>
      <c r="E61" s="50" t="inlineStr">
        <is>
          <t>United States / voluntary (reference only)</t>
        </is>
      </c>
      <c r="F61" s="51" t="inlineStr">
        <is>
          <t>Guidance to consider</t>
        </is>
      </c>
      <c r="G61" s="51" t="inlineStr">
        <is>
          <t>Specialist validation required</t>
        </is>
      </c>
      <c r="H61" s="50" t="inlineStr">
        <is>
          <t>Generative AI risk prompts and actions: sets out twelve risks that are unique to or made worse by generative AI, with suggested actions; relevant to resident-facing chatbots, content generation and AI disclosure. Reference only, not statutory.</t>
        </is>
      </c>
      <c r="I61" s="50" t="inlineStr">
        <is>
          <t>Use the twelve risks and suggested actions as prompts when assessing and testing generative AI uses; record which actions the Council adopts. No conformity claim.</t>
        </is>
      </c>
      <c r="J61" s="50" t="inlineStr">
        <is>
          <t>AI Governance Lead / Cyber Security</t>
        </is>
      </c>
      <c r="K61" s="50" t="inlineStr">
        <is>
          <t>Risk assessment; testing; deployment; monitoring</t>
        </is>
      </c>
      <c r="L61" s="50" t="inlineStr">
        <is>
          <t>AIG-GOV-02 §4.3, §5.4.3, §5.4.4; AIG-AIMS-11 risk domain crosswalk; AIG-ASS-04; AIG-ASS-11 Section 7</t>
        </is>
      </c>
      <c r="M61" s="50" t="inlineStr">
        <is>
          <t>ISO 6.1, 8.2; A.5, A.6</t>
        </is>
      </c>
      <c r="N61" s="50" t="inlineStr">
        <is>
          <t>AIG-AIMS-11 risk domain crosswalk (validated); generative AI risk assessments and adversarial test records; labelling and disclosure decisions</t>
        </is>
      </c>
      <c r="O61" s="50" t="inlineStr">
        <is>
          <t>https://doi.org/10.6028/NIST.AI.600-1</t>
        </is>
      </c>
      <c r="P61" s="52" t="n">
        <v>46296</v>
      </c>
      <c r="Q61" s="53" t="n">
        <v>12</v>
      </c>
      <c r="R61" s="52">
        <f>IF(P61="","",IF(OR(NOT(ISNUMBER(P61)),NOT(ISNUMBER(Q61)),Q61&lt;0,Q61&lt;&gt;INT(Q61)),"CHECK DATE / INTERVAL",EDATE(P61,Q61)))</f>
        <v/>
      </c>
      <c r="S61" s="50" t="inlineStr">
        <is>
          <t>Current</t>
        </is>
      </c>
      <c r="T61" s="50" t="inlineStr">
        <is>
          <t>Proposed — for Council confirmation. Reference only, not statutory: AI Governance Lead to confirm use as a prompt list for generative AI risk assessment and to validate the AIG-AIMS-11 risk domain crosswalk.</t>
        </is>
      </c>
      <c r="U61" s="50">
        <f>IF(AND(A61&lt;&gt;"",B61&lt;&gt;"",C61&lt;&gt;"",D61&lt;&gt;"",E61&lt;&gt;"",F61&lt;&gt;"",G61&lt;&gt;"",H61&lt;&gt;"",I61&lt;&gt;"",J61&lt;&gt;"",K61&lt;&gt;"",L61&lt;&gt;"",M61&lt;&gt;"",N61&lt;&gt;"",O61&lt;&gt;"",P61&lt;&gt;"",AND(ISNUMBER(P61),ISNUMBER(Q61),Q61&gt;0,Q61=INT(Q61),ISNUMBER(R61)),S61&lt;&gt;"",T61&lt;&gt;""),IF(AND(ISNUMBER(R61),R61&lt;TODAY()),"Review overdue","Complete"),"Incomplete")</f>
        <v/>
      </c>
    </row>
    <row r="62" ht="42.75" customHeight="1" s="29">
      <c r="A62" s="49" t="inlineStr">
        <is>
          <t>REQ-056</t>
        </is>
      </c>
      <c r="B62" s="50" t="inlineStr">
        <is>
          <t>Data protection and privacy</t>
        </is>
      </c>
      <c r="C62" s="50" t="inlineStr">
        <is>
          <t>Legislation (secondary) / statutory code in development</t>
        </is>
      </c>
      <c r="D62" s="50" t="inlineStr">
        <is>
          <t>The Data Protection Act 2018 (Code of Practice on Artificial Intelligence and Automated Decision-Making) Regulations 2026 (SI 2026/425), and the ICO statutory code of practice on AI and automated decision-making that it requires</t>
        </is>
      </c>
      <c r="E62" s="50" t="inlineStr">
        <is>
          <t>United Kingdom</t>
        </is>
      </c>
      <c r="F62" s="51" t="inlineStr">
        <is>
          <t>Applicable</t>
        </is>
      </c>
      <c r="G62" s="51" t="inlineStr">
        <is>
          <t>Specialist validation required</t>
        </is>
      </c>
      <c r="H62" s="50" t="inlineStr">
        <is>
          <t>In force 12 May 2026. The Regulations require the Information Commissioner to prepare a code of practice on processing personal data in developing and using AI and automated decision-making, including guidance on children's personal data. Once issued and in force, the ICO and courts take the code into account when assessing compliance, so Council AI that processes personal data or makes automated decisions will be judged against it.</t>
        </is>
      </c>
      <c r="I62" s="50" t="inlineStr">
        <is>
          <t>Track the code from consultation to issue; when published, assess Council AI, automated decision-making, DPIA and children's-data practice against it and update affected artefacts within the agreed review window.</t>
        </is>
      </c>
      <c r="J62" s="50" t="inlineStr">
        <is>
          <t>DPO / Information Governance / AI Governance Lead</t>
        </is>
      </c>
      <c r="K62" s="50" t="inlineStr">
        <is>
          <t>Horizon scanning; DPIA; automated decisions; children's data; design; monitoring</t>
        </is>
      </c>
      <c r="L62" s="50" t="inlineStr">
        <is>
          <t>AIG-ASS-05 (DPIA Template), AIG-GOV-02 §4.6.1, AIG-AIMS-05 CHG-005 and CHG-014</t>
        </is>
      </c>
      <c r="M62" s="50" t="inlineStr">
        <is>
          <t>ISO 4.2, 6.1, 8.1; A.5, A.7, A.8</t>
        </is>
      </c>
      <c r="N62" s="50" t="inlineStr">
        <is>
          <t>Code consultation and publication log; DPO gap assessment against the issued code; updated DPIA template and automated-decision guidance; record of affected systems re-checked</t>
        </is>
      </c>
      <c r="O62" s="50" t="inlineStr">
        <is>
          <t>https://www.legislation.gov.uk/uksi/2026/425/made</t>
        </is>
      </c>
      <c r="P62" s="52" t="n">
        <v>46297</v>
      </c>
      <c r="Q62" s="53" t="n">
        <v>6</v>
      </c>
      <c r="R62" s="52">
        <f>IF(P62="","",IF(OR(NOT(ISNUMBER(P62)),NOT(ISNUMBER(Q62)),Q62&lt;0,Q62&lt;&gt;INT(Q62)),"CHECK DATE / INTERVAL",EDATE(P62,Q62)))</f>
        <v/>
      </c>
      <c r="S62" s="50" t="inlineStr">
        <is>
          <t>New / commenced</t>
        </is>
      </c>
      <c r="T62" s="50" t="inlineStr">
        <is>
          <t>Proposed — for Council confirmation. Recorded from regulatory scanner review REG-0001 (2 October 2026, change-required). DPO to monitor the ICO code and complete a gap assessment when it is issued.</t>
        </is>
      </c>
      <c r="U62" s="50">
        <f>IF(AND(A62&lt;&gt;"",B62&lt;&gt;"",C62&lt;&gt;"",D62&lt;&gt;"",E62&lt;&gt;"",F62&lt;&gt;"",G62&lt;&gt;"",H62&lt;&gt;"",I62&lt;&gt;"",J62&lt;&gt;"",K62&lt;&gt;"",L62&lt;&gt;"",M62&lt;&gt;"",N62&lt;&gt;"",O62&lt;&gt;"",P62&lt;&gt;"",AND(ISNUMBER(P62),ISNUMBER(Q62),Q62&gt;0,Q62=INT(Q62),ISNUMBER(R62)),S62&lt;&gt;"",T62&lt;&gt;""),IF(AND(ISNUMBER(R62),R62&lt;TODAY()),"Review overdue","Complete"),"Incomplete")</f>
        <v/>
      </c>
    </row>
    <row r="63" ht="42.75" customHeight="1" s="29">
      <c r="A63" s="49" t="inlineStr">
        <is>
          <t>REQ-057</t>
        </is>
      </c>
      <c r="B63" s="50" t="inlineStr">
        <is>
          <t>Data governance and quality</t>
        </is>
      </c>
      <c r="C63" s="50" t="inlineStr">
        <is>
          <t>Voluntary professional framework (international)</t>
        </is>
      </c>
      <c r="D63" s="50" t="inlineStr">
        <is>
          <t>DAMA-DMBOK: Data Management Body of Knowledge, 2nd Edition Revised (DAMA International)</t>
        </is>
      </c>
      <c r="E63" s="50" t="inlineStr">
        <is>
          <t>International / voluntary (reference only)</t>
        </is>
      </c>
      <c r="F63" s="51" t="inlineStr">
        <is>
          <t>Guidance to consider</t>
        </is>
      </c>
      <c r="G63" s="51" t="inlineStr">
        <is>
          <t>Specialist validation required</t>
        </is>
      </c>
      <c r="H63" s="50" t="inlineStr">
        <is>
          <t>Common reference for data governance roles (owner, steward, custodian), data quality, metadata, lineage and data lifecycle management; relevant where AI depends on Council data. Reference only, not statutory.</t>
        </is>
      </c>
      <c r="I63" s="50" t="inlineStr">
        <is>
          <t>Use as a reference for data roles, data quality dimensions and lineage practice when designing and reviewing data controls for AI. No conformity claim.</t>
        </is>
      </c>
      <c r="J63" s="50" t="inlineStr">
        <is>
          <t>Information Governance / Data Owner</t>
        </is>
      </c>
      <c r="K63" s="50" t="inlineStr">
        <is>
          <t>Intake; data preparation; deployment; monitoring; retirement</t>
        </is>
      </c>
      <c r="L63" s="50" t="inlineStr">
        <is>
          <t>AIG-GOV-02 §5.6, Appendix A.2; AIG-INV-04 column AA; AIG-AIMS-04 ROL-20; AIG-ASS-05</t>
        </is>
      </c>
      <c r="M63" s="50" t="inlineStr">
        <is>
          <t>ISO 7.2; A.7.2–A.7.6</t>
        </is>
      </c>
      <c r="N63" s="50" t="inlineStr">
        <is>
          <t>Data role assignments; data quality and lineage records for AI uses</t>
        </is>
      </c>
      <c r="O63" s="50" t="inlineStr">
        <is>
          <t>https://dama.org/articles/introducing-the-revised-dama-data-management-body-of-knowledge-2nd-edition</t>
        </is>
      </c>
      <c r="P63" s="52" t="n">
        <v>46307</v>
      </c>
      <c r="Q63" s="53" t="n">
        <v>12</v>
      </c>
      <c r="R63" s="52">
        <f>IF(P63="","",IF(OR(NOT(ISNUMBER(P63)),NOT(ISNUMBER(Q63)),Q63&lt;0,Q63&lt;&gt;INT(Q63)),"CHECK DATE / INTERVAL",EDATE(P63,Q63)))</f>
        <v/>
      </c>
      <c r="S63" s="50" t="inlineStr">
        <is>
          <t>Current</t>
        </is>
      </c>
      <c r="T63" s="50" t="inlineStr">
        <is>
          <t>Proposed — for Council confirmation. Reference only, not statutory: owner to confirm use as a reference for AI data controls.</t>
        </is>
      </c>
      <c r="U63" s="50">
        <f>IF(AND(A63&lt;&gt;"",B63&lt;&gt;"",C63&lt;&gt;"",D63&lt;&gt;"",E63&lt;&gt;"",F63&lt;&gt;"",G63&lt;&gt;"",H63&lt;&gt;"",I63&lt;&gt;"",J63&lt;&gt;"",K63&lt;&gt;"",L63&lt;&gt;"",M63&lt;&gt;"",N63&lt;&gt;"",O63&lt;&gt;"",P63&lt;&gt;"",AND(ISNUMBER(P63),ISNUMBER(Q63),Q63&gt;0,Q63=INT(Q63),ISNUMBER(R63)),S63&lt;&gt;"",T63&lt;&gt;""),IF(AND(ISNUMBER(R63),R63&lt;TODAY()),"Review overdue","Complete"),"Incomplete")</f>
        <v/>
      </c>
    </row>
    <row r="64" ht="42.75" customHeight="1" s="29">
      <c r="A64" s="49" t="inlineStr">
        <is>
          <t>REQ-058</t>
        </is>
      </c>
      <c r="B64" s="50" t="inlineStr">
        <is>
          <t>Data governance and quality</t>
        </is>
      </c>
      <c r="C64" s="50" t="inlineStr">
        <is>
          <t>International standard (voluntary)</t>
        </is>
      </c>
      <c r="D64" s="50" t="inlineStr">
        <is>
          <t>ISO/IEC 5259 series, Artificial intelligence — Data quality for analytics and machine learning (ML) (ISO/IEC 5259-1:2024 and later parts)</t>
        </is>
      </c>
      <c r="E64" s="50" t="inlineStr">
        <is>
          <t>International / voluntary (reference only)</t>
        </is>
      </c>
      <c r="F64" s="51" t="inlineStr">
        <is>
          <t>Guidance to consider</t>
        </is>
      </c>
      <c r="G64" s="51" t="inlineStr">
        <is>
          <t>Specialist validation required</t>
        </is>
      </c>
      <c r="H64" s="50" t="inlineStr">
        <is>
          <t>Defines data quality terminology, measures, management requirements, process framework and governance for data used in analytics and machine learning. Reference only, not statutory.</t>
        </is>
      </c>
      <c r="I64" s="50" t="inlineStr">
        <is>
          <t>Use as a reference for data quality measures and data quality governance for AI training, test and operational data. No conformity claim.</t>
        </is>
      </c>
      <c r="J64" s="50" t="inlineStr">
        <is>
          <t>AI Governance Lead / Data Owner</t>
        </is>
      </c>
      <c r="K64" s="50" t="inlineStr">
        <is>
          <t>Data preparation; testing; deployment; monitoring</t>
        </is>
      </c>
      <c r="L64" s="50" t="inlineStr">
        <is>
          <t>AIG-GOV-02 §5.6.1, §5.6.3; AIG-ASS-09 sections 3 to 5; AIG-AIMS-02 A.7.4</t>
        </is>
      </c>
      <c r="M64" s="50" t="inlineStr">
        <is>
          <t>ISO 8.1; A.7.4, A.7.5, A.7.6</t>
        </is>
      </c>
      <c r="N64" s="50" t="inlineStr">
        <is>
          <t>Data quality measures and results for AI uses; training data governance records</t>
        </is>
      </c>
      <c r="O64" s="50" t="inlineStr">
        <is>
          <t>https://www.iso.org/standard/81088.html</t>
        </is>
      </c>
      <c r="P64" s="52" t="n">
        <v>46307</v>
      </c>
      <c r="Q64" s="53" t="n">
        <v>12</v>
      </c>
      <c r="R64" s="52">
        <f>IF(P64="","",IF(OR(NOT(ISNUMBER(P64)),NOT(ISNUMBER(Q64)),Q64&lt;0,Q64&lt;&gt;INT(Q64)),"CHECK DATE / INTERVAL",EDATE(P64,Q64)))</f>
        <v/>
      </c>
      <c r="S64" s="50" t="inlineStr">
        <is>
          <t>Current</t>
        </is>
      </c>
      <c r="T64" s="50" t="inlineStr">
        <is>
          <t>Proposed — for Council confirmation. Reference only, not statutory: owner to confirm use as a reference for AI data controls.</t>
        </is>
      </c>
      <c r="U64" s="50">
        <f>IF(AND(A64&lt;&gt;"",B64&lt;&gt;"",C64&lt;&gt;"",D64&lt;&gt;"",E64&lt;&gt;"",F64&lt;&gt;"",G64&lt;&gt;"",H64&lt;&gt;"",I64&lt;&gt;"",J64&lt;&gt;"",K64&lt;&gt;"",L64&lt;&gt;"",M64&lt;&gt;"",N64&lt;&gt;"",O64&lt;&gt;"",P64&lt;&gt;"",AND(ISNUMBER(P64),ISNUMBER(Q64),Q64&gt;0,Q64=INT(Q64),ISNUMBER(R64)),S64&lt;&gt;"",T64&lt;&gt;""),IF(AND(ISNUMBER(R64),R64&lt;TODAY()),"Review overdue","Complete"),"Incomplete")</f>
        <v/>
      </c>
    </row>
  </sheetData>
  <mergeCells count="4">
    <mergeCell ref="A1:U1"/>
    <mergeCell ref="A4:U4"/>
    <mergeCell ref="A3:U3"/>
    <mergeCell ref="A2:U2"/>
  </mergeCells>
  <conditionalFormatting sqref="G7:G64">
    <cfRule type="containsText" rank="0" priority="4" equalAverage="0" operator="containsText" aboveAverage="0" dxfId="11" text="Validated" percent="0" bottom="0">
      <formula>NOT(ISERROR(SEARCH("Validated",G7)))</formula>
    </cfRule>
    <cfRule type="containsText" rank="0" priority="5" equalAverage="0" operator="containsText" aboveAverage="0" dxfId="12" text="required" percent="0" bottom="0">
      <formula>NOT(ISERROR(SEARCH("required",G7)))</formula>
    </cfRule>
  </conditionalFormatting>
  <conditionalFormatting sqref="F7:F64">
    <cfRule type="expression" priority="7" dxfId="16">
      <formula>$F7="Applicable"</formula>
    </cfRule>
    <cfRule type="expression" priority="8" dxfId="17">
      <formula>$F7="Conditional"</formula>
    </cfRule>
  </conditionalFormatting>
  <conditionalFormatting sqref="U7:U64">
    <cfRule type="expression" priority="9" dxfId="18">
      <formula>$U7="Complete"</formula>
    </cfRule>
    <cfRule type="expression" priority="7" dxfId="19">
      <formula>$U7="Review overdue"</formula>
    </cfRule>
  </conditionalFormatting>
  <conditionalFormatting sqref="R7:R64">
    <cfRule type="expression" priority="6" dxfId="19">
      <formula>AND(ISNUMBER($R7),$R7&lt;TODAY())</formula>
    </cfRule>
  </conditionalFormatting>
  <dataValidations count="5">
    <dataValidation sqref="F7:F64" showDropDown="0" showInputMessage="0" showErrorMessage="0" allowBlank="0" type="list" errorStyle="stop" operator="between">
      <formula1>"Applicable,Conditional,Voluntary adopted,Proposed adoption,Guidance to consider,Needs legal validation,Not applicable (approved)"</formula1>
      <formula2>0</formula2>
    </dataValidation>
    <dataValidation sqref="G7:G64" showDropDown="0" showInputMessage="0" showErrorMessage="0" allowBlank="0" type="list" errorStyle="stop" operator="between">
      <formula1>"Specialist validation required,Validation scheduled,Validated,Rejected / superseded"</formula1>
      <formula2>0</formula2>
    </dataValidation>
    <dataValidation sqref="S7:S64" showDropDown="0" showInputMessage="0" showErrorMessage="0" allowBlank="0" type="list" errorStyle="stop">
      <formula1>'Lists &amp; Guidance'!$J$4:$J$23</formula1>
    </dataValidation>
    <dataValidation sqref="P7:P64" showDropDown="0" showInputMessage="0" showErrorMessage="1" allowBlank="0" errorTitle="Enter a review date" error="Use a date in this field. Put source links in the source column." type="date" errorStyle="stop" operator="between">
      <formula1>DATE(1900,3,1)</formula1>
      <formula2>DATE(2100,12,31)</formula2>
    </dataValidation>
    <dataValidation sqref="Q7:Q64" showDropDown="0" showInputMessage="0" showErrorMessage="0" allowBlank="0" type="whole" operator="between">
      <formula1>1</formula1>
      <formula2>120</formula2>
    </dataValidation>
  </dataValidations>
  <pageMargins left="0.7" right="0.7" top="0.75" bottom="0.75" header="0.3" footer="0.3"/>
  <pageSetup orientation="landscape" paperSize="9" fitToHeight="0" fitToWidth="2" useFirstPageNumber="0"/>
  <headerFooter>
    <oddHeader>&amp;C&amp;"Arial,Regular"&amp;8 The Council — AIMS Applicable Requirements and Change Register</oddHeader>
    <oddFooter>&amp;C&amp;"Arial,Regular"&amp;8 AIG-AIMS-05 · v1.9 draft · Draft for Council review · OFFICIAL · 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O20"/>
  <sheetViews>
    <sheetView showGridLines="0" workbookViewId="0">
      <selection activeCell="A1" sqref="A1"/>
    </sheetView>
  </sheetViews>
  <sheetFormatPr baseColWidth="8" defaultColWidth="9.47265625" defaultRowHeight="15"/>
  <cols>
    <col width="13.1899995803833" customWidth="1" style="28" min="1" max="1"/>
    <col width="46.15999984741211" customWidth="1" style="28" min="2" max="2"/>
    <col width="15.39000034332275" customWidth="1" style="28" min="3" max="3"/>
    <col width="27.47999954223633" customWidth="1" style="28" min="4" max="4"/>
    <col width="43.97999954223633" customWidth="1" style="28" min="5" max="5"/>
    <col width="47.2599983215332" customWidth="1" style="28" min="6" max="6"/>
    <col width="30.77000045776367" customWidth="1" style="28" min="7" max="7"/>
    <col width="14.28999996185303" customWidth="1" style="28" min="8" max="8"/>
    <col width="21.97999954223633" customWidth="1" style="28" min="9" max="9"/>
    <col width="14.28999996185303" customWidth="1" style="28" min="10" max="10"/>
    <col width="37.36999893188477" customWidth="1" style="28" min="11" max="11"/>
    <col width="46.15999984741211" customWidth="1" style="28" min="12" max="12"/>
    <col width="14.28999996185303" customWidth="1" style="28" min="13" max="14"/>
    <col width="24.18000030517578" customWidth="1" style="28" min="15" max="15"/>
  </cols>
  <sheetData>
    <row r="1" ht="31.5" customHeight="1" s="29">
      <c r="A1" s="30" t="inlineStr">
        <is>
          <t>The Council — Requirements Change Register</t>
        </is>
      </c>
    </row>
    <row r="2" ht="21.75" customHeight="1" s="29">
      <c r="A2" s="31" t="inlineStr">
        <is>
          <t>AIG-AIMS-05  ·  v1.9 draft  ·  Draft for Council review  ·  OFFICIAL  ·  ISO/IEC 42001:2023</t>
        </is>
      </c>
    </row>
    <row r="3" ht="24" customHeight="1" s="29">
      <c r="A3" s="32" t="inlineStr">
        <is>
          <t>Purpose: assess and control new, amended or clarified requirements from identification through applicability, implementation, evidence and closure.</t>
        </is>
      </c>
    </row>
    <row r="4" ht="30" customHeight="1" s="29">
      <c r="A4" s="72" t="inlineStr">
        <is>
          <t>Current position: fourteen known changes or implementation events are pre-populated. Dates, owners and sources are starting points; Council functions must approve actions, targets, interim controls and closure evidence. Rows with a next-review date in the past show “Review overdue” in Record QA.</t>
        </is>
      </c>
    </row>
    <row r="5"/>
    <row r="6" ht="45.75" customHeight="1" s="29">
      <c r="A6" s="48" t="inlineStr">
        <is>
          <t>Change ID</t>
        </is>
      </c>
      <c r="B6" s="48" t="inlineStr">
        <is>
          <t>Change / event</t>
        </is>
      </c>
      <c r="C6" s="48" t="inlineStr">
        <is>
          <t>Authoritative date</t>
        </is>
      </c>
      <c r="D6" s="48" t="inlineStr">
        <is>
          <t>Affected requirement(s)</t>
        </is>
      </c>
      <c r="E6" s="48" t="inlineStr">
        <is>
          <t>Impact / interpretation</t>
        </is>
      </c>
      <c r="F6" s="48" t="inlineStr">
        <is>
          <t>Required action</t>
        </is>
      </c>
      <c r="G6" s="48" t="inlineStr">
        <is>
          <t>Proposed owner</t>
        </is>
      </c>
      <c r="H6" s="48" t="inlineStr">
        <is>
          <t>Priority</t>
        </is>
      </c>
      <c r="I6" s="48" t="inlineStr">
        <is>
          <t>Status</t>
        </is>
      </c>
      <c r="J6" s="48" t="inlineStr">
        <is>
          <t>Target date</t>
        </is>
      </c>
      <c r="K6" s="48" t="inlineStr">
        <is>
          <t>Implementation / closure evidence</t>
        </is>
      </c>
      <c r="L6" s="48" t="inlineStr">
        <is>
          <t>Authoritative source</t>
        </is>
      </c>
      <c r="M6" s="48" t="inlineStr">
        <is>
          <t>Last reviewed</t>
        </is>
      </c>
      <c r="N6" s="48" t="inlineStr">
        <is>
          <t>Next review</t>
        </is>
      </c>
      <c r="O6" s="48" t="inlineStr">
        <is>
          <t>Record QA</t>
        </is>
      </c>
    </row>
    <row r="7" ht="32.25" customHeight="1" s="29">
      <c r="A7" s="49" t="inlineStr">
        <is>
          <t>CHG-001</t>
        </is>
      </c>
      <c r="B7" s="50" t="inlineStr">
        <is>
          <t>DUAA main data-protection amendments commenced on 5 February 2026 (SI 2026/82, reg 2), including s.70 (recognised legitimate interests), s.80 / Sch 6 (UK GDPR Articles 22A to 22D automated decision-making), ss.67–77, ss.81–87 and ss.94–101. The s.103 complaints duty is recorded separately as CHG-013.</t>
        </is>
      </c>
      <c r="C7" s="52" t="n">
        <v>46058</v>
      </c>
      <c r="D7" s="50" t="inlineStr">
        <is>
          <t>REQ-001 to REQ-004, REQ-033, REQ-034, REQ-046</t>
        </is>
      </c>
      <c r="E7" s="50" t="inlineStr">
        <is>
          <t>Council privacy, ADM, DPIA, complaints, notices, training and templates may need amendment; older ICO AI guidance is under review.</t>
        </is>
      </c>
      <c r="F7" s="50" t="inlineStr">
        <is>
          <t>DPO/Legal to complete a controlled gap assessment, confirm automated-decision safeguards, lawful-basis and other amended provisions, and update affected artefacts.</t>
        </is>
      </c>
      <c r="G7" s="50" t="inlineStr">
        <is>
          <t>DPO / Legal</t>
        </is>
      </c>
      <c r="H7" s="51" t="inlineStr">
        <is>
          <t>Critical</t>
        </is>
      </c>
      <c r="I7" s="51" t="inlineStr">
        <is>
          <t>Assessment required</t>
        </is>
      </c>
      <c r="J7" s="54" t="n"/>
      <c r="K7" s="51" t="n"/>
      <c r="L7" s="50" t="inlineStr">
        <is>
          <t>https://www.legislation.gov.uk/uksi/2026/82/contents/made ; https://ico.org.uk/about-the-ico/what-we-do/legislation-we-cover/data-use-and-access-act-2025/</t>
        </is>
      </c>
      <c r="M7" s="52" t="n">
        <v>46241</v>
      </c>
      <c r="N7" s="52" t="n">
        <v>46265</v>
      </c>
      <c r="O7" s="50">
        <f>IF(AND(A7&lt;&gt;"",B7&lt;&gt;"",C7&lt;&gt;"",D7&lt;&gt;"",E7&lt;&gt;"",F7&lt;&gt;"",G7&lt;&gt;"",H7&lt;&gt;"",I7&lt;&gt;"",L7&lt;&gt;"",M7&lt;&gt;"",N7&lt;&gt;""),IF(OR(I7="Implemented",I7="Closed"),IF(AND(J7&lt;&gt;"",K7&lt;&gt;""),"Complete","Closure evidence incomplete"),IF(AND(ISNUMBER(N7),N7&lt;TODAY()),"Review overdue","Complete")),"Incomplete")</f>
        <v/>
      </c>
    </row>
    <row r="8" ht="32.25" customHeight="1" s="29">
      <c r="A8" s="49" t="inlineStr">
        <is>
          <t>CHG-002</t>
        </is>
      </c>
      <c r="B8" s="50" t="inlineStr">
        <is>
          <t>[PROPOSED EDIT — OWNER VALIDATION REQUIRED] Regulation (EU) 2026/1744 amended Regulation (EU) 2024/1689; Article 113 dates for Annex III and Annex I are 2 December 2027 and 2 August 2028 respectively.</t>
        </is>
      </c>
      <c r="C8" s="52" t="n">
        <v>46230</v>
      </c>
      <c r="D8" s="50" t="inlineStr">
        <is>
          <t>REQ-032</t>
        </is>
      </c>
      <c r="E8" s="50" t="inlineStr">
        <is>
          <t>Any Council EU-scope assessment or supplier clause using the earlier timetable may be out of date.</t>
        </is>
      </c>
      <c r="F8" s="50" t="inlineStr">
        <is>
          <t>[PROPOSED EDIT] Legal/Procurement to validate territorial scope, actor roles, consolidated text, Article 113 dates and supplier obligations; update only where applicable.</t>
        </is>
      </c>
      <c r="G8" s="50" t="inlineStr">
        <is>
          <t>Legal / Procurement / AI Governance Lead</t>
        </is>
      </c>
      <c r="H8" s="51" t="inlineStr">
        <is>
          <t>High</t>
        </is>
      </c>
      <c r="I8" s="51" t="inlineStr">
        <is>
          <t>Assessment required</t>
        </is>
      </c>
      <c r="J8" s="54" t="n"/>
      <c r="K8" s="51" t="n"/>
      <c r="L8" s="50" t="inlineStr">
        <is>
          <t>https://eur-lex.europa.eu/legal-content/EN/TXT/HTML/?uri=CELEX:32026R1744</t>
        </is>
      </c>
      <c r="M8" s="52" t="n">
        <v>46241</v>
      </c>
      <c r="N8" s="52" t="n">
        <v>46265</v>
      </c>
      <c r="O8" s="50">
        <f>IF(AND(A8&lt;&gt;"",B8&lt;&gt;"",C8&lt;&gt;"",D8&lt;&gt;"",E8&lt;&gt;"",F8&lt;&gt;"",G8&lt;&gt;"",H8&lt;&gt;"",I8&lt;&gt;"",L8&lt;&gt;"",M8&lt;&gt;"",N8&lt;&gt;""),IF(OR(I8="Implemented",I8="Closed"),IF(AND(J8&lt;&gt;"",K8&lt;&gt;""),"Complete","Closure evidence incomplete"),IF(AND(ISNUMBER(N8),N8&lt;TODAY()),"Review overdue","Complete")),"Incomplete")</f>
        <v/>
      </c>
    </row>
    <row r="9" ht="32.25" customHeight="1" s="29">
      <c r="A9" s="49" t="inlineStr">
        <is>
          <t>CHG-003</t>
        </is>
      </c>
      <c r="B9" s="50" t="inlineStr">
        <is>
          <t>[PROPOSED EDIT — OWNER VALIDATION REQUIRED] EU AI Act (Regulation (EU) 2024/1689) general date of application, 2 August 2026, for the provisions not deferred by Regulation (EU) 2026/1744 (for example transparency obligations, governance and penalties, subject to scope). The deferred Annex III (2 December 2027) and Annex I (2 August 2028) high-risk dates are recorded in CHG-002.</t>
        </is>
      </c>
      <c r="C9" s="52" t="n">
        <v>46236</v>
      </c>
      <c r="D9" s="50" t="inlineStr">
        <is>
          <t>REQ-032</t>
        </is>
      </c>
      <c r="E9" s="50" t="inlineStr">
        <is>
          <t>In-scope Council/provider/deployer activity may require immediate transparency, literacy, prohibited-practice and governance checks.</t>
        </is>
      </c>
      <c r="F9" s="50" t="inlineStr">
        <is>
          <t>[PROPOSED EDIT] Complete documented territorial/actor assessment; verify from the current consolidated text which provisions apply from 2 August 2026 and any exceptions; use CHG-002 for the Annex III and Annex I high-risk dates.</t>
        </is>
      </c>
      <c r="G9" s="50" t="inlineStr">
        <is>
          <t>Legal / AI Governance Lead / Service Owners</t>
        </is>
      </c>
      <c r="H9" s="51" t="inlineStr">
        <is>
          <t>High</t>
        </is>
      </c>
      <c r="I9" s="51" t="inlineStr">
        <is>
          <t>Assessment required</t>
        </is>
      </c>
      <c r="J9" s="54" t="n"/>
      <c r="K9" s="51" t="n"/>
      <c r="L9" s="50" t="inlineStr">
        <is>
          <t>https://eur-lex.europa.eu/legal-content/EN/TXT/HTML?uri=CELEX:02024R1689-20260727 ; https://eur-lex.europa.eu/legal-content/EN/TXT/HTML/?uri=CELEX:32026R1744</t>
        </is>
      </c>
      <c r="M9" s="52" t="n">
        <v>46241</v>
      </c>
      <c r="N9" s="52" t="n">
        <v>46265</v>
      </c>
      <c r="O9" s="50">
        <f>IF(AND(A9&lt;&gt;"",B9&lt;&gt;"",C9&lt;&gt;"",D9&lt;&gt;"",E9&lt;&gt;"",F9&lt;&gt;"",G9&lt;&gt;"",H9&lt;&gt;"",I9&lt;&gt;"",L9&lt;&gt;"",M9&lt;&gt;"",N9&lt;&gt;""),IF(OR(I9="Implemented",I9="Closed"),IF(AND(J9&lt;&gt;"",K9&lt;&gt;""),"Complete","Closure evidence incomplete"),IF(AND(ISNUMBER(N9),N9&lt;TODAY()),"Review overdue","Complete")),"Incomplete")</f>
        <v/>
      </c>
    </row>
    <row r="10" ht="32.25" customHeight="1" s="29">
      <c r="A10" s="49" t="inlineStr">
        <is>
          <t>CHG-004</t>
        </is>
      </c>
      <c r="B10" s="50" t="inlineStr">
        <is>
          <t>UK Government opened a call for evidence on data regulation in the age of AI on 15 July 2026.</t>
        </is>
      </c>
      <c r="C10" s="52" t="n">
        <v>46218</v>
      </c>
      <c r="D10" s="50" t="inlineStr">
        <is>
          <t>REQ-038</t>
        </is>
      </c>
      <c r="E10" s="50" t="inlineStr">
        <is>
          <t>The consultation may lead to policy, guidance or legislative change; it is not itself a binding compliance requirement.</t>
        </is>
      </c>
      <c r="F10" s="50" t="inlineStr">
        <is>
          <t>Legal/AI Governance Lead to monitor the outcome and assess whether a Council response or later control change is required.</t>
        </is>
      </c>
      <c r="G10" s="50" t="inlineStr">
        <is>
          <t>Legal / AI Governance Lead</t>
        </is>
      </c>
      <c r="H10" s="51" t="inlineStr">
        <is>
          <t>Medium</t>
        </is>
      </c>
      <c r="I10" s="51" t="inlineStr">
        <is>
          <t>Monitoring</t>
        </is>
      </c>
      <c r="J10" s="54" t="n"/>
      <c r="K10" s="51" t="n"/>
      <c r="L10" s="50" t="inlineStr">
        <is>
          <t>https://www.gov.uk/government/calls-for-evidence/data-regulation-in-the-age-of-ai-and-other-data-intensive-technologies</t>
        </is>
      </c>
      <c r="M10" s="52" t="n">
        <v>46241</v>
      </c>
      <c r="N10" s="52" t="n">
        <v>46326</v>
      </c>
      <c r="O10" s="50">
        <f>IF(AND(A10&lt;&gt;"",B10&lt;&gt;"",C10&lt;&gt;"",D10&lt;&gt;"",E10&lt;&gt;"",F10&lt;&gt;"",G10&lt;&gt;"",H10&lt;&gt;"",I10&lt;&gt;"",L10&lt;&gt;"",M10&lt;&gt;"",N10&lt;&gt;""),IF(OR(I10="Implemented",I10="Closed"),IF(AND(J10&lt;&gt;"",K10&lt;&gt;""),"Complete","Closure evidence incomplete"),IF(AND(ISNUMBER(N10),N10&lt;TODAY()),"Review overdue","Complete")),"Incomplete")</f>
        <v/>
      </c>
    </row>
    <row r="11" ht="32.25" customHeight="1" s="29">
      <c r="A11" s="49" t="inlineStr">
        <is>
          <t>CHG-005</t>
        </is>
      </c>
      <c r="B11" s="50" t="inlineStr">
        <is>
          <t>ICO is developing updated automated-decision guidance and an AI/ADM code following the DUAA.</t>
        </is>
      </c>
      <c r="C11" s="52" t="n">
        <v>46082</v>
      </c>
      <c r="D11" s="50" t="inlineStr">
        <is>
          <t>REQ-001, REQ-003, REQ-033, REQ-034</t>
        </is>
      </c>
      <c r="E11" s="50" t="inlineStr">
        <is>
          <t>Existing AI/ADM guidance contains material under review; Council interpretations may need rapid revision when consultations or final guidance issue.</t>
        </is>
      </c>
      <c r="F11" s="50" t="inlineStr">
        <is>
          <t>Subscribe to ICO updates; DPO to assess each consultation/final publication and control affected document versions.</t>
        </is>
      </c>
      <c r="G11" s="50" t="inlineStr">
        <is>
          <t>DPO / AI Governance Lead</t>
        </is>
      </c>
      <c r="H11" s="51" t="inlineStr">
        <is>
          <t>High</t>
        </is>
      </c>
      <c r="I11" s="51" t="inlineStr">
        <is>
          <t>Monitoring</t>
        </is>
      </c>
      <c r="J11" s="54" t="n"/>
      <c r="K11" s="51" t="n"/>
      <c r="L11" s="50" t="inlineStr">
        <is>
          <t>https://ico.org.uk/about-the-ico/our-information/our-strategies-and-plans/artificial-intelligence-and-biometrics-strategy/ai-and-biometrics-strategy-update-march-2026/</t>
        </is>
      </c>
      <c r="M11" s="52" t="n">
        <v>46241</v>
      </c>
      <c r="N11" s="52" t="n">
        <v>46272</v>
      </c>
      <c r="O11" s="50">
        <f>IF(AND(A11&lt;&gt;"",B11&lt;&gt;"",C11&lt;&gt;"",D11&lt;&gt;"",E11&lt;&gt;"",F11&lt;&gt;"",G11&lt;&gt;"",H11&lt;&gt;"",I11&lt;&gt;"",L11&lt;&gt;"",M11&lt;&gt;"",N11&lt;&gt;""),IF(OR(I11="Implemented",I11="Closed"),IF(AND(J11&lt;&gt;"",K11&lt;&gt;""),"Complete","Closure evidence incomplete"),IF(AND(ISNUMBER(N11),N11&lt;TODAY()),"Review overdue","Complete")),"Incomplete")</f>
        <v/>
      </c>
    </row>
    <row r="12" ht="32.25" customHeight="1" s="29">
      <c r="A12" s="49" t="inlineStr">
        <is>
          <t>CHG-006</t>
        </is>
      </c>
      <c r="B12" s="50" t="inlineStr">
        <is>
          <t>Procurement Act 2023, Regulations 2024 and NPPS have applied since 24 February 2025.</t>
        </is>
      </c>
      <c r="C12" s="52" t="n">
        <v>45712</v>
      </c>
      <c r="D12" s="50" t="inlineStr">
        <is>
          <t>REQ-015 to REQ-018, REQ-048</t>
        </is>
      </c>
      <c r="E12" s="50" t="inlineStr">
        <is>
          <t>AI procurement and supplier templates must distinguish new-regime and legacy cases and evidence current transparency, conflicts and contract-management duties.</t>
        </is>
      </c>
      <c r="F12" s="50" t="inlineStr">
        <is>
          <t>Procurement/Legal to validate AIG-ASS-08 (Supplier AI Due Diligence Questionnaire), related procurement templates and contract fields against current corporate processes and legislation.</t>
        </is>
      </c>
      <c r="G12" s="50" t="inlineStr">
        <is>
          <t>Procurement / Legal</t>
        </is>
      </c>
      <c r="H12" s="51" t="inlineStr">
        <is>
          <t>High</t>
        </is>
      </c>
      <c r="I12" s="51" t="inlineStr">
        <is>
          <t>Assessment required</t>
        </is>
      </c>
      <c r="J12" s="54" t="n"/>
      <c r="K12" s="51" t="n"/>
      <c r="L12" s="50" t="inlineStr">
        <is>
          <t>https://www.gov.uk/government/collections/transforming-public-procurement</t>
        </is>
      </c>
      <c r="M12" s="52" t="n">
        <v>46241</v>
      </c>
      <c r="N12" s="52" t="n">
        <v>46295</v>
      </c>
      <c r="O12" s="50">
        <f>IF(AND(A12&lt;&gt;"",B12&lt;&gt;"",C12&lt;&gt;"",D12&lt;&gt;"",E12&lt;&gt;"",F12&lt;&gt;"",G12&lt;&gt;"",H12&lt;&gt;"",I12&lt;&gt;"",L12&lt;&gt;"",M12&lt;&gt;"",N12&lt;&gt;""),IF(OR(I12="Implemented",I12="Closed"),IF(AND(J12&lt;&gt;"",K12&lt;&gt;""),"Complete","Closure evidence incomplete"),IF(AND(ISNUMBER(N12),N12&lt;TODAY()),"Review overdue","Complete")),"Incomplete")</f>
        <v/>
      </c>
    </row>
    <row r="13" ht="42.75" customHeight="1" s="29">
      <c r="A13" s="49" t="inlineStr">
        <is>
          <t>CHG-007</t>
        </is>
      </c>
      <c r="B13" s="50" t="inlineStr">
        <is>
          <t>ATRS guidance was updated in May 2025; ATRS is mandatory for central government departments and in-scope arm’s-length bodies, and recommended (voluntary) for local authorities, including the Council.</t>
        </is>
      </c>
      <c r="C13" s="52" t="n">
        <v>45785</v>
      </c>
      <c r="D13" s="50" t="inlineStr">
        <is>
          <t>REQ-036</t>
        </is>
      </c>
      <c r="E13" s="50" t="inlineStr">
        <is>
          <t>Playbook voluntary adoption requires formal Council approval, thresholds, publication ownership and exemption handling.</t>
        </is>
      </c>
      <c r="F13" s="50" t="inlineStr">
        <is>
          <t>Governance/Legal/Communications to confirm voluntary adoption and align AIG-ASS-10 to current template and guidance.</t>
        </is>
      </c>
      <c r="G13" s="50" t="inlineStr">
        <is>
          <t>AI Governance Lead / Legal / Communications</t>
        </is>
      </c>
      <c r="H13" s="51" t="inlineStr">
        <is>
          <t>Medium</t>
        </is>
      </c>
      <c r="I13" s="51" t="inlineStr">
        <is>
          <t>Assessment required</t>
        </is>
      </c>
      <c r="J13" s="54" t="n"/>
      <c r="K13" s="51" t="n"/>
      <c r="L13" s="50" t="inlineStr">
        <is>
          <t>https://www.gov.uk/government/publications/guidance-for-organisations-using-the-algorithmic-transparency-recording-standard/algorithmic-transparency-recording-standard-guidance-for-public-sector-bodies</t>
        </is>
      </c>
      <c r="M13" s="52" t="n">
        <v>46241</v>
      </c>
      <c r="N13" s="52" t="n">
        <v>46295</v>
      </c>
      <c r="O13" s="50">
        <f>IF(AND(A13&lt;&gt;"",B13&lt;&gt;"",C13&lt;&gt;"",D13&lt;&gt;"",E13&lt;&gt;"",F13&lt;&gt;"",G13&lt;&gt;"",H13&lt;&gt;"",I13&lt;&gt;"",L13&lt;&gt;"",M13&lt;&gt;"",N13&lt;&gt;""),IF(OR(I13="Implemented",I13="Closed"),IF(AND(J13&lt;&gt;"",K13&lt;&gt;""),"Complete","Closure evidence incomplete"),IF(AND(ISNUMBER(N13),N13&lt;TODAY()),"Review overdue","Complete")),"Incomplete")</f>
        <v/>
      </c>
    </row>
    <row r="14" ht="32.25" customHeight="1" s="29">
      <c r="A14" s="49" t="inlineStr">
        <is>
          <t>CHG-008</t>
        </is>
      </c>
      <c r="B14" s="50" t="inlineStr">
        <is>
          <t>Working Together to Safeguard Children 2026 issued/updated for current children’s safeguarding arrangements.</t>
        </is>
      </c>
      <c r="C14" s="52" t="n">
        <v>46112</v>
      </c>
      <c r="D14" s="50" t="inlineStr">
        <is>
          <t>REQ-028, REQ-049</t>
        </is>
      </c>
      <c r="E14" s="50" t="inlineStr">
        <is>
          <t>Children’s-services AI controls and assessments should reference the current statutory guidance, not only earlier editions.</t>
        </is>
      </c>
      <c r="F14" s="50" t="inlineStr">
        <is>
          <t>Children’s Services/Safeguarding/Legal to verify affected templates, governance and operational instructions.</t>
        </is>
      </c>
      <c r="G14" s="50" t="inlineStr">
        <is>
          <t>Children’s Services / Safeguarding / Legal</t>
        </is>
      </c>
      <c r="H14" s="51" t="inlineStr">
        <is>
          <t>High</t>
        </is>
      </c>
      <c r="I14" s="51" t="inlineStr">
        <is>
          <t>Assessment required</t>
        </is>
      </c>
      <c r="J14" s="54" t="n"/>
      <c r="K14" s="51" t="n"/>
      <c r="L14" s="50" t="inlineStr">
        <is>
          <t>https://www.gov.uk/government/publications/working-together-to-safeguard-children--2</t>
        </is>
      </c>
      <c r="M14" s="52" t="n">
        <v>46241</v>
      </c>
      <c r="N14" s="52" t="n">
        <v>46295</v>
      </c>
      <c r="O14" s="50">
        <f>IF(AND(A14&lt;&gt;"",B14&lt;&gt;"",C14&lt;&gt;"",D14&lt;&gt;"",E14&lt;&gt;"",F14&lt;&gt;"",G14&lt;&gt;"",H14&lt;&gt;"",I14&lt;&gt;"",L14&lt;&gt;"",M14&lt;&gt;"",N14&lt;&gt;""),IF(OR(I14="Implemented",I14="Closed"),IF(AND(J14&lt;&gt;"",K14&lt;&gt;""),"Complete","Closure evidence incomplete"),IF(AND(ISNUMBER(N14),N14&lt;TODAY()),"Review overdue","Complete")),"Incomplete")</f>
        <v/>
      </c>
    </row>
    <row r="15" ht="21.75" customHeight="1" s="29">
      <c r="A15" s="49" t="inlineStr">
        <is>
          <t>CHG-009</t>
        </is>
      </c>
      <c r="B15" s="50" t="inlineStr">
        <is>
          <t>Government AI Insights collection updated on 3 August 2026.</t>
        </is>
      </c>
      <c r="C15" s="52" t="n">
        <v>46237</v>
      </c>
      <c r="D15" s="50" t="inlineStr">
        <is>
          <t>REQ-037, REQ-039</t>
        </is>
      </c>
      <c r="E15" s="50" t="inlineStr">
        <is>
          <t>New technical guidance may contain useful public-sector implementation practice but is not automatically binding.</t>
        </is>
      </c>
      <c r="F15" s="50" t="inlineStr">
        <is>
          <t>Technical and governance owners to review relevant updates and record adopted, rejected or deferred changes.</t>
        </is>
      </c>
      <c r="G15" s="50" t="inlineStr">
        <is>
          <t>AI Governance Lead / Technical Leadership</t>
        </is>
      </c>
      <c r="H15" s="51" t="inlineStr">
        <is>
          <t>Low</t>
        </is>
      </c>
      <c r="I15" s="51" t="inlineStr">
        <is>
          <t>Monitoring</t>
        </is>
      </c>
      <c r="J15" s="54" t="n"/>
      <c r="K15" s="51" t="n"/>
      <c r="L15" s="50" t="inlineStr">
        <is>
          <t>https://www.gov.uk/government/publications/ai-insights</t>
        </is>
      </c>
      <c r="M15" s="52" t="n">
        <v>46241</v>
      </c>
      <c r="N15" s="52" t="n">
        <v>46356</v>
      </c>
      <c r="O15" s="50">
        <f>IF(AND(A15&lt;&gt;"",B15&lt;&gt;"",C15&lt;&gt;"",D15&lt;&gt;"",E15&lt;&gt;"",F15&lt;&gt;"",G15&lt;&gt;"",H15&lt;&gt;"",I15&lt;&gt;"",L15&lt;&gt;"",M15&lt;&gt;"",N15&lt;&gt;""),IF(OR(I15="Implemented",I15="Closed"),IF(AND(J15&lt;&gt;"",K15&lt;&gt;""),"Complete","Closure evidence incomplete"),IF(AND(ISNUMBER(N15),N15&lt;TODAY()),"Review overdue","Complete")),"Incomplete")</f>
        <v/>
      </c>
    </row>
    <row r="16" ht="32.25" customHeight="1" s="29">
      <c r="A16" s="49" t="inlineStr">
        <is>
          <t>CHG-010</t>
        </is>
      </c>
      <c r="B16" s="50" t="inlineStr">
        <is>
          <t>The AI Governance Playbook (AIG-GOV-02, current controlled version per AIG-GOV-03) and AIG-AIMS-01 to AIG-AIMS-05 remain draft pending formal adoption and specialist validation.</t>
        </is>
      </c>
      <c r="C16" s="52" t="n">
        <v>46241</v>
      </c>
      <c r="D16" s="50" t="inlineStr">
        <is>
          <t>REQ-040, REQ-044 to REQ-051</t>
        </is>
      </c>
      <c r="E16" s="50" t="inlineStr">
        <is>
          <t>Using the suite as though approved would create authority, evidence and conformity risks.</t>
        </is>
      </c>
      <c r="F16" s="50" t="inlineStr">
        <is>
          <t>Confirm adopting authority, accountable owner, scope, policy, SoA, objectives, roles, requirements and transition plan before operational claims.</t>
        </is>
      </c>
      <c r="G16" s="50" t="inlineStr">
        <is>
          <t>Executive Sponsor / AI Governance Lead</t>
        </is>
      </c>
      <c r="H16" s="51" t="inlineStr">
        <is>
          <t>Critical</t>
        </is>
      </c>
      <c r="I16" s="51" t="inlineStr">
        <is>
          <t>Assessment required</t>
        </is>
      </c>
      <c r="J16" s="54" t="n"/>
      <c r="K16" s="51" t="n"/>
      <c r="L16" s="50" t="inlineStr">
        <is>
          <t>Internal AIMS implementation programme</t>
        </is>
      </c>
      <c r="M16" s="52" t="n">
        <v>46241</v>
      </c>
      <c r="N16" s="52" t="n">
        <v>46265</v>
      </c>
      <c r="O16" s="50">
        <f>IF(AND(A16&lt;&gt;"",B16&lt;&gt;"",C16&lt;&gt;"",D16&lt;&gt;"",E16&lt;&gt;"",F16&lt;&gt;"",G16&lt;&gt;"",H16&lt;&gt;"",I16&lt;&gt;"",L16&lt;&gt;"",M16&lt;&gt;"",N16&lt;&gt;""),IF(OR(I16="Implemented",I16="Closed"),IF(AND(J16&lt;&gt;"",K16&lt;&gt;""),"Complete","Closure evidence incomplete"),IF(AND(ISNUMBER(N16),N16&lt;TODAY()),"Review overdue","Complete")),"Incomplete")</f>
        <v/>
      </c>
    </row>
    <row r="17" ht="32.25" customHeight="1" s="29">
      <c r="A17" s="49" t="inlineStr">
        <is>
          <t>CHG-011</t>
        </is>
      </c>
      <c r="B17" s="50" t="inlineStr">
        <is>
          <t>DUAA legal-currency review of the AI templates: confirmed the DUAA amends rather than replaces UK GDPR, DPA 2018 and PECR, and captured the public-authority lawful-basis position that recognised legitimate interest is not a general basis for performing public tasks.</t>
        </is>
      </c>
      <c r="C17" s="52" t="n">
        <v>46279</v>
      </c>
      <c r="D17" s="50" t="inlineStr">
        <is>
          <t>REQ-001 to REQ-004, REQ-033, REQ-034, REQ-046 (also AIG-ASS-05 and AIG-OPS-04)</t>
        </is>
      </c>
      <c r="E17" s="50" t="inlineStr">
        <is>
          <t>DPIA (AIG-ASS-05) and the contestability control (AIG-OPS-04) had their solely-automated wording tightened to no meaningful human involvement, and the public-authority lawful-basis caution added. The register already records amends-not-replaces (REQ-003) and the 5 February 2026 commencement (CHG-001).</t>
        </is>
      </c>
      <c r="F17" s="50" t="inlineStr">
        <is>
          <t>DPO and Legal to confirm the tightened wording and the public-authority lawful-basis position, and keep automated-decision guidance under review pending the ICO AI/ADM code.</t>
        </is>
      </c>
      <c r="G17" s="50" t="inlineStr">
        <is>
          <t>DPO / Legal / AI Governance Lead</t>
        </is>
      </c>
      <c r="H17" s="51" t="inlineStr">
        <is>
          <t>High</t>
        </is>
      </c>
      <c r="I17" s="51" t="inlineStr">
        <is>
          <t>Assessment required</t>
        </is>
      </c>
      <c r="J17" s="54" t="n"/>
      <c r="K17" s="51" t="n"/>
      <c r="L17" s="50" t="inlineStr">
        <is>
          <t>https://ico.org.uk/about-the-ico/what-we-do/legislation-we-cover/data-use-and-access-act-2025/</t>
        </is>
      </c>
      <c r="M17" s="52" t="n">
        <v>46279</v>
      </c>
      <c r="N17" s="52" t="n">
        <v>46370</v>
      </c>
      <c r="O17" s="50">
        <f>IF(AND(A17&lt;&gt;"",B17&lt;&gt;"",C17&lt;&gt;"",D17&lt;&gt;"",E17&lt;&gt;"",F17&lt;&gt;"",G17&lt;&gt;"",H17&lt;&gt;"",I17&lt;&gt;"",L17&lt;&gt;"",M17&lt;&gt;"",N17&lt;&gt;""),IF(OR(I17="Implemented",I17="Closed"),IF(AND(J17&lt;&gt;"",K17&lt;&gt;""),"Complete","Closure evidence incomplete"),IF(AND(ISNUMBER(N17),N17&lt;TODAY()),"Review overdue","Complete")),"Incomplete")</f>
        <v/>
      </c>
    </row>
    <row r="18" s="29">
      <c r="A18" s="49" t="inlineStr">
        <is>
          <t>CHG-012</t>
        </is>
      </c>
      <c r="B18" s="50" t="inlineStr">
        <is>
          <t>English Devolution and Community Empowerment Act 2026 received Royal Assent; commencement is phased and relevant local-government decision/delegation provisions must be monitored.</t>
        </is>
      </c>
      <c r="C18" s="52" t="n">
        <v>46141</v>
      </c>
      <c r="D18" s="50" t="inlineStr">
        <is>
          <t>REQ-013, REQ-045</t>
        </is>
      </c>
      <c r="E18" s="50" t="inlineStr">
        <is>
          <t>Potential impact on governance arrangements, delegations, decision structures and committee processes relevant to AI governance; do not assume all provisions are commenced.</t>
        </is>
      </c>
      <c r="F18" s="50" t="inlineStr">
        <is>
          <t>Legal/Monitoring Officer to assess applicable provisions and commencement dates, identify any Council constitutional changes and update the governance map/delegation evidence where necessary.</t>
        </is>
      </c>
      <c r="G18" s="50" t="inlineStr">
        <is>
          <t>Legal / Monitoring Officer / AI Governance Lead</t>
        </is>
      </c>
      <c r="H18" s="51" t="inlineStr">
        <is>
          <t>High</t>
        </is>
      </c>
      <c r="I18" s="51" t="inlineStr">
        <is>
          <t>Monitoring</t>
        </is>
      </c>
      <c r="J18" s="54" t="n"/>
      <c r="K18" s="51" t="n"/>
      <c r="L18" s="50" t="inlineStr">
        <is>
          <t>https://www.legislation.gov.uk/ukpga/2026/23/notes/division/13/index.htm</t>
        </is>
      </c>
      <c r="M18" s="52" t="n">
        <v>46285</v>
      </c>
      <c r="N18" s="52" t="inlineStr">
        <is>
          <t>On commencement or amendment</t>
        </is>
      </c>
      <c r="O18" s="50">
        <f>IF(AND(A18&lt;&gt;"",B18&lt;&gt;"",C18&lt;&gt;"",D18&lt;&gt;"",E18&lt;&gt;"",F18&lt;&gt;"",G18&lt;&gt;"",H18&lt;&gt;"",I18&lt;&gt;"",L18&lt;&gt;"",M18&lt;&gt;"",N18&lt;&gt;""),IF(OR(I18="Implemented",I18="Closed"),IF(AND(J18&lt;&gt;"",K18&lt;&gt;""),"Complete","Closure evidence incomplete"),IF(AND(ISNUMBER(N18),N18&lt;TODAY()),"Review overdue","Complete")),"Incomplete")</f>
        <v/>
      </c>
    </row>
    <row r="19" s="29">
      <c r="A19" s="49" t="inlineStr">
        <is>
          <t>CHG-013</t>
        </is>
      </c>
      <c r="B19" s="50" t="inlineStr">
        <is>
          <t>DUAA s.103 data-protection complaints duty (DPA 2018 s.164A) and Sch 10 commenced on 19 June 2026 (SI 2026/82, reg 3) for complaints received on or after that date.</t>
        </is>
      </c>
      <c r="C19" s="52" t="n">
        <v>46192</v>
      </c>
      <c r="D19" s="50" t="inlineStr">
        <is>
          <t>REQ-002, REQ-003, REQ-046</t>
        </is>
      </c>
      <c r="E19" s="50" t="inlineStr">
        <is>
          <t>Council data-protection complaints handling, privacy information and complaint records must meet the new duty (acknowledgement, steps to respond, outcome).</t>
        </is>
      </c>
      <c r="F19" s="50" t="inlineStr">
        <is>
          <t>DPO/Complaints to confirm the data-protection complaints process, acknowledgement and response arrangements, and update notices and procedures.</t>
        </is>
      </c>
      <c r="G19" s="50" t="inlineStr">
        <is>
          <t>DPO / Complaints / Legal</t>
        </is>
      </c>
      <c r="H19" s="51" t="inlineStr">
        <is>
          <t>High</t>
        </is>
      </c>
      <c r="I19" s="51" t="inlineStr">
        <is>
          <t>Assessment required</t>
        </is>
      </c>
      <c r="J19" s="54" t="n"/>
      <c r="K19" s="51" t="n"/>
      <c r="L19" s="50" t="inlineStr">
        <is>
          <t>https://www.legislation.gov.uk/uksi/2026/82/contents/made ; https://ico.org.uk/about-the-ico/what-we-do/legislation-we-cover/data-use-and-access-act-2025/</t>
        </is>
      </c>
      <c r="M19" s="52" t="n">
        <v>46294</v>
      </c>
      <c r="N19" s="52" t="n">
        <v>46385</v>
      </c>
      <c r="O19" s="50">
        <f>IF(AND(A19&lt;&gt;"",B19&lt;&gt;"",C19&lt;&gt;"",D19&lt;&gt;"",E19&lt;&gt;"",F19&lt;&gt;"",G19&lt;&gt;"",H19&lt;&gt;"",I19&lt;&gt;"",L19&lt;&gt;"",M19&lt;&gt;"",N19&lt;&gt;""),IF(OR(I19="Implemented",I19="Closed"),IF(AND(J19&lt;&gt;"",K19&lt;&gt;""),"Complete","Closure evidence incomplete"),IF(AND(ISNUMBER(N19),N19&lt;TODAY()),"Review overdue","Complete")),"Incomplete")</f>
        <v/>
      </c>
    </row>
    <row r="20" s="29">
      <c r="A20" s="49" t="inlineStr">
        <is>
          <t>CHG-014</t>
        </is>
      </c>
      <c r="B20" s="50" t="inlineStr">
        <is>
          <t>SI 2026/425 (in force 12 May 2026) requires the Information Commissioner to prepare a statutory code of practice on AI and automated decision-making, including children's personal data. Identified by the regulatory scanner (REG-0001).</t>
        </is>
      </c>
      <c r="C20" s="52" t="n">
        <v>46154</v>
      </c>
      <c r="D20" s="50" t="inlineStr">
        <is>
          <t>REQ-056, REQ-001, REQ-002, REQ-003</t>
        </is>
      </c>
      <c r="E20" s="50" t="inlineStr">
        <is>
          <t>Puts the ICO AI/ADM code previously tracked as guidance in development (CHG-005) on a statutory footing. Once issued, it will be taken into account when assessing Council compliance; DPIA, automated-decision and children's-data practice may need updating.</t>
        </is>
      </c>
      <c r="F20" s="50" t="inlineStr">
        <is>
          <t>DPO to track the code through consultation and issue; on publication, complete a gap assessment and update the DPIA Template (AIG-ASS-05) and Playbook DPIA and automated-decision safeguards (§4.6.1) as needed.</t>
        </is>
      </c>
      <c r="G20" s="50" t="inlineStr">
        <is>
          <t>DPO / AI Governance Lead</t>
        </is>
      </c>
      <c r="H20" s="51" t="inlineStr">
        <is>
          <t>High</t>
        </is>
      </c>
      <c r="I20" s="51" t="inlineStr">
        <is>
          <t>Assessment required</t>
        </is>
      </c>
      <c r="J20" s="54" t="n"/>
      <c r="K20" s="51" t="n"/>
      <c r="L20" s="50" t="inlineStr">
        <is>
          <t>https://www.legislation.gov.uk/uksi/2026/425/made</t>
        </is>
      </c>
      <c r="M20" s="52" t="n">
        <v>46297</v>
      </c>
      <c r="N20" s="52" t="n">
        <v>46389</v>
      </c>
      <c r="O20" s="50">
        <f>IF(AND(A20&lt;&gt;"",B20&lt;&gt;"",C20&lt;&gt;"",D20&lt;&gt;"",E20&lt;&gt;"",F20&lt;&gt;"",G20&lt;&gt;"",H20&lt;&gt;"",I20&lt;&gt;"",L20&lt;&gt;"",M20&lt;&gt;"",N20&lt;&gt;""),IF(OR(I20="Implemented",I20="Closed"),IF(AND(J20&lt;&gt;"",K20&lt;&gt;""),"Complete","Closure evidence incomplete"),IF(AND(ISNUMBER(N20),N20&lt;TODAY()),"Review overdue","Complete")),"Incomplete")</f>
        <v/>
      </c>
    </row>
  </sheetData>
  <mergeCells count="4">
    <mergeCell ref="A1:O1"/>
    <mergeCell ref="A4:O4"/>
    <mergeCell ref="A3:O3"/>
    <mergeCell ref="A2:O2"/>
  </mergeCells>
  <conditionalFormatting sqref="H7:H40">
    <cfRule type="containsText" rank="0" priority="2" equalAverage="0" operator="containsText" aboveAverage="0" dxfId="15" text="Critical" percent="0" bottom="0">
      <formula>NOT(ISERROR(SEARCH("Critical",H7)))</formula>
    </cfRule>
    <cfRule type="containsText" rank="0" priority="3" equalAverage="0" operator="containsText" aboveAverage="0" dxfId="12" text="High" percent="0" bottom="0">
      <formula>NOT(ISERROR(SEARCH("High",H7)))</formula>
    </cfRule>
  </conditionalFormatting>
  <conditionalFormatting sqref="I7:I40">
    <cfRule type="containsText" rank="0" priority="4" equalAverage="0" operator="containsText" aboveAverage="0" dxfId="11" text="Implemented" percent="0" bottom="0">
      <formula>NOT(ISERROR(SEARCH("Implemented",I7)))</formula>
    </cfRule>
  </conditionalFormatting>
  <conditionalFormatting sqref="O7:O40">
    <cfRule type="containsText" rank="0" priority="5" equalAverage="0" operator="containsText" aboveAverage="0" dxfId="11" text="Complete" percent="0" bottom="0">
      <formula>NOT(ISERROR(SEARCH("Complete",O7)))</formula>
    </cfRule>
    <cfRule type="expression" priority="6" dxfId="19">
      <formula>$O7="Review overdue"</formula>
    </cfRule>
  </conditionalFormatting>
  <conditionalFormatting sqref="N7:N40">
    <cfRule type="expression" priority="5" dxfId="19">
      <formula>AND(ISNUMBER($N7),$N7&lt;TODAY())</formula>
    </cfRule>
  </conditionalFormatting>
  <dataValidations count="2">
    <dataValidation sqref="H7:H40" showDropDown="0" showInputMessage="0" showErrorMessage="0" allowBlank="0" type="list" errorStyle="stop" operator="between">
      <formula1>"Critical,High,Medium,Low"</formula1>
      <formula2>0</formula2>
    </dataValidation>
    <dataValidation sqref="I7:I40" showDropDown="0" showInputMessage="0" showErrorMessage="0" allowBlank="0" type="list" errorStyle="stop" operator="between">
      <formula1>"Assessment required,Monitoring,Action approved,In progress,Implemented,Closed,Not applicable"</formula1>
      <formula2>0</formula2>
    </dataValidation>
  </dataValidations>
  <pageMargins left="0.7" right="0.7" top="0.75" bottom="0.75" header="0.3" footer="0.3"/>
  <pageSetup orientation="landscape" paperSize="9" fitToHeight="0" fitToWidth="2" useFirstPageNumber="0"/>
  <headerFooter>
    <oddHeader>&amp;C&amp;"Arial,Regular"&amp;8 The Council — AIMS Applicable Requirements and Change Register</oddHeader>
    <oddFooter>&amp;C&amp;"Arial,Regular"&amp;8 AIG-AIMS-05 · v1.9 draft · Draft for Council review · OFFICIAL · 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O19"/>
  <sheetViews>
    <sheetView showGridLines="0" workbookViewId="0">
      <selection activeCell="A1" sqref="A1"/>
    </sheetView>
  </sheetViews>
  <sheetFormatPr baseColWidth="8" defaultColWidth="9.47265625" defaultRowHeight="15"/>
  <cols>
    <col width="12.09000015258789" customWidth="1" style="28" min="1" max="1"/>
    <col width="32.97000122070312" customWidth="1" style="28" min="2" max="2"/>
    <col width="41.7599983215332" customWidth="1" style="28" min="3" max="3"/>
    <col width="46.15999984741211" customWidth="1" style="28" min="4" max="4"/>
    <col width="30.77000045776367" customWidth="1" style="28" min="5" max="5"/>
    <col width="17.59000015258789" customWidth="1" style="28" min="6" max="6"/>
    <col width="41.7599983215332" customWidth="1" style="28" min="7" max="7"/>
    <col width="39.56999969482422" customWidth="1" style="28" min="8" max="8"/>
    <col width="37.36999893188477" customWidth="1" style="28" min="9" max="9"/>
    <col width="17.59000015258789" customWidth="1" style="28" min="10" max="10"/>
    <col width="14.28999996185303" customWidth="1" style="28" min="11" max="12"/>
    <col width="35.16999816894531" customWidth="1" style="28" min="13" max="13"/>
    <col width="28.57999992370605" customWidth="1" style="28" min="14" max="14"/>
    <col width="23.07999992370605" customWidth="1" style="28" min="15" max="15"/>
  </cols>
  <sheetData>
    <row r="1" ht="31.5" customHeight="1" s="29">
      <c r="A1" s="30" t="inlineStr">
        <is>
          <t>The Council — AIMS Horizon-Scanning Plan</t>
        </is>
      </c>
    </row>
    <row r="2" ht="21.75" customHeight="1" s="29">
      <c r="A2" s="31" t="inlineStr">
        <is>
          <t>AIG-AIMS-05  ·  v1.9 draft  ·  Draft for Council review  ·  OFFICIAL  ·  ISO/IEC 42001:2023</t>
        </is>
      </c>
    </row>
    <row r="3" ht="24" customHeight="1" s="29">
      <c r="A3" s="32" t="inlineStr">
        <is>
          <t>Purpose: assign authoritative monitoring channels, scope, cadence, escalation and evidence so relevant changes enter controlled assessment promptly.</t>
        </is>
      </c>
    </row>
    <row r="4" ht="30" customHeight="1" s="29">
      <c r="A4" s="72" t="inlineStr">
        <is>
          <t>Current position: channels are proposed and not yet operating. The plan now includes English-devolution/local-government reform monitoring, and SCN-07 covers standards bodies (ISO/IEC, NIST and ETSI). Confirm subscriptions, deputies, review dates, evidence locations and escalation service levels before marking Active.</t>
        </is>
      </c>
    </row>
    <row r="5"/>
    <row r="6" ht="45.75" customHeight="1" s="29">
      <c r="A6" s="48" t="inlineStr">
        <is>
          <t>Scan ID</t>
        </is>
      </c>
      <c r="B6" s="48" t="inlineStr">
        <is>
          <t>Channel</t>
        </is>
      </c>
      <c r="C6" s="48" t="inlineStr">
        <is>
          <t>Scope / search terms</t>
        </is>
      </c>
      <c r="D6" s="48" t="inlineStr">
        <is>
          <t>Authoritative source</t>
        </is>
      </c>
      <c r="E6" s="48" t="inlineStr">
        <is>
          <t>Proposed owner</t>
        </is>
      </c>
      <c r="F6" s="48" t="inlineStr">
        <is>
          <t>Frequency</t>
        </is>
      </c>
      <c r="G6" s="48" t="inlineStr">
        <is>
          <t>Method</t>
        </is>
      </c>
      <c r="H6" s="48" t="inlineStr">
        <is>
          <t>Escalation trigger</t>
        </is>
      </c>
      <c r="I6" s="48" t="inlineStr">
        <is>
          <t>Required evidence</t>
        </is>
      </c>
      <c r="J6" s="48" t="inlineStr">
        <is>
          <t>Status</t>
        </is>
      </c>
      <c r="K6" s="48" t="inlineStr">
        <is>
          <t>Last completed</t>
        </is>
      </c>
      <c r="L6" s="48" t="inlineStr">
        <is>
          <t>Next due</t>
        </is>
      </c>
      <c r="M6" s="48" t="inlineStr">
        <is>
          <t>Outcome / action</t>
        </is>
      </c>
      <c r="N6" s="48" t="inlineStr">
        <is>
          <t>Related requirements</t>
        </is>
      </c>
      <c r="O6" s="48" t="inlineStr">
        <is>
          <t>Record QA</t>
        </is>
      </c>
    </row>
    <row r="7" ht="32.25" customHeight="1" s="29">
      <c r="A7" s="49" t="inlineStr">
        <is>
          <t>SCN-01</t>
        </is>
      </c>
      <c r="B7" s="50" t="inlineStr">
        <is>
          <t>UK legislation and commencement</t>
        </is>
      </c>
      <c r="C7" s="50" t="inlineStr">
        <is>
          <t>AI, data, privacy, procurement, local government, digital, equality, security, transparency</t>
        </is>
      </c>
      <c r="D7" s="50" t="inlineStr">
        <is>
          <t>https://www.legislation.gov.uk/</t>
        </is>
      </c>
      <c r="E7" s="50" t="inlineStr">
        <is>
          <t>Legal Services</t>
        </is>
      </c>
      <c r="F7" s="50" t="inlineStr">
        <is>
          <t>Monthly</t>
        </is>
      </c>
      <c r="G7" s="50" t="inlineStr">
        <is>
          <t>Review new Acts, statutory instruments, commencement and amendments; record only relevant verified changes.</t>
        </is>
      </c>
      <c r="H7" s="50" t="inlineStr">
        <is>
          <t>New/commenced/amended duty affecting Council AI, data, decisions, suppliers or AIMS.</t>
        </is>
      </c>
      <c r="I7" s="50" t="inlineStr">
        <is>
          <t>Search log; source URL; applicability assessment; owner/action</t>
        </is>
      </c>
      <c r="J7" s="51" t="inlineStr">
        <is>
          <t>Proposed</t>
        </is>
      </c>
      <c r="K7" s="54" t="n"/>
      <c r="L7" s="54" t="n"/>
      <c r="M7" s="51" t="n"/>
      <c r="N7" s="50" t="inlineStr">
        <is>
          <t>REQ-001 to REQ-032, REQ-054, REQ-056</t>
        </is>
      </c>
      <c r="O7" s="50">
        <f>IF(AND(A7&lt;&gt;"",B7&lt;&gt;"",C7&lt;&gt;"",D7&lt;&gt;"",E7&lt;&gt;"",F7&lt;&gt;"",G7&lt;&gt;"",H7&lt;&gt;"",I7&lt;&gt;"",J7&lt;&gt;"",N7&lt;&gt;""),IF(J7="Proposed","Complete",IF(AND(K7&lt;&gt;"",L7&lt;&gt;"",M7&lt;&gt;""),"Complete","Operating evidence incomplete")),"Incomplete")</f>
        <v/>
      </c>
    </row>
    <row r="8" ht="21.75" customHeight="1" s="29">
      <c r="A8" s="49" t="inlineStr">
        <is>
          <t>SCN-02</t>
        </is>
      </c>
      <c r="B8" s="50" t="inlineStr">
        <is>
          <t>UK Parliament Bills</t>
        </is>
      </c>
      <c r="C8" s="50" t="inlineStr">
        <is>
          <t>AI, data, digital, copyright, cyber, public services and local-government Bills</t>
        </is>
      </c>
      <c r="D8" s="50" t="inlineStr">
        <is>
          <t>https://bills.parliament.uk/</t>
        </is>
      </c>
      <c r="E8" s="50" t="inlineStr">
        <is>
          <t>Legal Services</t>
        </is>
      </c>
      <c r="F8" s="50" t="inlineStr">
        <is>
          <t>Monthly</t>
        </is>
      </c>
      <c r="G8" s="50" t="inlineStr">
        <is>
          <t>Monitor Bills and stages; label proposals clearly and reassess at material stages/Royal Assent.</t>
        </is>
      </c>
      <c r="H8" s="50" t="inlineStr">
        <is>
          <t>Bill creates likely material control, resource or service impact.</t>
        </is>
      </c>
      <c r="I8" s="50" t="inlineStr">
        <is>
          <t>Bill tracker; stage; impact note; decision</t>
        </is>
      </c>
      <c r="J8" s="51" t="inlineStr">
        <is>
          <t>Proposed</t>
        </is>
      </c>
      <c r="K8" s="54" t="n"/>
      <c r="L8" s="54" t="n"/>
      <c r="M8" s="51" t="n"/>
      <c r="N8" s="50" t="inlineStr">
        <is>
          <t>REQ-021, REQ-024, REQ-038</t>
        </is>
      </c>
      <c r="O8" s="50">
        <f>IF(AND(A8&lt;&gt;"",B8&lt;&gt;"",C8&lt;&gt;"",D8&lt;&gt;"",E8&lt;&gt;"",F8&lt;&gt;"",G8&lt;&gt;"",H8&lt;&gt;"",I8&lt;&gt;"",J8&lt;&gt;"",N8&lt;&gt;""),IF(J8="Proposed","Complete",IF(AND(K8&lt;&gt;"",L8&lt;&gt;"",M8&lt;&gt;""),"Complete","Operating evidence incomplete")),"Incomplete")</f>
        <v/>
      </c>
    </row>
    <row r="9" ht="21.75" customHeight="1" s="29">
      <c r="A9" s="49" t="inlineStr">
        <is>
          <t>SCN-03</t>
        </is>
      </c>
      <c r="B9" s="50" t="inlineStr">
        <is>
          <t>ICO</t>
        </is>
      </c>
      <c r="C9" s="50" t="inlineStr">
        <is>
          <t>DUAA, AI, automated decisions, profiling, biometrics, children, DPIA, complaints and enforcement</t>
        </is>
      </c>
      <c r="D9" s="50" t="inlineStr">
        <is>
          <t>https://ico.org.uk/for-organisations/uk-gdpr-guidance-and-resources/artificial-intelligence/</t>
        </is>
      </c>
      <c r="E9" s="50" t="inlineStr">
        <is>
          <t>DPO / Information Governance</t>
        </is>
      </c>
      <c r="F9" s="50" t="inlineStr">
        <is>
          <t>Monthly</t>
        </is>
      </c>
      <c r="G9" s="50" t="inlineStr">
        <is>
          <t>Review guidance, consultations, codes, enforcement and regulatory strategy; verify updated date/status.</t>
        </is>
      </c>
      <c r="H9" s="50" t="inlineStr">
        <is>
          <t>New code/guidance, enforcement outcome or changed legal interpretation.</t>
        </is>
      </c>
      <c r="I9" s="50" t="inlineStr">
        <is>
          <t>ICO update log; assessment; affected document/control; action</t>
        </is>
      </c>
      <c r="J9" s="51" t="inlineStr">
        <is>
          <t>Proposed</t>
        </is>
      </c>
      <c r="K9" s="54" t="n"/>
      <c r="L9" s="54" t="n"/>
      <c r="M9" s="51" t="n"/>
      <c r="N9" s="50" t="inlineStr">
        <is>
          <t>REQ-001 to REQ-004, REQ-029, REQ-033, REQ-034, REQ-056</t>
        </is>
      </c>
      <c r="O9" s="50">
        <f>IF(AND(A9&lt;&gt;"",B9&lt;&gt;"",C9&lt;&gt;"",D9&lt;&gt;"",E9&lt;&gt;"",F9&lt;&gt;"",G9&lt;&gt;"",H9&lt;&gt;"",I9&lt;&gt;"",J9&lt;&gt;"",N9&lt;&gt;""),IF(J9="Proposed","Complete",IF(AND(K9&lt;&gt;"",L9&lt;&gt;"",M9&lt;&gt;""),"Complete","Operating evidence incomplete")),"Incomplete")</f>
        <v/>
      </c>
    </row>
    <row r="10" ht="21.75" customHeight="1" s="29">
      <c r="A10" s="49" t="inlineStr">
        <is>
          <t>SCN-04</t>
        </is>
      </c>
      <c r="B10" s="50" t="inlineStr">
        <is>
          <t>EHRC and equality law</t>
        </is>
      </c>
      <c r="C10" s="50" t="inlineStr">
        <is>
          <t>AI, PSED, discrimination, accessibility, public services and employment</t>
        </is>
      </c>
      <c r="D10" s="50" t="inlineStr">
        <is>
          <t>https://www.equalityhumanrights.com/guidance/artificial-intelligence-public-services</t>
        </is>
      </c>
      <c r="E10" s="50" t="inlineStr">
        <is>
          <t>Equality Lead / Legal</t>
        </is>
      </c>
      <c r="F10" s="50" t="inlineStr">
        <is>
          <t>Quarterly</t>
        </is>
      </c>
      <c r="G10" s="50" t="inlineStr">
        <is>
          <t>Review statutory/regulatory guidance, cases and public-sector AI material.</t>
        </is>
      </c>
      <c r="H10" s="50" t="inlineStr">
        <is>
          <t>Changed PSED/equality expectation, decision or evidence standard.</t>
        </is>
      </c>
      <c r="I10" s="50" t="inlineStr">
        <is>
          <t>Update log; equality impact; template/control action</t>
        </is>
      </c>
      <c r="J10" s="51" t="inlineStr">
        <is>
          <t>Proposed</t>
        </is>
      </c>
      <c r="K10" s="54" t="n"/>
      <c r="L10" s="54" t="n"/>
      <c r="M10" s="51" t="n"/>
      <c r="N10" s="50" t="inlineStr">
        <is>
          <t>REQ-005, REQ-035, REQ-049</t>
        </is>
      </c>
      <c r="O10" s="50">
        <f>IF(AND(A10&lt;&gt;"",B10&lt;&gt;"",C10&lt;&gt;"",D10&lt;&gt;"",E10&lt;&gt;"",F10&lt;&gt;"",G10&lt;&gt;"",H10&lt;&gt;"",I10&lt;&gt;"",J10&lt;&gt;"",N10&lt;&gt;""),IF(J10="Proposed","Complete",IF(AND(K10&lt;&gt;"",L10&lt;&gt;"",M10&lt;&gt;""),"Complete","Operating evidence incomplete")),"Incomplete")</f>
        <v/>
      </c>
    </row>
    <row r="11" ht="32.25" customHeight="1" s="29">
      <c r="A11" s="49" t="inlineStr">
        <is>
          <t>SCN-05</t>
        </is>
      </c>
      <c r="B11" s="50" t="inlineStr">
        <is>
          <t>Cabinet Office (AI strategy / public-sector AI adoption) and GDS (ATRS, standards)</t>
        </is>
      </c>
      <c r="C11" s="50" t="inlineStr">
        <is>
          <t>AI regulation policy, AI Playbook, AI Insights, ATRS, transparency and government standards</t>
        </is>
      </c>
      <c r="D11" s="50" t="inlineStr">
        <is>
          <t>https://www.gov.uk/government/collections/artificial-intelligence-resources-for-the-public-sector</t>
        </is>
      </c>
      <c r="E11" s="50" t="inlineStr">
        <is>
          <t>AI Governance Lead</t>
        </is>
      </c>
      <c r="F11" s="50" t="inlineStr">
        <is>
          <t>Monthly</t>
        </is>
      </c>
      <c r="G11" s="50" t="inlineStr">
        <is>
          <t>Review official collections, publication updates and mandatory-scope statements; distinguish central government from local government.</t>
        </is>
      </c>
      <c r="H11" s="50" t="inlineStr">
        <is>
          <t>New mandatory scope, material guidance or public-sector expectation.</t>
        </is>
      </c>
      <c r="I11" s="50" t="inlineStr">
        <is>
          <t>Publication/change log; applicability decision; action</t>
        </is>
      </c>
      <c r="J11" s="51" t="inlineStr">
        <is>
          <t>Proposed</t>
        </is>
      </c>
      <c r="K11" s="54" t="n"/>
      <c r="L11" s="54" t="n"/>
      <c r="M11" s="51" t="n"/>
      <c r="N11" s="50" t="inlineStr">
        <is>
          <t>REQ-036 to REQ-038</t>
        </is>
      </c>
      <c r="O11" s="50">
        <f>IF(AND(A11&lt;&gt;"",B11&lt;&gt;"",C11&lt;&gt;"",D11&lt;&gt;"",E11&lt;&gt;"",F11&lt;&gt;"",G11&lt;&gt;"",H11&lt;&gt;"",I11&lt;&gt;"",J11&lt;&gt;"",N11&lt;&gt;""),IF(J11="Proposed","Complete",IF(AND(K11&lt;&gt;"",L11&lt;&gt;"",M11&lt;&gt;""),"Complete","Operating evidence incomplete")),"Incomplete")</f>
        <v/>
      </c>
    </row>
    <row r="12" ht="21.75" customHeight="1" s="29">
      <c r="A12" s="49" t="inlineStr">
        <is>
          <t>SCN-06</t>
        </is>
      </c>
      <c r="B12" s="50" t="inlineStr">
        <is>
          <t>EU AI Office / Commission</t>
        </is>
      </c>
      <c r="C12" s="50" t="inlineStr">
        <is>
          <t>EU AI Act, Omnibus, codes, guidelines, enforcement, high-risk, GPAI and transparency</t>
        </is>
      </c>
      <c r="D12" s="50" t="inlineStr">
        <is>
          <t>https://digital-strategy.ec.europa.eu/en/policies/regulatory-framework-ai</t>
        </is>
      </c>
      <c r="E12" s="50" t="inlineStr">
        <is>
          <t>Legal / AI Governance Lead</t>
        </is>
      </c>
      <c r="F12" s="50" t="inlineStr">
        <is>
          <t>Monthly</t>
        </is>
      </c>
      <c r="G12" s="50" t="inlineStr">
        <is>
          <t>Review only for identified or plausible EU-scope cases; record dates, legal status and actor implications.</t>
        </is>
      </c>
      <c r="H12" s="50" t="inlineStr">
        <is>
          <t>Territorial scope, effective date, guideline or supplier obligation changes.</t>
        </is>
      </c>
      <c r="I12" s="50" t="inlineStr">
        <is>
          <t>EU scan; role/scope assessment; supplier impact; action</t>
        </is>
      </c>
      <c r="J12" s="51" t="inlineStr">
        <is>
          <t>Proposed</t>
        </is>
      </c>
      <c r="K12" s="54" t="n"/>
      <c r="L12" s="54" t="n"/>
      <c r="M12" s="51" t="n"/>
      <c r="N12" s="50" t="inlineStr">
        <is>
          <t>REQ-032</t>
        </is>
      </c>
      <c r="O12" s="50">
        <f>IF(AND(A12&lt;&gt;"",B12&lt;&gt;"",C12&lt;&gt;"",D12&lt;&gt;"",E12&lt;&gt;"",F12&lt;&gt;"",G12&lt;&gt;"",H12&lt;&gt;"",I12&lt;&gt;"",J12&lt;&gt;"",N12&lt;&gt;""),IF(J12="Proposed","Complete",IF(AND(K12&lt;&gt;"",L12&lt;&gt;"",M12&lt;&gt;""),"Complete","Operating evidence incomplete")),"Incomplete")</f>
        <v/>
      </c>
    </row>
    <row r="13" ht="32.25" customHeight="1" s="29">
      <c r="A13" s="49" t="inlineStr">
        <is>
          <t>SCN-07</t>
        </is>
      </c>
      <c r="B13" s="50" t="inlineStr">
        <is>
          <t>Standards bodies (ISO/IEC JTC 1/SC 42, NIST, ETSI)</t>
        </is>
      </c>
      <c r="C13" s="50" t="inlineStr">
        <is>
          <t>ISO/IEC JTC 1/SC 42 published and revised AI standards (management, risk, impact, governance, lifecycle, security and certification); NIST AI publications, including the AI Risk Management Framework and NIST AI 600-1; ETSI Securing Artificial Intelligence (SAI) standards</t>
        </is>
      </c>
      <c r="D13" s="50" t="inlineStr">
        <is>
          <t>https://www.iso.org/committee/6794475.html; https://www.nist.gov/itl/ai-risk-management-framework; https://www.etsi.org/technologies/securing-artificial-intelligence</t>
        </is>
      </c>
      <c r="E13" s="50" t="inlineStr">
        <is>
          <t>AI Governance Lead</t>
        </is>
      </c>
      <c r="F13" s="50" t="inlineStr">
        <is>
          <t>Quarterly</t>
        </is>
      </c>
      <c r="G13" s="50" t="inlineStr">
        <is>
          <t>Review each body’s catalogue and new or revised publications; obtain licensed copies only when adoption/validation is approved; log any change against the linked requirements (REQ-041, REQ-042, REQ-053, REQ-055) in their existing columns (Proposed — for Council confirmation).</t>
        </is>
      </c>
      <c r="H13" s="50" t="inlineStr">
        <is>
          <t>New or revised standard or framework affects an adopted AIMS method, risk or impact assessment, security baseline, certification or contractual commitment.</t>
        </is>
      </c>
      <c r="I13" s="50" t="inlineStr">
        <is>
          <t>Standards log; change logged against the linked requirement; adoption decision; licensed review; mapping/action</t>
        </is>
      </c>
      <c r="J13" s="51" t="inlineStr">
        <is>
          <t>Proposed</t>
        </is>
      </c>
      <c r="K13" s="54" t="n"/>
      <c r="L13" s="54" t="n"/>
      <c r="M13" s="51" t="n"/>
      <c r="N13" s="50" t="inlineStr">
        <is>
          <t>REQ-040 to REQ-043, REQ-053, REQ-055</t>
        </is>
      </c>
      <c r="O13" s="50">
        <f>IF(AND(A13&lt;&gt;"",B13&lt;&gt;"",C13&lt;&gt;"",D13&lt;&gt;"",E13&lt;&gt;"",F13&lt;&gt;"",G13&lt;&gt;"",H13&lt;&gt;"",I13&lt;&gt;"",J13&lt;&gt;"",N13&lt;&gt;""),IF(J13="Proposed","Complete",IF(AND(K13&lt;&gt;"",L13&lt;&gt;"",M13&lt;&gt;""),"Complete","Operating evidence incomplete")),"Incomplete")</f>
        <v/>
      </c>
    </row>
    <row r="14" ht="21.75" customHeight="1" s="29">
      <c r="A14" s="49" t="inlineStr">
        <is>
          <t>SCN-08</t>
        </is>
      </c>
      <c r="B14" s="50" t="inlineStr">
        <is>
          <t>NCSC and cyber regulation</t>
        </is>
      </c>
      <c r="C14" s="50" t="inlineStr">
        <is>
          <t>AI security, secure-by-design, threat reports, NIS/cyber legislation, incident and supply chain</t>
        </is>
      </c>
      <c r="D14" s="50" t="inlineStr">
        <is>
          <t>https://www.ncsc.gov.uk/section/information-for/large-organisations</t>
        </is>
      </c>
      <c r="E14" s="50" t="inlineStr">
        <is>
          <t>Cyber Security</t>
        </is>
      </c>
      <c r="F14" s="50" t="inlineStr">
        <is>
          <t>Monthly</t>
        </is>
      </c>
      <c r="G14" s="50" t="inlineStr">
        <is>
          <t>Review NCSC guidance/advisories and relevant legislative developments; map to threat/control owners.</t>
        </is>
      </c>
      <c r="H14" s="50" t="inlineStr">
        <is>
          <t>New material AI threat, vulnerability, guidance or regulated-security duty.</t>
        </is>
      </c>
      <c r="I14" s="50" t="inlineStr">
        <is>
          <t>Threat/guidance log; risk assessment; control/test/change record</t>
        </is>
      </c>
      <c r="J14" s="51" t="inlineStr">
        <is>
          <t>Proposed</t>
        </is>
      </c>
      <c r="K14" s="54" t="n"/>
      <c r="L14" s="54" t="n"/>
      <c r="M14" s="51" t="n"/>
      <c r="N14" s="50" t="inlineStr">
        <is>
          <t>REQ-023, REQ-024, REQ-039, REQ-047</t>
        </is>
      </c>
      <c r="O14" s="50">
        <f>IF(AND(A14&lt;&gt;"",B14&lt;&gt;"",C14&lt;&gt;"",D14&lt;&gt;"",E14&lt;&gt;"",F14&lt;&gt;"",G14&lt;&gt;"",H14&lt;&gt;"",I14&lt;&gt;"",J14&lt;&gt;"",N14&lt;&gt;""),IF(J14="Proposed","Complete",IF(AND(K14&lt;&gt;"",L14&lt;&gt;"",M14&lt;&gt;""),"Complete","Operating evidence incomplete")),"Incomplete")</f>
        <v/>
      </c>
    </row>
    <row r="15" ht="21.75" customHeight="1" s="29">
      <c r="A15" s="49" t="inlineStr">
        <is>
          <t>SCN-09</t>
        </is>
      </c>
      <c r="B15" s="50" t="inlineStr">
        <is>
          <t>Public procurement</t>
        </is>
      </c>
      <c r="C15" s="50" t="inlineStr">
        <is>
          <t>Procurement Act guidance, NPPS, notices, exclusions, contract management and transitional updates</t>
        </is>
      </c>
      <c r="D15" s="50" t="inlineStr">
        <is>
          <t>https://www.gov.uk/government/collections/transforming-public-procurement</t>
        </is>
      </c>
      <c r="E15" s="50" t="inlineStr">
        <is>
          <t>Procurement / Legal</t>
        </is>
      </c>
      <c r="F15" s="50" t="inlineStr">
        <is>
          <t>Monthly</t>
        </is>
      </c>
      <c r="G15" s="50" t="inlineStr">
        <is>
          <t>Review official procurement updates and Council implementation changes.</t>
        </is>
      </c>
      <c r="H15" s="50" t="inlineStr">
        <is>
          <t>Changed mandatory process, notice, supplier, contract or transition requirement.</t>
        </is>
      </c>
      <c r="I15" s="50" t="inlineStr">
        <is>
          <t>Procurement update log; template/process assessment; action</t>
        </is>
      </c>
      <c r="J15" s="51" t="inlineStr">
        <is>
          <t>Proposed</t>
        </is>
      </c>
      <c r="K15" s="54" t="n"/>
      <c r="L15" s="54" t="n"/>
      <c r="M15" s="51" t="n"/>
      <c r="N15" s="50" t="inlineStr">
        <is>
          <t>REQ-015 to REQ-018, REQ-048</t>
        </is>
      </c>
      <c r="O15" s="50">
        <f>IF(AND(A15&lt;&gt;"",B15&lt;&gt;"",C15&lt;&gt;"",D15&lt;&gt;"",E15&lt;&gt;"",F15&lt;&gt;"",G15&lt;&gt;"",H15&lt;&gt;"",I15&lt;&gt;"",J15&lt;&gt;"",N15&lt;&gt;""),IF(J15="Proposed","Complete",IF(AND(K15&lt;&gt;"",L15&lt;&gt;"",M15&lt;&gt;""),"Complete","Operating evidence incomplete")),"Incomplete")</f>
        <v/>
      </c>
    </row>
    <row r="16" ht="21.75" customHeight="1" s="29">
      <c r="A16" s="49" t="inlineStr">
        <is>
          <t>SCN-10</t>
        </is>
      </c>
      <c r="B16" s="50" t="inlineStr">
        <is>
          <t>Local-government sector</t>
        </is>
      </c>
      <c r="C16" s="50" t="inlineStr">
        <is>
          <t>LGA, MHCLG statutory guidance, Best Value, transparency and service-specific developments</t>
        </is>
      </c>
      <c r="D16" s="50" t="inlineStr">
        <is>
          <t>https://www.gov.uk/government/organisations/ministry-of-housing-communities-local-government</t>
        </is>
      </c>
      <c r="E16" s="50" t="inlineStr">
        <is>
          <t>Corporate Governance / Legal</t>
        </is>
      </c>
      <c r="F16" s="50" t="inlineStr">
        <is>
          <t>Quarterly</t>
        </is>
      </c>
      <c r="G16" s="50" t="inlineStr">
        <is>
          <t>Review relevant statutory guidance and sector updates; verify primary authority before control change.</t>
        </is>
      </c>
      <c r="H16" s="50" t="inlineStr">
        <is>
          <t>Changed local-authority statutory guidance, intervention standard or transparency requirement.</t>
        </is>
      </c>
      <c r="I16" s="50" t="inlineStr">
        <is>
          <t>Sector log; primary-source validation; impact/action</t>
        </is>
      </c>
      <c r="J16" s="51" t="inlineStr">
        <is>
          <t>Proposed</t>
        </is>
      </c>
      <c r="K16" s="54" t="n"/>
      <c r="L16" s="54" t="n"/>
      <c r="M16" s="51" t="n"/>
      <c r="N16" s="50" t="inlineStr">
        <is>
          <t>REQ-012 to REQ-014</t>
        </is>
      </c>
      <c r="O16" s="50">
        <f>IF(AND(A16&lt;&gt;"",B16&lt;&gt;"",C16&lt;&gt;"",D16&lt;&gt;"",E16&lt;&gt;"",F16&lt;&gt;"",G16&lt;&gt;"",H16&lt;&gt;"",I16&lt;&gt;"",J16&lt;&gt;"",N16&lt;&gt;""),IF(J16="Proposed","Complete",IF(AND(K16&lt;&gt;"",L16&lt;&gt;"",M16&lt;&gt;""),"Complete","Operating evidence incomplete")),"Incomplete")</f>
        <v/>
      </c>
    </row>
    <row r="17" ht="32.25" customHeight="1" s="29">
      <c r="A17" s="49" t="inlineStr">
        <is>
          <t>SCN-11</t>
        </is>
      </c>
      <c r="B17" s="50" t="inlineStr">
        <is>
          <t>Council internal change</t>
        </is>
      </c>
      <c r="C17" s="50" t="inlineStr">
        <is>
          <t>Constitution, delegations, policies, risk appetite, architecture, security, procurement, HR, equality and records</t>
        </is>
      </c>
      <c r="D17" s="50" t="inlineStr">
        <is>
          <t>Council controlled repositories and governance calendars</t>
        </is>
      </c>
      <c r="E17" s="50" t="inlineStr">
        <is>
          <t>AI Governance Lead / Control Owners</t>
        </is>
      </c>
      <c r="F17" s="50" t="inlineStr">
        <is>
          <t>Monthly</t>
        </is>
      </c>
      <c r="G17" s="50" t="inlineStr">
        <is>
          <t>Control owners notify changes; quarterly reconciliation to authoritative repositories and committee decisions.</t>
        </is>
      </c>
      <c r="H17" s="50" t="inlineStr">
        <is>
          <t>Change affects AIMS authority, process, evidence, risk criteria or live-system control.</t>
        </is>
      </c>
      <c r="I17" s="50" t="inlineStr">
        <is>
          <t>Change notice; version comparison; impact; approval; communication</t>
        </is>
      </c>
      <c r="J17" s="51" t="inlineStr">
        <is>
          <t>Proposed</t>
        </is>
      </c>
      <c r="K17" s="54" t="n"/>
      <c r="L17" s="54" t="n"/>
      <c r="M17" s="51" t="n"/>
      <c r="N17" s="50" t="inlineStr">
        <is>
          <t>REQ-044 to REQ-050</t>
        </is>
      </c>
      <c r="O17" s="50">
        <f>IF(AND(A17&lt;&gt;"",B17&lt;&gt;"",C17&lt;&gt;"",D17&lt;&gt;"",E17&lt;&gt;"",F17&lt;&gt;"",G17&lt;&gt;"",H17&lt;&gt;"",I17&lt;&gt;"",J17&lt;&gt;"",N17&lt;&gt;""),IF(J17="Proposed","Complete",IF(AND(K17&lt;&gt;"",L17&lt;&gt;"",M17&lt;&gt;""),"Complete","Operating evidence incomplete")),"Incomplete")</f>
        <v/>
      </c>
    </row>
    <row r="18" ht="21.75" customHeight="1" s="29">
      <c r="A18" s="49" t="inlineStr">
        <is>
          <t>SCN-12</t>
        </is>
      </c>
      <c r="B18" s="50" t="inlineStr">
        <is>
          <t>Suppliers, partners and contracts</t>
        </is>
      </c>
      <c r="C18" s="50" t="inlineStr">
        <is>
          <t>Model/service releases, terms, data, security, sub-processors, incidents, assurance and end-of-life</t>
        </is>
      </c>
      <c r="D18" s="50" t="inlineStr">
        <is>
          <t>Case-specific supplier and contract channels</t>
        </is>
      </c>
      <c r="E18" s="50" t="inlineStr">
        <is>
          <t>Contract Owners / Service Owners</t>
        </is>
      </c>
      <c r="F18" s="50" t="inlineStr">
        <is>
          <t>Per notice and quarterly</t>
        </is>
      </c>
      <c r="G18" s="50" t="inlineStr">
        <is>
          <t>Enforce notification clauses; reconcile release notes and assurance evidence to each AI Register ID.</t>
        </is>
      </c>
      <c r="H18" s="50" t="inlineStr">
        <is>
          <t>Material model/data/term/control change, incident, degraded assurance or exit risk.</t>
        </is>
      </c>
      <c r="I18" s="50" t="inlineStr">
        <is>
          <t>Supplier notice; material-change assessment; decision; test/reapproval</t>
        </is>
      </c>
      <c r="J18" s="51" t="inlineStr">
        <is>
          <t>Proposed</t>
        </is>
      </c>
      <c r="K18" s="54" t="n"/>
      <c r="L18" s="54" t="n"/>
      <c r="M18" s="51" t="n"/>
      <c r="N18" s="50" t="inlineStr">
        <is>
          <t>REQ-051 and case-specific legal obligations</t>
        </is>
      </c>
      <c r="O18" s="50">
        <f>IF(AND(A18&lt;&gt;"",B18&lt;&gt;"",C18&lt;&gt;"",D18&lt;&gt;"",E18&lt;&gt;"",F18&lt;&gt;"",G18&lt;&gt;"",H18&lt;&gt;"",I18&lt;&gt;"",J18&lt;&gt;"",N18&lt;&gt;""),IF(J18="Proposed","Complete",IF(AND(K18&lt;&gt;"",L18&lt;&gt;"",M18&lt;&gt;""),"Complete","Operating evidence incomplete")),"Incomplete")</f>
        <v/>
      </c>
    </row>
    <row r="19">
      <c r="A19" s="49" t="inlineStr">
        <is>
          <t>SCN-13</t>
        </is>
      </c>
      <c r="B19" s="50" t="inlineStr">
        <is>
          <t>English devolution and local-government reform</t>
        </is>
      </c>
      <c r="C19" s="50" t="inlineStr">
        <is>
          <t>Local-authority governance, delegations, decision structures, planning and commencement</t>
        </is>
      </c>
      <c r="D19" s="50" t="inlineStr">
        <is>
          <t>https://www.legislation.gov.uk/ukpga/2026/23/notes/division/13/index.htm</t>
        </is>
      </c>
      <c r="E19" s="50" t="inlineStr">
        <is>
          <t>Legal Services / Monitoring Officer</t>
        </is>
      </c>
      <c r="F19" s="50" t="inlineStr">
        <is>
          <t>Monthly</t>
        </is>
      </c>
      <c r="G19" s="50" t="inlineStr">
        <is>
          <t>Monitor Royal Assent, commencement orders and relevant provisions; distinguish provisions already in force from later commencement.</t>
        </is>
      </c>
      <c r="H19" s="50" t="inlineStr">
        <is>
          <t>Commencement or amendment changes Council governance, delegated authority, committee arrangements or service responsibilities affecting AI governance.</t>
        </is>
      </c>
      <c r="I19" s="50" t="inlineStr">
        <is>
          <t>Legislative scan; applicability assessment; constitutional/delegation impact note; action</t>
        </is>
      </c>
      <c r="J19" s="51" t="inlineStr">
        <is>
          <t>Proposed</t>
        </is>
      </c>
      <c r="K19" s="54" t="n"/>
      <c r="L19" s="54" t="n"/>
      <c r="M19" s="51" t="n"/>
      <c r="N19" s="50" t="inlineStr">
        <is>
          <t>REQ-013, REQ-045</t>
        </is>
      </c>
      <c r="O19" s="50">
        <f>IF(AND(A19&lt;&gt;"",B19&lt;&gt;"",C19&lt;&gt;"",D19&lt;&gt;"",E19&lt;&gt;"",F19&lt;&gt;"",G19&lt;&gt;"",H19&lt;&gt;"",I19&lt;&gt;"",J19&lt;&gt;"",N19&lt;&gt;""),IF(J19="Proposed","Complete",IF(AND(K19&lt;&gt;"",L19&lt;&gt;"",M19&lt;&gt;""),"Complete","Operating evidence incomplete")),"Incomplete")</f>
        <v/>
      </c>
    </row>
  </sheetData>
  <mergeCells count="4">
    <mergeCell ref="A1:O1"/>
    <mergeCell ref="A4:O4"/>
    <mergeCell ref="A3:O3"/>
    <mergeCell ref="A2:O2"/>
  </mergeCells>
  <conditionalFormatting sqref="J7:J19">
    <cfRule type="containsText" rank="0" priority="2" equalAverage="0" operator="containsText" aboveAverage="0" dxfId="11" text="Active" percent="0" bottom="0">
      <formula>NOT(ISERROR(SEARCH("Active",J7)))</formula>
    </cfRule>
  </conditionalFormatting>
  <conditionalFormatting sqref="O7:O19">
    <cfRule type="containsText" rank="0" priority="3" equalAverage="0" operator="containsText" aboveAverage="0" dxfId="11" text="Complete" percent="0" bottom="0">
      <formula>NOT(ISERROR(SEARCH("Complete",O7)))</formula>
    </cfRule>
  </conditionalFormatting>
  <dataValidations count="1">
    <dataValidation sqref="J7:J19" showDropDown="0" showInputMessage="0" showErrorMessage="0" allowBlank="0" type="list" errorStyle="stop" operator="between">
      <formula1>"Proposed,Active,Paused,Superseded"</formula1>
      <formula2>0</formula2>
    </dataValidation>
  </dataValidations>
  <pageMargins left="0.7" right="0.7" top="0.75" bottom="0.75" header="0.3" footer="0.3"/>
  <pageSetup orientation="landscape" paperSize="9" fitToHeight="0" fitToWidth="2" useFirstPageNumber="0"/>
  <headerFooter>
    <oddHeader>&amp;C&amp;"Arial,Regular"&amp;8 The Council — AIMS Applicable Requirements and Change Register</oddHeader>
    <oddFooter>&amp;C&amp;"Arial,Regular"&amp;8 AIG-AIMS-05 · v1.9 draft · Draft for Council review · OFFICIAL · 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O21"/>
  <sheetViews>
    <sheetView showGridLines="0" workbookViewId="0">
      <selection activeCell="A1" sqref="A1"/>
    </sheetView>
  </sheetViews>
  <sheetFormatPr baseColWidth="8" defaultColWidth="9.47265625" defaultRowHeight="15"/>
  <cols>
    <col width="13.1899995803833" customWidth="1" style="28" min="1" max="1"/>
    <col width="29.65999984741211" customWidth="1" style="28" min="2" max="2"/>
    <col width="52.7599983215332" customWidth="1" style="28" min="3" max="3"/>
    <col width="31.8799991607666" customWidth="1" style="28" min="4" max="5"/>
    <col width="32.97000122070312" customWidth="1" style="28" min="6" max="7"/>
    <col width="35.16999816894531" customWidth="1" style="28" min="8" max="8"/>
    <col width="25.28000068664551" customWidth="1" style="28" min="9" max="9"/>
    <col width="34.06999969482422" customWidth="1" style="28" min="10" max="10"/>
    <col width="14.28999996185303" customWidth="1" style="28" min="11" max="12"/>
    <col width="40.66999816894531" customWidth="1" style="28" min="13" max="13"/>
    <col width="31.8799991607666" customWidth="1" style="28" min="14" max="14"/>
    <col width="26.3799991607666" customWidth="1" style="28" min="15" max="15"/>
  </cols>
  <sheetData>
    <row r="1" ht="31.5" customHeight="1" s="29">
      <c r="A1" s="30" t="inlineStr">
        <is>
          <t>The Council — Requirements Evidence and Review Matrix</t>
        </is>
      </c>
    </row>
    <row r="2" ht="21.75" customHeight="1" s="29">
      <c r="A2" s="31" t="inlineStr">
        <is>
          <t>AIG-AIMS-05  ·  v1.9 draft  ·  Draft for Council review  ·  OFFICIAL  ·  ISO/IEC 42001:2023</t>
        </is>
      </c>
    </row>
    <row r="3" ht="24" customHeight="1" s="29">
      <c r="A3" s="32" t="inlineStr">
        <is>
          <t>Purpose: define the minimum evidence packs, owners, locations, retention basis, sampling and review needed to demonstrate implementation and effectiveness.</t>
        </is>
      </c>
    </row>
    <row r="4" ht="30" customHeight="1" s="29">
      <c r="A4" s="72" t="inlineStr">
        <is>
          <t>Current position: evidence requirements are defined but no repository location or operational evidence is claimed. Populate only approved locations and test retrievability using the AI Register ID.</t>
        </is>
      </c>
    </row>
    <row r="5"/>
    <row r="6" ht="45.75" customHeight="1" s="29">
      <c r="A6" s="48" t="inlineStr">
        <is>
          <t>Evidence ID</t>
        </is>
      </c>
      <c r="B6" s="48" t="inlineStr">
        <is>
          <t>Domain</t>
        </is>
      </c>
      <c r="C6" s="48" t="inlineStr">
        <is>
          <t>Minimum evidence pack</t>
        </is>
      </c>
      <c r="D6" s="48" t="inlineStr">
        <is>
          <t>Proposed owner</t>
        </is>
      </c>
      <c r="E6" s="48" t="inlineStr">
        <is>
          <t>Affected requirements</t>
        </is>
      </c>
      <c r="F6" s="48" t="inlineStr">
        <is>
          <t>Approved repository / system</t>
        </is>
      </c>
      <c r="G6" s="48" t="inlineStr">
        <is>
          <t>Retention basis</t>
        </is>
      </c>
      <c r="H6" s="48" t="inlineStr">
        <is>
          <t>Sampling / review</t>
        </is>
      </c>
      <c r="I6" s="48" t="inlineStr">
        <is>
          <t>Status</t>
        </is>
      </c>
      <c r="J6" s="48" t="inlineStr">
        <is>
          <t>Evidence location / index</t>
        </is>
      </c>
      <c r="K6" s="48" t="inlineStr">
        <is>
          <t>Last reviewed</t>
        </is>
      </c>
      <c r="L6" s="48" t="inlineStr">
        <is>
          <t>Next review</t>
        </is>
      </c>
      <c r="M6" s="48" t="inlineStr">
        <is>
          <t>Gap / required action</t>
        </is>
      </c>
      <c r="N6" s="48" t="inlineStr">
        <is>
          <t>Related suite references</t>
        </is>
      </c>
      <c r="O6" s="48" t="inlineStr">
        <is>
          <t>Record QA</t>
        </is>
      </c>
    </row>
    <row r="7" ht="21.75" customHeight="1" s="29">
      <c r="A7" s="49" t="inlineStr">
        <is>
          <t>EVD-01</t>
        </is>
      </c>
      <c r="B7" s="50" t="inlineStr">
        <is>
          <t>Data protection</t>
        </is>
      </c>
      <c r="C7" s="50" t="inlineStr">
        <is>
          <t>Processing roles, lawful basis, ROPA, DPIA, privacy information, rights/complaints, data agreements and monitoring.</t>
        </is>
      </c>
      <c r="D7" s="50" t="inlineStr">
        <is>
          <t>DPO / Information Governance</t>
        </is>
      </c>
      <c r="E7" s="50" t="inlineStr">
        <is>
          <t>REQ-001 to REQ-004, REQ-029, REQ-033, REQ-034, REQ-056</t>
        </is>
      </c>
      <c r="F7" s="51" t="n"/>
      <c r="G7" s="50" t="inlineStr">
        <is>
          <t>Council retention schedule / statutory need</t>
        </is>
      </c>
      <c r="H7" s="50" t="inlineStr">
        <is>
          <t>Quarterly sample of priority AI systems and after material change</t>
        </is>
      </c>
      <c r="I7" s="51" t="inlineStr">
        <is>
          <t>Required - not evidenced</t>
        </is>
      </c>
      <c r="J7" s="51" t="n"/>
      <c r="K7" s="54" t="n"/>
      <c r="L7" s="54" t="n"/>
      <c r="M7" s="50" t="inlineStr">
        <is>
          <t>Populate authoritative location and test retrieval by AI Register ID.</t>
        </is>
      </c>
      <c r="N7" s="50" t="inlineStr">
        <is>
          <t>AIG-INV-04, AIG-ASS-04, AIG-ASS-05, AIG-OPS-05, AIG-OPS-03</t>
        </is>
      </c>
      <c r="O7" s="50">
        <f>IF(AND(A7&lt;&gt;"",B7&lt;&gt;"",C7&lt;&gt;"",D7&lt;&gt;"",E7&lt;&gt;"",G7&lt;&gt;"",H7&lt;&gt;"",I7&lt;&gt;"",M7&lt;&gt;"",N7&lt;&gt;""),IF(I7="Required - not evidenced",IF(AND(F7&lt;&gt;"",J7&lt;&gt;""),"Complete","Evidence location missing"),IF(AND(F7&lt;&gt;"",J7&lt;&gt;"",K7&lt;&gt;"",L7&lt;&gt;""),"Complete","Review evidence incomplete")),"Incomplete")</f>
        <v/>
      </c>
    </row>
    <row r="8" ht="21.75" customHeight="1" s="29">
      <c r="A8" s="49" t="inlineStr">
        <is>
          <t>EVD-02</t>
        </is>
      </c>
      <c r="B8" s="50" t="inlineStr">
        <is>
          <t>Equality and human rights</t>
        </is>
      </c>
      <c r="C8" s="50" t="inlineStr">
        <is>
          <t>EIA/HRA/Responsible AI assessment, legal advice, engagement, accessibility, mitigations, residual decision and outcome monitoring.</t>
        </is>
      </c>
      <c r="D8" s="50" t="inlineStr">
        <is>
          <t>Equality / Human Rights / Legal</t>
        </is>
      </c>
      <c r="E8" s="50" t="inlineStr">
        <is>
          <t>REQ-005 to REQ-008, REQ-035</t>
        </is>
      </c>
      <c r="F8" s="51" t="n"/>
      <c r="G8" s="50" t="inlineStr">
        <is>
          <t>Council retention schedule / legal claims and accountability</t>
        </is>
      </c>
      <c r="H8" s="50" t="inlineStr">
        <is>
          <t>Quarterly sample of high-impact systems; after complaint or change</t>
        </is>
      </c>
      <c r="I8" s="51" t="inlineStr">
        <is>
          <t>Required - not evidenced</t>
        </is>
      </c>
      <c r="J8" s="51" t="n"/>
      <c r="K8" s="54" t="n"/>
      <c r="L8" s="54" t="n"/>
      <c r="M8" s="50" t="inlineStr">
        <is>
          <t>Populate locations and validate evidence quality with affected-group input.</t>
        </is>
      </c>
      <c r="N8" s="50" t="inlineStr">
        <is>
          <t>AIG-ASS-04, AIG-ASS-06, AIG-ASS-07, AIG-ASS-10, AIG-OPS-05</t>
        </is>
      </c>
      <c r="O8" s="50">
        <f>IF(AND(A8&lt;&gt;"",B8&lt;&gt;"",C8&lt;&gt;"",D8&lt;&gt;"",E8&lt;&gt;"",G8&lt;&gt;"",H8&lt;&gt;"",I8&lt;&gt;"",M8&lt;&gt;"",N8&lt;&gt;""),IF(I8="Required - not evidenced",IF(AND(F8&lt;&gt;"",J8&lt;&gt;""),"Complete","Evidence location missing"),IF(AND(F8&lt;&gt;"",J8&lt;&gt;"",K8&lt;&gt;"",L8&lt;&gt;""),"Complete","Review evidence incomplete")),"Incomplete")</f>
        <v/>
      </c>
    </row>
    <row r="9" ht="21.75" customHeight="1" s="29">
      <c r="A9" s="49" t="inlineStr">
        <is>
          <t>EVD-03</t>
        </is>
      </c>
      <c r="B9" s="50" t="inlineStr">
        <is>
          <t>Public law and decision authority</t>
        </is>
      </c>
      <c r="C9" s="50" t="inlineStr">
        <is>
          <t>Statutory power, delegation, decision policy, human oversight, reasons, review/appeal and decision records.</t>
        </is>
      </c>
      <c r="D9" s="50" t="inlineStr">
        <is>
          <t>Monitoring Officer / Legal / Governance</t>
        </is>
      </c>
      <c r="E9" s="50" t="inlineStr">
        <is>
          <t>REQ-006, REQ-007, REQ-013, REQ-045</t>
        </is>
      </c>
      <c r="F9" s="51" t="n"/>
      <c r="G9" s="50" t="inlineStr">
        <is>
          <t>Council governance/records schedule</t>
        </is>
      </c>
      <c r="H9" s="50" t="inlineStr">
        <is>
          <t>Every higher-risk decision; annual authority review</t>
        </is>
      </c>
      <c r="I9" s="51" t="inlineStr">
        <is>
          <t>Required - not evidenced</t>
        </is>
      </c>
      <c r="J9" s="51" t="n"/>
      <c r="K9" s="54" t="n"/>
      <c r="L9" s="54" t="n"/>
      <c r="M9" s="50" t="inlineStr">
        <is>
          <t>Link current Constitution/delegations and sample authorised decisions.</t>
        </is>
      </c>
      <c r="N9" s="50" t="inlineStr">
        <is>
          <t>AIG-DEC-03, AIG-GOV-06, AIG-AIMS-01, AIG-AIMS-04</t>
        </is>
      </c>
      <c r="O9" s="50">
        <f>IF(AND(A9&lt;&gt;"",B9&lt;&gt;"",C9&lt;&gt;"",D9&lt;&gt;"",E9&lt;&gt;"",G9&lt;&gt;"",H9&lt;&gt;"",I9&lt;&gt;"",M9&lt;&gt;"",N9&lt;&gt;""),IF(I9="Required - not evidenced",IF(AND(F9&lt;&gt;"",J9&lt;&gt;""),"Complete","Evidence location missing"),IF(AND(F9&lt;&gt;"",J9&lt;&gt;"",K9&lt;&gt;"",L9&lt;&gt;""),"Complete","Review evidence incomplete")),"Incomplete")</f>
        <v/>
      </c>
    </row>
    <row r="10" ht="21.75" customHeight="1" s="29">
      <c r="A10" s="49" t="inlineStr">
        <is>
          <t>EVD-04</t>
        </is>
      </c>
      <c r="B10" s="50" t="inlineStr">
        <is>
          <t>Information access and records</t>
        </is>
      </c>
      <c r="C10" s="50" t="inlineStr">
        <is>
          <t>Evidence index, retention, access, retrieval, FOI/EIR decisions, publication and controlled disposal/holds.</t>
        </is>
      </c>
      <c r="D10" s="50" t="inlineStr">
        <is>
          <t>Information Governance / Records / FOI</t>
        </is>
      </c>
      <c r="E10" s="50" t="inlineStr">
        <is>
          <t>REQ-009 to REQ-012, REQ-020, REQ-046</t>
        </is>
      </c>
      <c r="F10" s="51" t="n"/>
      <c r="G10" s="50" t="inlineStr">
        <is>
          <t>Approved retention schedule / FOIA Section 46 Code</t>
        </is>
      </c>
      <c r="H10" s="50" t="inlineStr">
        <is>
          <t>Quarterly retrieval sample and annual schedule review</t>
        </is>
      </c>
      <c r="I10" s="51" t="inlineStr">
        <is>
          <t>Required - not evidenced</t>
        </is>
      </c>
      <c r="J10" s="51" t="n"/>
      <c r="K10" s="54" t="n"/>
      <c r="L10" s="54" t="n"/>
      <c r="M10" s="50" t="inlineStr">
        <is>
          <t>Approve evidence taxonomy and perform retrieval test across supplier records.</t>
        </is>
      </c>
      <c r="N10" s="50" t="inlineStr">
        <is>
          <t>AIG-GOV-01, AIG-INV-04, AIG-ASS-08 to AIG-ASS-10, AIG-DEC-03, AIG-OPS-05, AIG-OPS-06, AIG-OPS-01, AIG-AIMS-01 to AIG-AIMS-05</t>
        </is>
      </c>
      <c r="O10" s="50">
        <f>IF(AND(A10&lt;&gt;"",B10&lt;&gt;"",C10&lt;&gt;"",D10&lt;&gt;"",E10&lt;&gt;"",G10&lt;&gt;"",H10&lt;&gt;"",I10&lt;&gt;"",M10&lt;&gt;"",N10&lt;&gt;""),IF(I10="Required - not evidenced",IF(AND(F10&lt;&gt;"",J10&lt;&gt;""),"Complete","Evidence location missing"),IF(AND(F10&lt;&gt;"",J10&lt;&gt;"",K10&lt;&gt;"",L10&lt;&gt;""),"Complete","Review evidence incomplete")),"Incomplete")</f>
        <v/>
      </c>
    </row>
    <row r="11" ht="32.25" customHeight="1" s="29">
      <c r="A11" s="49" t="inlineStr">
        <is>
          <t>EVD-05</t>
        </is>
      </c>
      <c r="B11" s="50" t="inlineStr">
        <is>
          <t>Procurement and supplier</t>
        </is>
      </c>
      <c r="C11" s="50" t="inlineStr">
        <is>
          <t>Regime decision, business case, notices, conflicts, due diligence, evaluation, contract, obligations, KPI, changes, audit, continuity and exit.</t>
        </is>
      </c>
      <c r="D11" s="50" t="inlineStr">
        <is>
          <t>Procurement / Contract Owner / Legal</t>
        </is>
      </c>
      <c r="E11" s="50" t="inlineStr">
        <is>
          <t>REQ-015 to REQ-018, REQ-048, REQ-051</t>
        </is>
      </c>
      <c r="F11" s="51" t="n"/>
      <c r="G11" s="50" t="inlineStr">
        <is>
          <t>Procurement and contract retention rules</t>
        </is>
      </c>
      <c r="H11" s="50" t="inlineStr">
        <is>
          <t>Each procurement/renewal/change; quarterly supplier portfolio review</t>
        </is>
      </c>
      <c r="I11" s="51" t="inlineStr">
        <is>
          <t>Required - not evidenced</t>
        </is>
      </c>
      <c r="J11" s="51" t="n"/>
      <c r="K11" s="54" t="n"/>
      <c r="L11" s="54" t="n"/>
      <c r="M11" s="50" t="inlineStr">
        <is>
          <t>Link at least two live supplier cases and test mandatory clause/evidence coverage.</t>
        </is>
      </c>
      <c r="N11" s="50" t="inlineStr">
        <is>
          <t>AIG-ASS-08, AIG-ASS-11, AIG-OPS-01</t>
        </is>
      </c>
      <c r="O11" s="50">
        <f>IF(AND(A11&lt;&gt;"",B11&lt;&gt;"",C11&lt;&gt;"",D11&lt;&gt;"",E11&lt;&gt;"",G11&lt;&gt;"",H11&lt;&gt;"",I11&lt;&gt;"",M11&lt;&gt;"",N11&lt;&gt;""),IF(I11="Required - not evidenced",IF(AND(F11&lt;&gt;"",J11&lt;&gt;""),"Complete","Evidence location missing"),IF(AND(F11&lt;&gt;"",J11&lt;&gt;"",K11&lt;&gt;"",L11&lt;&gt;""),"Complete","Review evidence incomplete")),"Incomplete")</f>
        <v/>
      </c>
    </row>
    <row r="12" ht="21.75" customHeight="1" s="29">
      <c r="A12" s="49" t="inlineStr">
        <is>
          <t>EVD-06</t>
        </is>
      </c>
      <c r="B12" s="50" t="inlineStr">
        <is>
          <t>Data sharing and intellectual property</t>
        </is>
      </c>
      <c r="C12" s="50" t="inlineStr">
        <is>
          <t>Lawful power, data-sharing terms, licences, provenance, permitted use, ownership, supplier warranties and publication decisions.</t>
        </is>
      </c>
      <c r="D12" s="50" t="inlineStr">
        <is>
          <t>Legal / DPO / Data Owner</t>
        </is>
      </c>
      <c r="E12" s="50" t="inlineStr">
        <is>
          <t>REQ-019 to REQ-022, REQ-051</t>
        </is>
      </c>
      <c r="F12" s="51" t="n"/>
      <c r="G12" s="50" t="inlineStr">
        <is>
          <t>Contract/IP/records schedule</t>
        </is>
      </c>
      <c r="H12" s="50" t="inlineStr">
        <is>
          <t>Each new dataset/partner/licence; annual portfolio review</t>
        </is>
      </c>
      <c r="I12" s="51" t="inlineStr">
        <is>
          <t>Required - not evidenced</t>
        </is>
      </c>
      <c r="J12" s="51" t="n"/>
      <c r="K12" s="54" t="n"/>
      <c r="L12" s="54" t="n"/>
      <c r="M12" s="50" t="inlineStr">
        <is>
          <t>Populate dataset and licence evidence for priority systems.</t>
        </is>
      </c>
      <c r="N12" s="50" t="inlineStr">
        <is>
          <t>AIG-ASS-02, AIG-ASS-05, AIG-ASS-08, AIG-ASS-09</t>
        </is>
      </c>
      <c r="O12" s="50">
        <f>IF(AND(A12&lt;&gt;"",B12&lt;&gt;"",C12&lt;&gt;"",D12&lt;&gt;"",E12&lt;&gt;"",G12&lt;&gt;"",H12&lt;&gt;"",I12&lt;&gt;"",M12&lt;&gt;"",N12&lt;&gt;""),IF(I12="Required - not evidenced",IF(AND(F12&lt;&gt;"",J12&lt;&gt;""),"Complete","Evidence location missing"),IF(AND(F12&lt;&gt;"",J12&lt;&gt;"",K12&lt;&gt;"",L12&lt;&gt;""),"Complete","Review evidence incomplete")),"Incomplete")</f>
        <v/>
      </c>
    </row>
    <row r="13" ht="21.75" customHeight="1" s="29">
      <c r="A13" s="49" t="inlineStr">
        <is>
          <t>EVD-07</t>
        </is>
      </c>
      <c r="B13" s="50" t="inlineStr">
        <is>
          <t>Security and resilience</t>
        </is>
      </c>
      <c r="C13" s="50" t="inlineStr">
        <is>
          <t>Architecture, threat model, access, tests, vulnerabilities, logs, incident, continuity, recovery, supplier security and exit.</t>
        </is>
      </c>
      <c r="D13" s="50" t="inlineStr">
        <is>
          <t>Cyber Security / Resilience / System Owner</t>
        </is>
      </c>
      <c r="E13" s="50" t="inlineStr">
        <is>
          <t>REQ-023 to REQ-025, REQ-039, REQ-047, REQ-054</t>
        </is>
      </c>
      <c r="F13" s="51" t="n"/>
      <c r="G13" s="50" t="inlineStr">
        <is>
          <t>Security/incident/contract retention rules</t>
        </is>
      </c>
      <c r="H13" s="50" t="inlineStr">
        <is>
          <t>Before go-live; continuous monitoring; annual exercise</t>
        </is>
      </c>
      <c r="I13" s="51" t="inlineStr">
        <is>
          <t>Required - not evidenced</t>
        </is>
      </c>
      <c r="J13" s="51" t="n"/>
      <c r="K13" s="54" t="n"/>
      <c r="L13" s="54" t="n"/>
      <c r="M13" s="50" t="inlineStr">
        <is>
          <t>Map AIG-ASS-11 to corporate/NCSC controls and test one live system.</t>
        </is>
      </c>
      <c r="N13" s="50" t="inlineStr">
        <is>
          <t>AIG-OPS-03, AIG-ASS-11, AIG-OPS-01</t>
        </is>
      </c>
      <c r="O13" s="50">
        <f>IF(AND(A13&lt;&gt;"",B13&lt;&gt;"",C13&lt;&gt;"",D13&lt;&gt;"",E13&lt;&gt;"",G13&lt;&gt;"",H13&lt;&gt;"",I13&lt;&gt;"",M13&lt;&gt;"",N13&lt;&gt;""),IF(I13="Required - not evidenced",IF(AND(F13&lt;&gt;"",J13&lt;&gt;""),"Complete","Evidence location missing"),IF(AND(F13&lt;&gt;"",J13&lt;&gt;"",K13&lt;&gt;"",L13&lt;&gt;""),"Complete","Review evidence incomplete")),"Incomplete")</f>
        <v/>
      </c>
    </row>
    <row r="14" ht="32.25" customHeight="1" s="29">
      <c r="A14" s="49" t="inlineStr">
        <is>
          <t>EVD-08</t>
        </is>
      </c>
      <c r="B14" s="50" t="inlineStr">
        <is>
          <t>Workforce, competence and concerns</t>
        </is>
      </c>
      <c r="C14" s="50" t="inlineStr">
        <is>
          <t>Consultation, occupational risk, role appointments, learning, competence assessment, restrictions, concern/whistleblowing and action records.</t>
        </is>
      </c>
      <c r="D14" s="50" t="inlineStr">
        <is>
          <t>HR / H&amp;S / AI Governance Lead</t>
        </is>
      </c>
      <c r="E14" s="50" t="inlineStr">
        <is>
          <t>REQ-026, REQ-027, REQ-049</t>
        </is>
      </c>
      <c r="F14" s="51" t="n"/>
      <c r="G14" s="50" t="inlineStr">
        <is>
          <t>HR/LMS/whistleblowing retention rules</t>
        </is>
      </c>
      <c r="H14" s="50" t="inlineStr">
        <is>
          <t>Annual; on appointment, role change, incident or concern</t>
        </is>
      </c>
      <c r="I14" s="51" t="inlineStr">
        <is>
          <t>Required - not evidenced</t>
        </is>
      </c>
      <c r="J14" s="51" t="n"/>
      <c r="K14" s="54" t="n"/>
      <c r="L14" s="54" t="n"/>
      <c r="M14" s="50" t="inlineStr">
        <is>
          <t>Link approved role/training evidence without over-collecting personal data.</t>
        </is>
      </c>
      <c r="N14" s="50" t="inlineStr">
        <is>
          <t>AIG-OPS-03, AIG-AIMS-04</t>
        </is>
      </c>
      <c r="O14" s="50">
        <f>IF(AND(A14&lt;&gt;"",B14&lt;&gt;"",C14&lt;&gt;"",D14&lt;&gt;"",E14&lt;&gt;"",G14&lt;&gt;"",H14&lt;&gt;"",I14&lt;&gt;"",M14&lt;&gt;"",N14&lt;&gt;""),IF(I14="Required - not evidenced",IF(AND(F14&lt;&gt;"",J14&lt;&gt;""),"Complete","Evidence location missing"),IF(AND(F14&lt;&gt;"",J14&lt;&gt;"",K14&lt;&gt;"",L14&lt;&gt;""),"Complete","Review evidence incomplete")),"Incomplete")</f>
        <v/>
      </c>
    </row>
    <row r="15" ht="32.25" customHeight="1" s="29">
      <c r="A15" s="49" t="inlineStr">
        <is>
          <t>EVD-09</t>
        </is>
      </c>
      <c r="B15" s="50" t="inlineStr">
        <is>
          <t>Children and safeguarding</t>
        </is>
      </c>
      <c r="C15" s="50" t="inlineStr">
        <is>
          <t>Current service-law map, safeguarding/child impact, voice/engagement, information sharing, human judgement, multi-agency terms, monitoring and incidents.</t>
        </is>
      </c>
      <c r="D15" s="50" t="inlineStr">
        <is>
          <t>Children’s Services / Safeguarding</t>
        </is>
      </c>
      <c r="E15" s="50" t="inlineStr">
        <is>
          <t>REQ-028, REQ-029, REQ-049</t>
        </is>
      </c>
      <c r="F15" s="51" t="n"/>
      <c r="G15" s="50" t="inlineStr">
        <is>
          <t>Children’s services/safeguarding retention rules</t>
        </is>
      </c>
      <c r="H15" s="50" t="inlineStr">
        <is>
          <t>Every relevant system; quarterly practice sample</t>
        </is>
      </c>
      <c r="I15" s="51" t="inlineStr">
        <is>
          <t>Required - not evidenced</t>
        </is>
      </c>
      <c r="J15" s="51" t="n"/>
      <c r="K15" s="54" t="n"/>
      <c r="L15" s="54" t="n"/>
      <c r="M15" s="50" t="inlineStr">
        <is>
          <t>Validate evidence on any relevant live/pilot system against 2026 guidance.</t>
        </is>
      </c>
      <c r="N15" s="50" t="inlineStr">
        <is>
          <t>AIG-ASS-04 to AIG-ASS-07, AIG-DEC-03, AIG-OPS-03, AIG-OPS-01</t>
        </is>
      </c>
      <c r="O15" s="50">
        <f>IF(AND(A15&lt;&gt;"",B15&lt;&gt;"",C15&lt;&gt;"",D15&lt;&gt;"",E15&lt;&gt;"",G15&lt;&gt;"",H15&lt;&gt;"",I15&lt;&gt;"",M15&lt;&gt;"",N15&lt;&gt;""),IF(I15="Required - not evidenced",IF(AND(F15&lt;&gt;"",J15&lt;&gt;""),"Complete","Evidence location missing"),IF(AND(F15&lt;&gt;"",J15&lt;&gt;"",K15&lt;&gt;"",L15&lt;&gt;""),"Complete","Review evidence incomplete")),"Incomplete")</f>
        <v/>
      </c>
    </row>
    <row r="16" ht="32.25" customHeight="1" s="29">
      <c r="A16" s="49" t="inlineStr">
        <is>
          <t>EVD-10</t>
        </is>
      </c>
      <c r="B16" s="50" t="inlineStr">
        <is>
          <t>Adult social care and capacity</t>
        </is>
      </c>
      <c r="C16" s="50" t="inlineStr">
        <is>
          <t>Service-law map, capacity/best-interests, professional/human decision, explanation, advocacy, safeguarding, review and complaint evidence.</t>
        </is>
      </c>
      <c r="D16" s="50" t="inlineStr">
        <is>
          <t>Adult Social Care / Legal / Safeguarding</t>
        </is>
      </c>
      <c r="E16" s="50" t="inlineStr">
        <is>
          <t>REQ-030, REQ-049</t>
        </is>
      </c>
      <c r="F16" s="51" t="n"/>
      <c r="G16" s="50" t="inlineStr">
        <is>
          <t>Adult social care/case-record retention rules</t>
        </is>
      </c>
      <c r="H16" s="50" t="inlineStr">
        <is>
          <t>Every relevant system; quarterly practice sample</t>
        </is>
      </c>
      <c r="I16" s="51" t="inlineStr">
        <is>
          <t>Required - not evidenced</t>
        </is>
      </c>
      <c r="J16" s="51" t="n"/>
      <c r="K16" s="54" t="n"/>
      <c r="L16" s="54" t="n"/>
      <c r="M16" s="50" t="inlineStr">
        <is>
          <t>Validate evidence on any relevant live/pilot system and preserve professional judgement.</t>
        </is>
      </c>
      <c r="N16" s="50" t="inlineStr">
        <is>
          <t>AIG-ASS-04, AIG-ASS-05, AIG-ASS-07, AIG-ASS-09, AIG-DEC-03, AIG-OPS-03</t>
        </is>
      </c>
      <c r="O16" s="50">
        <f>IF(AND(A16&lt;&gt;"",B16&lt;&gt;"",C16&lt;&gt;"",D16&lt;&gt;"",E16&lt;&gt;"",G16&lt;&gt;"",H16&lt;&gt;"",I16&lt;&gt;"",M16&lt;&gt;"",N16&lt;&gt;""),IF(I16="Required - not evidenced",IF(AND(F16&lt;&gt;"",J16&lt;&gt;""),"Complete","Evidence location missing"),IF(AND(F16&lt;&gt;"",J16&lt;&gt;"",K16&lt;&gt;"",L16&lt;&gt;""),"Complete","Review evidence incomplete")),"Incomplete")</f>
        <v/>
      </c>
    </row>
    <row r="17" ht="32.25" customHeight="1" s="29">
      <c r="A17" s="49" t="inlineStr">
        <is>
          <t>EVD-11</t>
        </is>
      </c>
      <c r="B17" s="50" t="inlineStr">
        <is>
          <t>Transparency, accessibility and communication</t>
        </is>
      </c>
      <c r="C17" s="50" t="inlineStr">
        <is>
          <t>ATRS applicability/publication, accessibility statement/tests, AI explanations, approved notices, engagement, version history and effectiveness.</t>
        </is>
      </c>
      <c r="D17" s="50" t="inlineStr">
        <is>
          <t>Communications / Accessibility / Service Owner</t>
        </is>
      </c>
      <c r="E17" s="50" t="inlineStr">
        <is>
          <t>REQ-008, REQ-012, REQ-031, REQ-034 to REQ-038</t>
        </is>
      </c>
      <c r="F17" s="51" t="n"/>
      <c r="G17" s="50" t="inlineStr">
        <is>
          <t>Publication/communications/records schedule</t>
        </is>
      </c>
      <c r="H17" s="50" t="inlineStr">
        <is>
          <t>Before go-live; on material change; annual accessibility review</t>
        </is>
      </c>
      <c r="I17" s="51" t="inlineStr">
        <is>
          <t>Required - not evidenced</t>
        </is>
      </c>
      <c r="J17" s="51" t="n"/>
      <c r="K17" s="54" t="n"/>
      <c r="L17" s="54" t="n"/>
      <c r="M17" s="50" t="inlineStr">
        <is>
          <t>Approve ATRS route and test resident-facing transparency/accessibility evidence.</t>
        </is>
      </c>
      <c r="N17" s="50" t="inlineStr">
        <is>
          <t>AIG-ASS-09, AIG-ASS-10, AIG-OPS-05, AIG-OPS-01, AIG-AIMS-04</t>
        </is>
      </c>
      <c r="O17" s="50">
        <f>IF(AND(A17&lt;&gt;"",B17&lt;&gt;"",C17&lt;&gt;"",D17&lt;&gt;"",E17&lt;&gt;"",G17&lt;&gt;"",H17&lt;&gt;"",I17&lt;&gt;"",M17&lt;&gt;"",N17&lt;&gt;""),IF(I17="Required - not evidenced",IF(AND(F17&lt;&gt;"",J17&lt;&gt;""),"Complete","Evidence location missing"),IF(AND(F17&lt;&gt;"",J17&lt;&gt;"",K17&lt;&gt;"",L17&lt;&gt;""),"Complete","Review evidence incomplete")),"Incomplete")</f>
        <v/>
      </c>
    </row>
    <row r="18" ht="32.25" customHeight="1" s="29">
      <c r="A18" s="49" t="inlineStr">
        <is>
          <t>EVD-12</t>
        </is>
      </c>
      <c r="B18" s="50" t="inlineStr">
        <is>
          <t>EU AI Act conditional compliance</t>
        </is>
      </c>
      <c r="C18" s="50" t="inlineStr">
        <is>
          <t>Territorial/actor classification, prohibited-practice screen, literacy, transparency, supplier/GPAI information and high-risk evidence if applicable.</t>
        </is>
      </c>
      <c r="D18" s="50" t="inlineStr">
        <is>
          <t>Legal / AI Governance Lead</t>
        </is>
      </c>
      <c r="E18" s="50" t="inlineStr">
        <is>
          <t>REQ-032</t>
        </is>
      </c>
      <c r="F18" s="51" t="n"/>
      <c r="G18" s="50" t="inlineStr">
        <is>
          <t>Legal/contract/AIMS retention rules</t>
        </is>
      </c>
      <c r="H18" s="50" t="inlineStr">
        <is>
          <t>Every plausible EU-scope case; monthly horizon review</t>
        </is>
      </c>
      <c r="I18" s="51" t="inlineStr">
        <is>
          <t>Required - not evidenced</t>
        </is>
      </c>
      <c r="J18" s="51" t="n"/>
      <c r="K18" s="54" t="n"/>
      <c r="L18" s="54" t="n"/>
      <c r="M18" s="50" t="inlineStr">
        <is>
          <t>Complete portfolio screening and retain explicit out-of-scope decisions where justified.</t>
        </is>
      </c>
      <c r="N18" s="50" t="inlineStr">
        <is>
          <t>AIG-ASS-01, AIG-ASS-08 to AIG-ASS-10, AIG-DEC-03, AIG-ASS-11, AIG-OPS-01, AIG-AIMS-04</t>
        </is>
      </c>
      <c r="O18" s="50">
        <f>IF(AND(A18&lt;&gt;"",B18&lt;&gt;"",C18&lt;&gt;"",D18&lt;&gt;"",E18&lt;&gt;"",G18&lt;&gt;"",H18&lt;&gt;"",I18&lt;&gt;"",M18&lt;&gt;"",N18&lt;&gt;""),IF(I18="Required - not evidenced",IF(AND(F18&lt;&gt;"",J18&lt;&gt;""),"Complete","Evidence location missing"),IF(AND(F18&lt;&gt;"",J18&lt;&gt;"",K18&lt;&gt;"",L18&lt;&gt;""),"Complete","Review evidence incomplete")),"Incomplete")</f>
        <v/>
      </c>
    </row>
    <row r="19" ht="32.25" customHeight="1" s="29">
      <c r="A19" s="49" t="inlineStr">
        <is>
          <t>EVD-13</t>
        </is>
      </c>
      <c r="B19" s="50" t="inlineStr">
        <is>
          <t>AIMS conformity and operation</t>
        </is>
      </c>
      <c r="C19" s="50" t="inlineStr">
        <is>
          <t>Approved scope, policy, SoA, objectives, risk, controls, roles, competence, communications, operations, audit, management review and improvement.</t>
        </is>
      </c>
      <c r="D19" s="50" t="inlineStr">
        <is>
          <t>Executive Sponsor / AI Governance Lead</t>
        </is>
      </c>
      <c r="E19" s="50" t="inlineStr">
        <is>
          <t>REQ-040 to REQ-044</t>
        </is>
      </c>
      <c r="F19" s="51" t="n"/>
      <c r="G19" s="50" t="inlineStr">
        <is>
          <t>AIMS documented-information procedure / schedule to be approved</t>
        </is>
      </c>
      <c r="H19" s="50" t="inlineStr">
        <is>
          <t>Quarterly implementation review; annual audit/management review</t>
        </is>
      </c>
      <c r="I19" s="51" t="inlineStr">
        <is>
          <t>Required - not evidenced</t>
        </is>
      </c>
      <c r="J19" s="51" t="n"/>
      <c r="K19" s="54" t="n"/>
      <c r="L19" s="54" t="n"/>
      <c r="M19" s="50" t="inlineStr">
        <is>
          <t>Approve the AIMS and evidence procedure before conformity or effectiveness claims.</t>
        </is>
      </c>
      <c r="N19" s="50" t="inlineStr">
        <is>
          <t>AIG-GOV-02, AIG-AIMS-01 to AIG-AIMS-05 and full suite</t>
        </is>
      </c>
      <c r="O19" s="50">
        <f>IF(AND(A19&lt;&gt;"",B19&lt;&gt;"",C19&lt;&gt;"",D19&lt;&gt;"",E19&lt;&gt;"",G19&lt;&gt;"",H19&lt;&gt;"",I19&lt;&gt;"",M19&lt;&gt;"",N19&lt;&gt;""),IF(I19="Required - not evidenced",IF(AND(F19&lt;&gt;"",J19&lt;&gt;""),"Complete","Evidence location missing"),IF(AND(F19&lt;&gt;"",J19&lt;&gt;"",K19&lt;&gt;"",L19&lt;&gt;""),"Complete","Review evidence incomplete")),"Incomplete")</f>
        <v/>
      </c>
    </row>
    <row r="20" ht="21.75" customHeight="1" s="29">
      <c r="A20" s="49" t="inlineStr">
        <is>
          <t>EVD-14</t>
        </is>
      </c>
      <c r="B20" s="50" t="inlineStr">
        <is>
          <t>Council policy integration</t>
        </is>
      </c>
      <c r="C20" s="50" t="inlineStr">
        <is>
          <t>Current controlled policy titles/versions, AIMS mappings, hand-offs, approvals, conflicts and change notices.</t>
        </is>
      </c>
      <c r="D20" s="50" t="inlineStr">
        <is>
          <t>AI Governance Lead / Control Owners</t>
        </is>
      </c>
      <c r="E20" s="50" t="inlineStr">
        <is>
          <t>REQ-045 to REQ-050</t>
        </is>
      </c>
      <c r="F20" s="51" t="n"/>
      <c r="G20" s="50" t="inlineStr">
        <is>
          <t>Each corporate policy’s approved retention and document-control rules</t>
        </is>
      </c>
      <c r="H20" s="50" t="inlineStr">
        <is>
          <t>Quarterly reconciliation; on policy or organisational change</t>
        </is>
      </c>
      <c r="I20" s="51" t="inlineStr">
        <is>
          <t>Required - not evidenced</t>
        </is>
      </c>
      <c r="J20" s="51" t="n"/>
      <c r="K20" s="54" t="n"/>
      <c r="L20" s="54" t="n"/>
      <c r="M20" s="50" t="inlineStr">
        <is>
          <t>Populate authoritative sources and obtain control-owner sign-off.</t>
        </is>
      </c>
      <c r="N20" s="50" t="inlineStr">
        <is>
          <t>AIG-GOV-06, AIG-AIMS-01, AIG-AIMS-03 to AIG-AIMS-05</t>
        </is>
      </c>
      <c r="O20" s="50">
        <f>IF(AND(A20&lt;&gt;"",B20&lt;&gt;"",C20&lt;&gt;"",D20&lt;&gt;"",E20&lt;&gt;"",G20&lt;&gt;"",H20&lt;&gt;"",I20&lt;&gt;"",M20&lt;&gt;"",N20&lt;&gt;""),IF(I20="Required - not evidenced",IF(AND(F20&lt;&gt;"",J20&lt;&gt;""),"Complete","Evidence location missing"),IF(AND(F20&lt;&gt;"",J20&lt;&gt;"",K20&lt;&gt;"",L20&lt;&gt;""),"Complete","Review evidence incomplete")),"Incomplete")</f>
        <v/>
      </c>
    </row>
    <row r="21" ht="32.25" customHeight="1" s="29">
      <c r="A21" s="49" t="inlineStr">
        <is>
          <t>EVD-15</t>
        </is>
      </c>
      <c r="B21" s="50" t="inlineStr">
        <is>
          <t>Requirements and change control</t>
        </is>
      </c>
      <c r="C21" s="50" t="inlineStr">
        <is>
          <t>Validated applicability, interpretations, source/date, owner, affected systems/processes, change assessment, action, closure and effectiveness.</t>
        </is>
      </c>
      <c r="D21" s="50" t="inlineStr">
        <is>
          <t>Legal Services / AI Governance Lead</t>
        </is>
      </c>
      <c r="E21" s="50" t="inlineStr">
        <is>
          <t>REQ-001 to REQ-058</t>
        </is>
      </c>
      <c r="F21" s="51" t="n"/>
      <c r="G21" s="50" t="inlineStr">
        <is>
          <t>AIMS requirements/change record retention rule</t>
        </is>
      </c>
      <c r="H21" s="50" t="inlineStr">
        <is>
          <t>Monthly change review; annual full validation</t>
        </is>
      </c>
      <c r="I21" s="51" t="inlineStr">
        <is>
          <t>Required - not evidenced</t>
        </is>
      </c>
      <c r="J21" s="51" t="n"/>
      <c r="K21" s="54" t="n"/>
      <c r="L21" s="54" t="n"/>
      <c r="M21" s="50" t="inlineStr">
        <is>
          <t>Run the first specialist validation workshop and approve change-control cadence.</t>
        </is>
      </c>
      <c r="N21" s="50" t="inlineStr">
        <is>
          <t>AIG-OPS-05, AIG-OPS-06, AIG-AIMS-01, AIG-AIMS-03, AIG-AIMS-05</t>
        </is>
      </c>
      <c r="O21" s="50">
        <f>IF(AND(A21&lt;&gt;"",B21&lt;&gt;"",C21&lt;&gt;"",D21&lt;&gt;"",E21&lt;&gt;"",G21&lt;&gt;"",H21&lt;&gt;"",I21&lt;&gt;"",M21&lt;&gt;"",N21&lt;&gt;""),IF(I21="Required - not evidenced",IF(AND(F21&lt;&gt;"",J21&lt;&gt;""),"Complete","Evidence location missing"),IF(AND(F21&lt;&gt;"",J21&lt;&gt;"",K21&lt;&gt;"",L21&lt;&gt;""),"Complete","Review evidence incomplete")),"Incomplete")</f>
        <v/>
      </c>
    </row>
  </sheetData>
  <mergeCells count="4">
    <mergeCell ref="A1:O1"/>
    <mergeCell ref="A4:O4"/>
    <mergeCell ref="A3:O3"/>
    <mergeCell ref="A2:O2"/>
  </mergeCells>
  <conditionalFormatting sqref="I7:I21">
    <cfRule type="containsText" rank="0" priority="2" equalAverage="0" operator="containsText" aboveAverage="0" dxfId="15" text="not evidenced" percent="0" bottom="0">
      <formula>NOT(ISERROR(SEARCH("not evidenced",I7)))</formula>
    </cfRule>
    <cfRule type="containsText" rank="0" priority="3" equalAverage="0" operator="containsText" aboveAverage="0" dxfId="11" text="confirmed" percent="0" bottom="0">
      <formula>NOT(ISERROR(SEARCH("confirmed",I7)))</formula>
    </cfRule>
  </conditionalFormatting>
  <conditionalFormatting sqref="O7:O21">
    <cfRule type="containsText" rank="0" priority="4" equalAverage="0" operator="containsText" aboveAverage="0" dxfId="11" text="Complete" percent="0" bottom="0">
      <formula>NOT(ISERROR(SEARCH("Complete",O7)))</formula>
    </cfRule>
    <cfRule type="notContainsText" rank="0" priority="5" equalAverage="0" operator="notContains" aboveAverage="0" dxfId="15" text="Complete" percent="0" bottom="0">
      <formula>ISERROR(SEARCH("Complete",O7))</formula>
    </cfRule>
  </conditionalFormatting>
  <dataValidations count="1">
    <dataValidation sqref="I7:I21" showDropDown="0" showInputMessage="0" showErrorMessage="0" allowBlank="0" type="list" errorStyle="stop" operator="between">
      <formula1>"Required - not evidenced,Partially evidenced,Operating,Effectiveness confirmed,Gap / corrective action,Retired"</formula1>
      <formula2>0</formula2>
    </dataValidation>
  </dataValidations>
  <pageMargins left="0.7" right="0.7" top="0.75" bottom="0.75" header="0.3" footer="0.3"/>
  <pageSetup orientation="landscape" paperSize="9" fitToHeight="0" fitToWidth="2" useFirstPageNumber="0"/>
  <headerFooter>
    <oddHeader>&amp;C&amp;"Arial,Regular"&amp;8 The Council — AIMS Applicable Requirements and Change Register</oddHeader>
    <oddFooter>&amp;C&amp;"Arial,Regular"&amp;8 AIG-AIMS-05 · v1.9 draft · Draft for Council review · OFFICIAL · 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J46"/>
  <sheetViews>
    <sheetView showGridLines="0" workbookViewId="0">
      <selection activeCell="A1" sqref="A1"/>
    </sheetView>
  </sheetViews>
  <sheetFormatPr baseColWidth="8" defaultColWidth="9.47265625" defaultRowHeight="15"/>
  <cols>
    <col width="18.68000030517578" customWidth="1" style="28" min="1" max="1"/>
    <col width="34.06999969482422" customWidth="1" style="28" min="2" max="2"/>
    <col width="5.510000228881836" customWidth="1" style="28" min="3" max="3"/>
    <col width="24.18000030517578" customWidth="1" style="28" min="4" max="4"/>
    <col width="34.06999969482422" customWidth="1" style="28" min="5" max="5"/>
    <col width="5.510000228881836" customWidth="1" style="28" min="6" max="6"/>
    <col width="21.97999954223633" customWidth="1" style="28" min="7" max="7"/>
    <col width="37.36999893188477" customWidth="1" style="28" min="8" max="8"/>
  </cols>
  <sheetData>
    <row r="1" ht="31.5" customHeight="1" s="29">
      <c r="A1" s="55" t="inlineStr">
        <is>
          <t>AIG-AIMS-05 — Definitions, Validation Rules and Controlled-Use Guidance</t>
        </is>
      </c>
    </row>
    <row r="2"/>
    <row r="3" ht="15" customHeight="1" s="29">
      <c r="A3" s="45" t="inlineStr">
        <is>
          <t>Applicability status</t>
        </is>
      </c>
      <c r="B3" s="45" t="inlineStr">
        <is>
          <t>Meaning</t>
        </is>
      </c>
      <c r="D3" s="45" t="inlineStr">
        <is>
          <t>Validation status</t>
        </is>
      </c>
      <c r="E3" s="45" t="inlineStr">
        <is>
          <t>Meaning</t>
        </is>
      </c>
      <c r="G3" s="45" t="inlineStr">
        <is>
          <t>Change status</t>
        </is>
      </c>
      <c r="H3" s="45" t="inlineStr">
        <is>
          <t>Meaning</t>
        </is>
      </c>
      <c r="J3" s="0" t="inlineStr">
        <is>
          <t>Requirement source/status options</t>
        </is>
      </c>
    </row>
    <row r="4" ht="30.75" customHeight="1" s="29">
      <c r="A4" s="36" t="inlineStr">
        <is>
          <t>Applicable</t>
        </is>
      </c>
      <c r="B4" s="46" t="inlineStr">
        <is>
          <t>Requirement governs the AIMS/Council domain; specific provisions and system triggers still require specialist interpretation.</t>
        </is>
      </c>
      <c r="D4" s="36" t="inlineStr">
        <is>
          <t>Specialist validation required</t>
        </is>
      </c>
      <c r="E4" s="46" t="inlineStr">
        <is>
          <t>Desk-reviewed starting position; no competent owner has approved applicability/interpretation.</t>
        </is>
      </c>
      <c r="G4" s="36" t="inlineStr">
        <is>
          <t>Assessment required</t>
        </is>
      </c>
      <c r="H4" s="46" t="inlineStr">
        <is>
          <t>Source is identified; impact, applicability, priority and action require approval.</t>
        </is>
      </c>
      <c r="J4" s="0" t="inlineStr">
        <is>
          <t>Current</t>
        </is>
      </c>
    </row>
    <row r="5" ht="30.75" customHeight="1" s="29">
      <c r="A5" s="36" t="inlineStr">
        <is>
          <t>Conditional</t>
        </is>
      </c>
      <c r="B5" s="46" t="inlineStr">
        <is>
          <t>Applies only when the recorded trigger, territory, service, processing, technology or contractual condition is met.</t>
        </is>
      </c>
      <c r="D5" s="36" t="inlineStr">
        <is>
          <t>Validation scheduled</t>
        </is>
      </c>
      <c r="E5" s="46" t="inlineStr">
        <is>
          <t>Named reviewer, scope and target date are agreed.</t>
        </is>
      </c>
      <c r="G5" s="36" t="inlineStr">
        <is>
          <t>Monitoring</t>
        </is>
      </c>
      <c r="H5" s="46" t="inlineStr">
        <is>
          <t>No immediate control change approved; named owner and next review retained.</t>
        </is>
      </c>
      <c r="J5" s="0" t="inlineStr">
        <is>
          <t>New / commenced</t>
        </is>
      </c>
    </row>
    <row r="6" ht="30.75" customHeight="1" s="29">
      <c r="A6" s="36" t="inlineStr">
        <is>
          <t>Voluntary adopted</t>
        </is>
      </c>
      <c r="B6" s="46" t="inlineStr">
        <is>
          <t>Not generally mandatory for the Council, but proposed as a binding Council commitment through formal adoption.</t>
        </is>
      </c>
      <c r="D6" s="36" t="inlineStr">
        <is>
          <t>Validated</t>
        </is>
      </c>
      <c r="E6" s="46" t="inlineStr">
        <is>
          <t>Competent owner approved applicability, interpretation, affected controls/systems and review.</t>
        </is>
      </c>
      <c r="G6" s="36" t="inlineStr">
        <is>
          <t>Action approved</t>
        </is>
      </c>
      <c r="H6" s="46" t="inlineStr">
        <is>
          <t>Change and resources are authorised with target and owner.</t>
        </is>
      </c>
      <c r="J6" s="0" t="inlineStr">
        <is>
          <t>Amended</t>
        </is>
      </c>
    </row>
    <row r="7" ht="30.75" customHeight="1" s="29">
      <c r="A7" s="36" t="inlineStr">
        <is>
          <t>Proposed adoption</t>
        </is>
      </c>
      <c r="B7" s="46" t="inlineStr">
        <is>
          <t>The suite proposes adoption; it is not binding until approved by the competent authority.</t>
        </is>
      </c>
      <c r="D7" s="36" t="inlineStr">
        <is>
          <t>Rejected / superseded</t>
        </is>
      </c>
      <c r="E7" s="46" t="inlineStr">
        <is>
          <t>Requirement is not applicable or has been replaced, with authority, rationale and review trigger retained.</t>
        </is>
      </c>
      <c r="G7" s="36" t="inlineStr">
        <is>
          <t>In progress</t>
        </is>
      </c>
      <c r="H7" s="46" t="inlineStr">
        <is>
          <t>Implementation is under way and interim risk is controlled.</t>
        </is>
      </c>
      <c r="J7" s="0" t="inlineStr">
        <is>
          <t>Amended / applying</t>
        </is>
      </c>
    </row>
    <row r="8" ht="30.75" customHeight="1" s="29">
      <c r="A8" s="36" t="inlineStr">
        <is>
          <t>Guidance to consider</t>
        </is>
      </c>
      <c r="B8" s="46" t="inlineStr">
        <is>
          <t>Authoritative or relevant guidance to assess; not automatically equivalent to a legal duty.</t>
        </is>
      </c>
      <c r="G8" s="36" t="inlineStr">
        <is>
          <t>Implemented</t>
        </is>
      </c>
      <c r="H8" s="46" t="inlineStr">
        <is>
          <t>Change is implemented; effectiveness/closure evidence is being verified.</t>
        </is>
      </c>
      <c r="J8" s="0" t="inlineStr">
        <is>
          <t>Under review</t>
        </is>
      </c>
    </row>
    <row r="9" ht="30.75" customHeight="1" s="29">
      <c r="A9" s="36" t="inlineStr">
        <is>
          <t>Needs legal validation</t>
        </is>
      </c>
      <c r="B9" s="46" t="inlineStr">
        <is>
          <t>Potential requirement whose status cannot be confirmed without competent review.</t>
        </is>
      </c>
      <c r="G9" s="36" t="inlineStr">
        <is>
          <t>Closed</t>
        </is>
      </c>
      <c r="H9" s="46" t="inlineStr">
        <is>
          <t>Implementation and effectiveness evidence are approved.</t>
        </is>
      </c>
      <c r="J9" s="0" t="inlineStr">
        <is>
          <t>Updated 2025</t>
        </is>
      </c>
    </row>
    <row r="10" ht="30.75" customHeight="1" s="29">
      <c r="A10" s="36" t="inlineStr">
        <is>
          <t>Not applicable (approved)</t>
        </is>
      </c>
      <c r="B10" s="46" t="inlineStr">
        <is>
          <t>Competent owner has documented and approved a justified exclusion, scope condition and review trigger.</t>
        </is>
      </c>
      <c r="G10" s="36" t="inlineStr">
        <is>
          <t>Not applicable</t>
        </is>
      </c>
      <c r="H10" s="46" t="inlineStr">
        <is>
          <t>Competent owner approved no action with rationale and review trigger.</t>
        </is>
      </c>
      <c r="J10" s="0" t="inlineStr">
        <is>
          <t>Updated 2026</t>
        </is>
      </c>
    </row>
    <row r="11">
      <c r="J11" s="0" t="inlineStr">
        <is>
          <t>Current / case-law sensitive</t>
        </is>
      </c>
    </row>
    <row r="12" ht="15" customHeight="1" s="29">
      <c r="A12" s="34" t="inlineStr">
        <is>
          <t>Validation and legal-control rules</t>
        </is>
      </c>
      <c r="J12" s="0" t="inlineStr">
        <is>
          <t>Current / case-sensitive</t>
        </is>
      </c>
    </row>
    <row r="13" ht="28.5" customHeight="1" s="29">
      <c r="A13" s="43" t="inlineStr">
        <is>
          <t>• This register supports ISO/IEC 42001 clause 4.2 and related controls; it does not replace the Council’s corporate legal/obligations registers or legal advice.</t>
        </is>
      </c>
      <c r="B13" s="44" t="n"/>
      <c r="C13" s="44" t="n"/>
      <c r="D13" s="44" t="n"/>
      <c r="E13" s="44" t="n"/>
      <c r="F13" s="44" t="n"/>
      <c r="G13" s="44" t="n"/>
      <c r="H13" s="42" t="n"/>
      <c r="J13" s="0" t="inlineStr">
        <is>
          <t>Current / policy developing</t>
        </is>
      </c>
    </row>
    <row r="14" ht="28.5" customHeight="1" s="29">
      <c r="A14" s="43" t="inlineStr">
        <is>
          <t>• Legal Services, the DPO, Monitoring Officer and specialist functions retain authority for their domains. AI governance cannot waive statutory or professional requirements.</t>
        </is>
      </c>
      <c r="B14" s="44" t="n"/>
      <c r="C14" s="44" t="n"/>
      <c r="D14" s="44" t="n"/>
      <c r="E14" s="44" t="n"/>
      <c r="F14" s="44" t="n"/>
      <c r="G14" s="44" t="n"/>
      <c r="H14" s="42" t="n"/>
      <c r="J14" s="0" t="inlineStr">
        <is>
          <t>Current / reform sensitive</t>
        </is>
      </c>
    </row>
    <row r="15" ht="28.5" customHeight="1" s="29">
      <c r="A15" s="43" t="inlineStr">
        <is>
          <t>• Validate applicability at both AIMS level and AI-system level. A law may govern the Council but only particular provisions may be triggered by a specific use.</t>
        </is>
      </c>
      <c r="B15" s="44" t="n"/>
      <c r="C15" s="44" t="n"/>
      <c r="D15" s="44" t="n"/>
      <c r="E15" s="44" t="n"/>
      <c r="F15" s="44" t="n"/>
      <c r="G15" s="44" t="n"/>
      <c r="H15" s="42" t="n"/>
      <c r="J15" s="0" t="inlineStr">
        <is>
          <t>Current / DUAA review sensitive</t>
        </is>
      </c>
    </row>
    <row r="16" ht="28.5" customHeight="1" s="29">
      <c r="A16" s="43" t="inlineStr">
        <is>
          <t>• Record authoritative source, version/date, interpretation, owner, affected system/process, evidence, review and approved decision. Do not rely on summaries alone.</t>
        </is>
      </c>
      <c r="B16" s="44" t="n"/>
      <c r="C16" s="44" t="n"/>
      <c r="D16" s="44" t="n"/>
      <c r="E16" s="44" t="n"/>
      <c r="F16" s="44" t="n"/>
      <c r="G16" s="44" t="n"/>
      <c r="H16" s="42" t="n"/>
      <c r="J16" s="0" t="inlineStr">
        <is>
          <t>Current / commenced</t>
        </is>
      </c>
    </row>
    <row r="17" ht="28.5" customHeight="1" s="29">
      <c r="A17" s="43" t="inlineStr">
        <is>
          <t>• Distinguish law, statutory guidance, regulator guidance, government policy, voluntary standards, Council policy and contract. Their authority and change routes differ.</t>
        </is>
      </c>
      <c r="B17" s="44" t="n"/>
      <c r="C17" s="44" t="n"/>
      <c r="D17" s="44" t="n"/>
      <c r="E17" s="44" t="n"/>
      <c r="F17" s="44" t="n"/>
      <c r="G17" s="44" t="n"/>
      <c r="H17" s="42" t="n"/>
      <c r="J17" s="0" t="inlineStr">
        <is>
          <t>Current / commenced in stages</t>
        </is>
      </c>
    </row>
    <row r="18" ht="28.5" customHeight="1" s="29">
      <c r="A18" s="43" t="inlineStr">
        <is>
          <t>• Treat proposed Bills, consultations and policy statements as horizon items until their legal status changes.</t>
        </is>
      </c>
      <c r="B18" s="44" t="n"/>
      <c r="C18" s="44" t="n"/>
      <c r="D18" s="44" t="n"/>
      <c r="E18" s="44" t="n"/>
      <c r="F18" s="44" t="n"/>
      <c r="G18" s="44" t="n"/>
      <c r="H18" s="42" t="n"/>
      <c r="J18" s="0" t="inlineStr">
        <is>
          <t>Current version to confirm</t>
        </is>
      </c>
    </row>
    <row r="19" ht="28.5" customHeight="1" s="29">
      <c r="A19" s="43" t="inlineStr">
        <is>
          <t>• Use current commencement and transitional provisions. For procurement, record the governing regime for each case.</t>
        </is>
      </c>
      <c r="B19" s="44" t="n"/>
      <c r="C19" s="44" t="n"/>
      <c r="D19" s="44" t="n"/>
      <c r="E19" s="44" t="n"/>
      <c r="F19" s="44" t="n"/>
      <c r="G19" s="44" t="n"/>
      <c r="H19" s="42" t="n"/>
      <c r="J19" s="0" t="inlineStr">
        <is>
          <t>Case-specific</t>
        </is>
      </c>
    </row>
    <row r="20" ht="28.5" customHeight="1" s="29">
      <c r="A20" s="43" t="inlineStr">
        <is>
          <t>• For EU AI Act entries, document territorial scope and Council/supplier actor roles before applying or rejecting obligations.</t>
        </is>
      </c>
      <c r="B20" s="44" t="n"/>
      <c r="C20" s="44" t="n"/>
      <c r="D20" s="44" t="n"/>
      <c r="E20" s="44" t="n"/>
      <c r="F20" s="44" t="n"/>
      <c r="G20" s="44" t="n"/>
      <c r="H20" s="42" t="n"/>
      <c r="J20" s="0" t="inlineStr">
        <is>
          <t>Draft / pending adoption</t>
        </is>
      </c>
    </row>
    <row r="21" ht="28.5" customHeight="1" s="29">
      <c r="A21" s="43" t="inlineStr">
        <is>
          <t>• For DUAA and automated decisions, use current law and DPO/Legal interpretation; several older ICO AI pages are expressly under review.</t>
        </is>
      </c>
      <c r="B21" s="44" t="n"/>
      <c r="C21" s="44" t="n"/>
      <c r="D21" s="44" t="n"/>
      <c r="E21" s="44" t="n"/>
      <c r="F21" s="44" t="n"/>
      <c r="G21" s="44" t="n"/>
      <c r="H21" s="42" t="n"/>
      <c r="J21" s="0" t="inlineStr">
        <is>
          <t>New standard 2025</t>
        </is>
      </c>
    </row>
    <row r="22" ht="28.5" customHeight="1" s="29">
      <c r="A22" s="43" t="inlineStr">
        <is>
          <t>• A change closes only when affected documents, systems, contracts, training and communications are updated and effectiveness evidence is approved.</t>
        </is>
      </c>
      <c r="B22" s="44" t="n"/>
      <c r="C22" s="44" t="n"/>
      <c r="D22" s="44" t="n"/>
      <c r="E22" s="44" t="n"/>
      <c r="F22" s="44" t="n"/>
      <c r="G22" s="44" t="n"/>
      <c r="H22" s="42" t="n"/>
      <c r="J22" s="0" t="inlineStr">
        <is>
          <t>Open policy development</t>
        </is>
      </c>
    </row>
    <row r="23" ht="28.5" customHeight="1" s="29">
      <c r="A23" s="43" t="inlineStr">
        <is>
          <t>• Keep evidence proportionate, secure and retrievable through the AI Register ID; apply retention, legal holds, FOI/EIR and data-protection rules.</t>
        </is>
      </c>
      <c r="B23" s="44" t="n"/>
      <c r="C23" s="44" t="n"/>
      <c r="D23" s="44" t="n"/>
      <c r="E23" s="44" t="n"/>
      <c r="F23" s="44" t="n"/>
      <c r="G23" s="44" t="n"/>
      <c r="H23" s="42" t="n"/>
      <c r="J23" s="0" t="inlineStr">
        <is>
          <t>Transitional</t>
        </is>
      </c>
    </row>
    <row r="24" ht="28.5" customHeight="1" s="29">
      <c r="A24" s="43" t="inlineStr">
        <is>
          <t>• Escalate uncertainty, conflict, overdue high-priority change or lack of competent ownership into AIMS risk treatment and management review.</t>
        </is>
      </c>
      <c r="B24" s="44" t="n"/>
      <c r="C24" s="44" t="n"/>
      <c r="D24" s="44" t="n"/>
      <c r="E24" s="44" t="n"/>
      <c r="F24" s="44" t="n"/>
      <c r="G24" s="44" t="n"/>
      <c r="H24" s="42" t="n"/>
    </row>
    <row r="25"/>
    <row r="26" ht="15" customHeight="1" s="29">
      <c r="A26" s="34" t="inlineStr">
        <is>
          <t>Verified current-position notes — 2026-08-07</t>
        </is>
      </c>
    </row>
    <row r="27" ht="30" customHeight="1" s="29">
      <c r="A27" s="41" t="inlineStr">
        <is>
          <t>1. DUAA: Royal Assent 19 June 2025. The main data-protection amendments (including s.80, UK GDPR Articles 22A to 22D) commenced on 5 February 2026 under SI 2026/82 reg 2; the s.103 complaints duty (DPA 2018 s.164A) applies from 19 June 2026 (reg 3). The Act amends rather than replaces UK GDPR, DPA 2018 and PECR.</t>
        </is>
      </c>
      <c r="B27" s="44" t="n"/>
      <c r="C27" s="44" t="n"/>
      <c r="D27" s="44" t="n"/>
      <c r="E27" s="44" t="n"/>
      <c r="F27" s="44" t="n"/>
      <c r="G27" s="44" t="n"/>
      <c r="H27" s="42" t="n"/>
    </row>
    <row r="28" ht="30" customHeight="1" s="29">
      <c r="A28" s="41" t="inlineStr">
        <is>
          <t>2. ICO: its existing AI/data-protection guidance is under review following DUAA; updated automated-decision guidance and an AI/ADM code are in development.</t>
        </is>
      </c>
      <c r="B28" s="44" t="n"/>
      <c r="C28" s="44" t="n"/>
      <c r="D28" s="44" t="n"/>
      <c r="E28" s="44" t="n"/>
      <c r="F28" s="44" t="n"/>
      <c r="G28" s="44" t="n"/>
      <c r="H28" s="42" t="n"/>
    </row>
    <row r="29" ht="30" customHeight="1" s="29">
      <c r="A29" s="41" t="inlineStr">
        <is>
          <t>3. EU Commission: the EU AI Act entered into force in 2024 and became generally applicable/enforceable from 2 August 2026, with staged exceptions.</t>
        </is>
      </c>
      <c r="B29" s="44" t="n"/>
      <c r="C29" s="44" t="n"/>
      <c r="D29" s="44" t="n"/>
      <c r="E29" s="44" t="n"/>
      <c r="F29" s="44" t="n"/>
      <c r="G29" s="44" t="n"/>
      <c r="H29" s="42" t="n"/>
    </row>
    <row r="30" ht="30" customHeight="1" s="29">
      <c r="A30" s="41" t="inlineStr">
        <is>
          <t>4. EU Commission: the AI Omnibus entered into force on 27 July 2026; official material reports Annex III high-risk rules from 2 December 2027 and Annex I product rules from 2 August 2028.</t>
        </is>
      </c>
      <c r="B30" s="44" t="n"/>
      <c r="C30" s="44" t="n"/>
      <c r="D30" s="44" t="n"/>
      <c r="E30" s="44" t="n"/>
      <c r="F30" s="44" t="n"/>
      <c r="G30" s="44" t="n"/>
      <c r="H30" s="42" t="n"/>
    </row>
    <row r="31" ht="30" customHeight="1" s="29">
      <c r="A31" s="41" t="inlineStr">
        <is>
          <t>5. GOV.UK: Procurement Act 2023 and associated new public-procurement regime commenced on 24 February 2025; the NPPS took effect alongside it.</t>
        </is>
      </c>
      <c r="B31" s="44" t="n"/>
      <c r="C31" s="44" t="n"/>
      <c r="D31" s="44" t="n"/>
      <c r="E31" s="44" t="n"/>
      <c r="F31" s="44" t="n"/>
      <c r="G31" s="44" t="n"/>
      <c r="H31" s="42" t="n"/>
    </row>
    <row r="32" ht="30" customHeight="1" s="29">
      <c r="A32" s="41" t="inlineStr">
        <is>
          <t>6. GOV.UK: ATRS is mandatory for central government departments and in-scope arm’s-length bodies and is recommended (voluntary) for local authorities, including the Council.</t>
        </is>
      </c>
      <c r="B32" s="44" t="n"/>
      <c r="C32" s="44" t="n"/>
      <c r="D32" s="44" t="n"/>
      <c r="E32" s="44" t="n"/>
      <c r="F32" s="44" t="n"/>
      <c r="G32" s="44" t="n"/>
      <c r="H32" s="42" t="n"/>
    </row>
    <row r="33" ht="30" customHeight="1" s="29">
      <c r="A33" s="41" t="inlineStr">
        <is>
          <t>7. GOV.UK: the AI Playbook and AI Insights are public-sector guidance; their use by a local authority requires an adoption/benchmark decision rather than automatic classification as law.</t>
        </is>
      </c>
      <c r="B33" s="44" t="n"/>
      <c r="C33" s="44" t="n"/>
      <c r="D33" s="44" t="n"/>
      <c r="E33" s="44" t="n"/>
      <c r="F33" s="44" t="n"/>
      <c r="G33" s="44" t="n"/>
      <c r="H33" s="42" t="n"/>
    </row>
    <row r="34" ht="30" customHeight="1" s="29">
      <c r="A34" s="41" t="inlineStr">
        <is>
          <t>8. ISO sources identify ISO/IEC 42001:2023, ISO/IEC 23894:2023, ISO/IEC 42005:2025 and ISO/IEC 42006:2025; licensed texts are required for formal clause/control validation.</t>
        </is>
      </c>
      <c r="B34" s="44" t="n"/>
      <c r="C34" s="44" t="n"/>
      <c r="D34" s="44" t="n"/>
      <c r="E34" s="44" t="n"/>
      <c r="F34" s="44" t="n"/>
      <c r="G34" s="44" t="n"/>
      <c r="H34" s="42" t="n"/>
    </row>
    <row r="35"/>
    <row r="36" ht="15" customHeight="1" s="29">
      <c r="A36" s="34" t="inlineStr">
        <is>
          <t>Core source links</t>
        </is>
      </c>
    </row>
    <row r="37" ht="28.5" customHeight="1" s="29">
      <c r="A37" s="43" t="inlineStr">
        <is>
          <t>DUAA commencement (SI 2026/82): https://www.legislation.gov.uk/uksi/2026/82/contents/made ; ICO DUAA: https://ico.org.uk/about-the-ico/what-we-do/legislation-we-cover/data-use-and-access-act-2025/</t>
        </is>
      </c>
      <c r="B37" s="44" t="n"/>
      <c r="C37" s="44" t="n"/>
      <c r="D37" s="44" t="n"/>
      <c r="E37" s="44" t="n"/>
      <c r="F37" s="44" t="n"/>
      <c r="G37" s="44" t="n"/>
      <c r="H37" s="42" t="n"/>
    </row>
    <row r="38" ht="28.5" customHeight="1" s="29">
      <c r="A38" s="43" t="inlineStr">
        <is>
          <t>ICO AI guidance: https://ico.org.uk/for-organisations/uk-gdpr-guidance-and-resources/artificial-intelligence/guidance-on-ai-and-data-protection/</t>
        </is>
      </c>
      <c r="B38" s="44" t="n"/>
      <c r="C38" s="44" t="n"/>
      <c r="D38" s="44" t="n"/>
      <c r="E38" s="44" t="n"/>
      <c r="F38" s="44" t="n"/>
      <c r="G38" s="44" t="n"/>
      <c r="H38" s="42" t="n"/>
    </row>
    <row r="39" ht="28.5" customHeight="1" s="29">
      <c r="A39" s="43" t="inlineStr">
        <is>
          <t>EU AI Act current framework: https://digital-strategy.ec.europa.eu/en/policies/regulatory-framework-ai</t>
        </is>
      </c>
      <c r="B39" s="44" t="n"/>
      <c r="C39" s="44" t="n"/>
      <c r="D39" s="44" t="n"/>
      <c r="E39" s="44" t="n"/>
      <c r="F39" s="44" t="n"/>
      <c r="G39" s="44" t="n"/>
      <c r="H39" s="42" t="n"/>
    </row>
    <row r="40" ht="28.5" customHeight="1" s="29">
      <c r="A40" s="43" t="inlineStr">
        <is>
          <t>EU AI Omnibus entry into force: https://digital-strategy.ec.europa.eu/en/news/ai-omnibus-enters-force</t>
        </is>
      </c>
      <c r="B40" s="44" t="n"/>
      <c r="C40" s="44" t="n"/>
      <c r="D40" s="44" t="n"/>
      <c r="E40" s="44" t="n"/>
      <c r="F40" s="44" t="n"/>
      <c r="G40" s="44" t="n"/>
      <c r="H40" s="42" t="n"/>
    </row>
    <row r="41" ht="28.5" customHeight="1" s="29">
      <c r="A41" s="43" t="inlineStr">
        <is>
          <t>Public procurement reform: https://www.gov.uk/government/collections/transforming-public-procurement</t>
        </is>
      </c>
      <c r="B41" s="44" t="n"/>
      <c r="C41" s="44" t="n"/>
      <c r="D41" s="44" t="n"/>
      <c r="E41" s="44" t="n"/>
      <c r="F41" s="44" t="n"/>
      <c r="G41" s="44" t="n"/>
      <c r="H41" s="42" t="n"/>
    </row>
    <row r="42" ht="28.5" customHeight="1" s="29">
      <c r="A42" s="43" t="inlineStr">
        <is>
          <t>ATRS guidance: https://www.gov.uk/government/publications/guidance-for-organisations-using-the-algorithmic-transparency-recording-standard/algorithmic-transparency-recording-standard-guidance-for-public-sector-bodies</t>
        </is>
      </c>
      <c r="B42" s="44" t="n"/>
      <c r="C42" s="44" t="n"/>
      <c r="D42" s="44" t="n"/>
      <c r="E42" s="44" t="n"/>
      <c r="F42" s="44" t="n"/>
      <c r="G42" s="44" t="n"/>
      <c r="H42" s="42" t="n"/>
    </row>
    <row r="43" ht="28.5" customHeight="1" s="29">
      <c r="A43" s="43" t="inlineStr">
        <is>
          <t>UK Government AI Playbook: https://www.gov.uk/government/publications/ai-playbook-for-the-uk-government</t>
        </is>
      </c>
      <c r="B43" s="44" t="n"/>
      <c r="C43" s="44" t="n"/>
      <c r="D43" s="44" t="n"/>
      <c r="E43" s="44" t="n"/>
      <c r="F43" s="44" t="n"/>
      <c r="G43" s="44" t="n"/>
      <c r="H43" s="42" t="n"/>
    </row>
    <row r="44" ht="28.5" customHeight="1" s="29">
      <c r="A44" s="43" t="inlineStr">
        <is>
          <t>NCSC secure AI: https://www.ncsc.gov.uk/collection/guidelines-secure-ai-system-development/introduction</t>
        </is>
      </c>
      <c r="B44" s="44" t="n"/>
      <c r="C44" s="44" t="n"/>
      <c r="D44" s="44" t="n"/>
      <c r="E44" s="44" t="n"/>
      <c r="F44" s="44" t="n"/>
      <c r="G44" s="44" t="n"/>
      <c r="H44" s="42" t="n"/>
    </row>
    <row r="45" ht="28.5" customHeight="1" s="29">
      <c r="A45" s="43" t="inlineStr">
        <is>
          <t>ISO/IEC 42001: https://www.iso.org/standard/42001</t>
        </is>
      </c>
      <c r="B45" s="44" t="n"/>
      <c r="C45" s="44" t="n"/>
      <c r="D45" s="44" t="n"/>
      <c r="E45" s="44" t="n"/>
      <c r="F45" s="44" t="n"/>
      <c r="G45" s="44" t="n"/>
      <c r="H45" s="42" t="n"/>
    </row>
    <row r="46" ht="28.5" customHeight="1" s="29">
      <c r="A46" s="43" t="inlineStr">
        <is>
          <t>Control status: draft for Council review. Source verification date is not legal sign-off; specialist validation and ongoing horizon scanning remain required.</t>
        </is>
      </c>
      <c r="B46" s="44" t="n"/>
      <c r="C46" s="44" t="n"/>
      <c r="D46" s="44" t="n"/>
      <c r="E46" s="44" t="n"/>
      <c r="F46" s="44" t="n"/>
      <c r="G46" s="44" t="n"/>
      <c r="H46" s="42" t="n"/>
    </row>
  </sheetData>
  <mergeCells count="34">
    <mergeCell ref="A30:H30"/>
    <mergeCell ref="A39:H39"/>
    <mergeCell ref="A15:H15"/>
    <mergeCell ref="A24:H24"/>
    <mergeCell ref="A36:H36"/>
    <mergeCell ref="A45:H45"/>
    <mergeCell ref="A1:H1"/>
    <mergeCell ref="A16:H16"/>
    <mergeCell ref="A41:H41"/>
    <mergeCell ref="A46:H46"/>
    <mergeCell ref="A37:H37"/>
    <mergeCell ref="A27:H27"/>
    <mergeCell ref="A12:H12"/>
    <mergeCell ref="A18:H18"/>
    <mergeCell ref="A26:H26"/>
    <mergeCell ref="A21:H21"/>
    <mergeCell ref="A42:H42"/>
    <mergeCell ref="A33:H33"/>
    <mergeCell ref="A14:H14"/>
    <mergeCell ref="A23:H23"/>
    <mergeCell ref="A32:H32"/>
    <mergeCell ref="A22:H22"/>
    <mergeCell ref="A17:H17"/>
    <mergeCell ref="A29:H29"/>
    <mergeCell ref="A34:H34"/>
    <mergeCell ref="A20:H20"/>
    <mergeCell ref="A38:H38"/>
    <mergeCell ref="A43:H43"/>
    <mergeCell ref="A28:H28"/>
    <mergeCell ref="A13:H13"/>
    <mergeCell ref="A19:H19"/>
    <mergeCell ref="A44:H44"/>
    <mergeCell ref="A31:H31"/>
    <mergeCell ref="A40:H40"/>
  </mergeCells>
  <pageMargins left="0.7" right="0.7" top="0.75" bottom="0.75" header="0.3" footer="0.3"/>
  <pageSetup orientation="landscape" paperSize="9" fitToHeight="0" fitToWidth="1" useFirstPageNumber="0"/>
  <headerFooter>
    <oddHeader>&amp;C&amp;"Arial,Regular"&amp;8 The Council — AIMS Applicable Requirements and Change Register</oddHeader>
    <oddFooter>&amp;C&amp;"Arial,Regular"&amp;8 AIG-AIMS-05 · v1.9 draft · Draft for Council review · OFFICIAL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B11"/>
  <sheetViews>
    <sheetView showGridLines="0" workbookViewId="0">
      <pane ySplit="4" topLeftCell="A5" activePane="bottomLeft" state="frozen"/>
      <selection activeCell="A1" sqref="A1"/>
    </sheetView>
  </sheetViews>
  <sheetFormatPr baseColWidth="8" defaultRowHeight="15"/>
  <cols>
    <col width="30" customWidth="1" style="29" min="1" max="1"/>
    <col width="112" customWidth="1" style="29" min="2" max="2"/>
  </cols>
  <sheetData>
    <row r="1" ht="30" customHeight="1" s="29">
      <c r="A1" s="56" t="inlineStr">
        <is>
          <t>AIG-AIMS-05 — PROPOSED AIG-INV-04/AIG-DEC-04 INTEGRATION NOTES</t>
        </is>
      </c>
    </row>
    <row r="2" ht="36" customHeight="1" s="29">
      <c r="A2" s="57"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row>
    <row r="3"/>
    <row r="4">
      <c r="A4" s="58" t="inlineStr">
        <is>
          <t>Review topic</t>
        </is>
      </c>
      <c r="B4" s="58" t="inlineStr">
        <is>
          <t>Targeted proposed integration note</t>
        </is>
      </c>
    </row>
    <row r="5" ht="68" customHeight="1" s="29">
      <c r="A5" s="59" t="inlineStr">
        <is>
          <t>Status / classification</t>
        </is>
      </c>
      <c r="B5" s="60" t="inlineStr">
        <is>
          <t>Maintain the workbook’s distinction between legislation, regulation, statutory guidance, regulator guidance, government policy, voluntary standards, Council policy and case-specific contract. Applicability and validation fields are proposed until confirmed by the competent legal/specialist owner; no generic source URL by itself establishes an implemented control or legal interpretation.</t>
        </is>
      </c>
    </row>
    <row r="6" ht="85" customHeight="1" s="29">
      <c r="A6" s="59" t="inlineStr">
        <is>
          <t>AIMS-level and case-level scope</t>
        </is>
      </c>
      <c r="B6" s="60" t="inlineStr">
        <is>
          <t>The requirements/change register is the authoritative AIMS source for applicability, source/version/date, validation, change and review. Where an obligation depends on a service, territory, actor, processing, supplier or contract, use AIR-ID to point to the affected proposed AIG-INV-04 system and record the competent case-specific assessment in its source evidence; do not assert a universal system obligation from a generic requirement entry.</t>
        </is>
      </c>
    </row>
    <row r="7" ht="68" customHeight="1" s="29">
      <c r="A7" s="59" t="inlineStr">
        <is>
          <t>AIG-INV-04 evidence join</t>
        </is>
      </c>
      <c r="B7" s="60" t="inlineStr">
        <is>
          <t>For each affected AIR-ID use AIG-INV-04 Evidence index metadata to point to the versioned source, date, status and authorised location of the actual interpretation, obligation schedule, assessment or proof. Do not copy legal advice, contract content, personal data or an unverified citation into the map; missing approved location and evidence remain gaps.</t>
        </is>
      </c>
    </row>
    <row r="8" ht="85" customHeight="1" s="29">
      <c r="A8" s="59" t="inlineStr">
        <is>
          <t>Change-to-event flow</t>
        </is>
      </c>
      <c r="B8" s="60" t="inlineStr">
        <is>
          <t>Keep requirement source changes and decisions in the Requirements Change Register/appropriate change history. If a change creates an actual system governance review, use AIG-DEC-04 Gate plan for an intended forum/target; only a dated Gate Event records that it occurred. Associate any resulting condition with its Condition ID and source evidence. The authoritative approval/waiver is AIG-DEC-03/native minutes, not a horizon scan, change-register status or AIG-DEC-04 event label alone.</t>
        </is>
      </c>
    </row>
    <row r="9" ht="85" customHeight="1" s="29">
      <c r="A9" s="59" t="inlineStr">
        <is>
          <t>Risk, action and review links</t>
        </is>
      </c>
      <c r="B9" s="60" t="inlineStr">
        <is>
          <t>Material uncertainty, changed applicability, missed deadline or impact on controls/resources should link to the relevant AIG-AIMS-03 risk/treatment or improvement action and be presented to AIG-AIMS-09 when appropriate. Link AIR-ID for affected-system cases and retain Evidence IDs. Do not mark a requirement change implemented/closed without approved affected-document/system/contract/training evidence and effectiveness/closure review.</t>
        </is>
      </c>
    </row>
    <row r="10" ht="68" customHeight="1" s="29">
      <c r="A10" s="59" t="inlineStr">
        <is>
          <t>Requirements that must stay conditional</t>
        </is>
      </c>
      <c r="B10" s="60" t="inlineStr">
        <is>
          <t>Keep requirement-specific triggers and status intact, including conditional EU AI Act actor/territorial assessment, case-specific contract duties, specialist-reviewed legal interpretations and guidance that is not law. Draft Bills/policy remain horizon items; proposals and source-currentness do not become Council duties without competent assessment/adoption.</t>
        </is>
      </c>
    </row>
    <row r="11" ht="68" customHeight="1" s="29">
      <c r="A11" s="59" t="inlineStr">
        <is>
          <t>Open adoption checks</t>
        </is>
      </c>
      <c r="B11" s="60" t="inlineStr">
        <is>
          <t>Confirm the authority for legal interpretation and Council policy adoption; validate each entry’s current source/date, owner, review schedule, affected systems/processes, records retention, evidence location and change-control service level. Reconcile to AIG-AIMS-01 interested-party scope and the exact AIR-ID population only after an approved migration.</t>
        </is>
      </c>
    </row>
  </sheetData>
  <mergeCells count="2">
    <mergeCell ref="A2:B2"/>
    <mergeCell ref="A1:B1"/>
  </mergeCells>
  <pageMargins left="0.7" right="0.7" top="0.75" bottom="0.75" header="0.3" footer="0.3"/>
  <pageSetup orientation="landscape" paperSize="9" fitToHeight="0" fitToWidth="1" useFirstPageNumber="0"/>
  <headerFooter>
    <oddHeader>&amp;C&amp;"Arial,Regular"&amp;8 The Council — AIMS Applicable Requirements and Change Register</oddHeader>
    <oddFooter>&amp;C&amp;"Arial,Regular"&amp;8 AIG-AIMS-05 · v1.9 draft · Draft for Council review · OFFICIAL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60"/>
  <sheetViews>
    <sheetView workbookViewId="0">
      <pane xSplit="1" ySplit="2" topLeftCell="B3" activePane="bottomRight" state="frozen"/>
      <selection activeCell="A1" sqref="A1"/>
    </sheetView>
  </sheetViews>
  <sheetFormatPr baseColWidth="8" defaultRowHeight="15"/>
  <cols>
    <col width="21" customWidth="1" style="29" min="1" max="1"/>
    <col width="70" customWidth="1" style="29" min="2" max="2"/>
    <col width="96" customWidth="1" style="29" min="3" max="3"/>
    <col width="84" customWidth="1" style="29" min="4" max="4"/>
    <col width="33" customWidth="1" style="29" min="5" max="5"/>
  </cols>
  <sheetData>
    <row r="1">
      <c r="A1" s="0" t="inlineStr">
        <is>
          <t>PROPOSED QA INDEX — NOT APPROVED. A source reference does not establish applicability or compliance. See AIG-AIMS-05 and AIG-AIMS-13; owners must validate the current source, case-specific scope, control evidence and adopted status.</t>
        </is>
      </c>
    </row>
    <row r="2">
      <c r="A2" s="61" t="inlineStr">
        <is>
          <t>Requirement ID</t>
        </is>
      </c>
      <c r="B2" s="61" t="inlineStr">
        <is>
          <t>Instrument / edition</t>
        </is>
      </c>
      <c r="C2" s="61" t="inlineStr">
        <is>
          <t>Conditional scope / relevance</t>
        </is>
      </c>
      <c r="D2" s="61" t="inlineStr">
        <is>
          <t>Source URL</t>
        </is>
      </c>
      <c r="E2" s="61" t="inlineStr">
        <is>
          <t>Owner validation status</t>
        </is>
      </c>
    </row>
    <row r="3" ht="43" customHeight="1" s="29">
      <c r="A3" s="62" t="inlineStr">
        <is>
          <t>REQ-001</t>
        </is>
      </c>
      <c r="B3" s="62" t="inlineStr">
        <is>
          <t>UK General Data Protection Regulation (UK GDPR), as amended</t>
        </is>
      </c>
      <c r="C3" s="62" t="inlineStr">
        <is>
          <t>Where personal data is processed; test each UK GDPR provision separately.</t>
        </is>
      </c>
      <c r="D3" s="62" t="inlineStr">
        <is>
          <t>https://www.legislation.gov.uk/eur/2016/679/contents</t>
        </is>
      </c>
      <c r="E3" s="62" t="inlineStr">
        <is>
          <t>Specialist validation required</t>
        </is>
      </c>
    </row>
    <row r="4" ht="43" customHeight="1" s="29">
      <c r="A4" s="62" t="inlineStr">
        <is>
          <t>REQ-002</t>
        </is>
      </c>
      <c r="B4" s="62" t="inlineStr">
        <is>
          <t>Data Protection Act 2018, as amended</t>
        </is>
      </c>
      <c r="C4" s="62" t="inlineStr">
        <is>
          <t>Where DPA 2018 processing/rights rules are engaged; DPO to validate.</t>
        </is>
      </c>
      <c r="D4" s="62" t="inlineStr">
        <is>
          <t>https://www.legislation.gov.uk/ukpga/2018/12/contents</t>
        </is>
      </c>
      <c r="E4" s="62" t="inlineStr">
        <is>
          <t>Specialist validation required</t>
        </is>
      </c>
    </row>
    <row r="5" ht="43" customHeight="1" s="29">
      <c r="A5" s="62" t="inlineStr">
        <is>
          <t>REQ-003</t>
        </is>
      </c>
      <c r="B5" s="62" t="inlineStr">
        <is>
          <t>Data (Use and Access) Act 2025 (DUAA)</t>
        </is>
      </c>
      <c r="C5" s="62" t="inlineStr">
        <is>
          <t>Where DUAA-amended UK GDPR/DPA provisions are engaged, including ADM safeguards.</t>
        </is>
      </c>
      <c r="D5" s="62" t="inlineStr">
        <is>
          <t>https://ico.org.uk/about-the-ico/what-we-do/legislation-we-cover/data-use-and-access-act-2025/</t>
        </is>
      </c>
      <c r="E5" s="62" t="inlineStr">
        <is>
          <t>Specialist validation required</t>
        </is>
      </c>
    </row>
    <row r="6" ht="43" customHeight="1" s="29">
      <c r="A6" s="62" t="inlineStr">
        <is>
          <t>REQ-004</t>
        </is>
      </c>
      <c r="B6" s="62" t="inlineStr">
        <is>
          <t>Privacy and Electronic Communications Regulations 2003 (PECR), as amended</t>
        </is>
      </c>
      <c r="C6" s="62" t="inlineStr">
        <is>
          <t>Screen the legislation requirement against this artefact's actual use and record evidence/version; see the Applicable Requirements sheet (REQ-004) for the controlled position.</t>
        </is>
      </c>
      <c r="D6" s="62" t="inlineStr">
        <is>
          <t>https://www.legislation.gov.uk/uksi/2003/2426/contents</t>
        </is>
      </c>
      <c r="E6" s="62" t="inlineStr">
        <is>
          <t>Specialist validation required</t>
        </is>
      </c>
    </row>
    <row r="7" ht="43" customHeight="1" s="29">
      <c r="A7" s="62" t="inlineStr">
        <is>
          <t>REQ-005</t>
        </is>
      </c>
      <c r="B7" s="62" t="inlineStr">
        <is>
          <t>Equality Act 2010, including Public Sector Equality Duty section 149</t>
        </is>
      </c>
      <c r="C7" s="62" t="inlineStr">
        <is>
          <t>Public authority due regard under s.149; case-level equality screening is not risk-tier gated.</t>
        </is>
      </c>
      <c r="D7" s="62" t="inlineStr">
        <is>
          <t>https://www.legislation.gov.uk/ukpga/2010/15/section/149</t>
        </is>
      </c>
      <c r="E7" s="62" t="inlineStr">
        <is>
          <t>Specialist validation required</t>
        </is>
      </c>
    </row>
    <row r="8" ht="43" customHeight="1" s="29">
      <c r="A8" s="62" t="inlineStr">
        <is>
          <t>REQ-006</t>
        </is>
      </c>
      <c r="B8" s="62" t="inlineStr">
        <is>
          <t>Human Rights Act 1998</t>
        </is>
      </c>
      <c r="C8" s="62" t="inlineStr">
        <is>
          <t>Public-authority compatibility under s.6; assess Convention rights engaged by the case.</t>
        </is>
      </c>
      <c r="D8" s="62" t="inlineStr">
        <is>
          <t>https://www.legislation.gov.uk/ukpga/1998/42/contents</t>
        </is>
      </c>
      <c r="E8" s="62" t="inlineStr">
        <is>
          <t>Specialist validation required</t>
        </is>
      </c>
    </row>
    <row r="9" ht="43" customHeight="1" s="29">
      <c r="A9" s="62" t="inlineStr">
        <is>
          <t>REQ-007</t>
        </is>
      </c>
      <c r="B9" s="62" t="inlineStr">
        <is>
          <t>Administrative law, statutory powers, procedural fairness and reasoned decision-making</t>
        </is>
      </c>
      <c r="C9" s="62" t="inlineStr">
        <is>
          <t>Screen the public-law requirement against this artefact's actual use and record evidence/version; see the Applicable Requirements sheet (REQ-007) for the controlled position.</t>
        </is>
      </c>
      <c r="D9" s="62" t="inlineStr">
        <is>
          <t>https://www.gov.uk/government/publications/the-judge-over-your-shoulder</t>
        </is>
      </c>
      <c r="E9" s="62" t="inlineStr">
        <is>
          <t>Specialist validation required</t>
        </is>
      </c>
    </row>
    <row r="10" ht="43" customHeight="1" s="29">
      <c r="A10" s="62" t="inlineStr">
        <is>
          <t>REQ-008</t>
        </is>
      </c>
      <c r="B10" s="62" t="inlineStr">
        <is>
          <t>Public Sector Bodies (Websites and Mobile Applications) (No. 2) Accessibility Regulations 2018</t>
        </is>
      </c>
      <c r="C10" s="62" t="inlineStr">
        <is>
          <t>Screen the legislation requirement against this artefact's actual use and record evidence/version; see the Applicable Requirements sheet (REQ-008) for the controlled position.</t>
        </is>
      </c>
      <c r="D10" s="62" t="inlineStr">
        <is>
          <t>https://www.gov.uk/guidance/accessibility-requirements-for-public-sector-websites-and-apps</t>
        </is>
      </c>
      <c r="E10" s="62" t="inlineStr">
        <is>
          <t>Specialist validation required</t>
        </is>
      </c>
    </row>
    <row r="11" ht="43" customHeight="1" s="29">
      <c r="A11" s="62" t="inlineStr">
        <is>
          <t>REQ-009</t>
        </is>
      </c>
      <c r="B11" s="62" t="inlineStr">
        <is>
          <t>Freedom of Information Act 2000 (FOIA)</t>
        </is>
      </c>
      <c r="C11" s="62" t="inlineStr">
        <is>
          <t>Screen the legislation requirement against this artefact's actual use and record evidence/version; see the Applicable Requirements sheet (REQ-009) for the controlled position.</t>
        </is>
      </c>
      <c r="D11" s="62" t="inlineStr">
        <is>
          <t>https://www.legislation.gov.uk/ukpga/2000/36/contents</t>
        </is>
      </c>
      <c r="E11" s="62" t="inlineStr">
        <is>
          <t>Specialist validation required</t>
        </is>
      </c>
    </row>
    <row r="12" ht="43" customHeight="1" s="29">
      <c r="A12" s="62" t="inlineStr">
        <is>
          <t>REQ-010</t>
        </is>
      </c>
      <c r="B12" s="62" t="inlineStr">
        <is>
          <t>Environmental Information Regulations 2004 (EIR)</t>
        </is>
      </c>
      <c r="C12" s="62" t="inlineStr">
        <is>
          <t>Screen the legislation requirement against this artefact's actual use and record evidence/version; see the Applicable Requirements sheet (REQ-010) for the controlled position.</t>
        </is>
      </c>
      <c r="D12" s="62" t="inlineStr">
        <is>
          <t>https://www.legislation.gov.uk/uksi/2004/3391/contents</t>
        </is>
      </c>
      <c r="E12" s="62" t="inlineStr">
        <is>
          <t>Specialist validation required</t>
        </is>
      </c>
    </row>
    <row r="13" ht="43" customHeight="1" s="29">
      <c r="A13" s="62" t="inlineStr">
        <is>
          <t>REQ-011</t>
        </is>
      </c>
      <c r="B13" s="62" t="inlineStr">
        <is>
          <t>Section 46 Code of Practice on records management under FOIA</t>
        </is>
      </c>
      <c r="C13" s="62" t="inlineStr">
        <is>
          <t>Screen the statutory code requirement against this artefact's actual use and record evidence/version; see the Applicable Requirements sheet (REQ-011) for the controlled position.</t>
        </is>
      </c>
      <c r="D13" s="62" t="inlineStr">
        <is>
          <t>https://ico.org.uk/for-organisations/foi/freedom-of-information-and-environmental-information-regulations/section-46-code-of-practice-records-management/</t>
        </is>
      </c>
      <c r="E13" s="62" t="inlineStr">
        <is>
          <t>Specialist validation required</t>
        </is>
      </c>
    </row>
    <row r="14" ht="43" customHeight="1" s="29">
      <c r="A14" s="62" t="inlineStr">
        <is>
          <t>REQ-012</t>
        </is>
      </c>
      <c r="B14" s="62" t="inlineStr">
        <is>
          <t>Local Government Transparency Code 2015</t>
        </is>
      </c>
      <c r="C14" s="62" t="inlineStr">
        <is>
          <t>Screen the statutory code / government requirement against this artefact's actual use and record evidence/version; see the Applicable Requirements sheet (REQ-012) for the controlled position.</t>
        </is>
      </c>
      <c r="D14" s="62" t="inlineStr">
        <is>
          <t>https://www.gov.uk/government/publications/local-government-transparency-code-2015/local-government-transparency-code-2015</t>
        </is>
      </c>
      <c r="E14" s="62" t="inlineStr">
        <is>
          <t>Specialist validation required</t>
        </is>
      </c>
    </row>
    <row r="15" ht="43" customHeight="1" s="29">
      <c r="A15" s="62" t="inlineStr">
        <is>
          <t>REQ-013</t>
        </is>
      </c>
      <c r="B15" s="62" t="inlineStr">
        <is>
          <t>Local Government Act 1972 (including section 101) and The Council’s constitution and scheme of delegation</t>
        </is>
      </c>
      <c r="C15" s="62" t="inlineStr">
        <is>
          <t>For actual Council decision/approval, verify the current Constitution and delegation.</t>
        </is>
      </c>
      <c r="D15" s="62" t="inlineStr">
        <is>
          <t>https://www.legislation.gov.uk/ukpga/1972/70/contents</t>
        </is>
      </c>
      <c r="E15" s="62" t="inlineStr">
        <is>
          <t>Specialist validation required</t>
        </is>
      </c>
    </row>
    <row r="16" ht="43" customHeight="1" s="29">
      <c r="A16" s="62" t="inlineStr">
        <is>
          <t>REQ-014</t>
        </is>
      </c>
      <c r="B16" s="62" t="inlineStr">
        <is>
          <t>Local Government Act 1999 (Best Value Duty) and 2024 statutory guidance</t>
        </is>
      </c>
      <c r="C16" s="62" t="inlineStr">
        <is>
          <t>Screen the legislation and statutory guidance requirement against this artefact's actual use and record evidence/version; see the Applicable Requirements sheet (REQ-014) for the controlled position.</t>
        </is>
      </c>
      <c r="D16" s="62" t="inlineStr">
        <is>
          <t>https://www.gov.uk/government/publications/best-value-standards-and-intervention-a-statutory-guide-for-best-value-authorities</t>
        </is>
      </c>
      <c r="E16" s="62" t="inlineStr">
        <is>
          <t>Specialist validation required</t>
        </is>
      </c>
    </row>
    <row r="17" ht="43" customHeight="1" s="29">
      <c r="A17" s="62" t="inlineStr">
        <is>
          <t>REQ-015</t>
        </is>
      </c>
      <c r="B17" s="62" t="inlineStr">
        <is>
          <t>Procurement Act 2023 and Procurement Regulations 2024</t>
        </is>
      </c>
      <c r="C17" s="62" t="inlineStr">
        <is>
          <t>For an in-scope procurement; contract owner determines current or transitional regime.</t>
        </is>
      </c>
      <c r="D17" s="62" t="inlineStr">
        <is>
          <t>https://www.legislation.gov.uk/ukpga/2023/54/contents</t>
        </is>
      </c>
      <c r="E17" s="62" t="inlineStr">
        <is>
          <t>Specialist validation required</t>
        </is>
      </c>
    </row>
    <row r="18" ht="43" customHeight="1" s="29">
      <c r="A18" s="62" t="inlineStr">
        <is>
          <t>REQ-016</t>
        </is>
      </c>
      <c r="B18" s="62" t="inlineStr">
        <is>
          <t>National Procurement Policy Statement 2025</t>
        </is>
      </c>
      <c r="C18" s="62" t="inlineStr">
        <is>
          <t>Screen the statutory statement requirement against this artefact's actual use and record evidence/version; see the Applicable Requirements sheet (REQ-016) for the controlled position.</t>
        </is>
      </c>
      <c r="D18" s="62" t="inlineStr">
        <is>
          <t>https://www.gov.uk/government/publications/national-procurement-policy-statement/</t>
        </is>
      </c>
      <c r="E18" s="62" t="inlineStr">
        <is>
          <t>Specialist validation required</t>
        </is>
      </c>
    </row>
    <row r="19" ht="43" customHeight="1" s="29">
      <c r="A19" s="62" t="inlineStr">
        <is>
          <t>REQ-017</t>
        </is>
      </c>
      <c r="B19" s="62" t="inlineStr">
        <is>
          <t>Public Contracts Regulations 2015 and procurement transitional arrangements</t>
        </is>
      </c>
      <c r="C19" s="62" t="inlineStr">
        <is>
          <t>Only for a legacy/transitional procurement to which PCR 2015 still applies.</t>
        </is>
      </c>
      <c r="D19" s="62" t="inlineStr">
        <is>
          <t>https://www.gov.uk/government/collections/transforming-public-procurement</t>
        </is>
      </c>
      <c r="E19" s="62" t="inlineStr">
        <is>
          <t>Specialist validation required</t>
        </is>
      </c>
    </row>
    <row r="20" ht="43" customHeight="1" s="29">
      <c r="A20" s="62" t="inlineStr">
        <is>
          <t>REQ-018</t>
        </is>
      </c>
      <c r="B20" s="62" t="inlineStr">
        <is>
          <t>Public Services (Social Value) Act 2012</t>
        </is>
      </c>
      <c r="C20" s="62" t="inlineStr">
        <is>
          <t>Screen the legislation requirement against this artefact's actual use and record evidence/version; see the Applicable Requirements sheet (REQ-018) for the controlled position.</t>
        </is>
      </c>
      <c r="D20" s="62" t="inlineStr">
        <is>
          <t>https://www.legislation.gov.uk/ukpga/2012/3/contents</t>
        </is>
      </c>
      <c r="E20" s="62" t="inlineStr">
        <is>
          <t>Specialist validation required</t>
        </is>
      </c>
    </row>
    <row r="21" ht="43" customHeight="1" s="29">
      <c r="A21" s="62" t="inlineStr">
        <is>
          <t>REQ-019</t>
        </is>
      </c>
      <c r="B21" s="62" t="inlineStr">
        <is>
          <t>Digital Economy Act 2017 data-sharing powers and codes</t>
        </is>
      </c>
      <c r="C21" s="62" t="inlineStr">
        <is>
          <t>Screen the legislation requirement against this artefact's actual use and record evidence/version; see the Applicable Requirements sheet (REQ-019) for the controlled position.</t>
        </is>
      </c>
      <c r="D21" s="62" t="inlineStr">
        <is>
          <t>https://www.legislation.gov.uk/ukpga/2017/30/contents</t>
        </is>
      </c>
      <c r="E21" s="62" t="inlineStr">
        <is>
          <t>Specialist validation required</t>
        </is>
      </c>
    </row>
    <row r="22" ht="43" customHeight="1" s="29">
      <c r="A22" s="62" t="inlineStr">
        <is>
          <t>REQ-020</t>
        </is>
      </c>
      <c r="B22" s="62" t="inlineStr">
        <is>
          <t>Re-use of Public Sector Information Regulations 2015</t>
        </is>
      </c>
      <c r="C22" s="62" t="inlineStr">
        <is>
          <t>Screen the legislation requirement against this artefact's actual use and record evidence/version; see the Applicable Requirements sheet (REQ-020) for the controlled position.</t>
        </is>
      </c>
      <c r="D22" s="62" t="inlineStr">
        <is>
          <t>https://www.legislation.gov.uk/uksi/2015/1415/contents</t>
        </is>
      </c>
      <c r="E22" s="62" t="inlineStr">
        <is>
          <t>Specialist validation required</t>
        </is>
      </c>
    </row>
    <row r="23" ht="43" customHeight="1" s="29">
      <c r="A23" s="62" t="inlineStr">
        <is>
          <t>REQ-021</t>
        </is>
      </c>
      <c r="B23" s="62" t="inlineStr">
        <is>
          <t>Copyright, Designs and Patents Act 1988</t>
        </is>
      </c>
      <c r="C23" s="62" t="inlineStr">
        <is>
          <t>Screen the legislation requirement against this artefact's actual use and record evidence/version; see the Applicable Requirements sheet (REQ-021) for the controlled position.</t>
        </is>
      </c>
      <c r="D23" s="62" t="inlineStr">
        <is>
          <t>https://www.legislation.gov.uk/ukpga/1988/48/contents</t>
        </is>
      </c>
      <c r="E23" s="62" t="inlineStr">
        <is>
          <t>Specialist validation required</t>
        </is>
      </c>
    </row>
    <row r="24" ht="43" customHeight="1" s="29">
      <c r="A24" s="62" t="inlineStr">
        <is>
          <t>REQ-022</t>
        </is>
      </c>
      <c r="B24" s="62" t="inlineStr">
        <is>
          <t>Copyright and Rights in Databases Regulations 1997</t>
        </is>
      </c>
      <c r="C24" s="62" t="inlineStr">
        <is>
          <t>Screen the legislation requirement against this artefact's actual use and record evidence/version; see the Applicable Requirements sheet (REQ-022) for the controlled position.</t>
        </is>
      </c>
      <c r="D24" s="62" t="inlineStr">
        <is>
          <t>https://www.legislation.gov.uk/uksi/1997/3032/contents</t>
        </is>
      </c>
      <c r="E24" s="62" t="inlineStr">
        <is>
          <t>Specialist validation required</t>
        </is>
      </c>
    </row>
    <row r="25" ht="43" customHeight="1" s="29">
      <c r="A25" s="62" t="inlineStr">
        <is>
          <t>REQ-023</t>
        </is>
      </c>
      <c r="B25" s="62" t="inlineStr">
        <is>
          <t>Computer Misuse Act 1990</t>
        </is>
      </c>
      <c r="C25" s="62" t="inlineStr">
        <is>
          <t>Screen the legislation requirement against this artefact's actual use and record evidence/version; see the Applicable Requirements sheet (REQ-023) for the controlled position.</t>
        </is>
      </c>
      <c r="D25" s="62" t="inlineStr">
        <is>
          <t>https://www.legislation.gov.uk/ukpga/1990/18/contents</t>
        </is>
      </c>
      <c r="E25" s="62" t="inlineStr">
        <is>
          <t>Specialist validation required</t>
        </is>
      </c>
    </row>
    <row r="26" ht="43" customHeight="1" s="29">
      <c r="A26" s="62" t="inlineStr">
        <is>
          <t>REQ-024</t>
        </is>
      </c>
      <c r="B26" s="62" t="inlineStr">
        <is>
          <t>Network and Information Systems Regulations 2018 (NIS Regulations)</t>
        </is>
      </c>
      <c r="C26" s="62" t="inlineStr">
        <is>
          <t>Screen the legislation requirement against this artefact's actual use and record evidence/version; see the Applicable Requirements sheet (REQ-024) for the controlled position.</t>
        </is>
      </c>
      <c r="D26" s="62" t="inlineStr">
        <is>
          <t>https://www.legislation.gov.uk/uksi/2018/506/contents</t>
        </is>
      </c>
      <c r="E26" s="62" t="inlineStr">
        <is>
          <t>Specialist validation required</t>
        </is>
      </c>
    </row>
    <row r="27" ht="43" customHeight="1" s="29">
      <c r="A27" s="62" t="inlineStr">
        <is>
          <t>REQ-025</t>
        </is>
      </c>
      <c r="B27" s="62" t="inlineStr">
        <is>
          <t>RIPA 2000, Investigatory Powers Act 2016 and Protection of Freedoms Act 2012 / surveillance-camera obligations</t>
        </is>
      </c>
      <c r="C27" s="62" t="inlineStr">
        <is>
          <t>Screen the legislation and statutory codes requirement against this artefact's actual use and record evidence/version; see the Applicable Requirements sheet (REQ-025) for the controlled position.</t>
        </is>
      </c>
      <c r="D27" s="62" t="inlineStr">
        <is>
          <t>https://www.legislation.gov.uk/ukpga/2000/23/contents</t>
        </is>
      </c>
      <c r="E27" s="62" t="inlineStr">
        <is>
          <t>Specialist validation required</t>
        </is>
      </c>
    </row>
    <row r="28" ht="43" customHeight="1" s="29">
      <c r="A28" s="62" t="inlineStr">
        <is>
          <t>REQ-026</t>
        </is>
      </c>
      <c r="B28" s="62" t="inlineStr">
        <is>
          <t>Health and Safety at Work etc. Act 1974</t>
        </is>
      </c>
      <c r="C28" s="62" t="inlineStr">
        <is>
          <t>Screen the legislation requirement against this artefact's actual use and record evidence/version; see the Applicable Requirements sheet (REQ-026) for the controlled position.</t>
        </is>
      </c>
      <c r="D28" s="62" t="inlineStr">
        <is>
          <t>https://www.legislation.gov.uk/ukpga/1974/37/contents</t>
        </is>
      </c>
      <c r="E28" s="62" t="inlineStr">
        <is>
          <t>Specialist validation required</t>
        </is>
      </c>
    </row>
    <row r="29" ht="43" customHeight="1" s="29">
      <c r="A29" s="62" t="inlineStr">
        <is>
          <t>REQ-027</t>
        </is>
      </c>
      <c r="B29" s="62" t="inlineStr">
        <is>
          <t>Public Interest Disclosure Act 1998 / Employment Rights Act whistleblowing protections</t>
        </is>
      </c>
      <c r="C29" s="62" t="inlineStr">
        <is>
          <t>Screen the legislation requirement against this artefact's actual use and record evidence/version; see the Applicable Requirements sheet (REQ-027) for the controlled position.</t>
        </is>
      </c>
      <c r="D29" s="62" t="inlineStr">
        <is>
          <t>https://www.legislation.gov.uk/ukpga/1998/23/contents</t>
        </is>
      </c>
      <c r="E29" s="62" t="inlineStr">
        <is>
          <t>Specialist validation required</t>
        </is>
      </c>
    </row>
    <row r="30" ht="43" customHeight="1" s="29">
      <c r="A30" s="62" t="inlineStr">
        <is>
          <t>REQ-028</t>
        </is>
      </c>
      <c r="B30" s="62" t="inlineStr">
        <is>
          <t>Children Acts 1989/2004 and Working Together to Safeguard Children 2026</t>
        </is>
      </c>
      <c r="C30" s="62" t="inlineStr">
        <is>
          <t>Screen the legislation and statutory guidance requirement against this artefact's actual use and record evidence/version; see the Applicable Requirements sheet (REQ-028) for the controlled position.</t>
        </is>
      </c>
      <c r="D30" s="62" t="inlineStr">
        <is>
          <t>https://www.gov.uk/government/publications/working-together-to-safeguard-children--2</t>
        </is>
      </c>
      <c r="E30" s="62" t="inlineStr">
        <is>
          <t>Specialist validation required</t>
        </is>
      </c>
    </row>
    <row r="31" ht="43" customHeight="1" s="29">
      <c r="A31" s="62" t="inlineStr">
        <is>
          <t>REQ-029</t>
        </is>
      </c>
      <c r="B31" s="62" t="inlineStr">
        <is>
          <t>ICO Age Appropriate Design Code (Children’s Code)</t>
        </is>
      </c>
      <c r="C31" s="62" t="inlineStr">
        <is>
          <t>Screen the statutory code / regulatory guidance requirement against this artefact's actual use and record evidence/version; see the Applicable Requirements sheet (REQ-029) for the controlled position.</t>
        </is>
      </c>
      <c r="D31" s="62" t="inlineStr">
        <is>
          <t>https://ico.org.uk/for-organisations/uk-gdpr-guidance-and-resources/childrens-information/childrens-code-guidance-and-resources/age-appropriate-design-a-code-of-practice-for-online-services/</t>
        </is>
      </c>
      <c r="E31" s="62" t="inlineStr">
        <is>
          <t>Specialist validation required</t>
        </is>
      </c>
    </row>
    <row r="32" ht="43" customHeight="1" s="29">
      <c r="A32" s="62" t="inlineStr">
        <is>
          <t>REQ-030</t>
        </is>
      </c>
      <c r="B32" s="62" t="inlineStr">
        <is>
          <t>Care Act 2014 and Mental Capacity Act 2005</t>
        </is>
      </c>
      <c r="C32" s="62" t="inlineStr">
        <is>
          <t>Screen the legislation and statutory guidance requirement against this artefact's actual use and record evidence/version; see the Applicable Requirements sheet (REQ-030) for the controlled position.</t>
        </is>
      </c>
      <c r="D32" s="62" t="inlineStr">
        <is>
          <t>https://www.legislation.gov.uk/ukpga/2014/23/contents</t>
        </is>
      </c>
      <c r="E32" s="62" t="inlineStr">
        <is>
          <t>Specialist validation required</t>
        </is>
      </c>
    </row>
    <row r="33" ht="43" customHeight="1" s="29">
      <c r="A33" s="62" t="inlineStr">
        <is>
          <t>REQ-031</t>
        </is>
      </c>
      <c r="B33" s="62" t="inlineStr">
        <is>
          <t>Digital Markets, Competition and Consumers Act 2024 and current unfair-commercial-practices rules</t>
        </is>
      </c>
      <c r="C33" s="62" t="inlineStr">
        <is>
          <t>Screen the legislation requirement against this artefact's actual use and record evidence/version; see the Applicable Requirements sheet (REQ-031) for the controlled position.</t>
        </is>
      </c>
      <c r="D33" s="62" t="inlineStr">
        <is>
          <t>https://www.legislation.gov.uk/ukpga/2024/13/contents</t>
        </is>
      </c>
      <c r="E33" s="62" t="inlineStr">
        <is>
          <t>Specialist validation required</t>
        </is>
      </c>
    </row>
    <row r="34" ht="43" customHeight="1" s="29">
      <c r="A34" s="62" t="inlineStr">
        <is>
          <t>REQ-032</t>
        </is>
      </c>
      <c r="B34" s="62" t="inlineStr">
        <is>
          <t>Regulation (EU) 2024/1689 (EU AI Act), consolidated and amended by enacted Regulation (EU) 2026/1744</t>
        </is>
      </c>
      <c r="C34" s="62" t="inlineStr">
        <is>
          <t>Only after case-specific EU territorial, actor-role and material scope assessment.</t>
        </is>
      </c>
      <c r="D34" s="62" t="inlineStr">
        <is>
          <t>https://eur-lex.europa.eu/legal-content/EN/TXT/HTML?uri=CELEX:02024R1689-20260727 ; amending Regulation (EU) 2026/1744: https://eur-lex.europa.eu/legal-content/EN/TXT/HTML/?uri=CELEX:32026R1744</t>
        </is>
      </c>
      <c r="E34" s="62" t="inlineStr">
        <is>
          <t>Specialist validation required</t>
        </is>
      </c>
    </row>
    <row r="35" ht="43" customHeight="1" s="29">
      <c r="A35" s="62" t="inlineStr">
        <is>
          <t>REQ-033</t>
        </is>
      </c>
      <c r="B35" s="62" t="inlineStr">
        <is>
          <t>ICO Guidance on AI and Data Protection and AI Risk Toolkit</t>
        </is>
      </c>
      <c r="C35" s="62" t="inlineStr">
        <is>
          <t>Screen the regulatory guidance requirement against this artefact's actual use and record evidence/version; see the Applicable Requirements sheet (REQ-033) for the controlled position.</t>
        </is>
      </c>
      <c r="D35" s="62" t="inlineStr">
        <is>
          <t>https://ico.org.uk/for-organisations/uk-gdpr-guidance-and-resources/artificial-intelligence/guidance-on-ai-and-data-protection/</t>
        </is>
      </c>
      <c r="E35" s="62" t="inlineStr">
        <is>
          <t>Specialist validation required</t>
        </is>
      </c>
    </row>
    <row r="36" ht="43" customHeight="1" s="29">
      <c r="A36" s="62" t="inlineStr">
        <is>
          <t>REQ-034</t>
        </is>
      </c>
      <c r="B36" s="62" t="inlineStr">
        <is>
          <t>ICO Explaining Decisions Made with AI guidance</t>
        </is>
      </c>
      <c r="C36" s="62" t="inlineStr">
        <is>
          <t>Screen the regulatory guidance requirement against this artefact's actual use and record evidence/version; see the Applicable Requirements sheet (REQ-034) for the controlled position.</t>
        </is>
      </c>
      <c r="D36" s="62" t="inlineStr">
        <is>
          <t>https://ico.org.uk/for-organisations/uk-gdpr-guidance-and-resources/artificial-intelligence/explaining-decisions-made-with-artificial-intelligence/</t>
        </is>
      </c>
      <c r="E36" s="62" t="inlineStr">
        <is>
          <t>Specialist validation required</t>
        </is>
      </c>
    </row>
    <row r="37" ht="43" customHeight="1" s="29">
      <c r="A37" s="62" t="inlineStr">
        <is>
          <t>REQ-035</t>
        </is>
      </c>
      <c r="B37" s="62" t="inlineStr">
        <is>
          <t>EHRC Artificial Intelligence in Public Services and PSED guidance</t>
        </is>
      </c>
      <c r="C37" s="62" t="inlineStr">
        <is>
          <t>Screen the regulatory guidance requirement against this artefact's actual use and record evidence/version; see the Applicable Requirements sheet (REQ-035) for the controlled position.</t>
        </is>
      </c>
      <c r="D37" s="62" t="inlineStr">
        <is>
          <t>https://www.equalityhumanrights.com/guidance/artificial-intelligence-public-services</t>
        </is>
      </c>
      <c r="E37" s="62" t="inlineStr">
        <is>
          <t>Specialist validation required</t>
        </is>
      </c>
    </row>
    <row r="38" ht="43" customHeight="1" s="29">
      <c r="A38" s="62" t="inlineStr">
        <is>
          <t>REQ-036</t>
        </is>
      </c>
      <c r="B38" s="62" t="inlineStr">
        <is>
          <t>Algorithmic Transparency Recording Standard (ATRS)</t>
        </is>
      </c>
      <c r="C38" s="62" t="inlineStr">
        <is>
          <t>Central-government mandatory scope is distinct from proposed local-authority adoption.</t>
        </is>
      </c>
      <c r="D38" s="62" t="inlineStr">
        <is>
          <t>https://www.gov.uk/government/publications/guidance-for-organisations-using-the-algorithmic-transparency-recording-standard/algorithmic-transparency-recording-standard-guidance-for-public-sector-bodies</t>
        </is>
      </c>
      <c r="E38" s="62" t="inlineStr">
        <is>
          <t>Specialist validation required</t>
        </is>
      </c>
    </row>
    <row r="39" ht="43" customHeight="1" s="29">
      <c r="A39" s="62" t="inlineStr">
        <is>
          <t>REQ-037</t>
        </is>
      </c>
      <c r="B39" s="62" t="inlineStr">
        <is>
          <t>Artificial Intelligence Playbook for the UK Government</t>
        </is>
      </c>
      <c r="C39" s="62" t="inlineStr">
        <is>
          <t>Screen the government guidance requirement against this artefact's actual use and record evidence/version; see the Applicable Requirements sheet (REQ-037) for the controlled position.</t>
        </is>
      </c>
      <c r="D39" s="62" t="inlineStr">
        <is>
          <t>https://www.gov.uk/government/publications/ai-playbook-for-the-uk-government/artificial-intelligence-playbook-for-the-uk-government-html</t>
        </is>
      </c>
      <c r="E39" s="62" t="inlineStr">
        <is>
          <t>Specialist validation required</t>
        </is>
      </c>
    </row>
    <row r="40" ht="43" customHeight="1" s="29">
      <c r="A40" s="62" t="inlineStr">
        <is>
          <t>REQ-038</t>
        </is>
      </c>
      <c r="B40" s="62" t="inlineStr">
        <is>
          <t>UK pro-innovation AI regulation policy, October 2025 blueprint and 2026 data-regulation call for evidence</t>
        </is>
      </c>
      <c r="C40" s="62" t="inlineStr">
        <is>
          <t>Screen the government policy / consultation requirement against this artefact's actual use and record evidence/version; see the Applicable Requirements sheet (REQ-038) for the controlled position.</t>
        </is>
      </c>
      <c r="D40" s="62" t="inlineStr">
        <is>
          <t>https://www.gov.uk/government/calls-for-evidence/data-regulation-in-the-age-of-ai-and-other-data-intensive-technologies</t>
        </is>
      </c>
      <c r="E40" s="62" t="inlineStr">
        <is>
          <t>Specialist validation required</t>
        </is>
      </c>
    </row>
    <row r="41" ht="43" customHeight="1" s="29">
      <c r="A41" s="62" t="inlineStr">
        <is>
          <t>REQ-039</t>
        </is>
      </c>
      <c r="B41" s="62" t="inlineStr">
        <is>
          <t>NCSC Guidelines for Secure AI System Development</t>
        </is>
      </c>
      <c r="C41" s="62" t="inlineStr">
        <is>
          <t>Screen the government security guidance requirement against this artefact's actual use and record evidence/version; see the Applicable Requirements sheet (REQ-039) for the controlled position.</t>
        </is>
      </c>
      <c r="D41" s="62" t="inlineStr">
        <is>
          <t>https://www.ncsc.gov.uk/collection/guidelines-secure-ai-system-development/introduction</t>
        </is>
      </c>
      <c r="E41" s="62" t="inlineStr">
        <is>
          <t>Specialist validation required</t>
        </is>
      </c>
    </row>
    <row r="42" ht="43" customHeight="1" s="29">
      <c r="A42" s="62" t="inlineStr">
        <is>
          <t>REQ-040</t>
        </is>
      </c>
      <c r="B42" s="62" t="inlineStr">
        <is>
          <t>ISO/IEC 42001:2023 Artificial intelligence management system</t>
        </is>
      </c>
      <c r="C42" s="62" t="inlineStr">
        <is>
          <t>Proposed management-system design mapping; licensed clause review and adoption needed.</t>
        </is>
      </c>
      <c r="D42" s="62" t="inlineStr">
        <is>
          <t>https://www.iso.org/standard/42001</t>
        </is>
      </c>
      <c r="E42" s="62" t="inlineStr">
        <is>
          <t>Specialist validation required</t>
        </is>
      </c>
    </row>
    <row r="43" ht="43" customHeight="1" s="29">
      <c r="A43" s="62" t="inlineStr">
        <is>
          <t>REQ-041</t>
        </is>
      </c>
      <c r="B43" s="62" t="inlineStr">
        <is>
          <t>ISO/IEC 23894:2023 AI — Guidance on risk management</t>
        </is>
      </c>
      <c r="C43" s="62" t="inlineStr">
        <is>
          <t>Voluntary risk-management guidance; proposed alignment, not statutory conformity.</t>
        </is>
      </c>
      <c r="D43" s="62" t="inlineStr">
        <is>
          <t>https://www.iso.org/standard/77304.html</t>
        </is>
      </c>
      <c r="E43" s="62" t="inlineStr">
        <is>
          <t>Specialist validation required</t>
        </is>
      </c>
    </row>
    <row r="44" ht="43" customHeight="1" s="29">
      <c r="A44" s="62" t="inlineStr">
        <is>
          <t>REQ-042</t>
        </is>
      </c>
      <c r="B44" s="62" t="inlineStr">
        <is>
          <t>ISO/IEC 42005:2025 AI system impact assessment</t>
        </is>
      </c>
      <c r="C44" s="62" t="inlineStr">
        <is>
          <t>Guidance for AI impact-assessment design; validate edition and selected use.</t>
        </is>
      </c>
      <c r="D44" s="62" t="inlineStr">
        <is>
          <t>https://www.iso.org/standard/42005</t>
        </is>
      </c>
      <c r="E44" s="62" t="inlineStr">
        <is>
          <t>Specialist validation required</t>
        </is>
      </c>
    </row>
    <row r="45" ht="43" customHeight="1" s="29">
      <c r="A45" s="62" t="inlineStr">
        <is>
          <t>REQ-043</t>
        </is>
      </c>
      <c r="B45" s="62" t="inlineStr">
        <is>
          <t>ISO/IEC 42006:2025 requirements for bodies providing audit and certification of AIMS</t>
        </is>
      </c>
      <c r="C45" s="62" t="inlineStr">
        <is>
          <t>Certification-body standard, not an automatic Council operational requirement.</t>
        </is>
      </c>
      <c r="D45" s="62" t="inlineStr">
        <is>
          <t>https://www.iso.org/standard/42006</t>
        </is>
      </c>
      <c r="E45" s="62" t="inlineStr">
        <is>
          <t>Specialist validation required</t>
        </is>
      </c>
    </row>
    <row r="46" ht="43" customHeight="1" s="29">
      <c r="A46" s="62" t="inlineStr">
        <is>
          <t>REQ-044</t>
        </is>
      </c>
      <c r="B46" s="62" t="inlineStr">
        <is>
          <t>Council AI Governance Playbook — proposed edition/version and currency to be owner-validated</t>
        </is>
      </c>
      <c r="C46" s="62" t="inlineStr">
        <is>
          <t>Proposed Council suite edition and controlled adoption remain unconfirmed.</t>
        </is>
      </c>
      <c r="D46" s="62" t="inlineStr">
        <is>
          <t>Internal controlled suite — 52 purpose-grouped artefacts (see AIG-GOV-03)</t>
        </is>
      </c>
      <c r="E46" s="62" t="inlineStr">
        <is>
          <t>Specialist validation required</t>
        </is>
      </c>
    </row>
    <row r="47" ht="43" customHeight="1" s="29">
      <c r="A47" s="62" t="inlineStr">
        <is>
          <t>REQ-045</t>
        </is>
      </c>
      <c r="B47" s="62" t="inlineStr">
        <is>
          <t>Council Constitution, executive arrangements, schemes of delegation and committee procedure rules</t>
        </is>
      </c>
      <c r="C47" s="62" t="inlineStr">
        <is>
          <t>Screen the council constitution / scheme of delegation requirement against this artefact's actual use and record evidence/version; see the Applicable Requirements sheet (REQ-045) for the controlled position.</t>
        </is>
      </c>
      <c r="D47" s="62" t="inlineStr">
        <is>
          <t>Current Council Constitution / Scheme of Delegation reference, approved governance records and delegation evidence</t>
        </is>
      </c>
      <c r="E47" s="62" t="inlineStr">
        <is>
          <t>Specialist validation required</t>
        </is>
      </c>
    </row>
    <row r="48" ht="43" customHeight="1" s="29">
      <c r="A48" s="62" t="inlineStr">
        <is>
          <t>REQ-046</t>
        </is>
      </c>
      <c r="B48" s="62" t="inlineStr">
        <is>
          <t>Council data protection, information governance, records, retention, information-sharing and FOI/EIR policies</t>
        </is>
      </c>
      <c r="C48" s="62" t="inlineStr">
        <is>
          <t>Screen the council policies / standards requirement against this artefact's actual use and record evidence/version; see the Applicable Requirements sheet (REQ-046) for the controlled position.</t>
        </is>
      </c>
      <c r="D48" s="62" t="inlineStr">
        <is>
          <t>Council controlled policy repository — authoritative titles, versions and links to be populated</t>
        </is>
      </c>
      <c r="E48" s="62" t="inlineStr">
        <is>
          <t>Specialist validation required</t>
        </is>
      </c>
    </row>
    <row r="49" ht="43" customHeight="1" s="29">
      <c r="A49" s="62" t="inlineStr">
        <is>
          <t>REQ-047</t>
        </is>
      </c>
      <c r="B49" s="62" t="inlineStr">
        <is>
          <t>Council cyber security, acceptable use, identity/access, secure development, incident, resilience and business-continuity policies</t>
        </is>
      </c>
      <c r="C49" s="62" t="inlineStr">
        <is>
          <t>Screen the council policies / standards requirement against this artefact's actual use and record evidence/version; see the Applicable Requirements sheet (REQ-047) for the controlled position.</t>
        </is>
      </c>
      <c r="D49" s="62" t="inlineStr">
        <is>
          <t>Council controlled security and resilience repository — authoritative titles, versions and links to be populated</t>
        </is>
      </c>
      <c r="E49" s="62" t="inlineStr">
        <is>
          <t>Specialist validation required</t>
        </is>
      </c>
    </row>
    <row r="50" ht="43" customHeight="1" s="29">
      <c r="A50" s="62" t="inlineStr">
        <is>
          <t>REQ-048</t>
        </is>
      </c>
      <c r="B50" s="62" t="inlineStr">
        <is>
          <t>Council procurement, commercial, contract-management, social-value and financial rules</t>
        </is>
      </c>
      <c r="C50" s="62" t="inlineStr">
        <is>
          <t>Screen the council policies / templates requirement against this artefact's actual use and record evidence/version; see the Applicable Requirements sheet (REQ-048) for the controlled position.</t>
        </is>
      </c>
      <c r="D50" s="62" t="inlineStr">
        <is>
          <t>Council controlled procurement and finance repository — authoritative titles, versions and links to be populated</t>
        </is>
      </c>
      <c r="E50" s="62" t="inlineStr">
        <is>
          <t>Specialist validation required</t>
        </is>
      </c>
    </row>
    <row r="51" ht="43" customHeight="1" s="29">
      <c r="A51" s="62" t="inlineStr">
        <is>
          <t>REQ-049</t>
        </is>
      </c>
      <c r="B51" s="62" t="inlineStr">
        <is>
          <t>Council equality, accessibility, HR, workforce consultation, safeguarding, complaints, engagement and communications policies</t>
        </is>
      </c>
      <c r="C51" s="62" t="inlineStr">
        <is>
          <t>Screen the council policies / procedures requirement against this artefact's actual use and record evidence/version; see the Applicable Requirements sheet (REQ-049) for the controlled position.</t>
        </is>
      </c>
      <c r="D51" s="62" t="inlineStr">
        <is>
          <t>Council controlled people, safeguarding and communications repositories — authoritative titles, versions and links to be populated</t>
        </is>
      </c>
      <c r="E51" s="62" t="inlineStr">
        <is>
          <t>Specialist validation required</t>
        </is>
      </c>
    </row>
    <row r="52" ht="43" customHeight="1" s="29">
      <c r="A52" s="62" t="inlineStr">
        <is>
          <t>REQ-050</t>
        </is>
      </c>
      <c r="B52" s="62" t="inlineStr">
        <is>
          <t>Council corporate risk, internal audit, digital/service design, architecture, change, project, benefits, incident and continuity frameworks</t>
        </is>
      </c>
      <c r="C52" s="62" t="inlineStr">
        <is>
          <t>Screen the council policies / procedures requirement against this artefact's actual use and record evidence/version; see the Applicable Requirements sheet (REQ-050) for the controlled position.</t>
        </is>
      </c>
      <c r="D52" s="62" t="inlineStr">
        <is>
          <t>Council controlled risk, audit and digital repositories — authoritative titles, versions and links to be populated</t>
        </is>
      </c>
      <c r="E52" s="62" t="inlineStr">
        <is>
          <t>Specialist validation required</t>
        </is>
      </c>
    </row>
    <row r="53" ht="43" customHeight="1" s="29">
      <c r="A53" s="62" t="inlineStr">
        <is>
          <t>REQ-051</t>
        </is>
      </c>
      <c r="B53" s="62" t="inlineStr">
        <is>
          <t>AI supplier contracts, data-processing/data-sharing agreements, partnership arrangements, grants and funding conditions</t>
        </is>
      </c>
      <c r="C53" s="62" t="inlineStr">
        <is>
          <t>Screen the contractual / partnership requirement against this artefact's actual use and record evidence/version; see the Applicable Requirements sheet (REQ-051) for the controlled position.</t>
        </is>
      </c>
      <c r="D53" s="62" t="inlineStr">
        <is>
          <t>Case-specific controlled contract or agreement — link from AI Register</t>
        </is>
      </c>
      <c r="E53" s="62" t="inlineStr">
        <is>
          <t>Specialist validation required</t>
        </is>
      </c>
    </row>
    <row r="54" ht="43" customHeight="1" s="29">
      <c r="A54" s="62" t="inlineStr">
        <is>
          <t>REQ-052</t>
        </is>
      </c>
      <c r="B54" s="62" t="inlineStr">
        <is>
          <t>Code of Practice for the Cyber Security of AI (DSIT, 31 January 2025)</t>
        </is>
      </c>
      <c r="C54" s="62" t="inlineStr">
        <is>
          <t>Voluntary UK government security baseline (13 principles); applies where AI is developed, configured or procured; see the Applicable Requirements sheet (REQ-052) and the proposed AIG-ASS-11 mapping.</t>
        </is>
      </c>
      <c r="D54" s="62" t="inlineStr">
        <is>
          <t>https://www.gov.uk/government/publications/ai-cyber-security-code-of-practice/code-of-practice-for-the-cyber-security-of-ai</t>
        </is>
      </c>
      <c r="E54" s="62" t="inlineStr">
        <is>
          <t>Specialist validation required</t>
        </is>
      </c>
    </row>
    <row r="55" ht="43" customHeight="1" s="29">
      <c r="A55" s="62" t="inlineStr">
        <is>
          <t>REQ-053</t>
        </is>
      </c>
      <c r="B55" s="62" t="inlineStr">
        <is>
          <t>ETSI EN 304 223 V2.1.1 (2026-01) Securing Artificial Intelligence (SAI); Baseline Cyber Security Requirements for AI Models and Systems</t>
        </is>
      </c>
      <c r="C55" s="62" t="inlineStr">
        <is>
          <t>Voluntary European Standard derived from REQ-052; screen where a supplier claims conformance or a contract specifies it; verify current edition; see the Applicable Requirements sheet (REQ-053) for the controlled position.</t>
        </is>
      </c>
      <c r="D55" s="62" t="inlineStr">
        <is>
          <t>ETSI standards catalogue (search EN 304 223; verify current edition): https://www.etsi.org/standards</t>
        </is>
      </c>
      <c r="E55" s="62" t="inlineStr">
        <is>
          <t>Specialist validation required</t>
        </is>
      </c>
    </row>
    <row r="56" ht="43" customHeight="1" s="29">
      <c r="A56" s="62" t="inlineStr">
        <is>
          <t>REQ-054</t>
        </is>
      </c>
      <c r="B56" s="62" t="inlineStr">
        <is>
          <t>Civil Contingencies Act 2004 (Category 1 responder duties, including business continuity arrangements)</t>
        </is>
      </c>
      <c r="C56" s="62" t="inlineStr">
        <is>
          <t>Where an AI use supports a service the Council has identified as a prioritised activity in its business continuity plans; Legal / Emergency Planning to confirm; see the Applicable Requirements sheet (REQ-054) for the controlled position (Proposed — for Council confirmation).</t>
        </is>
      </c>
      <c r="D56" s="62" t="inlineStr">
        <is>
          <t>https://www.legislation.gov.uk/ukpga/2004/36/contents</t>
        </is>
      </c>
      <c r="E56" s="62" t="inlineStr">
        <is>
          <t>Specialist validation required</t>
        </is>
      </c>
    </row>
    <row r="57" ht="43" customHeight="1" s="29">
      <c r="A57" s="62" t="inlineStr">
        <is>
          <t>REQ-055</t>
        </is>
      </c>
      <c r="B57" s="62" t="inlineStr">
        <is>
          <t>NIST AI 600-1 Artificial Intelligence Risk Management Framework: Generative Artificial Intelligence Profile (July 2024)</t>
        </is>
      </c>
      <c r="C57" s="62" t="inlineStr">
        <is>
          <t>Voluntary guidance (US): generative AI risk prompts and actions; reference only, not statutory. See the Applicable Requirements sheet (REQ-055) and the AIG-AIMS-11 risk domain crosswalk (Proposed — for Council confirmation).</t>
        </is>
      </c>
      <c r="D57" s="62" t="inlineStr">
        <is>
          <t>https://doi.org/10.6028/NIST.AI.600-1</t>
        </is>
      </c>
      <c r="E57" s="62" t="inlineStr">
        <is>
          <t>Specialist validation required</t>
        </is>
      </c>
    </row>
    <row r="58" ht="43" customHeight="1" s="29">
      <c r="A58" s="62" t="inlineStr">
        <is>
          <t>REQ-056</t>
        </is>
      </c>
      <c r="B58" s="62" t="inlineStr">
        <is>
          <t>The Data Protection Act 2018 (Code of Practice on Artificial Intelligence and Automated Decision-Making) Regulations 2026 (SI 2026/425), and the ICO statutory code of practice on AI and automated decision-making that it requires</t>
        </is>
      </c>
      <c r="C58" s="62" t="inlineStr">
        <is>
          <t>Where Council AI processes personal data or makes automated decisions; DPO to assess against the ICO code once issued; see the Applicable Requirements sheet (REQ-056).</t>
        </is>
      </c>
      <c r="D58" s="62" t="inlineStr">
        <is>
          <t>https://www.legislation.gov.uk/uksi/2026/425/made</t>
        </is>
      </c>
      <c r="E58" s="62" t="inlineStr">
        <is>
          <t>Specialist validation required</t>
        </is>
      </c>
    </row>
    <row r="59" ht="43" customHeight="1" s="29">
      <c r="A59" s="62" t="inlineStr">
        <is>
          <t>REQ-057</t>
        </is>
      </c>
      <c r="B59" s="62" t="inlineStr">
        <is>
          <t>DAMA-DMBOK: Data Management Body of Knowledge, 2nd Edition Revised (DAMA International)</t>
        </is>
      </c>
      <c r="C59" s="62" t="inlineStr">
        <is>
          <t>Voluntary reference for data governance and data quality in AI; see the Applicable Requirements sheet (REQ-057).</t>
        </is>
      </c>
      <c r="D59" s="62" t="inlineStr">
        <is>
          <t>https://dama.org/articles/introducing-the-revised-dama-data-management-body-of-knowledge-2nd-edition</t>
        </is>
      </c>
      <c r="E59" s="62" t="inlineStr">
        <is>
          <t>Specialist validation required</t>
        </is>
      </c>
    </row>
    <row r="60" ht="43" customHeight="1" s="29">
      <c r="A60" s="62" t="inlineStr">
        <is>
          <t>REQ-058</t>
        </is>
      </c>
      <c r="B60" s="62" t="inlineStr">
        <is>
          <t>ISO/IEC 5259 series, Artificial intelligence — Data quality for analytics and machine learning (ML) (ISO/IEC 5259-1:2024 and later parts)</t>
        </is>
      </c>
      <c r="C60" s="62" t="inlineStr">
        <is>
          <t>Voluntary reference for data governance and data quality in AI; see the Applicable Requirements sheet (REQ-058).</t>
        </is>
      </c>
      <c r="D60" s="62" t="inlineStr">
        <is>
          <t>https://www.iso.org/standard/81088.html</t>
        </is>
      </c>
      <c r="E60" s="62" t="inlineStr">
        <is>
          <t>Specialist validation required</t>
        </is>
      </c>
    </row>
  </sheetData>
  <pageMargins left="0.7" right="0.7" top="0.75" bottom="0.75" header="0.3" footer="0.3"/>
  <pageSetup orientation="landscape" paperSize="9" fitToHeight="0" fitToWidth="1" useFirstPageNumber="0"/>
  <headerFooter>
    <oddHeader>&amp;C&amp;"Arial,Regular"&amp;8 The Council — AIMS Applicable Requirements and Change Register</oddHeader>
    <oddFooter>&amp;C&amp;"Arial,Regular"&amp;8 AIG-AIMS-05 · v1.9 draft · Draft for Council review · OFFICIAL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B11"/>
  <sheetViews>
    <sheetView showGridLines="0" workbookViewId="0">
      <selection activeCell="A1" sqref="A1"/>
    </sheetView>
  </sheetViews>
  <sheetFormatPr baseColWidth="8" defaultRowHeight="15"/>
  <cols>
    <col width="26" customWidth="1" style="29" min="1" max="1"/>
    <col width="112" customWidth="1" style="29" min="2" max="2"/>
  </cols>
  <sheetData>
    <row r="1">
      <c r="A1" s="63" t="inlineStr">
        <is>
          <t>AIG-AIMS-05 / PROPOSED THREE-ARTEFACT SOURCE CONTRACT</t>
        </is>
      </c>
    </row>
    <row r="2"/>
    <row r="3" ht="45" customHeight="1" s="29">
      <c r="A3" s="64" t="inlineStr">
        <is>
          <t>Status</t>
        </is>
      </c>
      <c r="B3" s="65" t="inlineStr">
        <is>
          <t>PROPOSED INTEGRATION DESIGN ONLY. This sheet does not amend the artefact's native assessment, decision authority, data or formulas.</t>
        </is>
      </c>
    </row>
    <row r="4" ht="48" customHeight="1" s="29">
      <c r="A4" s="66" t="inlineStr">
        <is>
          <t>Role of this file</t>
        </is>
      </c>
      <c r="B4" s="67" t="inlineStr">
        <is>
          <t>Applicable requirements: A map relationship can identify a source requiring specialist applicability review; it is not a legal conclusion, permission or implemented control. Post-adoption suite amendments require a separately confirmed delegated approval route, not merely the requirement-change workflow.</t>
        </is>
      </c>
    </row>
    <row r="5" ht="45" customHeight="1" s="29">
      <c r="A5" s="64" t="inlineStr">
        <is>
          <t>AIG-INV-04 source</t>
        </is>
      </c>
      <c r="B5" s="65" t="inlineStr">
        <is>
          <t>Separate AIG-INV-04 AI Register: official AIR-ID, current position, in-file Assessment summary/Evidence index. Reconcile against authoritative AIG-INV-04 before using a copied value.</t>
        </is>
      </c>
    </row>
    <row r="6" ht="45" customHeight="1" s="29">
      <c r="A6" s="66" t="inlineStr">
        <is>
          <t>AIG-DEC-04 source</t>
        </is>
      </c>
      <c r="B6" s="67" t="inlineStr">
        <is>
          <t>Separate AIG-DEC-04 Gate Log: prospective Gate plan, dated Gate events, event-linked Conditions. A planned gate is not a decision. A decision requires AIG-DEC-03 or approved minutes and proper delegation.</t>
        </is>
      </c>
    </row>
    <row r="7" ht="48" customHeight="1" s="29">
      <c r="A7" s="64" t="inlineStr">
        <is>
          <t>Map source</t>
        </is>
      </c>
      <c r="B7" s="65" t="inlineStr">
        <is>
          <t>Proposed standalone Capabilities and System Map (candidate catalogue ID AIG-INV-05): UC/CAP and component relationship pointers. Edge ID is not an approval or permission; AIG-AGT-04/AIG-AGT-05 remain sources of agent scope/authority.</t>
        </is>
      </c>
    </row>
    <row r="8" ht="48" customHeight="1" s="29">
      <c r="A8" s="66" t="inlineStr">
        <is>
          <t>Data exchange</t>
        </is>
      </c>
      <c r="B8" s="67" t="inlineStr">
        <is>
          <t>Use controlled AIR-ID across files. Where applicable reference exact Event ID, Condition ID, Evidence ID, AG-ID and Edge ID. Record source file/version/as-at with imported or quoted evidence; no live cross-workbook formula is assumed.</t>
        </is>
      </c>
    </row>
    <row r="9" ht="45" customHeight="1" s="29">
      <c r="A9" s="64" t="inlineStr">
        <is>
          <t>Change trigger</t>
        </is>
      </c>
      <c r="B9" s="65" t="inlineStr">
        <is>
          <t>New or expanded system/tool access, or a material model, data, interface, purpose or agent change: log the map change, obtain owner reassessment and escalate to the proper AIG-DEC-04 gate/AIG-DEC-03 decision when required.</t>
        </is>
      </c>
    </row>
    <row r="10" ht="48" customHeight="1" s="29">
      <c r="A10" s="66" t="inlineStr">
        <is>
          <t>Validation before use</t>
        </is>
      </c>
      <c r="B10" s="67"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row r="11" ht="64" customHeight="1" s="29">
      <c r="A11" s="64" t="inlineStr">
        <is>
          <t>Post-adoption authority gap</t>
        </is>
      </c>
      <c r="B11" s="65" t="inlineStr">
        <is>
          <t>UNRESOLVED: AIG-AIMS-05 records requirements/change analysis, but does not name the delegated person or forum that can approve future amendments to an adopted governance suite. Confirm authority, decision record, specialist consultation, effective edition and migration controls under the current Constitution/Scheme of Delegation and AIG-GOV-06 before adoption. Governance Lead custody is not approval.</t>
        </is>
      </c>
    </row>
  </sheetData>
  <pageMargins left="0.7" right="0.7" top="0.75" bottom="0.75" header="0.3" footer="0.3"/>
  <pageSetup orientation="landscape" paperSize="9" fitToHeight="0" fitToWidth="1" useFirstPageNumber="0"/>
  <headerFooter>
    <oddHeader>&amp;C&amp;"Arial,Regular"&amp;8 The Council — AIMS Applicable Requirements and Change Register</oddHeader>
    <oddFooter>&amp;C&amp;"Arial,Regular"&amp;8 AIG-AIMS-05 · v1.9 draft · Draft for Council review · OFFICIAL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Governance Lead</dc:creator>
  <dc:title xmlns:dc="http://purl.org/dc/elements/1.1/">AIG-AIMS-05 AIMS Applicable Requirements and Change Register</dc:title>
  <dc:description xmlns:dc="http://purl.org/dc/elements/1.1/">Draft for Council review. Classification: OFFICIAL.</dc:description>
  <dc:subject xmlns:dc="http://purl.org/dc/elements/1.1/">AIG-AIMS-05 v1.7 — Draft for Council review</dc:subject>
  <dcterms:created xmlns:dcterms="http://purl.org/dc/terms/" xmlns:xsi="http://www.w3.org/2001/XMLSchema-instance" xsi:type="dcterms:W3CDTF">2026-09-29T17:50:11Z</dcterms:created>
  <dcterms:modified xmlns:dcterms="http://purl.org/dc/terms/" xmlns:xsi="http://www.w3.org/2001/XMLSchema-instance" xsi:type="dcterms:W3CDTF">2026-10-12T11:00:14Z</dcterms:modified>
  <cp:lastModifiedBy>AI Governance Lead</cp:lastModifiedBy>
  <cp:category>OFFICIAL</cp:category>
  <cp:keywords>OFFICIAL; AI governance; AIG-AIMS-05</cp:keywords>
</cp:coreProperties>
</file>